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34B368B6-CBC4-4462-9011-B1EEC6F35189}" xr6:coauthVersionLast="46" xr6:coauthVersionMax="46" xr10:uidLastSave="{00000000-0000-0000-0000-000000000000}"/>
  <bookViews>
    <workbookView xWindow="-103" yWindow="-103" windowWidth="33120" windowHeight="18120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C5" i="18" l="1"/>
  <c r="C4" i="18"/>
  <c r="C3" i="18"/>
  <c r="C2" i="18"/>
  <c r="D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79" i="4" s="1"/>
  <c r="E204" i="32" s="1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<sst xmlns="http://schemas.openxmlformats.org/spreadsheetml/2006/main" count="12006" uniqueCount="1181">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</sst>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5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44" fontId="18" fillId="4" borderId="0" xfId="0" applyNumberFormat="1" applyFont="1" applyFill="1" applyAlignment="1">
      <alignment horizontal="left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9" fontId="4" fillId="6" borderId="0" xfId="4" applyFont="1" applyFill="1" applyAlignment="1">
      <alignment horizontal="center"/>
    </xf>
    <xf numFmtId="0" fontId="18" fillId="4" borderId="0" xfId="0" applyFont="1" applyFill="1" applyAlignment="1">
      <alignment horizontal="left" wrapText="1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8" borderId="0" xfId="0" applyNumberFormat="1" applyFont="1" applyFill="1" applyAlignment="1">
      <alignment horizontal="left"/>
    </xf>
    <xf numFmtId="4" fontId="18" fillId="9" borderId="0" xfId="0" applyNumberFormat="1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9" fontId="21" fillId="4" borderId="29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20" fillId="6" borderId="0" xfId="0" applyFont="1" applyFill="1" applyBorder="1" applyAlignment="1">
      <alignment horizontal="left" wrapText="1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4" fontId="18" fillId="4" borderId="18" xfId="2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44" fontId="4" fillId="9" borderId="6" xfId="0" applyNumberFormat="1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18" xfId="0" applyFont="1" applyFill="1" applyBorder="1" applyAlignment="1">
      <alignment horizontal="left"/>
    </xf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18" fillId="29" borderId="0" xfId="0" applyFont="1" applyFill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2" fontId="14" fillId="2" borderId="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43" fontId="14" fillId="2" borderId="4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14" fillId="2" borderId="7" xfId="0" applyNumberFormat="1" applyFont="1" applyFill="1" applyBorder="1" applyAlignment="1" applyProtection="1">
      <alignment horizontal="center" vertical="center"/>
    </xf>
    <xf numFmtId="171" fontId="14" fillId="2" borderId="20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43" fontId="14" fillId="2" borderId="20" xfId="0" applyNumberFormat="1" applyFont="1" applyFill="1" applyBorder="1" applyAlignment="1" applyProtection="1">
      <alignment horizontal="center" vertical="center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44" fontId="18" fillId="8" borderId="18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0" fontId="4" fillId="6" borderId="23" xfId="0" applyFont="1" applyFill="1" applyBorder="1" applyAlignment="1">
      <alignment horizontal="center"/>
    </xf>
    <xf numFmtId="4" fontId="19" fillId="6" borderId="0" xfId="0" applyNumberFormat="1" applyFont="1" applyFill="1" applyAlignment="1">
      <alignment horizontal="right"/>
    </xf>
    <xf numFmtId="44" fontId="19" fillId="6" borderId="18" xfId="0" applyNumberFormat="1" applyFont="1" applyFill="1" applyBorder="1" applyAlignment="1">
      <alignment horizontal="center"/>
    </xf>
    <xf numFmtId="44" fontId="21" fillId="8" borderId="29" xfId="2" applyFont="1" applyFill="1" applyBorder="1" applyAlignment="1">
      <alignment horizontal="left"/>
    </xf>
    <xf numFmtId="4" fontId="18" fillId="29" borderId="0" xfId="0" applyNumberFormat="1" applyFont="1" applyFill="1" applyAlignment="1">
      <alignment horizontal="left"/>
    </xf>
    <xf numFmtId="44" fontId="18" fillId="29" borderId="0" xfId="0" applyNumberFormat="1" applyFont="1" applyFill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4" fontId="18" fillId="8" borderId="0" xfId="0" applyNumberFormat="1" applyFont="1" applyFill="1" applyAlignment="1">
      <alignment horizontal="left"/>
    </xf>
    <xf numFmtId="44" fontId="4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44" fontId="4" fillId="29" borderId="0" xfId="0" applyNumberFormat="1" applyFont="1" applyFill="1" applyAlignment="1">
      <alignment horizontal="left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44" fontId="14" fillId="6" borderId="6" xfId="2" applyFont="1" applyFill="1" applyBorder="1" applyAlignment="1" applyProtection="1">
      <alignment horizontal="center" vertical="center"/>
    </xf>
    <xf numFmtId="171" fontId="14" fillId="2" borderId="4" xfId="0" applyNumberFormat="1" applyFont="1" applyFill="1" applyBorder="1" applyAlignment="1" applyProtection="1">
      <alignment horizontal="center" vertical="center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8" fillId="4" borderId="0" xfId="2" applyFont="1" applyFill="1" applyAlignment="1">
      <alignment horizontal="left"/>
    </xf>
    <xf numFmtId="2" fontId="14" fillId="2" borderId="13" xfId="0" applyNumberFormat="1" applyFont="1" applyFill="1" applyBorder="1" applyAlignment="1" applyProtection="1">
      <alignment horizontal="center" vertical="center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0" fontId="18" fillId="29" borderId="0" xfId="0" applyFont="1" applyFill="1" applyAlignment="1">
      <alignment horizontal="left" wrapText="1"/>
    </xf>
    <xf numFmtId="9" fontId="18" fillId="8" borderId="22" xfId="0" applyNumberFormat="1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3" fillId="11" borderId="17" xfId="0" applyFont="1" applyFill="1" applyBorder="1" applyAlignment="1" applyProtection="1">
      <alignment horizontal="center"/>
    </xf>
    <xf numFmtId="0" fontId="1" fillId="22" borderId="0" xfId="12" applyAlignment="1" applyProtection="1">
      <alignment horizontal="center" vertical="center" wrapText="1"/>
    </xf>
    <xf numFmtId="0" fontId="1" fillId="21" borderId="0" xfId="11" applyAlignment="1" applyProtection="1">
      <alignment horizontal="center" vertical="center" wrapText="1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0" xfId="0" applyFont="1" applyAlignment="1" applyProtection="1">
      <alignment horizontal="center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9" t="str">
        <f>IF('Project Materials'!D2="","",'Project Materials'!D2)</f>
        <v/>
      </c>
      <c r="D1" s="869"/>
      <c r="E1" s="869"/>
      <c r="F1" s="870" t="s">
        <v>490</v>
      </c>
      <c r="G1" s="870"/>
      <c r="H1" s="870"/>
      <c r="I1" s="870"/>
      <c r="J1" s="870"/>
      <c r="K1" s="870"/>
      <c r="L1" s="794"/>
      <c r="M1" s="869" t="str">
        <f>IF('Project Materials'!I2="","",'Project Materials'!I2)</f>
        <v/>
      </c>
      <c r="N1" s="869"/>
      <c r="O1" s="869"/>
      <c r="P1" s="871" t="s">
        <v>492</v>
      </c>
      <c r="Q1" s="871"/>
      <c r="R1" s="872" t="str">
        <f>IF('Project Materials'!N2="","",'Project Materials'!N2)</f>
        <v/>
      </c>
      <c r="S1" s="872"/>
      <c r="T1" s="872"/>
      <c r="U1" s="872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8" t="s">
        <v>1090</v>
      </c>
      <c r="P3" s="868"/>
      <c r="Q3" s="868"/>
      <c r="R3" s="868"/>
      <c r="S3" s="868"/>
      <c r="T3" s="868"/>
      <c r="U3" s="326"/>
      <c r="V3" s="867" t="s">
        <v>1083</v>
      </c>
      <c r="W3" s="867"/>
      <c r="X3" s="867"/>
      <c r="Y3" s="867"/>
      <c r="Z3" s="867"/>
      <c r="AA3" s="867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6" t="s">
        <v>1088</v>
      </c>
      <c r="P25" s="866"/>
      <c r="Q25" s="866"/>
      <c r="R25" s="866"/>
      <c r="S25" s="866"/>
      <c r="T25" s="866"/>
      <c r="U25" s="125"/>
      <c r="V25" s="873" t="s">
        <v>1145</v>
      </c>
      <c r="W25" s="873"/>
      <c r="X25" s="873"/>
      <c r="Y25" s="873"/>
      <c r="Z25" s="873"/>
      <c r="AA25" s="873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C26" sqref="C26:E26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1" t="s">
        <v>491</v>
      </c>
      <c r="C2" s="871"/>
      <c r="D2" s="914"/>
      <c r="E2" s="1052"/>
      <c r="F2" s="915"/>
      <c r="G2" s="870" t="s">
        <v>490</v>
      </c>
      <c r="H2" s="870"/>
      <c r="I2" s="914"/>
      <c r="J2" s="1052"/>
      <c r="K2" s="915"/>
      <c r="L2" s="871" t="s">
        <v>492</v>
      </c>
      <c r="M2" s="871"/>
      <c r="N2" s="1065"/>
      <c r="O2" s="1066"/>
      <c r="P2" s="1067"/>
      <c r="Q2" s="871" t="s">
        <v>714</v>
      </c>
      <c r="R2" s="871"/>
      <c r="S2" s="1035"/>
      <c r="T2" s="1036"/>
      <c r="U2" s="1037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1061" t="str">
        <f>IF(C25="","Area A",C25)</f>
        <v>Area A</v>
      </c>
      <c r="C3" s="1062"/>
      <c r="D3" s="1063"/>
      <c r="E3" s="1064"/>
      <c r="F3" s="1058" t="str">
        <f>IF(C26="","Area B",C26)</f>
        <v>Area B</v>
      </c>
      <c r="G3" s="1059"/>
      <c r="H3" s="1059"/>
      <c r="I3" s="1060"/>
      <c r="J3" s="1054" t="str">
        <f>IF(C27="","Area C",C27)</f>
        <v>Area C</v>
      </c>
      <c r="K3" s="1055"/>
      <c r="L3" s="1056"/>
      <c r="M3" s="1056"/>
      <c r="N3" s="1043" t="str">
        <f>IF(C28="","Area D",C28)</f>
        <v>Area D</v>
      </c>
      <c r="O3" s="1044"/>
      <c r="P3" s="1044"/>
      <c r="Q3" s="1045"/>
      <c r="R3" s="1039" t="s">
        <v>468</v>
      </c>
      <c r="S3" s="1040"/>
      <c r="T3" s="1040"/>
      <c r="U3" s="1040"/>
      <c r="V3" s="1041"/>
      <c r="W3" s="1041"/>
      <c r="X3" s="1041"/>
      <c r="Y3" s="1042"/>
      <c r="Z3" s="510">
        <f ca="1">TODAY()</f>
        <v>44265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1046" t="s">
        <v>463</v>
      </c>
      <c r="C4" s="1047"/>
      <c r="D4" s="1048" t="s">
        <v>420</v>
      </c>
      <c r="E4" s="1049"/>
      <c r="F4" s="1046" t="s">
        <v>463</v>
      </c>
      <c r="G4" s="1047"/>
      <c r="H4" s="1057" t="s">
        <v>420</v>
      </c>
      <c r="I4" s="1049"/>
      <c r="J4" s="1046" t="s">
        <v>463</v>
      </c>
      <c r="K4" s="1047"/>
      <c r="L4" s="1057" t="s">
        <v>420</v>
      </c>
      <c r="M4" s="1049"/>
      <c r="N4" s="1046" t="s">
        <v>463</v>
      </c>
      <c r="O4" s="1047"/>
      <c r="P4" s="1048" t="s">
        <v>420</v>
      </c>
      <c r="Q4" s="1049"/>
      <c r="R4" s="881"/>
      <c r="S4" s="881"/>
      <c r="T4" s="881"/>
      <c r="U4" s="881"/>
      <c r="V4" s="881"/>
      <c r="W4" s="881"/>
      <c r="X4" s="881"/>
      <c r="Y4" s="882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0" t="s">
        <v>483</v>
      </c>
      <c r="C5" s="912"/>
      <c r="D5" s="1050">
        <f>IF('Area A'!B29&lt;&gt;"none",14.16,8.25)</f>
        <v>14.16</v>
      </c>
      <c r="E5" s="1051"/>
      <c r="F5" s="910" t="s">
        <v>483</v>
      </c>
      <c r="G5" s="912"/>
      <c r="H5" s="1053">
        <f>IF('Area B'!B29&lt;&gt;"none",14.16,8.25)</f>
        <v>8.25</v>
      </c>
      <c r="I5" s="1051"/>
      <c r="J5" s="910" t="s">
        <v>483</v>
      </c>
      <c r="K5" s="912"/>
      <c r="L5" s="1053">
        <f>IF('Area C'!B29&lt;&gt;"none",14.16,8.25)</f>
        <v>8.25</v>
      </c>
      <c r="M5" s="1051"/>
      <c r="N5" s="910" t="s">
        <v>483</v>
      </c>
      <c r="O5" s="912"/>
      <c r="P5" s="1050">
        <f>IF('Area D'!B29&lt;&gt;"none",14.16,8.25)</f>
        <v>8.25</v>
      </c>
      <c r="Q5" s="1051"/>
      <c r="R5" s="883"/>
      <c r="S5" s="883"/>
      <c r="T5" s="883"/>
      <c r="U5" s="883"/>
      <c r="V5" s="883"/>
      <c r="W5" s="883"/>
      <c r="X5" s="883"/>
      <c r="Y5" s="884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0" t="s">
        <v>804</v>
      </c>
      <c r="C6" s="912"/>
      <c r="D6" s="995" t="s">
        <v>446</v>
      </c>
      <c r="E6" s="996"/>
      <c r="F6" s="910" t="s">
        <v>712</v>
      </c>
      <c r="G6" s="912"/>
      <c r="H6" s="995" t="s">
        <v>446</v>
      </c>
      <c r="I6" s="996"/>
      <c r="J6" s="910" t="s">
        <v>712</v>
      </c>
      <c r="K6" s="912"/>
      <c r="L6" s="995" t="s">
        <v>446</v>
      </c>
      <c r="M6" s="996"/>
      <c r="N6" s="910" t="s">
        <v>712</v>
      </c>
      <c r="O6" s="912"/>
      <c r="P6" s="995" t="s">
        <v>446</v>
      </c>
      <c r="Q6" s="996"/>
      <c r="R6" s="883"/>
      <c r="S6" s="883"/>
      <c r="T6" s="883"/>
      <c r="U6" s="883"/>
      <c r="V6" s="883"/>
      <c r="W6" s="883"/>
      <c r="X6" s="883"/>
      <c r="Y6" s="884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877" t="s">
        <v>913</v>
      </c>
      <c r="B7" s="910" t="s">
        <v>808</v>
      </c>
      <c r="C7" s="911"/>
      <c r="D7" s="997"/>
      <c r="E7" s="915"/>
      <c r="F7" s="911" t="s">
        <v>808</v>
      </c>
      <c r="G7" s="911"/>
      <c r="H7" s="914"/>
      <c r="I7" s="915"/>
      <c r="J7" s="911" t="s">
        <v>808</v>
      </c>
      <c r="K7" s="911"/>
      <c r="L7" s="914"/>
      <c r="M7" s="915"/>
      <c r="N7" s="911" t="s">
        <v>808</v>
      </c>
      <c r="O7" s="911"/>
      <c r="P7" s="914"/>
      <c r="Q7" s="915"/>
      <c r="R7" s="883"/>
      <c r="S7" s="883"/>
      <c r="T7" s="883"/>
      <c r="U7" s="883"/>
      <c r="V7" s="883"/>
      <c r="W7" s="883"/>
      <c r="X7" s="883"/>
      <c r="Y7" s="884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878"/>
      <c r="B8" s="910" t="s">
        <v>719</v>
      </c>
      <c r="C8" s="911"/>
      <c r="D8" s="914"/>
      <c r="E8" s="915"/>
      <c r="F8" s="911" t="s">
        <v>719</v>
      </c>
      <c r="G8" s="911"/>
      <c r="H8" s="914"/>
      <c r="I8" s="915"/>
      <c r="J8" s="911" t="s">
        <v>719</v>
      </c>
      <c r="K8" s="911"/>
      <c r="L8" s="914"/>
      <c r="M8" s="915"/>
      <c r="N8" s="911" t="s">
        <v>719</v>
      </c>
      <c r="O8" s="911"/>
      <c r="P8" s="914"/>
      <c r="Q8" s="915"/>
      <c r="R8" s="883"/>
      <c r="S8" s="883"/>
      <c r="T8" s="883"/>
      <c r="U8" s="883"/>
      <c r="V8" s="883"/>
      <c r="W8" s="883"/>
      <c r="X8" s="883"/>
      <c r="Y8" s="884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0" t="s">
        <v>694</v>
      </c>
      <c r="C9" s="912"/>
      <c r="D9" s="983" t="str">
        <f>IFERROR(ROUNDUP(O25/D7,0),"-")</f>
        <v>-</v>
      </c>
      <c r="E9" s="983"/>
      <c r="F9" s="910" t="s">
        <v>694</v>
      </c>
      <c r="G9" s="912"/>
      <c r="H9" s="983" t="str">
        <f>IFERROR(ROUNDUP(O26/H7,0),"-")</f>
        <v>-</v>
      </c>
      <c r="I9" s="983"/>
      <c r="J9" s="910" t="s">
        <v>694</v>
      </c>
      <c r="K9" s="912"/>
      <c r="L9" s="983" t="str">
        <f>IFERROR(ROUNDUP(O27/L7,0),"-")</f>
        <v>-</v>
      </c>
      <c r="M9" s="983"/>
      <c r="N9" s="910" t="s">
        <v>694</v>
      </c>
      <c r="O9" s="912"/>
      <c r="P9" s="1072" t="str">
        <f>IFERROR(ROUNDUP(O28/P7,0),"-")</f>
        <v>-</v>
      </c>
      <c r="Q9" s="1073"/>
      <c r="R9" s="883"/>
      <c r="S9" s="883"/>
      <c r="T9" s="883"/>
      <c r="U9" s="883"/>
      <c r="V9" s="883"/>
      <c r="W9" s="883"/>
      <c r="X9" s="883"/>
      <c r="Y9" s="884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0" t="s">
        <v>462</v>
      </c>
      <c r="C10" s="911"/>
      <c r="D10" s="914"/>
      <c r="E10" s="915"/>
      <c r="F10" s="911" t="s">
        <v>462</v>
      </c>
      <c r="G10" s="911"/>
      <c r="H10" s="914"/>
      <c r="I10" s="915"/>
      <c r="J10" s="911" t="s">
        <v>462</v>
      </c>
      <c r="K10" s="911"/>
      <c r="L10" s="914"/>
      <c r="M10" s="915"/>
      <c r="N10" s="911" t="s">
        <v>462</v>
      </c>
      <c r="O10" s="911"/>
      <c r="P10" s="914"/>
      <c r="Q10" s="915"/>
      <c r="R10" s="883"/>
      <c r="S10" s="883"/>
      <c r="T10" s="883"/>
      <c r="U10" s="883"/>
      <c r="V10" s="883"/>
      <c r="W10" s="883"/>
      <c r="X10" s="883"/>
      <c r="Y10" s="884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0" t="s">
        <v>461</v>
      </c>
      <c r="C11" s="912"/>
      <c r="D11" s="993">
        <f>R25</f>
        <v>0</v>
      </c>
      <c r="E11" s="994"/>
      <c r="F11" s="910" t="s">
        <v>461</v>
      </c>
      <c r="G11" s="912"/>
      <c r="H11" s="977">
        <f>R26</f>
        <v>0</v>
      </c>
      <c r="I11" s="978"/>
      <c r="J11" s="1068" t="s">
        <v>461</v>
      </c>
      <c r="K11" s="1069"/>
      <c r="L11" s="977">
        <f>R27</f>
        <v>0</v>
      </c>
      <c r="M11" s="978"/>
      <c r="N11" s="1068" t="s">
        <v>461</v>
      </c>
      <c r="O11" s="1069"/>
      <c r="P11" s="1075">
        <f>R28</f>
        <v>0</v>
      </c>
      <c r="Q11" s="978"/>
      <c r="R11" s="883"/>
      <c r="S11" s="883"/>
      <c r="T11" s="883"/>
      <c r="U11" s="883"/>
      <c r="V11" s="883"/>
      <c r="W11" s="883"/>
      <c r="X11" s="883"/>
      <c r="Y11" s="884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91" t="s">
        <v>441</v>
      </c>
      <c r="C12" s="992"/>
      <c r="D12" s="1000">
        <f>IFERROR(IF(Q25=0,((D11/D13)*D10)/144,(R25*D10)/144),0)</f>
        <v>0</v>
      </c>
      <c r="E12" s="985"/>
      <c r="F12" s="991" t="s">
        <v>441</v>
      </c>
      <c r="G12" s="992"/>
      <c r="H12" s="1000">
        <f>IFERROR(IF(Q26=0,((H11/H13)*H10)/144,(R26*H10)/144),0)</f>
        <v>0</v>
      </c>
      <c r="I12" s="985"/>
      <c r="J12" s="991" t="s">
        <v>441</v>
      </c>
      <c r="K12" s="992"/>
      <c r="L12" s="984">
        <f>IFERROR(IF(Q27=0,((L11/L13)*L10)/144,(R27*L10)/144),0)</f>
        <v>0</v>
      </c>
      <c r="M12" s="985"/>
      <c r="N12" s="991" t="s">
        <v>441</v>
      </c>
      <c r="O12" s="992"/>
      <c r="P12" s="1000">
        <f>IFERROR(IF(Q28=0,((P11/P13)*P10)/144,(R28*P10)/144),0)</f>
        <v>0</v>
      </c>
      <c r="Q12" s="985"/>
      <c r="R12" s="883"/>
      <c r="S12" s="883"/>
      <c r="T12" s="883"/>
      <c r="U12" s="883"/>
      <c r="V12" s="883"/>
      <c r="W12" s="883"/>
      <c r="X12" s="883"/>
      <c r="Y12" s="884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91" t="s">
        <v>504</v>
      </c>
      <c r="C13" s="992"/>
      <c r="D13" s="989">
        <f>IF(Q25=0,ROUNDUP(O25/4,0)*P25,($N$25-1)*$P$25)</f>
        <v>0</v>
      </c>
      <c r="E13" s="990"/>
      <c r="F13" s="991" t="s">
        <v>504</v>
      </c>
      <c r="G13" s="992"/>
      <c r="H13" s="1001">
        <f>IF(Q26=0,ROUNDUP(O26/4,0)*P26,($N$26-1)*$P$26)</f>
        <v>0</v>
      </c>
      <c r="I13" s="1002"/>
      <c r="J13" s="991" t="s">
        <v>504</v>
      </c>
      <c r="K13" s="992"/>
      <c r="L13" s="1071">
        <f>IF(Q27=0,ROUNDUP(O27/4,0)*P27,($N$27-1)*$P$27)</f>
        <v>0</v>
      </c>
      <c r="M13" s="990"/>
      <c r="N13" s="991" t="s">
        <v>504</v>
      </c>
      <c r="O13" s="992"/>
      <c r="P13" s="989">
        <f>IF(Q28=0,ROUNDUP(O28/4,0)*P28,($N$28-1)*$P$28)</f>
        <v>0</v>
      </c>
      <c r="Q13" s="990"/>
      <c r="R13" s="883"/>
      <c r="S13" s="883"/>
      <c r="T13" s="883"/>
      <c r="U13" s="883"/>
      <c r="V13" s="883"/>
      <c r="W13" s="883"/>
      <c r="X13" s="883"/>
      <c r="Y13" s="884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896" t="s">
        <v>424</v>
      </c>
      <c r="C14" s="913"/>
      <c r="D14" s="988">
        <f>O25*P25</f>
        <v>0</v>
      </c>
      <c r="E14" s="982"/>
      <c r="F14" s="896" t="s">
        <v>424</v>
      </c>
      <c r="G14" s="913"/>
      <c r="H14" s="981">
        <f>O26*P26</f>
        <v>0</v>
      </c>
      <c r="I14" s="982"/>
      <c r="J14" s="896" t="s">
        <v>424</v>
      </c>
      <c r="K14" s="913"/>
      <c r="L14" s="981">
        <f>O27*P27</f>
        <v>0</v>
      </c>
      <c r="M14" s="982"/>
      <c r="N14" s="896" t="s">
        <v>424</v>
      </c>
      <c r="O14" s="913"/>
      <c r="P14" s="988">
        <f>O28*P28</f>
        <v>0</v>
      </c>
      <c r="Q14" s="982"/>
      <c r="R14" s="883"/>
      <c r="S14" s="883"/>
      <c r="T14" s="883"/>
      <c r="U14" s="883"/>
      <c r="V14" s="883"/>
      <c r="W14" s="883"/>
      <c r="X14" s="883"/>
      <c r="Y14" s="884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896" t="s">
        <v>477</v>
      </c>
      <c r="C15" s="913"/>
      <c r="D15" s="986" t="str">
        <f>IFERROR(K43/D14,"")</f>
        <v/>
      </c>
      <c r="E15" s="987"/>
      <c r="F15" s="896" t="s">
        <v>477</v>
      </c>
      <c r="G15" s="913"/>
      <c r="H15" s="979" t="str">
        <f>IFERROR(K56/H14,"")</f>
        <v/>
      </c>
      <c r="I15" s="980"/>
      <c r="J15" s="896" t="s">
        <v>477</v>
      </c>
      <c r="K15" s="913"/>
      <c r="L15" s="1070" t="str">
        <f>IFERROR(K69/L14,"")</f>
        <v/>
      </c>
      <c r="M15" s="987"/>
      <c r="N15" s="896" t="s">
        <v>477</v>
      </c>
      <c r="O15" s="913"/>
      <c r="P15" s="986" t="str">
        <f>IFERROR(O69/P14,"")</f>
        <v/>
      </c>
      <c r="Q15" s="987"/>
      <c r="R15" s="883"/>
      <c r="S15" s="883"/>
      <c r="T15" s="883"/>
      <c r="U15" s="883"/>
      <c r="V15" s="883"/>
      <c r="W15" s="883"/>
      <c r="X15" s="883"/>
      <c r="Y15" s="884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879" t="s">
        <v>915</v>
      </c>
      <c r="B16" s="896" t="s">
        <v>651</v>
      </c>
      <c r="C16" s="895"/>
      <c r="D16" s="897"/>
      <c r="E16" s="898"/>
      <c r="F16" s="895" t="s">
        <v>651</v>
      </c>
      <c r="G16" s="895"/>
      <c r="H16" s="897"/>
      <c r="I16" s="898"/>
      <c r="J16" s="895" t="s">
        <v>651</v>
      </c>
      <c r="K16" s="895"/>
      <c r="L16" s="897"/>
      <c r="M16" s="898"/>
      <c r="N16" s="895" t="s">
        <v>651</v>
      </c>
      <c r="O16" s="895"/>
      <c r="P16" s="897"/>
      <c r="Q16" s="898"/>
      <c r="R16" s="883"/>
      <c r="S16" s="883"/>
      <c r="T16" s="883"/>
      <c r="U16" s="883"/>
      <c r="V16" s="883"/>
      <c r="W16" s="883"/>
      <c r="X16" s="883"/>
      <c r="Y16" s="884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880"/>
      <c r="B17" s="896" t="s">
        <v>652</v>
      </c>
      <c r="C17" s="895"/>
      <c r="D17" s="897"/>
      <c r="E17" s="898"/>
      <c r="F17" s="895" t="s">
        <v>805</v>
      </c>
      <c r="G17" s="895"/>
      <c r="H17" s="897"/>
      <c r="I17" s="898"/>
      <c r="J17" s="895" t="s">
        <v>805</v>
      </c>
      <c r="K17" s="895"/>
      <c r="L17" s="897"/>
      <c r="M17" s="898"/>
      <c r="N17" s="895" t="s">
        <v>805</v>
      </c>
      <c r="O17" s="895"/>
      <c r="P17" s="897"/>
      <c r="Q17" s="898"/>
      <c r="R17" s="883"/>
      <c r="S17" s="883"/>
      <c r="T17" s="883"/>
      <c r="U17" s="883"/>
      <c r="V17" s="883"/>
      <c r="W17" s="883"/>
      <c r="X17" s="883"/>
      <c r="Y17" s="884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880"/>
      <c r="B18" s="896" t="s">
        <v>493</v>
      </c>
      <c r="C18" s="895"/>
      <c r="D18" s="897"/>
      <c r="E18" s="898"/>
      <c r="F18" s="895" t="s">
        <v>493</v>
      </c>
      <c r="G18" s="895"/>
      <c r="H18" s="897"/>
      <c r="I18" s="898"/>
      <c r="J18" s="895" t="s">
        <v>493</v>
      </c>
      <c r="K18" s="895"/>
      <c r="L18" s="897"/>
      <c r="M18" s="898"/>
      <c r="N18" s="895" t="s">
        <v>493</v>
      </c>
      <c r="O18" s="895"/>
      <c r="P18" s="897"/>
      <c r="Q18" s="898"/>
      <c r="R18" s="883"/>
      <c r="S18" s="883"/>
      <c r="T18" s="883"/>
      <c r="U18" s="883"/>
      <c r="V18" s="883"/>
      <c r="W18" s="883"/>
      <c r="X18" s="883"/>
      <c r="Y18" s="884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880"/>
      <c r="B19" s="896" t="s">
        <v>487</v>
      </c>
      <c r="C19" s="895"/>
      <c r="D19" s="897">
        <v>0.04</v>
      </c>
      <c r="E19" s="898"/>
      <c r="F19" s="1004" t="s">
        <v>487</v>
      </c>
      <c r="G19" s="1004"/>
      <c r="H19" s="897">
        <v>0.04</v>
      </c>
      <c r="I19" s="898"/>
      <c r="J19" s="895" t="s">
        <v>487</v>
      </c>
      <c r="K19" s="895"/>
      <c r="L19" s="897">
        <v>0.04</v>
      </c>
      <c r="M19" s="898"/>
      <c r="N19" s="895" t="s">
        <v>487</v>
      </c>
      <c r="O19" s="895"/>
      <c r="P19" s="897">
        <v>0.04</v>
      </c>
      <c r="Q19" s="898"/>
      <c r="R19" s="885"/>
      <c r="S19" s="885"/>
      <c r="T19" s="885"/>
      <c r="U19" s="885"/>
      <c r="V19" s="885"/>
      <c r="W19" s="885"/>
      <c r="X19" s="885"/>
      <c r="Y19" s="886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889" t="s">
        <v>488</v>
      </c>
      <c r="C21" s="890"/>
      <c r="D21" s="899" t="str">
        <f ca="1">IFERROR(ROUNDUP((Z4-Z3)/30,0),"")</f>
        <v/>
      </c>
      <c r="E21" s="900"/>
      <c r="F21" s="889" t="s">
        <v>488</v>
      </c>
      <c r="G21" s="890"/>
      <c r="H21" s="899" t="str">
        <f ca="1">IFERROR(ROUNDUP((AA4-Z3)/30,0),"")</f>
        <v/>
      </c>
      <c r="I21" s="900"/>
      <c r="J21" s="889" t="s">
        <v>488</v>
      </c>
      <c r="K21" s="890"/>
      <c r="L21" s="899" t="str">
        <f ca="1">IFERROR(ROUNDUP((AB4-Z3)/30,0),"")</f>
        <v/>
      </c>
      <c r="M21" s="900"/>
      <c r="N21" s="928" t="s">
        <v>488</v>
      </c>
      <c r="O21" s="929"/>
      <c r="P21" s="893">
        <f>IFERROR(ROUNDUP((AF4-AD3)/30,0),"")</f>
        <v>0</v>
      </c>
      <c r="Q21" s="894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901" t="s">
        <v>799</v>
      </c>
      <c r="K23" s="902"/>
      <c r="L23" s="902"/>
      <c r="M23" s="902"/>
      <c r="N23" s="903"/>
      <c r="O23" s="922" t="s">
        <v>427</v>
      </c>
      <c r="P23" s="924" t="s">
        <v>428</v>
      </c>
      <c r="Q23" s="926" t="s">
        <v>366</v>
      </c>
      <c r="R23" s="891" t="s">
        <v>716</v>
      </c>
      <c r="S23" s="921" t="s">
        <v>426</v>
      </c>
      <c r="T23" s="921"/>
      <c r="U23" s="921"/>
      <c r="V23" s="891" t="s">
        <v>447</v>
      </c>
      <c r="W23" s="891" t="s">
        <v>466</v>
      </c>
      <c r="X23" s="887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919" t="s">
        <v>800</v>
      </c>
      <c r="D24" s="919"/>
      <c r="E24" s="919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923"/>
      <c r="P24" s="925"/>
      <c r="Q24" s="927"/>
      <c r="R24" s="892"/>
      <c r="S24" s="534" t="s">
        <v>364</v>
      </c>
      <c r="T24" s="534" t="s">
        <v>365</v>
      </c>
      <c r="U24" s="534" t="s">
        <v>809</v>
      </c>
      <c r="V24" s="892"/>
      <c r="W24" s="892"/>
      <c r="X24" s="888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874" t="s">
        <v>916</v>
      </c>
      <c r="B25" s="675" t="s">
        <v>1</v>
      </c>
      <c r="C25" s="904"/>
      <c r="D25" s="905"/>
      <c r="E25" s="906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875"/>
      <c r="B26" s="676" t="s">
        <v>2</v>
      </c>
      <c r="C26" s="907"/>
      <c r="D26" s="908"/>
      <c r="E26" s="909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875"/>
      <c r="B27" s="677" t="s">
        <v>3</v>
      </c>
      <c r="C27" s="974"/>
      <c r="D27" s="975"/>
      <c r="E27" s="976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876"/>
      <c r="B28" s="678" t="s">
        <v>798</v>
      </c>
      <c r="C28" s="1079"/>
      <c r="D28" s="1080"/>
      <c r="E28" s="1081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948" t="s">
        <v>416</v>
      </c>
      <c r="D30" s="948"/>
      <c r="E30" s="948" t="s">
        <v>475</v>
      </c>
      <c r="F30" s="948"/>
      <c r="G30" s="948"/>
      <c r="H30" s="165" t="s">
        <v>480</v>
      </c>
      <c r="I30" s="957" t="s">
        <v>485</v>
      </c>
      <c r="J30" s="957"/>
      <c r="K30" s="1006" t="s">
        <v>476</v>
      </c>
      <c r="L30" s="1006"/>
      <c r="M30" s="957" t="s">
        <v>499</v>
      </c>
      <c r="N30" s="957"/>
      <c r="O30" s="954" t="s">
        <v>503</v>
      </c>
      <c r="P30" s="954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16"/>
      <c r="L31" s="916"/>
      <c r="M31" s="916"/>
      <c r="N31" s="916"/>
      <c r="O31" s="916"/>
      <c r="P31" s="916"/>
      <c r="Q31" s="916"/>
      <c r="R31" s="916"/>
      <c r="S31" s="916"/>
      <c r="T31" s="916"/>
      <c r="U31" s="916"/>
      <c r="V31" s="916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917" t="e">
        <f>#REF!</f>
        <v>#REF!</v>
      </c>
      <c r="C32" s="932" t="s">
        <v>0</v>
      </c>
      <c r="D32" s="932"/>
      <c r="E32" s="932" t="str">
        <f>CONCATENATE(IF('Area A'!B5="None","",'Area A'!B5), "   ",,IF('Area A'!B7="None","",'Area A'!B7))</f>
        <v xml:space="preserve">TR200 Blk   </v>
      </c>
      <c r="F32" s="932"/>
      <c r="G32" s="932"/>
      <c r="H32" s="100" t="s">
        <v>481</v>
      </c>
      <c r="I32" s="953" t="str">
        <f>CONCATENATE(IF('Area A'!$B$5="None","",'Area A'!$D$5), "   ",,IF('Area A'!$B$7="None","",'Area A'!$D$7))</f>
        <v xml:space="preserve">0   </v>
      </c>
      <c r="J32" s="953"/>
      <c r="K32" s="920">
        <f>'Area A'!G5+'Area A'!G7</f>
        <v>0</v>
      </c>
      <c r="L32" s="920"/>
      <c r="M32" s="953" t="str">
        <f>CONCATENATE(IF('Area A'!$B$5="None","",'Area A'!$H$5), "   ",,IF('Area A'!$B$7="None","",'Area A'!$H$7))</f>
        <v xml:space="preserve">0   </v>
      </c>
      <c r="N32" s="953"/>
      <c r="O32" s="955">
        <f>'Area A'!J5+'Area A'!J7</f>
        <v>0</v>
      </c>
      <c r="P32" s="956"/>
      <c r="Q32" s="110">
        <f>IFERROR(O32/O43,0)</f>
        <v>0</v>
      </c>
      <c r="R32" s="930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917"/>
      <c r="C33" s="932" t="s">
        <v>413</v>
      </c>
      <c r="D33" s="932"/>
      <c r="E33" s="932" t="str">
        <f>CONCATENATE(IF('Area A'!B6="None","",'Area A'!B6), "    ",,IF('Area A'!B8="None","",'Area A'!B8))</f>
        <v xml:space="preserve">BR100- Blk    </v>
      </c>
      <c r="F33" s="932"/>
      <c r="G33" s="932"/>
      <c r="H33" s="100" t="s">
        <v>481</v>
      </c>
      <c r="I33" s="953" t="str">
        <f>CONCATENATE(IF('Area A'!$B$6="None","",'Area A'!$D$6), "   ",,IF('Area A'!$B$8="None","",'Area A'!$D$8))</f>
        <v xml:space="preserve">0   </v>
      </c>
      <c r="J33" s="953"/>
      <c r="K33" s="920">
        <f>'Area A'!G6+'Area A'!G8</f>
        <v>0</v>
      </c>
      <c r="L33" s="920"/>
      <c r="M33" s="953" t="str">
        <f>CONCATENATE(IF('Area A'!$B$6="None","",'Area A'!$H$6), "   ",,IF('Area A'!$B$8="None","",'Area A'!$H$8))</f>
        <v xml:space="preserve">0   </v>
      </c>
      <c r="N33" s="953"/>
      <c r="O33" s="963">
        <f>'Area A'!J6+'Area A'!J8</f>
        <v>0</v>
      </c>
      <c r="P33" s="964"/>
      <c r="Q33" s="110">
        <f>IFERROR(O33/O43,0)</f>
        <v>0</v>
      </c>
      <c r="R33" s="930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917"/>
      <c r="C34" s="932" t="s">
        <v>4</v>
      </c>
      <c r="D34" s="932"/>
      <c r="E34" s="931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931"/>
      <c r="G34" s="931"/>
      <c r="H34" s="100" t="s">
        <v>481</v>
      </c>
      <c r="I34" s="953" t="str">
        <f>CONCATENATE(IF('Area A'!B12="None","",'Area A'!D12)," ",IF('Area A'!B15="none","",'Area A'!E15))</f>
        <v xml:space="preserve"> 0</v>
      </c>
      <c r="J34" s="953"/>
      <c r="K34" s="920">
        <f>'Area A'!G19</f>
        <v>0</v>
      </c>
      <c r="L34" s="920"/>
      <c r="M34" s="953" t="str">
        <f>CONCATENATE(IF('Area A'!$B$12="None","",'Area A'!$H$12)," ",IF('Area A'!B15="None","",'Area A'!H15))</f>
        <v xml:space="preserve"> 0</v>
      </c>
      <c r="N34" s="953"/>
      <c r="O34" s="955">
        <f>'Area A'!J19</f>
        <v>0</v>
      </c>
      <c r="P34" s="956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917"/>
      <c r="C35" s="932" t="s">
        <v>6</v>
      </c>
      <c r="D35" s="932"/>
      <c r="E35" s="932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932"/>
      <c r="G35" s="932"/>
      <c r="H35" s="100" t="s">
        <v>482</v>
      </c>
      <c r="I35" s="953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953"/>
      <c r="K35" s="920">
        <f>'Area A'!G26</f>
        <v>0</v>
      </c>
      <c r="L35" s="920"/>
      <c r="M35" s="953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953"/>
      <c r="O35" s="955">
        <f>'Area A'!J26</f>
        <v>0</v>
      </c>
      <c r="P35" s="956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917"/>
      <c r="C36" s="932" t="s">
        <v>8</v>
      </c>
      <c r="D36" s="932"/>
      <c r="E36" s="932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932"/>
      <c r="G36" s="932"/>
      <c r="H36" s="100" t="s">
        <v>484</v>
      </c>
      <c r="I36" s="958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958"/>
      <c r="K36" s="920">
        <f>'Area A'!G37</f>
        <v>0</v>
      </c>
      <c r="L36" s="920"/>
      <c r="M36" s="958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958"/>
      <c r="O36" s="955">
        <f>'Area A'!J37</f>
        <v>0</v>
      </c>
      <c r="P36" s="956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917"/>
      <c r="C37" s="932" t="s">
        <v>363</v>
      </c>
      <c r="D37" s="932"/>
      <c r="E37" s="932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932"/>
      <c r="G37" s="932"/>
      <c r="H37" s="100" t="s">
        <v>482</v>
      </c>
      <c r="I37" s="953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953"/>
      <c r="K37" s="920">
        <f>'Area A'!G44</f>
        <v>0</v>
      </c>
      <c r="L37" s="920"/>
      <c r="M37" s="953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953"/>
      <c r="O37" s="955">
        <f>'Area A'!J44</f>
        <v>0</v>
      </c>
      <c r="P37" s="956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917"/>
      <c r="C38" s="932" t="s">
        <v>7</v>
      </c>
      <c r="D38" s="932"/>
      <c r="E38" s="932"/>
      <c r="F38" s="932"/>
      <c r="G38" s="932"/>
      <c r="H38" s="100"/>
      <c r="I38" s="953"/>
      <c r="J38" s="953"/>
      <c r="K38" s="920">
        <f>'Area A'!G196</f>
        <v>0</v>
      </c>
      <c r="L38" s="920"/>
      <c r="M38" s="101"/>
      <c r="N38" s="101"/>
      <c r="O38" s="955">
        <f>'Area A'!J196</f>
        <v>0</v>
      </c>
      <c r="P38" s="956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917"/>
      <c r="C39" s="932" t="s">
        <v>429</v>
      </c>
      <c r="D39" s="932"/>
      <c r="E39" s="932"/>
      <c r="F39" s="932"/>
      <c r="G39" s="932"/>
      <c r="H39" s="100"/>
      <c r="I39" s="953"/>
      <c r="J39" s="953"/>
      <c r="K39" s="920">
        <f>'Area A'!G266</f>
        <v>0</v>
      </c>
      <c r="L39" s="920"/>
      <c r="M39" s="101"/>
      <c r="N39" s="101"/>
      <c r="O39" s="955">
        <f>'Area A'!J266</f>
        <v>0</v>
      </c>
      <c r="P39" s="956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917"/>
      <c r="C40" s="932" t="s">
        <v>430</v>
      </c>
      <c r="D40" s="932"/>
      <c r="E40" s="932"/>
      <c r="F40" s="932"/>
      <c r="G40" s="932"/>
      <c r="H40" s="100"/>
      <c r="I40" s="953"/>
      <c r="J40" s="953"/>
      <c r="K40" s="1074">
        <f>IF(D4="no",0,SUM(D14)*D5)</f>
        <v>0</v>
      </c>
      <c r="L40" s="1074"/>
      <c r="M40" s="101"/>
      <c r="N40" s="101"/>
      <c r="O40" s="955">
        <f>K40</f>
        <v>0</v>
      </c>
      <c r="P40" s="956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918"/>
      <c r="C41" s="939" t="s">
        <v>431</v>
      </c>
      <c r="D41" s="939"/>
      <c r="E41" s="939"/>
      <c r="F41" s="939"/>
      <c r="G41" s="939"/>
      <c r="H41" s="102"/>
      <c r="I41" s="1003"/>
      <c r="J41" s="1003"/>
      <c r="K41" s="959">
        <f>SUM(K32:K40)</f>
        <v>0</v>
      </c>
      <c r="L41" s="959"/>
      <c r="M41" s="54"/>
      <c r="N41" s="54"/>
      <c r="O41" s="959">
        <f>SUM(O32:O40)</f>
        <v>0</v>
      </c>
      <c r="P41" s="959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932" t="s">
        <v>494</v>
      </c>
      <c r="D42" s="932"/>
      <c r="E42" s="952">
        <f>D19</f>
        <v>0.04</v>
      </c>
      <c r="F42" s="952"/>
      <c r="G42" s="952"/>
      <c r="H42" s="100"/>
      <c r="I42" s="1095"/>
      <c r="J42" s="1095"/>
      <c r="K42" s="944">
        <f>SUM(K41*$E$42)</f>
        <v>0</v>
      </c>
      <c r="L42" s="944"/>
      <c r="M42" s="55"/>
      <c r="N42" s="55"/>
      <c r="O42" s="944">
        <f>SUM(O41*$E$42)</f>
        <v>0</v>
      </c>
      <c r="P42" s="944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965" t="s">
        <v>367</v>
      </c>
      <c r="D43" s="965"/>
      <c r="E43" s="940"/>
      <c r="F43" s="940"/>
      <c r="G43" s="940"/>
      <c r="H43" s="190"/>
      <c r="I43" s="1099"/>
      <c r="J43" s="1099"/>
      <c r="K43" s="962">
        <f>SUM(K41:L42)</f>
        <v>0</v>
      </c>
      <c r="L43" s="962"/>
      <c r="M43" s="191"/>
      <c r="N43" s="191"/>
      <c r="O43" s="962">
        <f>SUM(O41:P42)</f>
        <v>0</v>
      </c>
      <c r="P43" s="962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934"/>
      <c r="D44" s="934"/>
      <c r="E44" s="934"/>
      <c r="F44" s="934"/>
      <c r="G44" s="934"/>
      <c r="H44" s="187"/>
      <c r="I44" s="936"/>
      <c r="J44" s="936"/>
      <c r="K44" s="934"/>
      <c r="L44" s="934"/>
      <c r="M44" s="934"/>
      <c r="N44" s="934"/>
      <c r="O44" s="934"/>
      <c r="P44" s="934"/>
      <c r="Q44" s="916"/>
      <c r="R44" s="916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945" t="e">
        <f>#REF!</f>
        <v>#REF!</v>
      </c>
      <c r="C45" s="933" t="s">
        <v>0</v>
      </c>
      <c r="D45" s="933"/>
      <c r="E45" s="933" t="str">
        <f>CONCATENATE(IF('Area B'!B5="None","",'Area B'!B5), "   ",,IF('Area B'!B7="None","",'Area B'!B7))</f>
        <v xml:space="preserve">   </v>
      </c>
      <c r="F45" s="933"/>
      <c r="G45" s="933"/>
      <c r="H45" s="223" t="s">
        <v>481</v>
      </c>
      <c r="I45" s="960" t="str">
        <f>CONCATENATE(IF('Area B'!$B$5="None","",'Area B'!$D$5), "   ",,IF('Area B'!$B$7="None","",'Area B'!$D$7))</f>
        <v xml:space="preserve">   </v>
      </c>
      <c r="J45" s="960"/>
      <c r="K45" s="943">
        <f>'Area B'!G5+'Area B'!G7</f>
        <v>0</v>
      </c>
      <c r="L45" s="943"/>
      <c r="M45" s="960" t="str">
        <f>CONCATENATE(IF('Area B'!$B$5="None","",'Area B'!$H$5), "   ",,IF('Area B'!$B$7="None","",'Area B'!$H$7))</f>
        <v xml:space="preserve">   </v>
      </c>
      <c r="N45" s="960"/>
      <c r="O45" s="961">
        <f>'Area B'!J5+'Area B'!J7</f>
        <v>0</v>
      </c>
      <c r="P45" s="961"/>
      <c r="Q45" s="110">
        <f>IFERROR(O45/O56,0)</f>
        <v>0</v>
      </c>
      <c r="R45" s="930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946"/>
      <c r="C46" s="949" t="s">
        <v>413</v>
      </c>
      <c r="D46" s="949"/>
      <c r="E46" s="949" t="str">
        <f>CONCATENATE(IF('Area B'!B6="None","",'Area B'!B6), "   ",,IF('Area B'!B8="None","",'Area B'!B8))</f>
        <v xml:space="preserve">   </v>
      </c>
      <c r="F46" s="949"/>
      <c r="G46" s="949"/>
      <c r="H46" s="223" t="s">
        <v>481</v>
      </c>
      <c r="I46" s="938" t="str">
        <f>CONCATENATE(IF('Area B'!$B$6="None","",'Area B'!$D$6), "   ",,IF('Area B'!$B$8="None","",'Area B'!$D$8))</f>
        <v xml:space="preserve">   </v>
      </c>
      <c r="J46" s="938"/>
      <c r="K46" s="941">
        <f>'Area B'!G6+'Area B'!G8</f>
        <v>0</v>
      </c>
      <c r="L46" s="941"/>
      <c r="M46" s="938" t="str">
        <f>CONCATENATE(IF('Area B'!$B$6="None","",'Area B'!$H$6), "   ",,IF('Area B'!$B$8="None","",'Area B'!$H$8))</f>
        <v xml:space="preserve">   </v>
      </c>
      <c r="N46" s="938"/>
      <c r="O46" s="1027">
        <f>'Area B'!J6+'Area B'!J8</f>
        <v>0</v>
      </c>
      <c r="P46" s="1027"/>
      <c r="Q46" s="110">
        <f>IFERROR(O46/O56,0)</f>
        <v>0</v>
      </c>
      <c r="R46" s="930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946"/>
      <c r="C47" s="949" t="s">
        <v>4</v>
      </c>
      <c r="D47" s="949"/>
      <c r="E47" s="951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951"/>
      <c r="G47" s="951"/>
      <c r="H47" s="223" t="s">
        <v>481</v>
      </c>
      <c r="I47" s="938" t="str">
        <f>CONCATENATE(IF('Area B'!$B$12="None","",'Area B'!$D$12)," ",IF('Area B'!B15="None","",'Area B'!E15))</f>
        <v xml:space="preserve"> </v>
      </c>
      <c r="J47" s="938"/>
      <c r="K47" s="941">
        <f>'Area B'!G19</f>
        <v>0</v>
      </c>
      <c r="L47" s="941"/>
      <c r="M47" s="938" t="str">
        <f>CONCATENATE(IF('Area B'!$B$12="None","",'Area B'!$H$12)," ",IF('Area B'!B15="None","",'Area B'!H15))</f>
        <v xml:space="preserve"> </v>
      </c>
      <c r="N47" s="938"/>
      <c r="O47" s="1027">
        <f>'Area B'!J19</f>
        <v>0</v>
      </c>
      <c r="P47" s="1027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946"/>
      <c r="C48" s="949" t="s">
        <v>6</v>
      </c>
      <c r="D48" s="949"/>
      <c r="E48" s="949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949"/>
      <c r="G48" s="949"/>
      <c r="H48" s="223" t="s">
        <v>482</v>
      </c>
      <c r="I48" s="938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38"/>
      <c r="K48" s="941">
        <f>'Area B'!G26</f>
        <v>0</v>
      </c>
      <c r="L48" s="941"/>
      <c r="M48" s="938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38"/>
      <c r="O48" s="1027">
        <f>'Area B'!J26</f>
        <v>0</v>
      </c>
      <c r="P48" s="1027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946"/>
      <c r="C49" s="949" t="s">
        <v>8</v>
      </c>
      <c r="D49" s="949"/>
      <c r="E49" s="949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949"/>
      <c r="G49" s="949"/>
      <c r="H49" s="223" t="s">
        <v>484</v>
      </c>
      <c r="I49" s="938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38"/>
      <c r="K49" s="941">
        <f>'Area B'!G37</f>
        <v>0</v>
      </c>
      <c r="L49" s="941"/>
      <c r="M49" s="938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38"/>
      <c r="O49" s="1027">
        <f>'Area B'!J37</f>
        <v>0</v>
      </c>
      <c r="P49" s="1027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946"/>
      <c r="C50" s="949" t="s">
        <v>363</v>
      </c>
      <c r="D50" s="949"/>
      <c r="E50" s="949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949"/>
      <c r="G50" s="949"/>
      <c r="H50" s="223" t="s">
        <v>482</v>
      </c>
      <c r="I50" s="938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38"/>
      <c r="K50" s="941">
        <f>'Area B'!G44</f>
        <v>0</v>
      </c>
      <c r="L50" s="941"/>
      <c r="M50" s="938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38"/>
      <c r="O50" s="1027">
        <f>'Area B'!J44</f>
        <v>0</v>
      </c>
      <c r="P50" s="1027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946"/>
      <c r="C51" s="949" t="s">
        <v>7</v>
      </c>
      <c r="D51" s="949"/>
      <c r="E51" s="949"/>
      <c r="F51" s="949"/>
      <c r="G51" s="949"/>
      <c r="H51" s="223"/>
      <c r="I51" s="938"/>
      <c r="J51" s="938"/>
      <c r="K51" s="941">
        <f>'Area B'!G196</f>
        <v>0</v>
      </c>
      <c r="L51" s="941"/>
      <c r="M51" s="938"/>
      <c r="N51" s="938"/>
      <c r="O51" s="1027">
        <f>'Area B'!J196</f>
        <v>0</v>
      </c>
      <c r="P51" s="1027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946"/>
      <c r="C52" s="949" t="s">
        <v>429</v>
      </c>
      <c r="D52" s="949"/>
      <c r="E52" s="949"/>
      <c r="F52" s="949"/>
      <c r="G52" s="949"/>
      <c r="H52" s="223"/>
      <c r="I52" s="938"/>
      <c r="J52" s="938"/>
      <c r="K52" s="941">
        <f>'Area B'!G266</f>
        <v>0</v>
      </c>
      <c r="L52" s="941"/>
      <c r="M52" s="938"/>
      <c r="N52" s="938"/>
      <c r="O52" s="1027">
        <f>'Area B'!J266</f>
        <v>0</v>
      </c>
      <c r="P52" s="1027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946"/>
      <c r="C53" s="949" t="s">
        <v>430</v>
      </c>
      <c r="D53" s="949"/>
      <c r="E53" s="949"/>
      <c r="F53" s="949"/>
      <c r="G53" s="949"/>
      <c r="H53" s="223"/>
      <c r="I53" s="938"/>
      <c r="J53" s="938"/>
      <c r="K53" s="942">
        <f>IF(H4="no",0,SUM(H14)*H5)</f>
        <v>0</v>
      </c>
      <c r="L53" s="942"/>
      <c r="M53" s="938"/>
      <c r="N53" s="938"/>
      <c r="O53" s="1027">
        <f>K53</f>
        <v>0</v>
      </c>
      <c r="P53" s="1027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947"/>
      <c r="C54" s="950" t="s">
        <v>431</v>
      </c>
      <c r="D54" s="950"/>
      <c r="E54" s="950"/>
      <c r="F54" s="950"/>
      <c r="G54" s="950"/>
      <c r="H54" s="224"/>
      <c r="I54" s="1015"/>
      <c r="J54" s="1015"/>
      <c r="K54" s="1028">
        <f>SUM(K45:K53)</f>
        <v>0</v>
      </c>
      <c r="L54" s="1028"/>
      <c r="M54" s="1015"/>
      <c r="N54" s="1015"/>
      <c r="O54" s="1028">
        <f>SUM(O45:O53)</f>
        <v>0</v>
      </c>
      <c r="P54" s="1028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972" t="s">
        <v>494</v>
      </c>
      <c r="D55" s="972"/>
      <c r="E55" s="1097">
        <f>H19</f>
        <v>0.04</v>
      </c>
      <c r="F55" s="1097"/>
      <c r="G55" s="1097"/>
      <c r="H55" s="223"/>
      <c r="I55" s="1016"/>
      <c r="J55" s="1016"/>
      <c r="K55" s="1019">
        <f>SUM(K54*E55)</f>
        <v>0</v>
      </c>
      <c r="L55" s="1019"/>
      <c r="M55" s="57"/>
      <c r="N55" s="57"/>
      <c r="O55" s="1029">
        <f>O54*E55</f>
        <v>0</v>
      </c>
      <c r="P55" s="1029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973" t="s">
        <v>367</v>
      </c>
      <c r="D56" s="973"/>
      <c r="E56" s="1098"/>
      <c r="F56" s="1098"/>
      <c r="G56" s="1098"/>
      <c r="H56" s="185"/>
      <c r="I56" s="1017"/>
      <c r="J56" s="1017"/>
      <c r="K56" s="1020">
        <f>SUM(K54:L55)</f>
        <v>0</v>
      </c>
      <c r="L56" s="1020"/>
      <c r="M56" s="186"/>
      <c r="N56" s="186"/>
      <c r="O56" s="1020">
        <f>SUM(O54:P55)</f>
        <v>0</v>
      </c>
      <c r="P56" s="1020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934"/>
      <c r="D57" s="934"/>
      <c r="E57" s="934"/>
      <c r="F57" s="934"/>
      <c r="G57" s="934"/>
      <c r="H57" s="187"/>
      <c r="I57" s="936"/>
      <c r="J57" s="936"/>
      <c r="K57" s="934"/>
      <c r="L57" s="934"/>
      <c r="M57" s="934"/>
      <c r="N57" s="934"/>
      <c r="O57" s="934"/>
      <c r="P57" s="934"/>
      <c r="Q57" s="916"/>
      <c r="R57" s="916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998" t="e">
        <f>#REF!</f>
        <v>#REF!</v>
      </c>
      <c r="C58" s="935" t="s">
        <v>0</v>
      </c>
      <c r="D58" s="935"/>
      <c r="E58" s="935" t="str">
        <f>CONCATENATE(IF('Area C'!$B$5="None","",'Area C'!$B$5), "   ",IF('Area C'!$B$7="None","",'Area C'!$B$7))</f>
        <v xml:space="preserve">TR200 Blk   </v>
      </c>
      <c r="F58" s="935"/>
      <c r="G58" s="935"/>
      <c r="H58" s="147" t="s">
        <v>481</v>
      </c>
      <c r="I58" s="937" t="str">
        <f>CONCATENATE(IF('Area C'!$B$5="None","",'Area C'!$D$5), "   ",,IF('Area C'!$B$7="None","",'Area C'!$D$7))</f>
        <v xml:space="preserve">0   </v>
      </c>
      <c r="J58" s="937"/>
      <c r="K58" s="1026">
        <f>'Area C'!$G$5+'Area C'!$G$7</f>
        <v>0</v>
      </c>
      <c r="L58" s="1026"/>
      <c r="M58" s="937" t="str">
        <f>CONCATENATE(IF('Area C'!$B$5="None","",'Area C'!$H$5), "   ",,IF('Area C'!$B$7="None","",'Area C'!$H$7))</f>
        <v xml:space="preserve">0   </v>
      </c>
      <c r="N58" s="937"/>
      <c r="O58" s="1025">
        <f>'Area C'!$J$5+'Area C'!$J$7</f>
        <v>0</v>
      </c>
      <c r="P58" s="1025"/>
      <c r="Q58" s="110">
        <f>IFERROR(O58/O69,0)</f>
        <v>0</v>
      </c>
      <c r="R58" s="930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998"/>
      <c r="C59" s="935" t="s">
        <v>413</v>
      </c>
      <c r="D59" s="935"/>
      <c r="E59" s="935" t="str">
        <f>CONCATENATE(IF('Area C'!$B$6="None","",'Area C'!$B$6), "   ",IF('Area C'!$B$8="None","",'Area C'!$B$8))</f>
        <v xml:space="preserve">BR200- Blk   </v>
      </c>
      <c r="F59" s="935"/>
      <c r="G59" s="935"/>
      <c r="H59" s="147" t="s">
        <v>481</v>
      </c>
      <c r="I59" s="937" t="str">
        <f>CONCATENATE(IF('Area C'!$B$6="None","",'Area C'!$D$6), "   ",,IF('Area C'!$B$8="None","",'Area C'!$D$8))</f>
        <v xml:space="preserve">0   </v>
      </c>
      <c r="J59" s="937"/>
      <c r="K59" s="1026">
        <f>'Area C'!$G$6+'Area C'!$G$8</f>
        <v>0</v>
      </c>
      <c r="L59" s="1026"/>
      <c r="M59" s="937" t="str">
        <f>CONCATENATE(IF('Area C'!$B$6="None","",'Area C'!$H$6), "   ",,IF('Area C'!$B$8="None","",'Area C'!$H$8))</f>
        <v xml:space="preserve">0   </v>
      </c>
      <c r="N59" s="937"/>
      <c r="O59" s="1032">
        <f>'Area C'!$J$6+'Area C'!$J$8</f>
        <v>0</v>
      </c>
      <c r="P59" s="1032"/>
      <c r="Q59" s="110">
        <f>IFERROR(O59/O69,0)</f>
        <v>0</v>
      </c>
      <c r="R59" s="930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998"/>
      <c r="C60" s="935" t="s">
        <v>4</v>
      </c>
      <c r="D60" s="935"/>
      <c r="E60" s="1096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1096"/>
      <c r="G60" s="1096"/>
      <c r="H60" s="147" t="s">
        <v>481</v>
      </c>
      <c r="I60" s="937" t="str">
        <f>CONCATENATE(IF('Area C'!$B$12="None","",'Area C'!$D$12)," ",IF('Area C'!$B$15="None","",'Area C'!$E$15))</f>
        <v xml:space="preserve"> 0</v>
      </c>
      <c r="J60" s="937"/>
      <c r="K60" s="1026">
        <f>'Area C'!$G$19</f>
        <v>0</v>
      </c>
      <c r="L60" s="1026"/>
      <c r="M60" s="937" t="str">
        <f>CONCATENATE(IF('Area C'!$B$12="None","",'Area C'!$H$12)," ",IF('Area C'!$B$15="None","",'Area C'!$H$15))</f>
        <v xml:space="preserve"> 0</v>
      </c>
      <c r="N60" s="937"/>
      <c r="O60" s="1032">
        <f>'Area C'!$J$19</f>
        <v>0</v>
      </c>
      <c r="P60" s="1032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998"/>
      <c r="C61" s="935" t="s">
        <v>6</v>
      </c>
      <c r="D61" s="935"/>
      <c r="E61" s="935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935"/>
      <c r="G61" s="935"/>
      <c r="H61" s="147" t="s">
        <v>482</v>
      </c>
      <c r="I61" s="937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937"/>
      <c r="K61" s="1026">
        <f>'Area C'!$G$26</f>
        <v>0</v>
      </c>
      <c r="L61" s="1026"/>
      <c r="M61" s="937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937"/>
      <c r="O61" s="1032">
        <f>'Area C'!$J$26</f>
        <v>0</v>
      </c>
      <c r="P61" s="1032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998"/>
      <c r="C62" s="935" t="s">
        <v>8</v>
      </c>
      <c r="D62" s="935"/>
      <c r="E62" s="935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935"/>
      <c r="G62" s="935"/>
      <c r="H62" s="147" t="s">
        <v>484</v>
      </c>
      <c r="I62" s="937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937"/>
      <c r="K62" s="1026">
        <f>'Area C'!$G$37</f>
        <v>0</v>
      </c>
      <c r="L62" s="1026"/>
      <c r="M62" s="937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937"/>
      <c r="O62" s="1032">
        <f>'Area C'!$J$37</f>
        <v>0</v>
      </c>
      <c r="P62" s="1032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998"/>
      <c r="C63" s="935" t="s">
        <v>363</v>
      </c>
      <c r="D63" s="935"/>
      <c r="E63" s="935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935"/>
      <c r="G63" s="935"/>
      <c r="H63" s="147" t="s">
        <v>482</v>
      </c>
      <c r="I63" s="937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937"/>
      <c r="K63" s="1026">
        <f>'Area C'!G57</f>
        <v>0</v>
      </c>
      <c r="L63" s="1026"/>
      <c r="M63" s="937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937"/>
      <c r="O63" s="1032">
        <f>'Area C'!$J$44</f>
        <v>0</v>
      </c>
      <c r="P63" s="1032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998"/>
      <c r="C64" s="935" t="s">
        <v>7</v>
      </c>
      <c r="D64" s="935"/>
      <c r="E64" s="935"/>
      <c r="F64" s="935"/>
      <c r="G64" s="935"/>
      <c r="H64" s="147"/>
      <c r="I64" s="937"/>
      <c r="J64" s="937"/>
      <c r="K64" s="1026">
        <f>'Area C'!G196</f>
        <v>0</v>
      </c>
      <c r="L64" s="1026"/>
      <c r="M64" s="937"/>
      <c r="N64" s="937"/>
      <c r="O64" s="1032">
        <f>'Area C'!$J$196</f>
        <v>0</v>
      </c>
      <c r="P64" s="1032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998"/>
      <c r="C65" s="935" t="s">
        <v>429</v>
      </c>
      <c r="D65" s="935"/>
      <c r="E65" s="935"/>
      <c r="F65" s="935"/>
      <c r="G65" s="935"/>
      <c r="H65" s="147"/>
      <c r="I65" s="937"/>
      <c r="J65" s="937"/>
      <c r="K65" s="1026">
        <f>'Area C'!G266</f>
        <v>0</v>
      </c>
      <c r="L65" s="1026"/>
      <c r="M65" s="937"/>
      <c r="N65" s="937"/>
      <c r="O65" s="1032">
        <f>'Area C'!$J$266</f>
        <v>0</v>
      </c>
      <c r="P65" s="1032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998"/>
      <c r="C66" s="935" t="s">
        <v>430</v>
      </c>
      <c r="D66" s="935"/>
      <c r="E66" s="935"/>
      <c r="F66" s="935"/>
      <c r="G66" s="935"/>
      <c r="H66" s="147"/>
      <c r="I66" s="937"/>
      <c r="J66" s="937"/>
      <c r="K66" s="1022">
        <f>IF(L4="no",0,SUM(L14)*L5)</f>
        <v>0</v>
      </c>
      <c r="L66" s="1022"/>
      <c r="M66" s="937"/>
      <c r="N66" s="937"/>
      <c r="O66" s="1032">
        <f>K66</f>
        <v>0</v>
      </c>
      <c r="P66" s="1032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999"/>
      <c r="C67" s="967" t="s">
        <v>431</v>
      </c>
      <c r="D67" s="967"/>
      <c r="E67" s="967"/>
      <c r="F67" s="967"/>
      <c r="G67" s="967"/>
      <c r="H67" s="148"/>
      <c r="I67" s="1008"/>
      <c r="J67" s="1008"/>
      <c r="K67" s="1007">
        <f>SUM(K58:K66)</f>
        <v>0</v>
      </c>
      <c r="L67" s="1007"/>
      <c r="M67" s="1008"/>
      <c r="N67" s="1008"/>
      <c r="O67" s="1007">
        <f>SUM(O58:O66)</f>
        <v>0</v>
      </c>
      <c r="P67" s="1007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968" t="s">
        <v>494</v>
      </c>
      <c r="D68" s="968"/>
      <c r="E68" s="1093">
        <f>L19</f>
        <v>0.04</v>
      </c>
      <c r="F68" s="1093"/>
      <c r="G68" s="1093"/>
      <c r="H68" s="147"/>
      <c r="I68" s="1024"/>
      <c r="J68" s="1024"/>
      <c r="K68" s="1094">
        <f>SUM(K58:L65)*E68</f>
        <v>0</v>
      </c>
      <c r="L68" s="1094"/>
      <c r="M68" s="59"/>
      <c r="N68" s="59"/>
      <c r="O68" s="1033">
        <f>O67*E68</f>
        <v>0</v>
      </c>
      <c r="P68" s="1033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969" t="s">
        <v>367</v>
      </c>
      <c r="D69" s="969"/>
      <c r="E69" s="1023"/>
      <c r="F69" s="1023"/>
      <c r="G69" s="1023"/>
      <c r="H69" s="182"/>
      <c r="I69" s="1018"/>
      <c r="J69" s="1018"/>
      <c r="K69" s="1012">
        <f>SUM(K67:L68)</f>
        <v>0</v>
      </c>
      <c r="L69" s="1012"/>
      <c r="M69" s="183"/>
      <c r="N69" s="183"/>
      <c r="O69" s="1034">
        <f>SUM(O67:P68)</f>
        <v>0</v>
      </c>
      <c r="P69" s="1034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934"/>
      <c r="C70" s="934"/>
      <c r="D70" s="934"/>
      <c r="E70" s="934"/>
      <c r="F70" s="934"/>
      <c r="G70" s="934"/>
      <c r="H70" s="934"/>
      <c r="I70" s="934"/>
      <c r="J70" s="934"/>
      <c r="K70" s="934"/>
      <c r="L70" s="934"/>
      <c r="M70" s="934"/>
      <c r="N70" s="934"/>
      <c r="O70" s="934"/>
      <c r="P70" s="934"/>
      <c r="Q70" s="934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1090" t="e">
        <f>#REF!</f>
        <v>#REF!</v>
      </c>
      <c r="C71" s="970" t="s">
        <v>0</v>
      </c>
      <c r="D71" s="970"/>
      <c r="E71" s="970" t="str">
        <f>CONCATENATE(IF('Area D'!$B$5="None","",'Area D'!$B$5), "   ",IF('Area D'!$B$7="None","",'Area D'!$B$7))</f>
        <v xml:space="preserve">TR200 Blk   </v>
      </c>
      <c r="F71" s="970"/>
      <c r="G71" s="970"/>
      <c r="H71" s="355" t="s">
        <v>481</v>
      </c>
      <c r="I71" s="1013" t="str">
        <f>CONCATENATE(IF('Area D'!$B$5="None","",'Area D'!$D$5), "   ",,IF('Area D'!$B$7="None","",'Area D'!$D$7))</f>
        <v xml:space="preserve">0   </v>
      </c>
      <c r="J71" s="1013"/>
      <c r="K71" s="1014">
        <f>'Area D'!$G$5+'Area D'!$G$7</f>
        <v>0</v>
      </c>
      <c r="L71" s="1014"/>
      <c r="M71" s="1013" t="str">
        <f>CONCATENATE(IF('Area D'!$B$5="None","",'Area D'!$H$5), "   ",,IF('Area D'!$B$7="None","",'Area D'!$H$7))</f>
        <v xml:space="preserve">0   </v>
      </c>
      <c r="N71" s="1013"/>
      <c r="O71" s="1038">
        <f>'Area D'!$J$5+'Area D'!$J$7</f>
        <v>0</v>
      </c>
      <c r="P71" s="1038"/>
      <c r="Q71" s="110">
        <f>IFERROR(O71/O82,0)</f>
        <v>0</v>
      </c>
      <c r="R71" s="930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1090"/>
      <c r="C72" s="970" t="s">
        <v>413</v>
      </c>
      <c r="D72" s="970"/>
      <c r="E72" s="970" t="str">
        <f>CONCATENATE(IF('Area D'!$B$6="None","",'Area D'!$B$6), "   ",IF('Area D'!$B$8="None","",'Area D'!$B$8))</f>
        <v xml:space="preserve">BR200- Blk   </v>
      </c>
      <c r="F72" s="970"/>
      <c r="G72" s="970"/>
      <c r="H72" s="355" t="s">
        <v>481</v>
      </c>
      <c r="I72" s="1013" t="str">
        <f>CONCATENATE(IF('Area D'!$B$6="None","",'Area D'!$D$6), "   ",,IF('Area D'!$B$8="None","",'Area D'!$D$8))</f>
        <v xml:space="preserve">0   </v>
      </c>
      <c r="J72" s="1013"/>
      <c r="K72" s="1014">
        <f>'Area D'!$G$6+'Area D'!$G$8</f>
        <v>0</v>
      </c>
      <c r="L72" s="1014"/>
      <c r="M72" s="1013" t="str">
        <f>CONCATENATE(IF('Area D'!$B$6="None","",'Area D'!$H$6), "   ",,IF('Area D'!$B$8="None","",'Area D'!$H$8))</f>
        <v xml:space="preserve">0   </v>
      </c>
      <c r="N72" s="1013"/>
      <c r="O72" s="1038">
        <f>'Area D'!$J$6+'Area D'!$J$8</f>
        <v>0</v>
      </c>
      <c r="P72" s="1038"/>
      <c r="Q72" s="110">
        <f>IFERROR(O72/O82,0)</f>
        <v>0</v>
      </c>
      <c r="R72" s="930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1090"/>
      <c r="C73" s="970" t="s">
        <v>4</v>
      </c>
      <c r="D73" s="970"/>
      <c r="E73" s="1092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1092"/>
      <c r="G73" s="1092"/>
      <c r="H73" s="355" t="s">
        <v>481</v>
      </c>
      <c r="I73" s="1013" t="str">
        <f>CONCATENATE(IF('Area D'!$B$12="None","",'Area D'!$D$12)," ",IF('Area D'!$B$15="None","",'Area D'!$E$15))</f>
        <v xml:space="preserve"> 0</v>
      </c>
      <c r="J73" s="1013"/>
      <c r="K73" s="1014">
        <f>'Area D'!$G$19</f>
        <v>0</v>
      </c>
      <c r="L73" s="1014"/>
      <c r="M73" s="1013" t="str">
        <f>CONCATENATE(IF('Area D'!$B$12="None","",'Area D'!$H$12)," ",IF('Area D'!$B$15="None","",'Area D'!$H$15))</f>
        <v xml:space="preserve"> 0</v>
      </c>
      <c r="N73" s="1013"/>
      <c r="O73" s="1038">
        <f>'Area D'!$J$19</f>
        <v>0</v>
      </c>
      <c r="P73" s="1038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1090"/>
      <c r="C74" s="970" t="s">
        <v>6</v>
      </c>
      <c r="D74" s="970"/>
      <c r="E74" s="970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70"/>
      <c r="G74" s="970"/>
      <c r="H74" s="355" t="s">
        <v>482</v>
      </c>
      <c r="I74" s="1013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1013"/>
      <c r="K74" s="1014">
        <f>'Area D'!$G$26</f>
        <v>0</v>
      </c>
      <c r="L74" s="1014"/>
      <c r="M74" s="1013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1013"/>
      <c r="O74" s="1038">
        <f>'Area D'!$J$26</f>
        <v>0</v>
      </c>
      <c r="P74" s="1038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1090"/>
      <c r="C75" s="970" t="s">
        <v>8</v>
      </c>
      <c r="D75" s="970"/>
      <c r="E75" s="970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70"/>
      <c r="G75" s="970"/>
      <c r="H75" s="355" t="s">
        <v>484</v>
      </c>
      <c r="I75" s="1013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1013"/>
      <c r="K75" s="1014">
        <f>'Area D'!$G$37</f>
        <v>0</v>
      </c>
      <c r="L75" s="1014"/>
      <c r="M75" s="1013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1013"/>
      <c r="O75" s="1038">
        <f>'Area D'!$J$37</f>
        <v>0</v>
      </c>
      <c r="P75" s="1038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1090"/>
      <c r="C76" s="970" t="s">
        <v>363</v>
      </c>
      <c r="D76" s="970"/>
      <c r="E76" s="970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70"/>
      <c r="G76" s="970"/>
      <c r="H76" s="355" t="s">
        <v>482</v>
      </c>
      <c r="I76" s="1013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1013"/>
      <c r="K76" s="1014">
        <f>'Area D'!$G$44</f>
        <v>0</v>
      </c>
      <c r="L76" s="1014"/>
      <c r="M76" s="1013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1013"/>
      <c r="O76" s="1038">
        <f>'Area D'!$J$44</f>
        <v>0</v>
      </c>
      <c r="P76" s="1038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1090"/>
      <c r="C77" s="970" t="s">
        <v>7</v>
      </c>
      <c r="D77" s="970"/>
      <c r="E77" s="970"/>
      <c r="F77" s="970"/>
      <c r="G77" s="970"/>
      <c r="H77" s="355"/>
      <c r="I77" s="1013"/>
      <c r="J77" s="1013"/>
      <c r="K77" s="1014">
        <f>'Area D'!$G$160</f>
        <v>0</v>
      </c>
      <c r="L77" s="1014"/>
      <c r="M77" s="1013"/>
      <c r="N77" s="1013"/>
      <c r="O77" s="1038">
        <f>'Area D'!$J$196</f>
        <v>0</v>
      </c>
      <c r="P77" s="1038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1090"/>
      <c r="C78" s="970" t="s">
        <v>429</v>
      </c>
      <c r="D78" s="970"/>
      <c r="E78" s="970"/>
      <c r="F78" s="970"/>
      <c r="G78" s="970"/>
      <c r="H78" s="355"/>
      <c r="I78" s="1013"/>
      <c r="J78" s="1013"/>
      <c r="K78" s="1014">
        <f>'Area D'!$G$196</f>
        <v>0</v>
      </c>
      <c r="L78" s="1014"/>
      <c r="M78" s="1013"/>
      <c r="N78" s="1013"/>
      <c r="O78" s="1038">
        <f>'Area D'!$J$266</f>
        <v>0</v>
      </c>
      <c r="P78" s="1038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1090"/>
      <c r="C79" s="970" t="s">
        <v>430</v>
      </c>
      <c r="D79" s="970"/>
      <c r="E79" s="970"/>
      <c r="F79" s="970"/>
      <c r="G79" s="970"/>
      <c r="H79" s="355"/>
      <c r="I79" s="1013"/>
      <c r="J79" s="1013"/>
      <c r="K79" s="1085">
        <f>IF(P4="no",0,SUM(P14)*P5)</f>
        <v>0</v>
      </c>
      <c r="L79" s="1085"/>
      <c r="M79" s="1013"/>
      <c r="N79" s="1013"/>
      <c r="O79" s="1038">
        <f>K79</f>
        <v>0</v>
      </c>
      <c r="P79" s="1038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1091"/>
      <c r="C80" s="1086" t="s">
        <v>431</v>
      </c>
      <c r="D80" s="1086"/>
      <c r="E80" s="1086"/>
      <c r="F80" s="1086"/>
      <c r="G80" s="1086"/>
      <c r="H80" s="356"/>
      <c r="I80" s="1087"/>
      <c r="J80" s="1087"/>
      <c r="K80" s="1078">
        <f>SUM(K71:K79)</f>
        <v>0</v>
      </c>
      <c r="L80" s="1078"/>
      <c r="M80" s="1087"/>
      <c r="N80" s="1087"/>
      <c r="O80" s="1078">
        <f>SUM(O71:O79)</f>
        <v>0</v>
      </c>
      <c r="P80" s="1078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1076" t="s">
        <v>494</v>
      </c>
      <c r="D81" s="1076"/>
      <c r="E81" s="1077">
        <f>P19</f>
        <v>0.04</v>
      </c>
      <c r="F81" s="1077"/>
      <c r="G81" s="1077"/>
      <c r="H81" s="355"/>
      <c r="I81" s="1082"/>
      <c r="J81" s="1082"/>
      <c r="K81" s="1083">
        <f>SUM(K71:L78)*E81</f>
        <v>0</v>
      </c>
      <c r="L81" s="1083"/>
      <c r="M81" s="358"/>
      <c r="N81" s="358"/>
      <c r="O81" s="1084">
        <f>O80*E81</f>
        <v>0</v>
      </c>
      <c r="P81" s="1084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971" t="s">
        <v>367</v>
      </c>
      <c r="D82" s="971"/>
      <c r="E82" s="1088"/>
      <c r="F82" s="1088"/>
      <c r="G82" s="1088"/>
      <c r="H82" s="360"/>
      <c r="I82" s="1089"/>
      <c r="J82" s="1089"/>
      <c r="K82" s="1021">
        <f>SUM(K80:L81)</f>
        <v>0</v>
      </c>
      <c r="L82" s="1021"/>
      <c r="M82" s="361"/>
      <c r="N82" s="361"/>
      <c r="O82" s="1021">
        <f>SUM(O80:P81)</f>
        <v>0</v>
      </c>
      <c r="P82" s="1021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934"/>
      <c r="D83" s="934"/>
      <c r="E83" s="188"/>
      <c r="F83" s="188"/>
      <c r="G83" s="188"/>
      <c r="H83" s="188"/>
      <c r="I83" s="936"/>
      <c r="J83" s="936"/>
      <c r="K83" s="934"/>
      <c r="L83" s="934"/>
      <c r="M83" s="934"/>
      <c r="N83" s="934"/>
      <c r="O83" s="934"/>
      <c r="P83" s="934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966" t="s">
        <v>489</v>
      </c>
      <c r="D84" s="966"/>
      <c r="E84" s="114"/>
      <c r="F84" s="114"/>
      <c r="G84" s="114"/>
      <c r="H84" s="114"/>
      <c r="I84" s="1010"/>
      <c r="J84" s="1010"/>
      <c r="K84" s="1011">
        <f>K43+K56+K69+K82</f>
        <v>0</v>
      </c>
      <c r="L84" s="1011"/>
      <c r="M84" s="1030"/>
      <c r="N84" s="1030"/>
      <c r="O84" s="1011">
        <f>O43+O56+O69+O82</f>
        <v>0</v>
      </c>
      <c r="P84" s="1011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05"/>
      <c r="J85" s="1005"/>
      <c r="K85" s="1009"/>
      <c r="L85" s="1009"/>
      <c r="M85" s="1031"/>
      <c r="N85" s="1031"/>
      <c r="O85" s="1009"/>
      <c r="P85" s="1009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2" t="str">
        <f>IF('Project Materials'!C25="","",'Project Materials'!C25)</f>
        <v/>
      </c>
      <c r="B1" s="1103"/>
      <c r="C1" s="1103"/>
      <c r="D1" s="1103"/>
      <c r="E1" s="1103"/>
      <c r="F1" s="1103"/>
      <c r="G1" s="1103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4" t="str">
        <f>IF(ISBLANK('Project Materials'!I2),"",'Project Materials'!I2)</f>
        <v/>
      </c>
      <c r="E2" s="1104"/>
      <c r="F2" s="35" t="s">
        <v>492</v>
      </c>
      <c r="G2" s="42" t="str">
        <f>IF(ISBLANK('Project Materials'!N2),"",'Project Materials'!N2)</f>
        <v/>
      </c>
      <c r="H2" s="1107"/>
      <c r="I2" s="1107"/>
      <c r="J2" s="1107"/>
    </row>
    <row r="3" spans="1:67" ht="15.9" x14ac:dyDescent="0.45">
      <c r="A3" s="1108" t="s">
        <v>479</v>
      </c>
      <c r="B3" s="1108"/>
      <c r="C3" s="1108"/>
      <c r="D3" s="1108"/>
      <c r="E3" s="1108"/>
      <c r="F3" s="1108"/>
      <c r="G3" s="1108"/>
      <c r="H3" s="1108"/>
      <c r="I3" s="1108"/>
      <c r="J3" s="1108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1" t="s">
        <v>866</v>
      </c>
      <c r="M4" s="1101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5">
        <v>0.5</v>
      </c>
      <c r="M5" s="1105"/>
      <c r="N5" s="230" t="s">
        <v>867</v>
      </c>
      <c r="O5" s="1106"/>
      <c r="P5" s="1106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5">
        <v>0.25</v>
      </c>
      <c r="M6" s="1105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0"/>
      <c r="M21" s="1100"/>
      <c r="N21" s="1100"/>
      <c r="O21" s="1100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0" t="str">
        <f>IF('Project Materials'!C26="","",'Project Materials'!C26)</f>
        <v/>
      </c>
      <c r="B1" s="1111"/>
      <c r="C1" s="1111"/>
      <c r="D1" s="1111"/>
      <c r="E1" s="1111"/>
      <c r="F1" s="1111"/>
      <c r="G1" s="1111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6" t="str">
        <f>IF('Project Materials'!C27="","",'Project Materials'!C27)</f>
        <v/>
      </c>
      <c r="B1" s="1117"/>
      <c r="C1" s="1117"/>
      <c r="D1" s="1117"/>
      <c r="E1" s="1117"/>
      <c r="F1" s="1117"/>
      <c r="G1" s="1117"/>
      <c r="H1" s="1117"/>
      <c r="I1" s="1117"/>
      <c r="J1" s="1117"/>
      <c r="K1" s="1118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9" t="str">
        <f>IF('Project Materials'!C28="","",'Project Materials'!C28)</f>
        <v/>
      </c>
      <c r="B1" s="1120"/>
      <c r="C1" s="1120"/>
      <c r="D1" s="1120"/>
      <c r="E1" s="1120"/>
      <c r="F1" s="1120"/>
      <c r="G1" s="1120"/>
      <c r="H1" s="1120"/>
      <c r="I1" s="1120"/>
      <c r="J1" s="1120"/>
      <c r="K1" s="1121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2" t="s">
        <v>997</v>
      </c>
      <c r="B1" s="1123"/>
      <c r="C1" s="736" t="s">
        <v>938</v>
      </c>
      <c r="D1" s="770" t="s">
        <v>1046</v>
      </c>
    </row>
    <row r="2" spans="1:4" ht="18.45" x14ac:dyDescent="0.4">
      <c r="A2" s="1122" t="s">
        <v>928</v>
      </c>
      <c r="B2" s="1123"/>
      <c r="C2" s="737" t="s">
        <v>941</v>
      </c>
      <c r="D2" s="770" t="s">
        <v>1046</v>
      </c>
    </row>
    <row r="3" spans="1:4" ht="18.45" x14ac:dyDescent="0.4">
      <c r="A3" s="1122" t="s">
        <v>927</v>
      </c>
      <c r="B3" s="1123"/>
      <c r="C3" s="737" t="s">
        <v>937</v>
      </c>
      <c r="D3" s="770" t="s">
        <v>1046</v>
      </c>
    </row>
    <row r="4" spans="1:4" ht="18.45" x14ac:dyDescent="0.4">
      <c r="A4" s="1122" t="s">
        <v>712</v>
      </c>
      <c r="B4" s="1123"/>
      <c r="C4" s="737" t="s">
        <v>1063</v>
      </c>
      <c r="D4" s="770" t="s">
        <v>1046</v>
      </c>
    </row>
    <row r="5" spans="1:4" ht="18.45" x14ac:dyDescent="0.4">
      <c r="A5" s="1123" t="s">
        <v>989</v>
      </c>
      <c r="B5" s="1124"/>
      <c r="C5" s="737" t="s">
        <v>1059</v>
      </c>
      <c r="D5" s="770" t="s">
        <v>1046</v>
      </c>
    </row>
    <row r="6" spans="1:4" ht="18.45" x14ac:dyDescent="0.4">
      <c r="A6" s="1123" t="s">
        <v>974</v>
      </c>
      <c r="B6" s="1124"/>
      <c r="C6" s="737">
        <v>0</v>
      </c>
      <c r="D6" s="770" t="s">
        <v>1047</v>
      </c>
    </row>
    <row r="7" spans="1:4" ht="18.45" x14ac:dyDescent="0.4">
      <c r="A7" s="1122" t="s">
        <v>973</v>
      </c>
      <c r="B7" s="1123"/>
      <c r="C7" s="737">
        <v>0</v>
      </c>
      <c r="D7" s="770" t="s">
        <v>1047</v>
      </c>
    </row>
    <row r="8" spans="1:4" ht="18.45" x14ac:dyDescent="0.4">
      <c r="A8" s="1122" t="s">
        <v>1051</v>
      </c>
      <c r="B8" s="1123"/>
      <c r="C8" s="737">
        <v>0</v>
      </c>
      <c r="D8" s="770" t="s">
        <v>1047</v>
      </c>
    </row>
    <row r="9" spans="1:4" ht="18.45" x14ac:dyDescent="0.4">
      <c r="A9" s="1122" t="s">
        <v>1060</v>
      </c>
      <c r="B9" s="1123"/>
      <c r="C9" s="771">
        <f>IFERROR(IF(C3="Wall",0,SUM(1+(C7/C12))*C6),0)</f>
        <v>0</v>
      </c>
      <c r="D9" s="770"/>
    </row>
    <row r="10" spans="1:4" ht="18.45" x14ac:dyDescent="0.4">
      <c r="A10" s="1122" t="s">
        <v>975</v>
      </c>
      <c r="B10" s="1123"/>
      <c r="C10" s="738"/>
      <c r="D10" s="770" t="s">
        <v>1047</v>
      </c>
    </row>
    <row r="11" spans="1:4" ht="18.45" x14ac:dyDescent="0.4">
      <c r="A11" s="1122" t="s">
        <v>976</v>
      </c>
      <c r="B11" s="1123"/>
      <c r="C11" s="738"/>
      <c r="D11" s="770" t="s">
        <v>1047</v>
      </c>
    </row>
    <row r="12" spans="1:4" ht="18.45" x14ac:dyDescent="0.4">
      <c r="A12" s="1122" t="s">
        <v>1050</v>
      </c>
      <c r="B12" s="1123"/>
      <c r="C12" s="737">
        <v>0</v>
      </c>
      <c r="D12" s="770" t="s">
        <v>1047</v>
      </c>
    </row>
    <row r="13" spans="1:4" ht="18.45" x14ac:dyDescent="0.4">
      <c r="A13" s="1122" t="s">
        <v>1043</v>
      </c>
      <c r="B13" s="1123"/>
      <c r="C13" s="737"/>
      <c r="D13" s="770" t="s">
        <v>1047</v>
      </c>
    </row>
    <row r="14" spans="1:4" ht="18.45" x14ac:dyDescent="0.4">
      <c r="A14" s="1122" t="s">
        <v>935</v>
      </c>
      <c r="B14" s="1123"/>
      <c r="C14" s="737"/>
      <c r="D14" s="770" t="s">
        <v>1046</v>
      </c>
    </row>
    <row r="15" spans="1:4" ht="18.45" x14ac:dyDescent="0.4">
      <c r="A15" s="1122" t="s">
        <v>962</v>
      </c>
      <c r="B15" s="1123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28" t="s">
        <v>908</v>
      </c>
      <c r="B1" s="392" t="s">
        <v>739</v>
      </c>
      <c r="C1" s="1125" t="str">
        <f>IF('Project Materials'!I2="","",'Project Materials'!I2)</f>
        <v/>
      </c>
      <c r="D1" s="1125"/>
      <c r="E1" s="1125"/>
      <c r="F1" s="1125"/>
      <c r="G1" s="767"/>
      <c r="H1" s="1132" t="s">
        <v>738</v>
      </c>
      <c r="I1" s="1132"/>
      <c r="J1" s="1132"/>
      <c r="K1" s="1125" t="str">
        <f>IF('Project Materials'!S2="","",'Project Materials'!S2)</f>
        <v/>
      </c>
      <c r="L1" s="1125"/>
      <c r="M1" s="1125"/>
      <c r="N1" s="1125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29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5" t="s">
        <v>896</v>
      </c>
      <c r="K3" s="1136"/>
      <c r="L3" s="1136"/>
      <c r="M3" s="1136"/>
      <c r="N3" s="1137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50" t="s">
        <v>924</v>
      </c>
      <c r="M4" s="1150"/>
      <c r="N4" s="1151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8" t="s">
        <v>905</v>
      </c>
      <c r="L5" s="1138"/>
      <c r="M5" s="1138"/>
      <c r="N5" s="1139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8" t="s">
        <v>1118</v>
      </c>
      <c r="L6" s="1138"/>
      <c r="M6" s="1138"/>
      <c r="N6" s="1139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33" t="s">
        <v>902</v>
      </c>
      <c r="E7" s="1133"/>
      <c r="F7" s="1134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33" t="s">
        <v>897</v>
      </c>
      <c r="L8" s="1133"/>
      <c r="M8" s="1133"/>
      <c r="N8" s="1134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33" t="s">
        <v>901</v>
      </c>
      <c r="E11" s="1133"/>
      <c r="F11" s="1134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7" t="s">
        <v>907</v>
      </c>
      <c r="C13" s="1148"/>
      <c r="D13" s="1148"/>
      <c r="E13" s="1148"/>
      <c r="F13" s="1149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6" t="s">
        <v>904</v>
      </c>
      <c r="E14" s="1146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30" t="s">
        <v>737</v>
      </c>
      <c r="C19" s="1126" t="str">
        <f>IF('Project Materials'!C25="","",'Project Materials'!C25)</f>
        <v/>
      </c>
      <c r="D19" s="1127" t="str">
        <f>IF('Project Materials'!C26="","",'Project Materials'!C26)</f>
        <v/>
      </c>
      <c r="E19" s="1126" t="str">
        <f>IF('Project Materials'!C27="","",'Project Materials'!C27)</f>
        <v/>
      </c>
      <c r="F19" s="1127" t="str">
        <f>IF('Project Materials'!C28="","",'Project Materials'!C28)</f>
        <v/>
      </c>
      <c r="G19" s="769" t="s">
        <v>952</v>
      </c>
      <c r="H19" s="1131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30"/>
      <c r="C20" s="1126"/>
      <c r="D20" s="1127"/>
      <c r="E20" s="1126"/>
      <c r="F20" s="1127"/>
      <c r="G20" s="769"/>
      <c r="H20" s="1131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35" t="s">
        <v>1117</v>
      </c>
      <c r="K23" s="1136"/>
      <c r="L23" s="1136"/>
      <c r="M23" s="1136"/>
      <c r="N23" s="1137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30" t="s">
        <v>737</v>
      </c>
      <c r="K31" s="1152" t="str">
        <f>+C19</f>
        <v/>
      </c>
      <c r="L31" s="1153" t="str">
        <f>+D19</f>
        <v/>
      </c>
      <c r="M31" s="1152" t="str">
        <f>+E19</f>
        <v/>
      </c>
      <c r="N31" s="1153" t="str">
        <f>+F19</f>
        <v/>
      </c>
      <c r="O31" s="1155" t="s">
        <v>952</v>
      </c>
      <c r="P31" s="1154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30"/>
      <c r="K32" s="1152"/>
      <c r="L32" s="1153"/>
      <c r="M32" s="1152"/>
      <c r="N32" s="1153"/>
      <c r="O32" s="1155"/>
      <c r="P32" s="1154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42"/>
      <c r="B41" s="1142"/>
      <c r="C41" s="1142"/>
      <c r="D41" s="1142"/>
      <c r="E41" s="1142"/>
      <c r="F41" s="1142"/>
      <c r="G41" s="1142"/>
      <c r="H41" s="1142"/>
      <c r="I41" s="1142"/>
      <c r="J41" s="1142"/>
      <c r="K41" s="1142"/>
      <c r="L41" s="1142"/>
      <c r="M41" s="1142"/>
      <c r="N41" s="1142"/>
      <c r="O41" s="1142"/>
      <c r="P41" s="1142"/>
      <c r="Q41" s="1142"/>
      <c r="R41" s="1142"/>
      <c r="S41" s="1142"/>
      <c r="T41" s="1142"/>
      <c r="U41" s="1143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44" t="s">
        <v>845</v>
      </c>
      <c r="C43" s="1144"/>
      <c r="D43" s="1144"/>
      <c r="E43" s="1144"/>
      <c r="F43" s="1144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41" t="s">
        <v>851</v>
      </c>
      <c r="C50" s="1141"/>
      <c r="D50" s="1141"/>
      <c r="E50" s="1141"/>
      <c r="F50" s="1141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5" t="s">
        <v>846</v>
      </c>
      <c r="D51" s="1145"/>
      <c r="E51" s="1145"/>
      <c r="F51" s="1145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40" t="s">
        <v>847</v>
      </c>
      <c r="D57" s="1140"/>
      <c r="E57" s="1140"/>
      <c r="F57" s="1140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31:K32"/>
    <mergeCell ref="L31:L32"/>
    <mergeCell ref="M31:M32"/>
    <mergeCell ref="N31:N32"/>
    <mergeCell ref="P31:P32"/>
    <mergeCell ref="O31:O32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6" t="s">
        <v>432</v>
      </c>
      <c r="B1" s="1156"/>
      <c r="C1" s="1156"/>
      <c r="D1" s="1156"/>
      <c r="E1" s="1156"/>
      <c r="G1" s="1157" t="s">
        <v>433</v>
      </c>
      <c r="H1" s="1157"/>
      <c r="I1" s="1157"/>
      <c r="J1" s="1157"/>
      <c r="K1" s="1157"/>
      <c r="M1" s="1158" t="s">
        <v>434</v>
      </c>
      <c r="N1" s="1158"/>
      <c r="O1" s="1158"/>
      <c r="P1" s="1158"/>
      <c r="Q1" s="1158"/>
      <c r="S1" s="1159" t="s">
        <v>925</v>
      </c>
      <c r="T1" s="1159"/>
      <c r="U1" s="1159"/>
      <c r="V1" s="1159"/>
      <c r="W1" s="1159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56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56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56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56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56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B13" sqref="B13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'Project Materials'!O25</f>
        <v>0</v>
      </c>
      <c r="E2" s="862">
        <f>ROUND('Estimate Total'!O7,0)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ROUND('Estimate Total'!P7,0)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ROUND('Estimate Total'!Q7,0)</f>
        <v>0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ROUND('Estimate Total'!R7,0)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ROUND('Estimate Total'!S7,0)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0" t="s">
        <v>662</v>
      </c>
      <c r="B15" s="1160"/>
      <c r="C15" s="1160"/>
      <c r="D15" s="1160"/>
      <c r="E15" s="1160"/>
      <c r="F15" s="82" t="e">
        <f>(F13/(C14*$F$3))</f>
        <v>#DIV/0!</v>
      </c>
      <c r="H15" s="1160" t="s">
        <v>662</v>
      </c>
      <c r="I15" s="1160"/>
      <c r="J15" s="1160"/>
      <c r="K15" s="1160"/>
      <c r="L15" s="1160"/>
      <c r="M15" s="82" t="e">
        <f>(M13/(J14*$M$3))</f>
        <v>#REF!</v>
      </c>
      <c r="O15" s="1160" t="s">
        <v>662</v>
      </c>
      <c r="P15" s="1160"/>
      <c r="Q15" s="1160"/>
      <c r="R15" s="1160"/>
      <c r="S15" s="1160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0" t="s">
        <v>662</v>
      </c>
      <c r="B25" s="1160"/>
      <c r="C25" s="1160"/>
      <c r="D25" s="1160"/>
      <c r="E25" s="1160"/>
      <c r="F25" s="82" t="e">
        <f>(F23/(C24*$F$3))</f>
        <v>#DIV/0!</v>
      </c>
      <c r="H25" s="1160" t="s">
        <v>662</v>
      </c>
      <c r="I25" s="1160"/>
      <c r="J25" s="1160"/>
      <c r="K25" s="1160"/>
      <c r="L25" s="1160"/>
      <c r="M25" s="82" t="e">
        <f>(M23/(J24*$M$3))</f>
        <v>#REF!</v>
      </c>
      <c r="O25" s="1161" t="s">
        <v>662</v>
      </c>
      <c r="P25" s="1161"/>
      <c r="Q25" s="1161"/>
      <c r="R25" s="1161"/>
      <c r="S25" s="1161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2" t="s">
        <v>1108</v>
      </c>
      <c r="B74" s="1163"/>
      <c r="C74" s="1163"/>
      <c r="D74" s="1163"/>
      <c r="E74" s="1163"/>
      <c r="F74" s="1163"/>
      <c r="G74" s="1163"/>
      <c r="H74" s="1163"/>
      <c r="I74" s="1164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2021-03-10T19:43:05Z</dcterms:modified>
</cp:coreProperties>
</file>