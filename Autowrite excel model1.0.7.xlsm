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1.xml" ContentType="application/vnd.openxmlformats-officedocument.spreadsheetml.queryTable+xml"/>
  <Override PartName="/xl/tables/table7.xml" ContentType="application/vnd.openxmlformats-officedocument.spreadsheetml.table+xml"/>
  <Override PartName="/xl/queryTables/queryTable2.xml" ContentType="application/vnd.openxmlformats-officedocument.spreadsheetml.query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Owner\Desktop\Estimating model\"/>
    </mc:Choice>
  </mc:AlternateContent>
  <xr:revisionPtr revIDLastSave="0" documentId="13_ncr:1_{EEBB221A-293C-4F09-9231-344A8868E177}" xr6:coauthVersionLast="46" xr6:coauthVersionMax="46" xr10:uidLastSave="{00000000-0000-0000-0000-000000000000}"/>
  <bookViews>
    <workbookView xWindow="45972" yWindow="-108" windowWidth="30936" windowHeight="16896" activeTab="2" xr2:uid="{00000000-000D-0000-FFFF-FFFF00000000}"/>
  </bookViews>
  <sheets>
    <sheet name="Estimate Total" sheetId="24" r:id="rId1"/>
    <sheet name="Project Materials" sheetId="5" r:id="rId2"/>
    <sheet name="Area A" sheetId="7" r:id="rId3"/>
    <sheet name="Area B" sheetId="30" r:id="rId4"/>
    <sheet name="Area C" sheetId="31" r:id="rId5"/>
    <sheet name="Area D" sheetId="32" r:id="rId6"/>
    <sheet name="Grab Rail" sheetId="35" r:id="rId7"/>
    <sheet name="Project Labor" sheetId="23" r:id="rId8"/>
    <sheet name="Take Off" sheetId="34" r:id="rId9"/>
    <sheet name="Item List" sheetId="4" r:id="rId10"/>
    <sheet name="Grab Rail Item List" sheetId="36" r:id="rId11"/>
    <sheet name="Write up" sheetId="18" r:id="rId12"/>
    <sheet name="Rail Run Calculations" sheetId="16" r:id="rId13"/>
    <sheet name="Work Area" sheetId="26" r:id="rId14"/>
    <sheet name="Per Diem" sheetId="29" r:id="rId15"/>
  </sheets>
  <definedNames>
    <definedName name="_AreaA" localSheetId="2">'Area A'!$A$3:$J$267</definedName>
    <definedName name="ExternalData_1" localSheetId="8" hidden="1">'Take Off'!$A$2:$E$3</definedName>
    <definedName name="ExternalData_2" localSheetId="8" hidden="1">'Take Off'!$G$2:$K$3</definedName>
    <definedName name="ExternalData_3" localSheetId="8" hidden="1">'Take Off'!$M$2:$Q$3</definedName>
    <definedName name="ExternalData_4" localSheetId="8" hidden="1">'Take Off'!$S$2:$W$3</definedName>
    <definedName name="_xlnm.Print_Area" localSheetId="3">'Area B'!$A$3:$J$267</definedName>
    <definedName name="_xlnm.Print_Area" localSheetId="4">'Area C'!$A$3:$J$267</definedName>
    <definedName name="_xlnm.Print_Area" localSheetId="5">'Area D'!$A$3:$J$267</definedName>
    <definedName name="_xlnm.Print_Area" localSheetId="0">'Estimate Total'!$B$1:$K$33</definedName>
    <definedName name="_xlnm.Print_Area" localSheetId="1">'Project Materials'!$B$2:$Y$71</definedName>
  </definedNames>
  <calcPr calcId="191029"/>
</workbook>
</file>

<file path=xl/calcChain.xml><?xml version="1.0" encoding="utf-8"?>
<calcChain xmlns="http://schemas.openxmlformats.org/spreadsheetml/2006/main">
  <c r="AH189" i="4" l="1"/>
  <c r="AI189" i="4"/>
  <c r="AJ189" i="4"/>
  <c r="AK189" i="4"/>
  <c r="D2" i="18"/>
  <c r="AK172" i="4"/>
  <c r="AK171" i="4"/>
  <c r="AK170" i="4"/>
  <c r="AK169" i="4"/>
  <c r="AK168" i="4"/>
  <c r="AJ172" i="4"/>
  <c r="AJ171" i="4"/>
  <c r="AJ170" i="4"/>
  <c r="AJ169" i="4"/>
  <c r="AJ168" i="4"/>
  <c r="AI172" i="4"/>
  <c r="AI171" i="4"/>
  <c r="AI170" i="4"/>
  <c r="AI169" i="4"/>
  <c r="AI168" i="4"/>
  <c r="AH172" i="4"/>
  <c r="AH171" i="4"/>
  <c r="AH170" i="4"/>
  <c r="AH169" i="4"/>
  <c r="AH168" i="4"/>
  <c r="C5" i="18"/>
  <c r="C4" i="18"/>
  <c r="C3" i="18"/>
  <c r="C2" i="18"/>
  <c r="K53" i="26"/>
  <c r="K55" i="26" s="1"/>
  <c r="G53" i="23"/>
  <c r="F53" i="23"/>
  <c r="E53" i="23"/>
  <c r="D53" i="23"/>
  <c r="C53" i="23"/>
  <c r="E40" i="26"/>
  <c r="K59" i="26" l="1"/>
  <c r="M66" i="26"/>
  <c r="N66" i="26"/>
  <c r="P66" i="26"/>
  <c r="O66" i="26"/>
  <c r="L66" i="26"/>
  <c r="L22" i="26" s="1"/>
  <c r="L64" i="26"/>
  <c r="L65" i="26"/>
  <c r="L63" i="26"/>
  <c r="L19" i="26" s="1"/>
  <c r="P22" i="26" l="1"/>
  <c r="O22" i="26"/>
  <c r="N22" i="26"/>
  <c r="M22" i="26"/>
  <c r="Q52" i="26"/>
  <c r="M32" i="26" l="1"/>
  <c r="C19" i="23"/>
  <c r="K31" i="23" s="1"/>
  <c r="G54" i="23"/>
  <c r="F54" i="23"/>
  <c r="E54" i="23"/>
  <c r="D54" i="23"/>
  <c r="N32" i="26" l="1"/>
  <c r="O32" i="26" l="1"/>
  <c r="P32" i="26" l="1"/>
  <c r="P21" i="23" l="1"/>
  <c r="M38" i="24" l="1"/>
  <c r="G191" i="4"/>
  <c r="N191" i="4"/>
  <c r="U191" i="4"/>
  <c r="AB191" i="4"/>
  <c r="F77" i="26" l="1"/>
  <c r="I77" i="26"/>
  <c r="F78" i="26"/>
  <c r="G78" i="26" s="1"/>
  <c r="H78" i="26" s="1"/>
  <c r="H77" i="26" s="1"/>
  <c r="I78" i="26"/>
  <c r="F79" i="26"/>
  <c r="G79" i="26" s="1"/>
  <c r="H79" i="26" s="1"/>
  <c r="I79" i="26"/>
  <c r="F80" i="26"/>
  <c r="G80" i="26" s="1"/>
  <c r="H80" i="26" s="1"/>
  <c r="I80" i="26"/>
  <c r="F81" i="26"/>
  <c r="G81" i="26" s="1"/>
  <c r="H81" i="26" s="1"/>
  <c r="I81" i="26"/>
  <c r="F82" i="26"/>
  <c r="G82" i="26" s="1"/>
  <c r="H82" i="26" s="1"/>
  <c r="I82" i="26"/>
  <c r="F83" i="26"/>
  <c r="G83" i="26" s="1"/>
  <c r="H83" i="26" s="1"/>
  <c r="I83" i="26"/>
  <c r="F84" i="26"/>
  <c r="G84" i="26" s="1"/>
  <c r="H84" i="26" s="1"/>
  <c r="I84" i="26"/>
  <c r="F85" i="26"/>
  <c r="G85" i="26" s="1"/>
  <c r="H85" i="26" s="1"/>
  <c r="I85" i="26"/>
  <c r="F86" i="26"/>
  <c r="G86" i="26" s="1"/>
  <c r="H86" i="26" s="1"/>
  <c r="I86" i="26"/>
  <c r="F87" i="26"/>
  <c r="G87" i="26" s="1"/>
  <c r="H87" i="26" s="1"/>
  <c r="I87" i="26"/>
  <c r="F88" i="26"/>
  <c r="G88" i="26" s="1"/>
  <c r="H88" i="26" s="1"/>
  <c r="I88" i="26"/>
  <c r="O18" i="23"/>
  <c r="E32" i="35" l="1"/>
  <c r="D19" i="35"/>
  <c r="D33" i="32" l="1"/>
  <c r="D34" i="32"/>
  <c r="AA26" i="24" l="1"/>
  <c r="T26" i="24"/>
  <c r="T4" i="24"/>
  <c r="M36" i="24"/>
  <c r="AA42" i="24"/>
  <c r="AA40" i="24"/>
  <c r="AA30" i="24"/>
  <c r="S20" i="26"/>
  <c r="S21" i="26" l="1"/>
  <c r="S22" i="26" l="1"/>
  <c r="Q17" i="26"/>
  <c r="C28" i="23"/>
  <c r="M23" i="26"/>
  <c r="N23" i="26" s="1"/>
  <c r="O23" i="26" s="1"/>
  <c r="P23" i="26" s="1"/>
  <c r="Q22" i="26" l="1"/>
  <c r="U41" i="24" s="1"/>
  <c r="S23" i="26"/>
  <c r="Q23" i="26" s="1"/>
  <c r="B6" i="26" s="1"/>
  <c r="G46" i="23"/>
  <c r="G45" i="23"/>
  <c r="G59" i="23"/>
  <c r="G58" i="23"/>
  <c r="G22" i="23"/>
  <c r="G21" i="23"/>
  <c r="G37" i="23"/>
  <c r="G28" i="23"/>
  <c r="T42" i="24"/>
  <c r="T40" i="24"/>
  <c r="T30" i="24"/>
  <c r="AA19" i="24"/>
  <c r="AA17" i="24"/>
  <c r="AA8" i="24"/>
  <c r="T19" i="24"/>
  <c r="T17" i="24"/>
  <c r="T8" i="24"/>
  <c r="D6" i="26" l="1"/>
  <c r="D23" i="26"/>
  <c r="L26" i="23" s="1"/>
  <c r="J6" i="23" s="1"/>
  <c r="S24" i="26"/>
  <c r="G47" i="23"/>
  <c r="G60" i="23"/>
  <c r="G23" i="23"/>
  <c r="G36" i="23" s="1"/>
  <c r="C9" i="35"/>
  <c r="D47" i="35" s="1"/>
  <c r="Z28" i="24" l="1"/>
  <c r="O34" i="23"/>
  <c r="O36" i="23" s="1"/>
  <c r="M12" i="24"/>
  <c r="S25" i="26"/>
  <c r="Q25" i="26" s="1"/>
  <c r="Q24" i="26"/>
  <c r="S28" i="24"/>
  <c r="Z6" i="24"/>
  <c r="G38" i="23"/>
  <c r="G48" i="23"/>
  <c r="G49" i="23" s="1"/>
  <c r="S6" i="24"/>
  <c r="B19" i="35"/>
  <c r="B18" i="35"/>
  <c r="D6" i="18" l="1"/>
  <c r="G55" i="23"/>
  <c r="Z33" i="24" s="1"/>
  <c r="G61" i="23"/>
  <c r="G62" i="23" s="1"/>
  <c r="S33" i="24" l="1"/>
  <c r="Z10" i="24"/>
  <c r="S10" i="24"/>
  <c r="F39" i="36" l="1"/>
  <c r="E44" i="26"/>
  <c r="E43" i="26"/>
  <c r="E47" i="26"/>
  <c r="E47" i="35" l="1"/>
  <c r="H47" i="35" s="1"/>
  <c r="D49" i="35"/>
  <c r="E49" i="35" s="1"/>
  <c r="H49" i="35" s="1"/>
  <c r="D48" i="35"/>
  <c r="E48" i="35" s="1"/>
  <c r="H19" i="35"/>
  <c r="I19" i="35" s="1"/>
  <c r="F19" i="35"/>
  <c r="C19" i="35"/>
  <c r="E19" i="35"/>
  <c r="D18" i="35"/>
  <c r="B25" i="35"/>
  <c r="F25" i="35" s="1"/>
  <c r="H48" i="35" l="1"/>
  <c r="G19" i="35"/>
  <c r="J19" i="35" s="1"/>
  <c r="C25" i="35"/>
  <c r="E25" i="35"/>
  <c r="H25" i="35" s="1"/>
  <c r="I25" i="35" s="1"/>
  <c r="B26" i="35"/>
  <c r="E26" i="35" s="1"/>
  <c r="B50" i="35"/>
  <c r="B24" i="35"/>
  <c r="B23" i="35"/>
  <c r="F26" i="35" l="1"/>
  <c r="H26" i="35"/>
  <c r="C23" i="35"/>
  <c r="D23" i="35"/>
  <c r="C24" i="35"/>
  <c r="D24" i="35"/>
  <c r="B39" i="35"/>
  <c r="C39" i="35" s="1"/>
  <c r="G25" i="35"/>
  <c r="J25" i="35" s="1"/>
  <c r="F50" i="35"/>
  <c r="C50" i="35"/>
  <c r="C26" i="35"/>
  <c r="C18" i="35"/>
  <c r="E39" i="35"/>
  <c r="B31" i="35"/>
  <c r="B33" i="35" s="1"/>
  <c r="E50" i="35" l="1"/>
  <c r="H50" i="35" s="1"/>
  <c r="I50" i="35" s="1"/>
  <c r="B35" i="35"/>
  <c r="E31" i="35"/>
  <c r="F39" i="35"/>
  <c r="I26" i="35"/>
  <c r="G26" i="35"/>
  <c r="B34" i="35"/>
  <c r="G50" i="35" l="1"/>
  <c r="J50" i="35" s="1"/>
  <c r="J26" i="35"/>
  <c r="G39" i="35"/>
  <c r="E24" i="35"/>
  <c r="I39" i="35" l="1"/>
  <c r="J39" i="35" s="1"/>
  <c r="F40" i="36"/>
  <c r="B32" i="35"/>
  <c r="C32" i="35" s="1"/>
  <c r="C31" i="35"/>
  <c r="D46" i="35"/>
  <c r="D45" i="35"/>
  <c r="D44" i="35"/>
  <c r="E42" i="26"/>
  <c r="E41" i="26"/>
  <c r="F24" i="35"/>
  <c r="H24" i="35"/>
  <c r="F23" i="35"/>
  <c r="E23" i="35"/>
  <c r="H23" i="35" s="1"/>
  <c r="H18" i="35"/>
  <c r="D36" i="26"/>
  <c r="D37" i="26" s="1"/>
  <c r="E44" i="35" l="1"/>
  <c r="H44" i="35" s="1"/>
  <c r="F49" i="35"/>
  <c r="F48" i="35"/>
  <c r="F47" i="35"/>
  <c r="F45" i="35"/>
  <c r="F46" i="35"/>
  <c r="F44" i="35"/>
  <c r="E45" i="35"/>
  <c r="H45" i="35" s="1"/>
  <c r="E46" i="35"/>
  <c r="H46" i="35" s="1"/>
  <c r="B38" i="35"/>
  <c r="H32" i="35"/>
  <c r="I32" i="35" s="1"/>
  <c r="I18" i="35"/>
  <c r="E18" i="35"/>
  <c r="F32" i="35"/>
  <c r="B37" i="35"/>
  <c r="F37" i="35" s="1"/>
  <c r="B36" i="35"/>
  <c r="F31" i="35"/>
  <c r="I24" i="35"/>
  <c r="G24" i="35"/>
  <c r="I23" i="35"/>
  <c r="I44" i="35" l="1"/>
  <c r="I46" i="35"/>
  <c r="G44" i="35"/>
  <c r="I45" i="35"/>
  <c r="G46" i="35"/>
  <c r="G45" i="35"/>
  <c r="G48" i="35"/>
  <c r="I48" i="35"/>
  <c r="G47" i="35"/>
  <c r="I47" i="35"/>
  <c r="I49" i="35"/>
  <c r="G49" i="35"/>
  <c r="F38" i="35"/>
  <c r="I27" i="35"/>
  <c r="G32" i="35"/>
  <c r="J32" i="35" s="1"/>
  <c r="Q16" i="36"/>
  <c r="Q14" i="36"/>
  <c r="Q17" i="36"/>
  <c r="Q13" i="36"/>
  <c r="Q15" i="36"/>
  <c r="C38" i="35"/>
  <c r="Q36" i="36"/>
  <c r="Q41" i="36"/>
  <c r="C37" i="35"/>
  <c r="P10" i="36"/>
  <c r="P15" i="36"/>
  <c r="H31" i="35"/>
  <c r="I31" i="35" s="1"/>
  <c r="P9" i="36"/>
  <c r="P11" i="36"/>
  <c r="P12" i="36"/>
  <c r="P17" i="36"/>
  <c r="P7" i="36"/>
  <c r="E36" i="35" s="1"/>
  <c r="H36" i="35" s="1"/>
  <c r="I36" i="35" s="1"/>
  <c r="P13" i="36"/>
  <c r="P37" i="36"/>
  <c r="P16" i="36"/>
  <c r="P36" i="36"/>
  <c r="P8" i="36"/>
  <c r="P14" i="36"/>
  <c r="C34" i="35"/>
  <c r="F34" i="35"/>
  <c r="C36" i="35"/>
  <c r="F36" i="35"/>
  <c r="C35" i="35"/>
  <c r="F35" i="35"/>
  <c r="G31" i="35"/>
  <c r="J44" i="35"/>
  <c r="J24" i="35"/>
  <c r="F18" i="35"/>
  <c r="F21" i="36"/>
  <c r="J46" i="35" l="1"/>
  <c r="I51" i="35"/>
  <c r="J45" i="35"/>
  <c r="G51" i="35"/>
  <c r="E38" i="35"/>
  <c r="G38" i="35" s="1"/>
  <c r="J47" i="35"/>
  <c r="J49" i="35"/>
  <c r="J48" i="35"/>
  <c r="E34" i="35"/>
  <c r="H34" i="35" s="1"/>
  <c r="I34" i="35" s="1"/>
  <c r="E37" i="35"/>
  <c r="G37" i="35" s="1"/>
  <c r="E35" i="35"/>
  <c r="H35" i="35" s="1"/>
  <c r="I35" i="35" s="1"/>
  <c r="J31" i="35"/>
  <c r="G36" i="35"/>
  <c r="J36" i="35" s="1"/>
  <c r="G18" i="35"/>
  <c r="G20" i="35" s="1"/>
  <c r="G23" i="35"/>
  <c r="J23" i="35" s="1"/>
  <c r="J27" i="35" s="1"/>
  <c r="F28" i="23"/>
  <c r="E28" i="23"/>
  <c r="D28" i="23"/>
  <c r="J51" i="35" l="1"/>
  <c r="H38" i="35"/>
  <c r="I38" i="35" s="1"/>
  <c r="J38" i="35" s="1"/>
  <c r="G34" i="35"/>
  <c r="J34" i="35" s="1"/>
  <c r="H37" i="35"/>
  <c r="I37" i="35" s="1"/>
  <c r="G35" i="35"/>
  <c r="J35" i="35" s="1"/>
  <c r="J18" i="35"/>
  <c r="J20" i="35" s="1"/>
  <c r="G27" i="35"/>
  <c r="R1" i="24"/>
  <c r="M1" i="24"/>
  <c r="C1" i="24"/>
  <c r="J37" i="35" l="1"/>
  <c r="E5" i="7"/>
  <c r="F58" i="23" l="1"/>
  <c r="E58" i="23"/>
  <c r="D58" i="23"/>
  <c r="C58" i="23"/>
  <c r="P9" i="5" l="1"/>
  <c r="L9" i="5"/>
  <c r="H9" i="5"/>
  <c r="D9" i="5"/>
  <c r="H14" i="5" l="1"/>
  <c r="E35" i="30" s="1"/>
  <c r="E35" i="7"/>
  <c r="D33" i="31" l="1"/>
  <c r="E14" i="32" l="1"/>
  <c r="E13" i="32"/>
  <c r="E12" i="32"/>
  <c r="E14" i="31"/>
  <c r="E13" i="31"/>
  <c r="E12" i="31"/>
  <c r="E14" i="30" l="1"/>
  <c r="E13" i="30"/>
  <c r="E12" i="30"/>
  <c r="E14" i="7"/>
  <c r="E13" i="7"/>
  <c r="E12" i="7"/>
  <c r="B50" i="31" l="1"/>
  <c r="B49" i="31"/>
  <c r="K79" i="5" l="1"/>
  <c r="O79" i="5" s="1"/>
  <c r="K66" i="5"/>
  <c r="E18" i="32" l="1"/>
  <c r="E17" i="32"/>
  <c r="E16" i="32"/>
  <c r="E15" i="32"/>
  <c r="E29" i="32" l="1"/>
  <c r="P5" i="5" l="1"/>
  <c r="L5" i="5"/>
  <c r="H5" i="5"/>
  <c r="D5" i="5"/>
  <c r="B118" i="32" l="1"/>
  <c r="B112" i="32"/>
  <c r="B106" i="32"/>
  <c r="B100" i="32"/>
  <c r="B93" i="32"/>
  <c r="B87" i="32"/>
  <c r="B81" i="32"/>
  <c r="B75" i="32"/>
  <c r="B69" i="32"/>
  <c r="B63" i="32"/>
  <c r="B57" i="32"/>
  <c r="B242" i="32"/>
  <c r="B187" i="32" s="1"/>
  <c r="B238" i="32"/>
  <c r="B183" i="32" s="1"/>
  <c r="B234" i="32"/>
  <c r="B179" i="32" s="1"/>
  <c r="B230" i="32"/>
  <c r="B175" i="32" s="1"/>
  <c r="B226" i="32"/>
  <c r="B171" i="32" s="1"/>
  <c r="B222" i="32"/>
  <c r="B167" i="32" s="1"/>
  <c r="B218" i="32"/>
  <c r="B163" i="32" s="1"/>
  <c r="B214" i="32"/>
  <c r="B159" i="32" s="1"/>
  <c r="B210" i="32"/>
  <c r="B155" i="32" s="1"/>
  <c r="B206" i="32"/>
  <c r="B151" i="32" s="1"/>
  <c r="B202" i="32"/>
  <c r="B147" i="32" s="1"/>
  <c r="B117" i="32"/>
  <c r="B111" i="32"/>
  <c r="B92" i="32"/>
  <c r="B86" i="32"/>
  <c r="B80" i="32"/>
  <c r="B74" i="32"/>
  <c r="B68" i="32"/>
  <c r="B62" i="32"/>
  <c r="B56" i="32"/>
  <c r="B241" i="32"/>
  <c r="B186" i="32" s="1"/>
  <c r="B237" i="32"/>
  <c r="B182" i="32" s="1"/>
  <c r="B233" i="32"/>
  <c r="B178" i="32" s="1"/>
  <c r="B229" i="32"/>
  <c r="B174" i="32" s="1"/>
  <c r="B225" i="32"/>
  <c r="B170" i="32" s="1"/>
  <c r="B221" i="32"/>
  <c r="B166" i="32" s="1"/>
  <c r="B217" i="32"/>
  <c r="B162" i="32" s="1"/>
  <c r="B213" i="32"/>
  <c r="B158" i="32" s="1"/>
  <c r="B209" i="32"/>
  <c r="B154" i="32" s="1"/>
  <c r="B205" i="32"/>
  <c r="B150" i="32" s="1"/>
  <c r="B201" i="32"/>
  <c r="B146" i="32" s="1"/>
  <c r="B116" i="32"/>
  <c r="B110" i="32"/>
  <c r="B91" i="32"/>
  <c r="B85" i="32"/>
  <c r="B79" i="32"/>
  <c r="B73" i="32"/>
  <c r="B67" i="32"/>
  <c r="B61" i="32"/>
  <c r="B55" i="32"/>
  <c r="B240" i="32"/>
  <c r="B185" i="32" s="1"/>
  <c r="B236" i="32"/>
  <c r="B181" i="32" s="1"/>
  <c r="B232" i="32"/>
  <c r="B177" i="32" s="1"/>
  <c r="B228" i="32"/>
  <c r="B173" i="32" s="1"/>
  <c r="B224" i="32"/>
  <c r="B169" i="32" s="1"/>
  <c r="B220" i="32"/>
  <c r="B165" i="32" s="1"/>
  <c r="B216" i="32"/>
  <c r="B161" i="32" s="1"/>
  <c r="B208" i="32"/>
  <c r="B153" i="32" s="1"/>
  <c r="B204" i="32"/>
  <c r="B149" i="32" s="1"/>
  <c r="B200" i="32"/>
  <c r="B145" i="32" s="1"/>
  <c r="B115" i="32"/>
  <c r="B109" i="32"/>
  <c r="B103" i="32"/>
  <c r="B97" i="32"/>
  <c r="B90" i="32"/>
  <c r="B84" i="32"/>
  <c r="B78" i="32"/>
  <c r="B72" i="32"/>
  <c r="B66" i="32"/>
  <c r="B60" i="32"/>
  <c r="B54" i="32"/>
  <c r="B142" i="32" s="1"/>
  <c r="B239" i="32"/>
  <c r="B184" i="32" s="1"/>
  <c r="B235" i="32"/>
  <c r="B180" i="32" s="1"/>
  <c r="B231" i="32"/>
  <c r="B176" i="32" s="1"/>
  <c r="B227" i="32"/>
  <c r="B172" i="32" s="1"/>
  <c r="B223" i="32"/>
  <c r="B168" i="32" s="1"/>
  <c r="B219" i="32"/>
  <c r="B164" i="32" s="1"/>
  <c r="B215" i="32"/>
  <c r="B160" i="32" s="1"/>
  <c r="B207" i="32"/>
  <c r="B152" i="32" s="1"/>
  <c r="B199" i="32"/>
  <c r="B144" i="32" s="1"/>
  <c r="B114" i="32"/>
  <c r="B108" i="32"/>
  <c r="B89" i="32"/>
  <c r="B83" i="32"/>
  <c r="B77" i="32"/>
  <c r="B71" i="32"/>
  <c r="B65" i="32"/>
  <c r="B59" i="32"/>
  <c r="B53" i="32"/>
  <c r="B140" i="32" s="1"/>
  <c r="B127" i="32"/>
  <c r="B126" i="32"/>
  <c r="B125" i="32"/>
  <c r="B124" i="32"/>
  <c r="B123" i="32"/>
  <c r="B122" i="32"/>
  <c r="B121" i="32"/>
  <c r="B120" i="32"/>
  <c r="B113" i="32"/>
  <c r="B107" i="32"/>
  <c r="B88" i="32"/>
  <c r="B82" i="32"/>
  <c r="B76" i="32"/>
  <c r="B70" i="32"/>
  <c r="B64" i="32"/>
  <c r="B58" i="32"/>
  <c r="B52" i="32"/>
  <c r="B138" i="32" s="1"/>
  <c r="B50" i="32"/>
  <c r="B136" i="32" s="1"/>
  <c r="B49" i="32"/>
  <c r="B135" i="32" s="1"/>
  <c r="B43" i="32"/>
  <c r="B42" i="32"/>
  <c r="B41" i="32"/>
  <c r="B129" i="32" s="1"/>
  <c r="B40" i="32"/>
  <c r="B246" i="32" s="1"/>
  <c r="B191" i="32" s="1"/>
  <c r="B242" i="31"/>
  <c r="B187" i="31" s="1"/>
  <c r="B238" i="31"/>
  <c r="B183" i="31" s="1"/>
  <c r="B234" i="31"/>
  <c r="B179" i="31" s="1"/>
  <c r="B230" i="31"/>
  <c r="B175" i="31" s="1"/>
  <c r="B226" i="31"/>
  <c r="B171" i="31" s="1"/>
  <c r="B222" i="31"/>
  <c r="B167" i="31" s="1"/>
  <c r="B218" i="31"/>
  <c r="B163" i="31" s="1"/>
  <c r="B214" i="31"/>
  <c r="B159" i="31" s="1"/>
  <c r="B210" i="31"/>
  <c r="B155" i="31" s="1"/>
  <c r="B206" i="31"/>
  <c r="B151" i="31" s="1"/>
  <c r="B202" i="31"/>
  <c r="B147" i="31" s="1"/>
  <c r="B241" i="31"/>
  <c r="B186" i="31" s="1"/>
  <c r="B237" i="31"/>
  <c r="B182" i="31" s="1"/>
  <c r="B233" i="31"/>
  <c r="B178" i="31" s="1"/>
  <c r="B229" i="31"/>
  <c r="B174" i="31" s="1"/>
  <c r="B225" i="31"/>
  <c r="B170" i="31" s="1"/>
  <c r="B221" i="31"/>
  <c r="B166" i="31" s="1"/>
  <c r="B217" i="31"/>
  <c r="B162" i="31" s="1"/>
  <c r="B213" i="31"/>
  <c r="B158" i="31" s="1"/>
  <c r="B209" i="31"/>
  <c r="B154" i="31" s="1"/>
  <c r="B205" i="31"/>
  <c r="B150" i="31" s="1"/>
  <c r="B201" i="31"/>
  <c r="B146" i="31" s="1"/>
  <c r="B240" i="31"/>
  <c r="B185" i="31" s="1"/>
  <c r="B236" i="31"/>
  <c r="B181" i="31" s="1"/>
  <c r="B232" i="31"/>
  <c r="B177" i="31" s="1"/>
  <c r="B228" i="31"/>
  <c r="B173" i="31" s="1"/>
  <c r="B224" i="31"/>
  <c r="B169" i="31" s="1"/>
  <c r="B220" i="31"/>
  <c r="B165" i="31" s="1"/>
  <c r="B216" i="31"/>
  <c r="B161" i="31" s="1"/>
  <c r="B208" i="31"/>
  <c r="B153" i="31" s="1"/>
  <c r="B204" i="31"/>
  <c r="B149" i="31" s="1"/>
  <c r="B200" i="31"/>
  <c r="B145" i="31" s="1"/>
  <c r="B239" i="31"/>
  <c r="B184" i="31" s="1"/>
  <c r="B235" i="31"/>
  <c r="B180" i="31" s="1"/>
  <c r="B231" i="31"/>
  <c r="B176" i="31" s="1"/>
  <c r="B227" i="31"/>
  <c r="B172" i="31" s="1"/>
  <c r="B223" i="31"/>
  <c r="B168" i="31" s="1"/>
  <c r="B219" i="31"/>
  <c r="B164" i="31" s="1"/>
  <c r="B215" i="31"/>
  <c r="B160" i="31" s="1"/>
  <c r="B207" i="31"/>
  <c r="B152" i="31" s="1"/>
  <c r="B199" i="31"/>
  <c r="B144" i="31" s="1"/>
  <c r="B127" i="31"/>
  <c r="B126" i="31"/>
  <c r="B125" i="31"/>
  <c r="B124" i="31"/>
  <c r="B123" i="31"/>
  <c r="B122" i="31"/>
  <c r="B121" i="31"/>
  <c r="B120" i="31"/>
  <c r="B113" i="31"/>
  <c r="B107" i="31"/>
  <c r="B114" i="31"/>
  <c r="B96" i="31"/>
  <c r="B115" i="31"/>
  <c r="B109" i="31"/>
  <c r="B103" i="31"/>
  <c r="B97" i="31"/>
  <c r="B116" i="31"/>
  <c r="B98" i="31"/>
  <c r="B117" i="31"/>
  <c r="B99" i="31"/>
  <c r="B118" i="31"/>
  <c r="B112" i="31"/>
  <c r="B106" i="31"/>
  <c r="B100" i="31"/>
  <c r="B93" i="31"/>
  <c r="B87" i="31"/>
  <c r="B81" i="31"/>
  <c r="B75" i="31"/>
  <c r="B69" i="31"/>
  <c r="B63" i="31"/>
  <c r="B57" i="31"/>
  <c r="B68" i="31"/>
  <c r="B62" i="31"/>
  <c r="B56" i="31"/>
  <c r="B91" i="31"/>
  <c r="B85" i="31"/>
  <c r="B79" i="31"/>
  <c r="B73" i="31"/>
  <c r="B67" i="31"/>
  <c r="B61" i="31"/>
  <c r="B55" i="31"/>
  <c r="B90" i="31"/>
  <c r="B84" i="31"/>
  <c r="B78" i="31"/>
  <c r="B72" i="31"/>
  <c r="B66" i="31"/>
  <c r="B60" i="31"/>
  <c r="B54" i="31"/>
  <c r="B142" i="31" s="1"/>
  <c r="B89" i="31"/>
  <c r="B83" i="31"/>
  <c r="B77" i="31"/>
  <c r="B71" i="31"/>
  <c r="B65" i="31"/>
  <c r="B59" i="31"/>
  <c r="B53" i="31"/>
  <c r="B140" i="31" s="1"/>
  <c r="B88" i="31"/>
  <c r="B82" i="31"/>
  <c r="B76" i="31"/>
  <c r="B70" i="31"/>
  <c r="B64" i="31"/>
  <c r="B58" i="31"/>
  <c r="B52" i="31"/>
  <c r="B139" i="31" s="1"/>
  <c r="B43" i="31"/>
  <c r="B42" i="31"/>
  <c r="B41" i="31"/>
  <c r="B247" i="31" s="1"/>
  <c r="B192" i="31" s="1"/>
  <c r="B40" i="31"/>
  <c r="B244" i="31" s="1"/>
  <c r="B189" i="31" s="1"/>
  <c r="B128" i="32" l="1"/>
  <c r="B141" i="31"/>
  <c r="B138" i="31"/>
  <c r="B248" i="31"/>
  <c r="B193" i="31" s="1"/>
  <c r="B245" i="31"/>
  <c r="B190" i="31" s="1"/>
  <c r="B134" i="32"/>
  <c r="B243" i="32"/>
  <c r="B188" i="32" s="1"/>
  <c r="B244" i="32"/>
  <c r="B189" i="32" s="1"/>
  <c r="B245" i="32"/>
  <c r="B190" i="32" s="1"/>
  <c r="B137" i="32"/>
  <c r="B143" i="31"/>
  <c r="B249" i="31"/>
  <c r="B194" i="31" s="1"/>
  <c r="B246" i="31"/>
  <c r="B191" i="31" s="1"/>
  <c r="B247" i="32"/>
  <c r="B192" i="32" s="1"/>
  <c r="B248" i="32"/>
  <c r="B193" i="32" s="1"/>
  <c r="B249" i="32"/>
  <c r="B194" i="32" s="1"/>
  <c r="B250" i="32"/>
  <c r="B195" i="32" s="1"/>
  <c r="B139" i="32"/>
  <c r="B128" i="31"/>
  <c r="B243" i="31"/>
  <c r="B188" i="31" s="1"/>
  <c r="B250" i="31"/>
  <c r="B195" i="31" s="1"/>
  <c r="B141" i="32"/>
  <c r="B129" i="31"/>
  <c r="B143" i="32"/>
  <c r="AD125" i="4" l="1"/>
  <c r="AD124" i="4"/>
  <c r="AD123" i="4"/>
  <c r="AD122" i="4"/>
  <c r="B212" i="32" s="1"/>
  <c r="B157" i="32" s="1"/>
  <c r="AD121" i="4"/>
  <c r="AD120" i="4"/>
  <c r="AD119" i="4"/>
  <c r="AD118" i="4"/>
  <c r="AK65" i="4"/>
  <c r="AK64" i="4"/>
  <c r="AK63" i="4"/>
  <c r="AK61" i="4"/>
  <c r="AK60" i="4"/>
  <c r="AK59" i="4"/>
  <c r="AK58" i="4"/>
  <c r="E75" i="5"/>
  <c r="E74" i="5"/>
  <c r="E73" i="5"/>
  <c r="E72" i="5"/>
  <c r="E71" i="5"/>
  <c r="D30" i="32"/>
  <c r="H30" i="32" s="1"/>
  <c r="E8" i="32"/>
  <c r="D8" i="32"/>
  <c r="H8" i="32" s="1"/>
  <c r="E7" i="32"/>
  <c r="D7" i="32"/>
  <c r="H7" i="32" s="1"/>
  <c r="E6" i="32"/>
  <c r="D6" i="32"/>
  <c r="I72" i="5" s="1"/>
  <c r="E5" i="32"/>
  <c r="AK304" i="4" s="1"/>
  <c r="D5" i="32"/>
  <c r="AK313" i="4" s="1"/>
  <c r="E34" i="32"/>
  <c r="E30" i="32"/>
  <c r="E25" i="32"/>
  <c r="I25" i="32" s="1"/>
  <c r="A1" i="32"/>
  <c r="I265" i="32"/>
  <c r="G265" i="32"/>
  <c r="I264" i="32"/>
  <c r="G264" i="32"/>
  <c r="I263" i="32"/>
  <c r="G263" i="32"/>
  <c r="I262" i="32"/>
  <c r="G262" i="32"/>
  <c r="I261" i="32"/>
  <c r="G261" i="32"/>
  <c r="I260" i="32"/>
  <c r="G260" i="32"/>
  <c r="I259" i="32"/>
  <c r="G259" i="32"/>
  <c r="I258" i="32"/>
  <c r="G258" i="32"/>
  <c r="I257" i="32"/>
  <c r="G257" i="32"/>
  <c r="I256" i="32"/>
  <c r="F256" i="32"/>
  <c r="G256" i="32" s="1"/>
  <c r="C256" i="32"/>
  <c r="I255" i="32"/>
  <c r="F255" i="32"/>
  <c r="G255" i="32" s="1"/>
  <c r="C255" i="32"/>
  <c r="I254" i="32"/>
  <c r="F254" i="32"/>
  <c r="G254" i="32" s="1"/>
  <c r="C254" i="32"/>
  <c r="I253" i="32"/>
  <c r="F253" i="32"/>
  <c r="G253" i="32" s="1"/>
  <c r="C253" i="32"/>
  <c r="I252" i="32"/>
  <c r="F252" i="32"/>
  <c r="G252" i="32" s="1"/>
  <c r="C252" i="32"/>
  <c r="I251" i="32"/>
  <c r="F251" i="32"/>
  <c r="G251" i="32" s="1"/>
  <c r="C251" i="32"/>
  <c r="C242" i="32"/>
  <c r="F241" i="32"/>
  <c r="E240" i="32"/>
  <c r="E239" i="32"/>
  <c r="C238" i="32"/>
  <c r="F237" i="32"/>
  <c r="E236" i="32"/>
  <c r="E235" i="32"/>
  <c r="E234" i="32"/>
  <c r="E178" i="32"/>
  <c r="E177" i="32"/>
  <c r="F231" i="32"/>
  <c r="C230" i="32"/>
  <c r="F229" i="32"/>
  <c r="F227" i="32"/>
  <c r="C226" i="32"/>
  <c r="C169" i="32"/>
  <c r="F223" i="32"/>
  <c r="C222" i="32"/>
  <c r="E166" i="32"/>
  <c r="I166" i="32" s="1"/>
  <c r="E220" i="32"/>
  <c r="E219" i="32"/>
  <c r="C218" i="32"/>
  <c r="E217" i="32"/>
  <c r="I217" i="32" s="1"/>
  <c r="E216" i="32"/>
  <c r="E160" i="32"/>
  <c r="C214" i="32"/>
  <c r="E213" i="32"/>
  <c r="E155" i="32"/>
  <c r="E209" i="32"/>
  <c r="C208" i="32"/>
  <c r="F207" i="32"/>
  <c r="C206" i="32"/>
  <c r="E205" i="32"/>
  <c r="I205" i="32" s="1"/>
  <c r="E202" i="32"/>
  <c r="E200" i="32"/>
  <c r="I200" i="32" s="1"/>
  <c r="F187" i="32"/>
  <c r="E186" i="32"/>
  <c r="E181" i="32"/>
  <c r="E126" i="32"/>
  <c r="I126" i="32" s="1"/>
  <c r="C125" i="32"/>
  <c r="E124" i="32"/>
  <c r="E123" i="32"/>
  <c r="F122" i="32"/>
  <c r="E121" i="32"/>
  <c r="I121" i="32" s="1"/>
  <c r="E120" i="32"/>
  <c r="F117" i="32"/>
  <c r="F116" i="32"/>
  <c r="F115" i="32"/>
  <c r="C114" i="32"/>
  <c r="C113" i="32"/>
  <c r="C109" i="32"/>
  <c r="F107" i="32"/>
  <c r="C106" i="32"/>
  <c r="F100" i="32"/>
  <c r="F97" i="32"/>
  <c r="F92" i="32"/>
  <c r="F91" i="32"/>
  <c r="C88" i="32"/>
  <c r="F87" i="32"/>
  <c r="C86" i="32"/>
  <c r="C85" i="32"/>
  <c r="C84" i="32"/>
  <c r="F81" i="32"/>
  <c r="C80" i="32"/>
  <c r="F79" i="32"/>
  <c r="F78" i="32"/>
  <c r="F77" i="32"/>
  <c r="F76" i="32"/>
  <c r="F75" i="32"/>
  <c r="F74" i="32"/>
  <c r="F73" i="32"/>
  <c r="F72" i="32"/>
  <c r="F71" i="32"/>
  <c r="F70" i="32"/>
  <c r="F69" i="32"/>
  <c r="F68" i="32"/>
  <c r="F65" i="32"/>
  <c r="C64" i="32"/>
  <c r="F63" i="32"/>
  <c r="F62" i="32"/>
  <c r="F61" i="32"/>
  <c r="F60" i="32"/>
  <c r="F57" i="32"/>
  <c r="C56" i="32"/>
  <c r="F55" i="32"/>
  <c r="C142" i="32"/>
  <c r="F53" i="32"/>
  <c r="F52" i="32"/>
  <c r="E50" i="32"/>
  <c r="E49" i="32"/>
  <c r="F43" i="32"/>
  <c r="E42" i="32"/>
  <c r="I42" i="32" s="1"/>
  <c r="F41" i="32"/>
  <c r="I36" i="32"/>
  <c r="F36" i="32"/>
  <c r="G36" i="32" s="1"/>
  <c r="C36" i="32"/>
  <c r="I35" i="32"/>
  <c r="F35" i="32"/>
  <c r="G35" i="32" s="1"/>
  <c r="C35" i="32"/>
  <c r="I34" i="32"/>
  <c r="F34" i="32"/>
  <c r="C34" i="32"/>
  <c r="I33" i="32"/>
  <c r="F33" i="32"/>
  <c r="C33" i="32"/>
  <c r="F32" i="32"/>
  <c r="C32" i="32"/>
  <c r="F31" i="32"/>
  <c r="C31" i="32"/>
  <c r="I30" i="32"/>
  <c r="F30" i="32"/>
  <c r="C30" i="32"/>
  <c r="F29" i="32"/>
  <c r="C29" i="32"/>
  <c r="F25" i="32"/>
  <c r="C25" i="32"/>
  <c r="F24" i="32"/>
  <c r="C24" i="32"/>
  <c r="F23" i="32"/>
  <c r="C23" i="32"/>
  <c r="F22" i="32"/>
  <c r="C22" i="32"/>
  <c r="F18" i="32"/>
  <c r="C18" i="32"/>
  <c r="F17" i="32"/>
  <c r="C17" i="32"/>
  <c r="F16" i="32"/>
  <c r="C16" i="32"/>
  <c r="F15" i="32"/>
  <c r="C15" i="32"/>
  <c r="F14" i="32"/>
  <c r="D14" i="32"/>
  <c r="H14" i="32" s="1"/>
  <c r="I14" i="32" s="1"/>
  <c r="C14" i="32"/>
  <c r="F13" i="32"/>
  <c r="D13" i="32"/>
  <c r="H13" i="32" s="1"/>
  <c r="I13" i="32" s="1"/>
  <c r="C13" i="32"/>
  <c r="F12" i="32"/>
  <c r="D12" i="32"/>
  <c r="H12" i="32" s="1"/>
  <c r="I12" i="32" s="1"/>
  <c r="C12" i="32"/>
  <c r="I8" i="32"/>
  <c r="F8" i="32"/>
  <c r="C8" i="32"/>
  <c r="I7" i="32"/>
  <c r="F7" i="32"/>
  <c r="C7" i="32"/>
  <c r="F6" i="32"/>
  <c r="C6" i="32"/>
  <c r="F5" i="32"/>
  <c r="C5" i="32"/>
  <c r="G2" i="32"/>
  <c r="D2" i="32"/>
  <c r="B2" i="32"/>
  <c r="H5" i="32" l="1"/>
  <c r="I5" i="32" s="1"/>
  <c r="J254" i="32"/>
  <c r="J259" i="32"/>
  <c r="J260" i="32"/>
  <c r="J262" i="32"/>
  <c r="J253" i="32"/>
  <c r="J265" i="32"/>
  <c r="J35" i="32"/>
  <c r="J251" i="32"/>
  <c r="J255" i="32"/>
  <c r="J258" i="32"/>
  <c r="C212" i="32"/>
  <c r="J257" i="32"/>
  <c r="J36" i="32"/>
  <c r="J261" i="32"/>
  <c r="J263" i="32"/>
  <c r="G5" i="32"/>
  <c r="H6" i="32"/>
  <c r="I6" i="32" s="1"/>
  <c r="G18" i="32"/>
  <c r="G7" i="32"/>
  <c r="AK62" i="4"/>
  <c r="AK312" i="4"/>
  <c r="AK282" i="4"/>
  <c r="AK286" i="4"/>
  <c r="AK305" i="4"/>
  <c r="AK283" i="4"/>
  <c r="AK287" i="4"/>
  <c r="I71" i="5"/>
  <c r="AK284" i="4"/>
  <c r="AK288" i="4"/>
  <c r="AK281" i="4"/>
  <c r="AK285" i="4"/>
  <c r="I73" i="5"/>
  <c r="E33" i="32"/>
  <c r="C171" i="32"/>
  <c r="E173" i="32"/>
  <c r="I173" i="32" s="1"/>
  <c r="E158" i="32"/>
  <c r="I158" i="32" s="1"/>
  <c r="E174" i="32"/>
  <c r="I174" i="32" s="1"/>
  <c r="G12" i="32"/>
  <c r="J12" i="32" s="1"/>
  <c r="F182" i="32"/>
  <c r="G34" i="32"/>
  <c r="J34" i="32" s="1"/>
  <c r="E68" i="32"/>
  <c r="I68" i="32" s="1"/>
  <c r="E164" i="32"/>
  <c r="E172" i="32"/>
  <c r="I172" i="32" s="1"/>
  <c r="C157" i="32"/>
  <c r="E168" i="32"/>
  <c r="I168" i="32" s="1"/>
  <c r="G13" i="32"/>
  <c r="J13" i="32" s="1"/>
  <c r="E161" i="32"/>
  <c r="I161" i="32" s="1"/>
  <c r="F169" i="32"/>
  <c r="E167" i="32"/>
  <c r="I167" i="32" s="1"/>
  <c r="E183" i="32"/>
  <c r="I183" i="32" s="1"/>
  <c r="E72" i="32"/>
  <c r="I72" i="32" s="1"/>
  <c r="E80" i="32"/>
  <c r="I80" i="32" s="1"/>
  <c r="E76" i="5"/>
  <c r="E93" i="32"/>
  <c r="I93" i="32" s="1"/>
  <c r="F226" i="32"/>
  <c r="G16" i="32"/>
  <c r="C216" i="32"/>
  <c r="C115" i="32"/>
  <c r="F88" i="32"/>
  <c r="C75" i="32"/>
  <c r="F217" i="32"/>
  <c r="G217" i="32" s="1"/>
  <c r="J217" i="32" s="1"/>
  <c r="F56" i="32"/>
  <c r="E86" i="32"/>
  <c r="I86" i="32" s="1"/>
  <c r="C55" i="32"/>
  <c r="F152" i="32"/>
  <c r="F242" i="32"/>
  <c r="C54" i="32"/>
  <c r="C74" i="32"/>
  <c r="C76" i="32"/>
  <c r="C228" i="32"/>
  <c r="F238" i="32"/>
  <c r="C241" i="32"/>
  <c r="C68" i="32"/>
  <c r="F80" i="32"/>
  <c r="F114" i="32"/>
  <c r="F149" i="32"/>
  <c r="F201" i="32"/>
  <c r="F142" i="32"/>
  <c r="E142" i="32"/>
  <c r="I142" i="32" s="1"/>
  <c r="E206" i="32"/>
  <c r="I206" i="32" s="1"/>
  <c r="E210" i="32"/>
  <c r="I210" i="32" s="1"/>
  <c r="E214" i="32"/>
  <c r="I214" i="32" s="1"/>
  <c r="E218" i="32"/>
  <c r="I218" i="32" s="1"/>
  <c r="E222" i="32"/>
  <c r="I222" i="32" s="1"/>
  <c r="E226" i="32"/>
  <c r="I226" i="32" s="1"/>
  <c r="E230" i="32"/>
  <c r="I230" i="32" s="1"/>
  <c r="E238" i="32"/>
  <c r="I238" i="32" s="1"/>
  <c r="E242" i="32"/>
  <c r="I242" i="32" s="1"/>
  <c r="C41" i="32"/>
  <c r="C52" i="32"/>
  <c r="C60" i="32"/>
  <c r="C62" i="32"/>
  <c r="F64" i="32"/>
  <c r="C70" i="32"/>
  <c r="C72" i="32"/>
  <c r="C79" i="32"/>
  <c r="C87" i="32"/>
  <c r="C92" i="32"/>
  <c r="C107" i="32"/>
  <c r="F109" i="32"/>
  <c r="C117" i="32"/>
  <c r="E145" i="32"/>
  <c r="I145" i="32" s="1"/>
  <c r="F159" i="32"/>
  <c r="E125" i="32"/>
  <c r="I125" i="32" s="1"/>
  <c r="E187" i="32"/>
  <c r="E207" i="32"/>
  <c r="I207" i="32" s="1"/>
  <c r="E215" i="32"/>
  <c r="I215" i="32" s="1"/>
  <c r="E223" i="32"/>
  <c r="E231" i="32"/>
  <c r="I231" i="32" s="1"/>
  <c r="E79" i="32"/>
  <c r="I79" i="32" s="1"/>
  <c r="E92" i="32"/>
  <c r="I92" i="32" s="1"/>
  <c r="I124" i="32"/>
  <c r="C217" i="32"/>
  <c r="F222" i="32"/>
  <c r="C225" i="32"/>
  <c r="C237" i="32"/>
  <c r="E122" i="32"/>
  <c r="I122" i="32" s="1"/>
  <c r="E208" i="32"/>
  <c r="I208" i="32" s="1"/>
  <c r="E224" i="32"/>
  <c r="I224" i="32" s="1"/>
  <c r="E232" i="32"/>
  <c r="I232" i="32" s="1"/>
  <c r="C40" i="32"/>
  <c r="C63" i="32"/>
  <c r="C71" i="32"/>
  <c r="C78" i="32"/>
  <c r="F86" i="32"/>
  <c r="C97" i="32"/>
  <c r="F106" i="32"/>
  <c r="C122" i="32"/>
  <c r="C124" i="32"/>
  <c r="E146" i="32"/>
  <c r="I146" i="32" s="1"/>
  <c r="C163" i="32"/>
  <c r="C201" i="32"/>
  <c r="F218" i="32"/>
  <c r="F225" i="32"/>
  <c r="C229" i="32"/>
  <c r="E127" i="32"/>
  <c r="I127" i="32" s="1"/>
  <c r="E169" i="32"/>
  <c r="I169" i="32" s="1"/>
  <c r="E221" i="32"/>
  <c r="I221" i="32" s="1"/>
  <c r="E225" i="32"/>
  <c r="I225" i="32" s="1"/>
  <c r="E233" i="32"/>
  <c r="I233" i="32" s="1"/>
  <c r="E237" i="32"/>
  <c r="I237" i="32" s="1"/>
  <c r="E241" i="32"/>
  <c r="G241" i="32" s="1"/>
  <c r="E43" i="32"/>
  <c r="I43" i="32" s="1"/>
  <c r="G8" i="32"/>
  <c r="J8" i="32" s="1"/>
  <c r="I178" i="32"/>
  <c r="F178" i="32"/>
  <c r="E136" i="32"/>
  <c r="C50" i="32"/>
  <c r="F58" i="32"/>
  <c r="C58" i="32"/>
  <c r="C123" i="32"/>
  <c r="I123" i="32"/>
  <c r="C155" i="32"/>
  <c r="I155" i="32"/>
  <c r="C181" i="32"/>
  <c r="F181" i="32"/>
  <c r="C202" i="32"/>
  <c r="I202" i="32"/>
  <c r="C209" i="32"/>
  <c r="F209" i="32"/>
  <c r="G209" i="32" s="1"/>
  <c r="I50" i="32"/>
  <c r="F59" i="32"/>
  <c r="C59" i="32"/>
  <c r="F84" i="32"/>
  <c r="F108" i="32"/>
  <c r="C108" i="32"/>
  <c r="F113" i="32"/>
  <c r="F123" i="32"/>
  <c r="F126" i="32"/>
  <c r="G126" i="32" s="1"/>
  <c r="J126" i="32" s="1"/>
  <c r="C126" i="32"/>
  <c r="F155" i="32"/>
  <c r="F202" i="32"/>
  <c r="G202" i="32" s="1"/>
  <c r="C205" i="32"/>
  <c r="F205" i="32"/>
  <c r="G205" i="32" s="1"/>
  <c r="J205" i="32" s="1"/>
  <c r="E150" i="32"/>
  <c r="I209" i="32"/>
  <c r="E60" i="32"/>
  <c r="I60" i="32" s="1"/>
  <c r="E63" i="32"/>
  <c r="I63" i="32" s="1"/>
  <c r="G14" i="32"/>
  <c r="J14" i="32" s="1"/>
  <c r="G25" i="32"/>
  <c r="J25" i="32" s="1"/>
  <c r="F42" i="32"/>
  <c r="G42" i="32" s="1"/>
  <c r="J42" i="32" s="1"/>
  <c r="C42" i="32"/>
  <c r="E59" i="32"/>
  <c r="I59" i="32" s="1"/>
  <c r="F66" i="32"/>
  <c r="C66" i="32"/>
  <c r="F82" i="32"/>
  <c r="C82" i="32"/>
  <c r="C89" i="32"/>
  <c r="F89" i="32"/>
  <c r="E154" i="32"/>
  <c r="F199" i="32"/>
  <c r="E144" i="32"/>
  <c r="I144" i="32" s="1"/>
  <c r="C210" i="32"/>
  <c r="F213" i="32"/>
  <c r="G213" i="32" s="1"/>
  <c r="C213" i="32"/>
  <c r="C220" i="32"/>
  <c r="C233" i="32"/>
  <c r="F233" i="32"/>
  <c r="E56" i="32"/>
  <c r="I56" i="32" s="1"/>
  <c r="E55" i="32"/>
  <c r="I55" i="32" s="1"/>
  <c r="E67" i="32"/>
  <c r="I67" i="32" s="1"/>
  <c r="F49" i="32"/>
  <c r="C49" i="32"/>
  <c r="F67" i="32"/>
  <c r="C67" i="32"/>
  <c r="F83" i="32"/>
  <c r="C83" i="32"/>
  <c r="F90" i="32"/>
  <c r="C90" i="32"/>
  <c r="F112" i="32"/>
  <c r="C112" i="32"/>
  <c r="F121" i="32"/>
  <c r="G121" i="32" s="1"/>
  <c r="J121" i="32" s="1"/>
  <c r="C121" i="32"/>
  <c r="E147" i="32"/>
  <c r="F166" i="32"/>
  <c r="G166" i="32" s="1"/>
  <c r="J166" i="32" s="1"/>
  <c r="C166" i="32"/>
  <c r="F200" i="32"/>
  <c r="G200" i="32" s="1"/>
  <c r="J200" i="32" s="1"/>
  <c r="C200" i="32"/>
  <c r="F210" i="32"/>
  <c r="I213" i="32"/>
  <c r="F221" i="32"/>
  <c r="C221" i="32"/>
  <c r="C234" i="32"/>
  <c r="I234" i="32"/>
  <c r="E179" i="32"/>
  <c r="F234" i="32"/>
  <c r="G234" i="32" s="1"/>
  <c r="G6" i="32"/>
  <c r="E90" i="32"/>
  <c r="I90" i="32" s="1"/>
  <c r="F124" i="32"/>
  <c r="G124" i="32" s="1"/>
  <c r="E151" i="32"/>
  <c r="E170" i="32"/>
  <c r="E175" i="32"/>
  <c r="F206" i="32"/>
  <c r="F214" i="32"/>
  <c r="F230" i="32"/>
  <c r="C232" i="32"/>
  <c r="G29" i="32"/>
  <c r="G30" i="32"/>
  <c r="J30" i="32" s="1"/>
  <c r="F128" i="32"/>
  <c r="C128" i="32"/>
  <c r="E75" i="32"/>
  <c r="I75" i="32" s="1"/>
  <c r="E87" i="32"/>
  <c r="I87" i="32" s="1"/>
  <c r="C118" i="32"/>
  <c r="F118" i="32"/>
  <c r="H16" i="32"/>
  <c r="H18" i="32"/>
  <c r="E115" i="32"/>
  <c r="I115" i="32" s="1"/>
  <c r="E114" i="32"/>
  <c r="E116" i="32"/>
  <c r="I116" i="32" s="1"/>
  <c r="E113" i="32"/>
  <c r="I113" i="32" s="1"/>
  <c r="C43" i="32"/>
  <c r="I49" i="32"/>
  <c r="F50" i="32"/>
  <c r="G50" i="32" s="1"/>
  <c r="E138" i="32"/>
  <c r="E139" i="32"/>
  <c r="C53" i="32"/>
  <c r="E54" i="32"/>
  <c r="I54" i="32" s="1"/>
  <c r="C57" i="32"/>
  <c r="E58" i="32"/>
  <c r="I58" i="32" s="1"/>
  <c r="C61" i="32"/>
  <c r="E62" i="32"/>
  <c r="I62" i="32" s="1"/>
  <c r="C65" i="32"/>
  <c r="E66" i="32"/>
  <c r="I66" i="32" s="1"/>
  <c r="C69" i="32"/>
  <c r="E70" i="32"/>
  <c r="I70" i="32" s="1"/>
  <c r="C73" i="32"/>
  <c r="E74" i="32"/>
  <c r="I74" i="32" s="1"/>
  <c r="C77" i="32"/>
  <c r="E78" i="32"/>
  <c r="I78" i="32" s="1"/>
  <c r="C81" i="32"/>
  <c r="E82" i="32"/>
  <c r="I82" i="32" s="1"/>
  <c r="E85" i="32"/>
  <c r="I85" i="32" s="1"/>
  <c r="C91" i="32"/>
  <c r="F103" i="32"/>
  <c r="C103" i="32"/>
  <c r="C116" i="32"/>
  <c r="E118" i="32"/>
  <c r="I118" i="32" s="1"/>
  <c r="E137" i="32"/>
  <c r="E140" i="32"/>
  <c r="E143" i="32"/>
  <c r="E71" i="32"/>
  <c r="I71" i="32" s="1"/>
  <c r="E83" i="32"/>
  <c r="I83" i="32" s="1"/>
  <c r="E141" i="32"/>
  <c r="G15" i="32"/>
  <c r="G17" i="32"/>
  <c r="F40" i="32"/>
  <c r="E249" i="32"/>
  <c r="E250" i="32"/>
  <c r="E247" i="32"/>
  <c r="E248" i="32"/>
  <c r="E53" i="32"/>
  <c r="I53" i="32" s="1"/>
  <c r="F54" i="32"/>
  <c r="E57" i="32"/>
  <c r="I57" i="32" s="1"/>
  <c r="E61" i="32"/>
  <c r="I61" i="32" s="1"/>
  <c r="E65" i="32"/>
  <c r="I65" i="32" s="1"/>
  <c r="E69" i="32"/>
  <c r="I69" i="32" s="1"/>
  <c r="E73" i="32"/>
  <c r="I73" i="32" s="1"/>
  <c r="E77" i="32"/>
  <c r="I77" i="32" s="1"/>
  <c r="E81" i="32"/>
  <c r="I81" i="32" s="1"/>
  <c r="F85" i="32"/>
  <c r="E88" i="32"/>
  <c r="I88" i="32" s="1"/>
  <c r="E91" i="32"/>
  <c r="I91" i="32" s="1"/>
  <c r="F111" i="32"/>
  <c r="C111" i="32"/>
  <c r="E117" i="32"/>
  <c r="I117" i="32" s="1"/>
  <c r="H15" i="32"/>
  <c r="M73" i="5" s="1"/>
  <c r="H17" i="32"/>
  <c r="E19" i="32"/>
  <c r="E245" i="32"/>
  <c r="E246" i="32"/>
  <c r="E244" i="32"/>
  <c r="E243" i="32"/>
  <c r="E134" i="32"/>
  <c r="E52" i="32"/>
  <c r="I52" i="32" s="1"/>
  <c r="E64" i="32"/>
  <c r="I64" i="32" s="1"/>
  <c r="E76" i="32"/>
  <c r="I76" i="32" s="1"/>
  <c r="E84" i="32"/>
  <c r="I84" i="32" s="1"/>
  <c r="E89" i="32"/>
  <c r="I89" i="32" s="1"/>
  <c r="C93" i="32"/>
  <c r="F93" i="32"/>
  <c r="C100" i="32"/>
  <c r="C110" i="32"/>
  <c r="F110" i="32"/>
  <c r="I120" i="32"/>
  <c r="F120" i="32"/>
  <c r="C120" i="32"/>
  <c r="F125" i="32"/>
  <c r="C127" i="32"/>
  <c r="F127" i="32"/>
  <c r="I160" i="32"/>
  <c r="C160" i="32"/>
  <c r="I186" i="32"/>
  <c r="F186" i="32"/>
  <c r="C186" i="32"/>
  <c r="F160" i="32"/>
  <c r="F171" i="32"/>
  <c r="C177" i="32"/>
  <c r="F177" i="32"/>
  <c r="I177" i="32"/>
  <c r="C215" i="32"/>
  <c r="F215" i="32"/>
  <c r="I235" i="32"/>
  <c r="C235" i="32"/>
  <c r="F235" i="32"/>
  <c r="E180" i="32"/>
  <c r="F240" i="32"/>
  <c r="I240" i="32"/>
  <c r="E185" i="32"/>
  <c r="C240" i="32"/>
  <c r="F204" i="32"/>
  <c r="C204" i="32"/>
  <c r="F236" i="32"/>
  <c r="I236" i="32"/>
  <c r="C187" i="32"/>
  <c r="I219" i="32"/>
  <c r="C219" i="32"/>
  <c r="F219" i="32"/>
  <c r="F224" i="32"/>
  <c r="C224" i="32"/>
  <c r="C231" i="32"/>
  <c r="E176" i="32"/>
  <c r="C236" i="32"/>
  <c r="C178" i="32"/>
  <c r="I181" i="32"/>
  <c r="C199" i="32"/>
  <c r="F220" i="32"/>
  <c r="I220" i="32"/>
  <c r="I239" i="32"/>
  <c r="C239" i="32"/>
  <c r="F239" i="32"/>
  <c r="G239" i="32" s="1"/>
  <c r="E184" i="32"/>
  <c r="F208" i="32"/>
  <c r="C223" i="32"/>
  <c r="F228" i="32"/>
  <c r="C207" i="32"/>
  <c r="F212" i="32"/>
  <c r="F216" i="32"/>
  <c r="G216" i="32" s="1"/>
  <c r="I216" i="32"/>
  <c r="C227" i="32"/>
  <c r="F232" i="32"/>
  <c r="J252" i="32"/>
  <c r="J256" i="32"/>
  <c r="J264" i="32"/>
  <c r="E10" i="26"/>
  <c r="F10" i="26" s="1"/>
  <c r="M71" i="5" l="1"/>
  <c r="J5" i="32"/>
  <c r="M72" i="5"/>
  <c r="K71" i="5"/>
  <c r="J18" i="32"/>
  <c r="J7" i="32"/>
  <c r="O71" i="5" s="1"/>
  <c r="E157" i="32"/>
  <c r="I157" i="32" s="1"/>
  <c r="E171" i="32"/>
  <c r="I171" i="32" s="1"/>
  <c r="G33" i="32"/>
  <c r="J33" i="32" s="1"/>
  <c r="J17" i="32"/>
  <c r="F173" i="32"/>
  <c r="G173" i="32" s="1"/>
  <c r="J173" i="32" s="1"/>
  <c r="F157" i="32"/>
  <c r="C183" i="32"/>
  <c r="C164" i="32"/>
  <c r="G68" i="32"/>
  <c r="J68" i="32" s="1"/>
  <c r="F172" i="32"/>
  <c r="G172" i="32" s="1"/>
  <c r="J172" i="32" s="1"/>
  <c r="K72" i="5"/>
  <c r="F164" i="32"/>
  <c r="G164" i="32" s="1"/>
  <c r="C174" i="32"/>
  <c r="C182" i="32"/>
  <c r="E182" i="32"/>
  <c r="I182" i="32" s="1"/>
  <c r="F174" i="32"/>
  <c r="G174" i="32" s="1"/>
  <c r="J174" i="32" s="1"/>
  <c r="F168" i="32"/>
  <c r="G168" i="32" s="1"/>
  <c r="J168" i="32" s="1"/>
  <c r="C172" i="32"/>
  <c r="C173" i="32"/>
  <c r="C161" i="32"/>
  <c r="C168" i="32"/>
  <c r="F158" i="32"/>
  <c r="G158" i="32" s="1"/>
  <c r="J158" i="32" s="1"/>
  <c r="F161" i="32"/>
  <c r="G161" i="32" s="1"/>
  <c r="J161" i="32" s="1"/>
  <c r="C158" i="32"/>
  <c r="G72" i="32"/>
  <c r="J72" i="32" s="1"/>
  <c r="J202" i="32"/>
  <c r="G67" i="32"/>
  <c r="J67" i="32" s="1"/>
  <c r="C167" i="32"/>
  <c r="G80" i="32"/>
  <c r="J80" i="32" s="1"/>
  <c r="F167" i="32"/>
  <c r="G167" i="32" s="1"/>
  <c r="J167" i="32" s="1"/>
  <c r="F183" i="32"/>
  <c r="G183" i="32" s="1"/>
  <c r="J183" i="32" s="1"/>
  <c r="G238" i="32"/>
  <c r="J238" i="32" s="1"/>
  <c r="J124" i="32"/>
  <c r="G93" i="32"/>
  <c r="J93" i="32" s="1"/>
  <c r="G92" i="32"/>
  <c r="J92" i="32" s="1"/>
  <c r="G86" i="32"/>
  <c r="J86" i="32" s="1"/>
  <c r="F146" i="32"/>
  <c r="G146" i="32" s="1"/>
  <c r="J146" i="32" s="1"/>
  <c r="G232" i="32"/>
  <c r="J232" i="32" s="1"/>
  <c r="G210" i="32"/>
  <c r="J210" i="32" s="1"/>
  <c r="J234" i="32"/>
  <c r="J213" i="32"/>
  <c r="E149" i="32"/>
  <c r="I149" i="32" s="1"/>
  <c r="C149" i="32"/>
  <c r="C175" i="32"/>
  <c r="J16" i="32"/>
  <c r="G221" i="32"/>
  <c r="J221" i="32" s="1"/>
  <c r="C145" i="32"/>
  <c r="F145" i="32"/>
  <c r="G145" i="32" s="1"/>
  <c r="J145" i="32" s="1"/>
  <c r="G230" i="32"/>
  <c r="J230" i="32" s="1"/>
  <c r="J50" i="32"/>
  <c r="G218" i="32"/>
  <c r="J218" i="32" s="1"/>
  <c r="I241" i="32"/>
  <c r="J241" i="32" s="1"/>
  <c r="J209" i="32"/>
  <c r="F144" i="32"/>
  <c r="G144" i="32" s="1"/>
  <c r="J144" i="32" s="1"/>
  <c r="G237" i="32"/>
  <c r="J237" i="32" s="1"/>
  <c r="G122" i="32"/>
  <c r="J122" i="32" s="1"/>
  <c r="G214" i="32"/>
  <c r="J214" i="32" s="1"/>
  <c r="G88" i="32"/>
  <c r="J88" i="32" s="1"/>
  <c r="G56" i="32"/>
  <c r="J56" i="32" s="1"/>
  <c r="C146" i="32"/>
  <c r="E152" i="32"/>
  <c r="I152" i="32" s="1"/>
  <c r="C152" i="32"/>
  <c r="G208" i="32"/>
  <c r="J208" i="32" s="1"/>
  <c r="C144" i="32"/>
  <c r="C153" i="32"/>
  <c r="E153" i="32"/>
  <c r="I153" i="32" s="1"/>
  <c r="G242" i="32"/>
  <c r="J242" i="32" s="1"/>
  <c r="J239" i="32"/>
  <c r="G206" i="32"/>
  <c r="J206" i="32" s="1"/>
  <c r="G90" i="32"/>
  <c r="J90" i="32" s="1"/>
  <c r="C159" i="32"/>
  <c r="E159" i="32"/>
  <c r="I159" i="32" s="1"/>
  <c r="F153" i="32"/>
  <c r="C136" i="32"/>
  <c r="G222" i="32"/>
  <c r="J222" i="32" s="1"/>
  <c r="G225" i="32"/>
  <c r="J225" i="32" s="1"/>
  <c r="E163" i="32"/>
  <c r="I163" i="32" s="1"/>
  <c r="F163" i="32"/>
  <c r="G113" i="32"/>
  <c r="J113" i="32" s="1"/>
  <c r="G127" i="32"/>
  <c r="J127" i="32" s="1"/>
  <c r="E133" i="32"/>
  <c r="I133" i="32" s="1"/>
  <c r="E135" i="32"/>
  <c r="I135" i="32" s="1"/>
  <c r="G79" i="32"/>
  <c r="J79" i="32" s="1"/>
  <c r="F165" i="32"/>
  <c r="E165" i="32"/>
  <c r="I165" i="32" s="1"/>
  <c r="F162" i="32"/>
  <c r="E162" i="32"/>
  <c r="I162" i="32" s="1"/>
  <c r="C162" i="32"/>
  <c r="G63" i="32"/>
  <c r="J63" i="32" s="1"/>
  <c r="G55" i="32"/>
  <c r="J55" i="32" s="1"/>
  <c r="G117" i="32"/>
  <c r="J117" i="32" s="1"/>
  <c r="J216" i="32"/>
  <c r="G91" i="32"/>
  <c r="J91" i="32" s="1"/>
  <c r="G118" i="32"/>
  <c r="J118" i="32" s="1"/>
  <c r="J6" i="32"/>
  <c r="F175" i="32"/>
  <c r="G175" i="32" s="1"/>
  <c r="I175" i="32"/>
  <c r="G123" i="32"/>
  <c r="J123" i="32" s="1"/>
  <c r="I136" i="32"/>
  <c r="F136" i="32"/>
  <c r="G78" i="32"/>
  <c r="J78" i="32" s="1"/>
  <c r="G43" i="32"/>
  <c r="J43" i="32" s="1"/>
  <c r="C151" i="32"/>
  <c r="F151" i="32"/>
  <c r="I151" i="32"/>
  <c r="F154" i="32"/>
  <c r="C154" i="32"/>
  <c r="I154" i="32"/>
  <c r="G233" i="32"/>
  <c r="J233" i="32" s="1"/>
  <c r="C165" i="32"/>
  <c r="G54" i="32"/>
  <c r="J54" i="32" s="1"/>
  <c r="G60" i="32"/>
  <c r="J60" i="32" s="1"/>
  <c r="G76" i="32"/>
  <c r="J76" i="32" s="1"/>
  <c r="G61" i="32"/>
  <c r="J61" i="32" s="1"/>
  <c r="I170" i="32"/>
  <c r="F170" i="32"/>
  <c r="C170" i="32"/>
  <c r="F179" i="32"/>
  <c r="I179" i="32"/>
  <c r="C179" i="32"/>
  <c r="G59" i="32"/>
  <c r="J59" i="32" s="1"/>
  <c r="G178" i="32"/>
  <c r="J178" i="32" s="1"/>
  <c r="G77" i="32"/>
  <c r="J77" i="32" s="1"/>
  <c r="G155" i="32"/>
  <c r="J155" i="32" s="1"/>
  <c r="G81" i="32"/>
  <c r="J81" i="32" s="1"/>
  <c r="G53" i="32"/>
  <c r="J53" i="32" s="1"/>
  <c r="C147" i="32"/>
  <c r="I147" i="32"/>
  <c r="F147" i="32"/>
  <c r="G147" i="32" s="1"/>
  <c r="G226" i="32"/>
  <c r="J226" i="32" s="1"/>
  <c r="I150" i="32"/>
  <c r="F150" i="32"/>
  <c r="G150" i="32" s="1"/>
  <c r="C150" i="32"/>
  <c r="I243" i="32"/>
  <c r="C243" i="32"/>
  <c r="F243" i="32"/>
  <c r="E188" i="32"/>
  <c r="G73" i="32"/>
  <c r="J73" i="32" s="1"/>
  <c r="I187" i="32"/>
  <c r="G187" i="32"/>
  <c r="F176" i="32"/>
  <c r="C176" i="32"/>
  <c r="I176" i="32"/>
  <c r="F249" i="32"/>
  <c r="I249" i="32"/>
  <c r="C249" i="32"/>
  <c r="E194" i="32"/>
  <c r="C143" i="32"/>
  <c r="F143" i="32"/>
  <c r="I143" i="32"/>
  <c r="G240" i="32"/>
  <c r="J240" i="32" s="1"/>
  <c r="G207" i="32"/>
  <c r="J207" i="32" s="1"/>
  <c r="G177" i="32"/>
  <c r="J177" i="32" s="1"/>
  <c r="G125" i="32"/>
  <c r="J125" i="32" s="1"/>
  <c r="C135" i="32"/>
  <c r="F135" i="32"/>
  <c r="F244" i="32"/>
  <c r="I244" i="32"/>
  <c r="C244" i="32"/>
  <c r="E189" i="32"/>
  <c r="G85" i="32"/>
  <c r="J85" i="32" s="1"/>
  <c r="F248" i="32"/>
  <c r="I248" i="32"/>
  <c r="C248" i="32"/>
  <c r="E193" i="32"/>
  <c r="J15" i="32"/>
  <c r="G19" i="32"/>
  <c r="K73" i="5" s="1"/>
  <c r="I140" i="32"/>
  <c r="F140" i="32"/>
  <c r="C140" i="32"/>
  <c r="C139" i="32"/>
  <c r="I139" i="32"/>
  <c r="F139" i="32"/>
  <c r="G84" i="32"/>
  <c r="J84" i="32" s="1"/>
  <c r="G49" i="32"/>
  <c r="J49" i="32" s="1"/>
  <c r="G75" i="32"/>
  <c r="J75" i="32" s="1"/>
  <c r="G65" i="32"/>
  <c r="J65" i="32" s="1"/>
  <c r="G82" i="32"/>
  <c r="J82" i="32" s="1"/>
  <c r="G58" i="32"/>
  <c r="J58" i="32" s="1"/>
  <c r="G69" i="32"/>
  <c r="J69" i="32" s="1"/>
  <c r="G169" i="32"/>
  <c r="J169" i="32" s="1"/>
  <c r="F180" i="32"/>
  <c r="G180" i="32" s="1"/>
  <c r="I180" i="32"/>
  <c r="C180" i="32"/>
  <c r="G215" i="32"/>
  <c r="J215" i="32" s="1"/>
  <c r="I164" i="32"/>
  <c r="G115" i="32"/>
  <c r="J115" i="32" s="1"/>
  <c r="F134" i="32"/>
  <c r="I134" i="32"/>
  <c r="C134" i="32"/>
  <c r="C246" i="32"/>
  <c r="I246" i="32"/>
  <c r="E191" i="32"/>
  <c r="F246" i="32"/>
  <c r="G246" i="32" s="1"/>
  <c r="I247" i="32"/>
  <c r="C247" i="32"/>
  <c r="E192" i="32"/>
  <c r="F247" i="32"/>
  <c r="F137" i="32"/>
  <c r="G137" i="32" s="1"/>
  <c r="I137" i="32"/>
  <c r="C137" i="32"/>
  <c r="I138" i="32"/>
  <c r="C138" i="32"/>
  <c r="F138" i="32"/>
  <c r="G116" i="32"/>
  <c r="J116" i="32" s="1"/>
  <c r="G74" i="32"/>
  <c r="J74" i="32" s="1"/>
  <c r="G57" i="32"/>
  <c r="J57" i="32" s="1"/>
  <c r="G83" i="32"/>
  <c r="J83" i="32" s="1"/>
  <c r="G89" i="32"/>
  <c r="J89" i="32" s="1"/>
  <c r="G62" i="32"/>
  <c r="J62" i="32" s="1"/>
  <c r="G66" i="32"/>
  <c r="J66" i="32" s="1"/>
  <c r="F129" i="32"/>
  <c r="C129" i="32"/>
  <c r="F141" i="32"/>
  <c r="G141" i="32" s="1"/>
  <c r="I141" i="32"/>
  <c r="C141" i="32"/>
  <c r="G220" i="32"/>
  <c r="J220" i="32" s="1"/>
  <c r="G224" i="32"/>
  <c r="J224" i="32" s="1"/>
  <c r="I223" i="32"/>
  <c r="G223" i="32"/>
  <c r="I184" i="32"/>
  <c r="C184" i="32"/>
  <c r="F184" i="32"/>
  <c r="G231" i="32"/>
  <c r="J231" i="32" s="1"/>
  <c r="G219" i="32"/>
  <c r="J219" i="32" s="1"/>
  <c r="G236" i="32"/>
  <c r="J236" i="32" s="1"/>
  <c r="C185" i="32"/>
  <c r="F185" i="32"/>
  <c r="G185" i="32" s="1"/>
  <c r="I185" i="32"/>
  <c r="G235" i="32"/>
  <c r="J235" i="32" s="1"/>
  <c r="G160" i="32"/>
  <c r="G186" i="32"/>
  <c r="J186" i="32" s="1"/>
  <c r="G120" i="32"/>
  <c r="J120" i="32" s="1"/>
  <c r="F245" i="32"/>
  <c r="I245" i="32"/>
  <c r="C245" i="32"/>
  <c r="E190" i="32"/>
  <c r="G181" i="32"/>
  <c r="J181" i="32" s="1"/>
  <c r="C250" i="32"/>
  <c r="F250" i="32"/>
  <c r="I250" i="32"/>
  <c r="E195" i="32"/>
  <c r="G142" i="32"/>
  <c r="J142" i="32" s="1"/>
  <c r="I114" i="32"/>
  <c r="G114" i="32"/>
  <c r="G87" i="32"/>
  <c r="J87" i="32" s="1"/>
  <c r="G70" i="32"/>
  <c r="J70" i="32" s="1"/>
  <c r="G71" i="32"/>
  <c r="J71" i="32" s="1"/>
  <c r="G52" i="32"/>
  <c r="J52" i="32" s="1"/>
  <c r="G64" i="32"/>
  <c r="J64" i="32" s="1"/>
  <c r="E19" i="26"/>
  <c r="N25" i="5"/>
  <c r="C21" i="23"/>
  <c r="AH190" i="4" l="1"/>
  <c r="AH188" i="4"/>
  <c r="J9" i="32"/>
  <c r="G171" i="32"/>
  <c r="J171" i="32" s="1"/>
  <c r="G157" i="32"/>
  <c r="J157" i="32" s="1"/>
  <c r="G182" i="32"/>
  <c r="J182" i="32" s="1"/>
  <c r="O72" i="5"/>
  <c r="J160" i="32"/>
  <c r="K77" i="5"/>
  <c r="G149" i="32"/>
  <c r="J149" i="32" s="1"/>
  <c r="J19" i="32"/>
  <c r="O73" i="5" s="1"/>
  <c r="G165" i="32"/>
  <c r="J165" i="32" s="1"/>
  <c r="J246" i="32"/>
  <c r="G152" i="32"/>
  <c r="J152" i="32" s="1"/>
  <c r="J150" i="32"/>
  <c r="J147" i="32"/>
  <c r="G163" i="32"/>
  <c r="J163" i="32" s="1"/>
  <c r="J185" i="32"/>
  <c r="G153" i="32"/>
  <c r="J153" i="32" s="1"/>
  <c r="G162" i="32"/>
  <c r="J162" i="32" s="1"/>
  <c r="J114" i="32"/>
  <c r="J223" i="32"/>
  <c r="G159" i="32"/>
  <c r="J159" i="32" s="1"/>
  <c r="J180" i="32"/>
  <c r="J175" i="32"/>
  <c r="J137" i="32"/>
  <c r="J141" i="32"/>
  <c r="G247" i="32"/>
  <c r="J247" i="32" s="1"/>
  <c r="G134" i="32"/>
  <c r="J134" i="32" s="1"/>
  <c r="G179" i="32"/>
  <c r="J179" i="32" s="1"/>
  <c r="G151" i="32"/>
  <c r="J151" i="32" s="1"/>
  <c r="G136" i="32"/>
  <c r="J136" i="32" s="1"/>
  <c r="G138" i="32"/>
  <c r="J138" i="32" s="1"/>
  <c r="G243" i="32"/>
  <c r="J243" i="32" s="1"/>
  <c r="G176" i="32"/>
  <c r="J176" i="32" s="1"/>
  <c r="G170" i="32"/>
  <c r="J170" i="32" s="1"/>
  <c r="G154" i="32"/>
  <c r="J154" i="32" s="1"/>
  <c r="F195" i="32"/>
  <c r="I195" i="32"/>
  <c r="C195" i="32"/>
  <c r="G184" i="32"/>
  <c r="J184" i="32" s="1"/>
  <c r="F191" i="32"/>
  <c r="G191" i="32" s="1"/>
  <c r="C191" i="32"/>
  <c r="I191" i="32"/>
  <c r="G139" i="32"/>
  <c r="J139" i="32" s="1"/>
  <c r="G140" i="32"/>
  <c r="J140" i="32" s="1"/>
  <c r="G248" i="32"/>
  <c r="J248" i="32" s="1"/>
  <c r="C189" i="32"/>
  <c r="F189" i="32"/>
  <c r="G189" i="32" s="1"/>
  <c r="I189" i="32"/>
  <c r="G135" i="32"/>
  <c r="J135" i="32" s="1"/>
  <c r="I194" i="32"/>
  <c r="C194" i="32"/>
  <c r="F194" i="32"/>
  <c r="G194" i="32" s="1"/>
  <c r="C188" i="32"/>
  <c r="F188" i="32"/>
  <c r="I188" i="32"/>
  <c r="I190" i="32"/>
  <c r="F190" i="32"/>
  <c r="G190" i="32" s="1"/>
  <c r="C190" i="32"/>
  <c r="C193" i="32"/>
  <c r="F193" i="32"/>
  <c r="I193" i="32"/>
  <c r="G250" i="32"/>
  <c r="J250" i="32" s="1"/>
  <c r="G245" i="32"/>
  <c r="J245" i="32" s="1"/>
  <c r="F192" i="32"/>
  <c r="I192" i="32"/>
  <c r="C192" i="32"/>
  <c r="J164" i="32"/>
  <c r="G143" i="32"/>
  <c r="J143" i="32" s="1"/>
  <c r="G244" i="32"/>
  <c r="J244" i="32" s="1"/>
  <c r="G249" i="32"/>
  <c r="J249" i="32" s="1"/>
  <c r="J187" i="32"/>
  <c r="AB184" i="4"/>
  <c r="AB183" i="4"/>
  <c r="AB182" i="4"/>
  <c r="AB181" i="4"/>
  <c r="AB180" i="4"/>
  <c r="AB179" i="4"/>
  <c r="AB178" i="4"/>
  <c r="AB177" i="4"/>
  <c r="B101" i="32" s="1"/>
  <c r="AB176" i="4"/>
  <c r="AB175" i="4"/>
  <c r="AB174" i="4"/>
  <c r="AB173" i="4"/>
  <c r="B95" i="32" s="1"/>
  <c r="AF172" i="4"/>
  <c r="B105" i="32" s="1"/>
  <c r="AE172" i="4"/>
  <c r="B104" i="32" s="1"/>
  <c r="AC172" i="4"/>
  <c r="B102" i="32" s="1"/>
  <c r="AF171" i="4"/>
  <c r="AE171" i="4"/>
  <c r="AC171" i="4"/>
  <c r="AF170" i="4"/>
  <c r="AE170" i="4"/>
  <c r="AC170" i="4"/>
  <c r="AF169" i="4"/>
  <c r="B99" i="32" s="1"/>
  <c r="AE169" i="4"/>
  <c r="B98" i="32" s="1"/>
  <c r="AC169" i="4"/>
  <c r="B96" i="32" s="1"/>
  <c r="AF168" i="4"/>
  <c r="AE168" i="4"/>
  <c r="AC168" i="4"/>
  <c r="AC125" i="4"/>
  <c r="AC124" i="4"/>
  <c r="AC123" i="4"/>
  <c r="AC122" i="4"/>
  <c r="B211" i="32" s="1"/>
  <c r="AC121" i="4"/>
  <c r="AC120" i="4"/>
  <c r="AC119" i="4"/>
  <c r="AC118" i="4"/>
  <c r="AF114" i="4"/>
  <c r="AF113" i="4"/>
  <c r="AF112" i="4"/>
  <c r="AF111" i="4"/>
  <c r="AF110" i="4"/>
  <c r="AF109" i="4"/>
  <c r="AF108" i="4"/>
  <c r="AF107" i="4"/>
  <c r="AF106" i="4"/>
  <c r="AF105" i="4"/>
  <c r="AF104" i="4"/>
  <c r="AF103" i="4"/>
  <c r="AF102" i="4"/>
  <c r="AF101" i="4"/>
  <c r="AF100" i="4"/>
  <c r="AF99" i="4"/>
  <c r="AF98" i="4"/>
  <c r="AF97" i="4"/>
  <c r="AF96" i="4"/>
  <c r="AF95" i="4"/>
  <c r="AF94" i="4"/>
  <c r="AF93" i="4"/>
  <c r="AF92" i="4"/>
  <c r="AF91" i="4"/>
  <c r="AF90" i="4"/>
  <c r="AF89" i="4"/>
  <c r="AF88" i="4"/>
  <c r="AF87" i="4"/>
  <c r="AF86" i="4"/>
  <c r="AF85" i="4"/>
  <c r="AF84" i="4"/>
  <c r="AF83" i="4"/>
  <c r="AF82" i="4"/>
  <c r="AF81" i="4"/>
  <c r="AF80" i="4"/>
  <c r="AF79" i="4"/>
  <c r="AF78" i="4"/>
  <c r="AF77" i="4"/>
  <c r="AF76" i="4"/>
  <c r="AF75" i="4"/>
  <c r="AF74" i="4"/>
  <c r="AF73" i="4"/>
  <c r="AF72" i="4"/>
  <c r="AF71" i="4"/>
  <c r="AF70" i="4"/>
  <c r="AF69" i="4"/>
  <c r="AF68" i="4"/>
  <c r="AF67" i="4"/>
  <c r="AF66" i="4"/>
  <c r="AC44" i="4"/>
  <c r="B203" i="32" s="1"/>
  <c r="W125" i="4"/>
  <c r="W124" i="4"/>
  <c r="W123" i="4"/>
  <c r="W122" i="4"/>
  <c r="B212" i="31" s="1"/>
  <c r="B157" i="31" s="1"/>
  <c r="W121" i="4"/>
  <c r="W120" i="4"/>
  <c r="W119" i="4"/>
  <c r="W118" i="4"/>
  <c r="U184" i="4"/>
  <c r="U183" i="4"/>
  <c r="U182" i="4"/>
  <c r="U181" i="4"/>
  <c r="U180" i="4"/>
  <c r="U179" i="4"/>
  <c r="U178" i="4"/>
  <c r="U177" i="4"/>
  <c r="B101" i="31" s="1"/>
  <c r="U176" i="4"/>
  <c r="U175" i="4"/>
  <c r="U174" i="4"/>
  <c r="U173" i="4"/>
  <c r="B95" i="31" s="1"/>
  <c r="Y172" i="4"/>
  <c r="B111" i="31" s="1"/>
  <c r="X172" i="4"/>
  <c r="B110" i="31" s="1"/>
  <c r="V172" i="4"/>
  <c r="B108" i="31" s="1"/>
  <c r="Y171" i="4"/>
  <c r="X171" i="4"/>
  <c r="V171" i="4"/>
  <c r="Y170" i="4"/>
  <c r="X170" i="4"/>
  <c r="V170" i="4"/>
  <c r="Y169" i="4"/>
  <c r="B105" i="31" s="1"/>
  <c r="X169" i="4"/>
  <c r="B104" i="31" s="1"/>
  <c r="V169" i="4"/>
  <c r="B102" i="31" s="1"/>
  <c r="Y168" i="4"/>
  <c r="X168" i="4"/>
  <c r="V168" i="4"/>
  <c r="V125" i="4"/>
  <c r="V124" i="4"/>
  <c r="V123" i="4"/>
  <c r="V122" i="4"/>
  <c r="B211" i="31" s="1"/>
  <c r="B156" i="31" s="1"/>
  <c r="V121" i="4"/>
  <c r="V120" i="4"/>
  <c r="V119" i="4"/>
  <c r="V118" i="4"/>
  <c r="Y114" i="4"/>
  <c r="Y113" i="4"/>
  <c r="Y112" i="4"/>
  <c r="Y111" i="4"/>
  <c r="Y110" i="4"/>
  <c r="Y109" i="4"/>
  <c r="Y108" i="4"/>
  <c r="Y107" i="4"/>
  <c r="Y106" i="4"/>
  <c r="Y105" i="4"/>
  <c r="Y104" i="4"/>
  <c r="Y103" i="4"/>
  <c r="Y102" i="4"/>
  <c r="Y101" i="4"/>
  <c r="Y100" i="4"/>
  <c r="Y99" i="4"/>
  <c r="Y98" i="4"/>
  <c r="Y97" i="4"/>
  <c r="Y96" i="4"/>
  <c r="Y95" i="4"/>
  <c r="Y94" i="4"/>
  <c r="Y93" i="4"/>
  <c r="Y92" i="4"/>
  <c r="Y91" i="4"/>
  <c r="Y90" i="4"/>
  <c r="Y89" i="4"/>
  <c r="Y88" i="4"/>
  <c r="Y87" i="4"/>
  <c r="Y86" i="4"/>
  <c r="Y85" i="4"/>
  <c r="Y84" i="4"/>
  <c r="Y83" i="4"/>
  <c r="Y82" i="4"/>
  <c r="Y81" i="4"/>
  <c r="Y80" i="4"/>
  <c r="Y79" i="4"/>
  <c r="Y78" i="4"/>
  <c r="Y77" i="4"/>
  <c r="Y76" i="4"/>
  <c r="Y75" i="4"/>
  <c r="Y74" i="4"/>
  <c r="Y73" i="4"/>
  <c r="Y72" i="4"/>
  <c r="Y71" i="4"/>
  <c r="Y70" i="4"/>
  <c r="Y69" i="4"/>
  <c r="Y68" i="4"/>
  <c r="Y67" i="4"/>
  <c r="Y66" i="4"/>
  <c r="V44" i="4"/>
  <c r="B203" i="31" s="1"/>
  <c r="B148" i="31" s="1"/>
  <c r="B239" i="30"/>
  <c r="B184" i="30" s="1"/>
  <c r="B235" i="30"/>
  <c r="B180" i="30" s="1"/>
  <c r="B231" i="30"/>
  <c r="B176" i="30" s="1"/>
  <c r="B227" i="30"/>
  <c r="B172" i="30" s="1"/>
  <c r="B223" i="30"/>
  <c r="B168" i="30" s="1"/>
  <c r="B219" i="30"/>
  <c r="B164" i="30" s="1"/>
  <c r="B215" i="30"/>
  <c r="B160" i="30" s="1"/>
  <c r="B207" i="30"/>
  <c r="B152" i="30" s="1"/>
  <c r="B240" i="30"/>
  <c r="B185" i="30" s="1"/>
  <c r="B236" i="30"/>
  <c r="B181" i="30" s="1"/>
  <c r="B232" i="30"/>
  <c r="B177" i="30" s="1"/>
  <c r="B228" i="30"/>
  <c r="B173" i="30" s="1"/>
  <c r="B224" i="30"/>
  <c r="B169" i="30" s="1"/>
  <c r="B220" i="30"/>
  <c r="B165" i="30" s="1"/>
  <c r="B216" i="30"/>
  <c r="B161" i="30" s="1"/>
  <c r="B208" i="30"/>
  <c r="B153" i="30" s="1"/>
  <c r="B204" i="30"/>
  <c r="B149" i="30" s="1"/>
  <c r="B241" i="30"/>
  <c r="B186" i="30" s="1"/>
  <c r="B237" i="30"/>
  <c r="B182" i="30" s="1"/>
  <c r="B233" i="30"/>
  <c r="B178" i="30" s="1"/>
  <c r="B229" i="30"/>
  <c r="B174" i="30" s="1"/>
  <c r="B225" i="30"/>
  <c r="B170" i="30" s="1"/>
  <c r="B221" i="30"/>
  <c r="B166" i="30" s="1"/>
  <c r="B217" i="30"/>
  <c r="B162" i="30" s="1"/>
  <c r="B213" i="30"/>
  <c r="B158" i="30" s="1"/>
  <c r="B209" i="30"/>
  <c r="B154" i="30" s="1"/>
  <c r="B205" i="30"/>
  <c r="B150" i="30" s="1"/>
  <c r="B242" i="30"/>
  <c r="B187" i="30" s="1"/>
  <c r="B238" i="30"/>
  <c r="B183" i="30" s="1"/>
  <c r="B234" i="30"/>
  <c r="B179" i="30" s="1"/>
  <c r="B230" i="30"/>
  <c r="B175" i="30" s="1"/>
  <c r="B226" i="30"/>
  <c r="B171" i="30" s="1"/>
  <c r="B222" i="30"/>
  <c r="B167" i="30" s="1"/>
  <c r="B218" i="30"/>
  <c r="B163" i="30" s="1"/>
  <c r="B214" i="30"/>
  <c r="B159" i="30" s="1"/>
  <c r="B210" i="30"/>
  <c r="B155" i="30" s="1"/>
  <c r="B206" i="30"/>
  <c r="B151" i="30" s="1"/>
  <c r="B202" i="30"/>
  <c r="B147" i="30" s="1"/>
  <c r="B118" i="30"/>
  <c r="B112" i="30"/>
  <c r="B106" i="30"/>
  <c r="B100" i="30"/>
  <c r="B93" i="30"/>
  <c r="B87" i="30"/>
  <c r="B81" i="30"/>
  <c r="B75" i="30"/>
  <c r="B69" i="30"/>
  <c r="B63" i="30"/>
  <c r="B117" i="30"/>
  <c r="B111" i="30"/>
  <c r="B92" i="30"/>
  <c r="B86" i="30"/>
  <c r="B80" i="30"/>
  <c r="B74" i="30"/>
  <c r="B68" i="30"/>
  <c r="B62" i="30"/>
  <c r="B116" i="30"/>
  <c r="B110" i="30"/>
  <c r="B91" i="30"/>
  <c r="B85" i="30"/>
  <c r="B79" i="30"/>
  <c r="B73" i="30"/>
  <c r="B67" i="30"/>
  <c r="B61" i="30"/>
  <c r="B115" i="30"/>
  <c r="B109" i="30"/>
  <c r="B103" i="30"/>
  <c r="B97" i="30"/>
  <c r="B90" i="30"/>
  <c r="B84" i="30"/>
  <c r="B78" i="30"/>
  <c r="B72" i="30"/>
  <c r="B66" i="30"/>
  <c r="B60" i="30"/>
  <c r="B114" i="30"/>
  <c r="B108" i="30"/>
  <c r="B89" i="30"/>
  <c r="B83" i="30"/>
  <c r="B77" i="30"/>
  <c r="B71" i="30"/>
  <c r="B65" i="30"/>
  <c r="B59" i="30"/>
  <c r="B127" i="30"/>
  <c r="E127" i="30" s="1"/>
  <c r="B126" i="30"/>
  <c r="E126" i="30" s="1"/>
  <c r="B125" i="30"/>
  <c r="E125" i="30" s="1"/>
  <c r="B124" i="30"/>
  <c r="E124" i="30" s="1"/>
  <c r="B123" i="30"/>
  <c r="E123" i="30" s="1"/>
  <c r="B122" i="30"/>
  <c r="E122" i="30" s="1"/>
  <c r="B121" i="30"/>
  <c r="E121" i="30" s="1"/>
  <c r="B120" i="30"/>
  <c r="E120" i="30" s="1"/>
  <c r="B113" i="30"/>
  <c r="B107" i="30"/>
  <c r="B88" i="30"/>
  <c r="B82" i="30"/>
  <c r="B76" i="30"/>
  <c r="B70" i="30"/>
  <c r="B64" i="30"/>
  <c r="B58" i="30"/>
  <c r="B57" i="30"/>
  <c r="B56" i="30"/>
  <c r="B55" i="30"/>
  <c r="B54" i="30"/>
  <c r="B143" i="30" s="1"/>
  <c r="B53" i="30"/>
  <c r="B141" i="30" s="1"/>
  <c r="B52" i="30"/>
  <c r="B139" i="30" s="1"/>
  <c r="B50" i="30"/>
  <c r="B137" i="30" s="1"/>
  <c r="B49" i="30"/>
  <c r="B135" i="30" s="1"/>
  <c r="B43" i="30"/>
  <c r="B42" i="30"/>
  <c r="B41" i="30"/>
  <c r="B247" i="30" s="1"/>
  <c r="B192" i="30" s="1"/>
  <c r="E25" i="31"/>
  <c r="B92" i="31" l="1"/>
  <c r="B74" i="31"/>
  <c r="B86" i="31"/>
  <c r="B80" i="31"/>
  <c r="F96" i="32"/>
  <c r="C96" i="32"/>
  <c r="F98" i="32"/>
  <c r="C98" i="32"/>
  <c r="C99" i="32"/>
  <c r="F99" i="32"/>
  <c r="C104" i="32"/>
  <c r="F104" i="32"/>
  <c r="F102" i="32"/>
  <c r="C102" i="32"/>
  <c r="C105" i="32"/>
  <c r="F105" i="32"/>
  <c r="F101" i="32"/>
  <c r="C101" i="32"/>
  <c r="C95" i="32"/>
  <c r="F95" i="32"/>
  <c r="B148" i="32"/>
  <c r="F203" i="32"/>
  <c r="C203" i="32"/>
  <c r="B156" i="32"/>
  <c r="C211" i="32"/>
  <c r="F211" i="32"/>
  <c r="J194" i="32"/>
  <c r="J190" i="32"/>
  <c r="J191" i="32"/>
  <c r="J189" i="32"/>
  <c r="G192" i="32"/>
  <c r="J192" i="32" s="1"/>
  <c r="G193" i="32"/>
  <c r="J193" i="32" s="1"/>
  <c r="G188" i="32"/>
  <c r="J188" i="32" s="1"/>
  <c r="G195" i="32"/>
  <c r="J195" i="32" s="1"/>
  <c r="E49" i="30"/>
  <c r="E50" i="30"/>
  <c r="B136" i="30"/>
  <c r="B138" i="30"/>
  <c r="B249" i="30"/>
  <c r="B194" i="30" s="1"/>
  <c r="B129" i="30"/>
  <c r="B250" i="30"/>
  <c r="B195" i="30" s="1"/>
  <c r="B140" i="30"/>
  <c r="B248" i="30"/>
  <c r="B193" i="30" s="1"/>
  <c r="B134" i="30"/>
  <c r="B142" i="30"/>
  <c r="C148" i="32" l="1"/>
  <c r="F148" i="32"/>
  <c r="E156" i="32"/>
  <c r="I156" i="32" s="1"/>
  <c r="F156" i="32"/>
  <c r="C156" i="32"/>
  <c r="AJ65" i="4"/>
  <c r="AJ64" i="4"/>
  <c r="AJ63" i="4"/>
  <c r="AJ61" i="4"/>
  <c r="AJ59" i="4"/>
  <c r="AJ58" i="4"/>
  <c r="G156" i="32" l="1"/>
  <c r="J156" i="32" s="1"/>
  <c r="O66" i="5"/>
  <c r="E62" i="5"/>
  <c r="E61" i="5"/>
  <c r="E60" i="5"/>
  <c r="E59" i="5"/>
  <c r="E58" i="5"/>
  <c r="I265" i="31"/>
  <c r="I264" i="31"/>
  <c r="I263" i="31"/>
  <c r="I262" i="31"/>
  <c r="I261" i="31"/>
  <c r="I260" i="31"/>
  <c r="I259" i="31"/>
  <c r="I258" i="31"/>
  <c r="I257" i="31"/>
  <c r="I256" i="31"/>
  <c r="I255" i="31"/>
  <c r="I254" i="31"/>
  <c r="I253" i="31"/>
  <c r="I252" i="31"/>
  <c r="I251" i="31"/>
  <c r="I36" i="31"/>
  <c r="I35" i="31"/>
  <c r="D34" i="31"/>
  <c r="D30" i="31"/>
  <c r="H30" i="31" s="1"/>
  <c r="I265" i="30"/>
  <c r="I264" i="30"/>
  <c r="I263" i="30"/>
  <c r="I262" i="30"/>
  <c r="I261" i="30"/>
  <c r="I260" i="30"/>
  <c r="I259" i="30"/>
  <c r="I258" i="30"/>
  <c r="I257" i="30"/>
  <c r="I256" i="30"/>
  <c r="I255" i="30"/>
  <c r="I254" i="30"/>
  <c r="I253" i="30"/>
  <c r="I252" i="30"/>
  <c r="I251" i="30"/>
  <c r="D34" i="30"/>
  <c r="D33" i="30"/>
  <c r="I36" i="30"/>
  <c r="I35" i="30"/>
  <c r="D30" i="30"/>
  <c r="H30" i="30" s="1"/>
  <c r="E18" i="31" l="1"/>
  <c r="H18" i="31" s="1"/>
  <c r="E17" i="31"/>
  <c r="H17" i="31" s="1"/>
  <c r="E16" i="31"/>
  <c r="H16" i="31" s="1"/>
  <c r="E15" i="31"/>
  <c r="AJ60" i="4" s="1"/>
  <c r="D14" i="31"/>
  <c r="H14" i="31" s="1"/>
  <c r="D13" i="31"/>
  <c r="H13" i="31" s="1"/>
  <c r="D12" i="31"/>
  <c r="H12" i="31" s="1"/>
  <c r="I12" i="31" s="1"/>
  <c r="E8" i="31"/>
  <c r="E7" i="31"/>
  <c r="E6" i="31"/>
  <c r="E5" i="31"/>
  <c r="D6" i="31"/>
  <c r="D7" i="31"/>
  <c r="H7" i="31" s="1"/>
  <c r="D8" i="31"/>
  <c r="H8" i="31" s="1"/>
  <c r="E29" i="31"/>
  <c r="E30" i="31"/>
  <c r="D5" i="31"/>
  <c r="A1" i="31"/>
  <c r="G265" i="31"/>
  <c r="G264" i="31"/>
  <c r="J264" i="31" s="1"/>
  <c r="G263" i="31"/>
  <c r="J263" i="31" s="1"/>
  <c r="G262" i="31"/>
  <c r="J262" i="31" s="1"/>
  <c r="G261" i="31"/>
  <c r="J261" i="31" s="1"/>
  <c r="G260" i="31"/>
  <c r="J260" i="31" s="1"/>
  <c r="G259" i="31"/>
  <c r="J259" i="31" s="1"/>
  <c r="G258" i="31"/>
  <c r="J258" i="31" s="1"/>
  <c r="G257" i="31"/>
  <c r="J257" i="31" s="1"/>
  <c r="F256" i="31"/>
  <c r="G256" i="31" s="1"/>
  <c r="J256" i="31" s="1"/>
  <c r="C256" i="31"/>
  <c r="F255" i="31"/>
  <c r="G255" i="31" s="1"/>
  <c r="J255" i="31" s="1"/>
  <c r="C255" i="31"/>
  <c r="F254" i="31"/>
  <c r="G254" i="31" s="1"/>
  <c r="J254" i="31" s="1"/>
  <c r="C254" i="31"/>
  <c r="F253" i="31"/>
  <c r="G253" i="31" s="1"/>
  <c r="J253" i="31" s="1"/>
  <c r="C253" i="31"/>
  <c r="F252" i="31"/>
  <c r="G252" i="31" s="1"/>
  <c r="J252" i="31" s="1"/>
  <c r="C252" i="31"/>
  <c r="F251" i="31"/>
  <c r="G251" i="31" s="1"/>
  <c r="C251" i="31"/>
  <c r="F221" i="31"/>
  <c r="E125" i="31"/>
  <c r="E121" i="31"/>
  <c r="F118" i="31"/>
  <c r="F117" i="31"/>
  <c r="C116" i="31"/>
  <c r="F115" i="31"/>
  <c r="F114" i="31"/>
  <c r="F113" i="31"/>
  <c r="F111" i="31"/>
  <c r="F109" i="31"/>
  <c r="C107" i="31"/>
  <c r="F106" i="31"/>
  <c r="F105" i="31"/>
  <c r="F104" i="31"/>
  <c r="C103" i="31"/>
  <c r="F102" i="31"/>
  <c r="F101" i="31"/>
  <c r="F100" i="31"/>
  <c r="C99" i="31"/>
  <c r="F98" i="31"/>
  <c r="F97" i="31"/>
  <c r="F96" i="31"/>
  <c r="F93" i="31"/>
  <c r="F92" i="31"/>
  <c r="F91" i="31"/>
  <c r="C90" i="31"/>
  <c r="C89" i="31"/>
  <c r="F88" i="31"/>
  <c r="F87" i="31"/>
  <c r="C86" i="31"/>
  <c r="F85" i="31"/>
  <c r="F84" i="31"/>
  <c r="F83" i="31"/>
  <c r="C82" i="31"/>
  <c r="C81" i="31"/>
  <c r="F80" i="31"/>
  <c r="F79" i="31"/>
  <c r="C78" i="31"/>
  <c r="C77" i="31"/>
  <c r="F76" i="31"/>
  <c r="F75" i="31"/>
  <c r="C74" i="31"/>
  <c r="F73" i="31"/>
  <c r="F72" i="31"/>
  <c r="F71" i="31"/>
  <c r="C70" i="31"/>
  <c r="F69" i="31"/>
  <c r="F68" i="31"/>
  <c r="F67" i="31"/>
  <c r="C66" i="31"/>
  <c r="F65" i="31"/>
  <c r="F64" i="31"/>
  <c r="F63" i="31"/>
  <c r="C62" i="31"/>
  <c r="F61" i="31"/>
  <c r="F60" i="31"/>
  <c r="F59" i="31"/>
  <c r="C58" i="31"/>
  <c r="C57" i="31"/>
  <c r="F56" i="31"/>
  <c r="F55" i="31"/>
  <c r="E140" i="31"/>
  <c r="F52" i="31"/>
  <c r="F36" i="31"/>
  <c r="G36" i="31" s="1"/>
  <c r="J36" i="31" s="1"/>
  <c r="C36" i="31"/>
  <c r="F35" i="31"/>
  <c r="G35" i="31" s="1"/>
  <c r="C35" i="31"/>
  <c r="I34" i="31"/>
  <c r="F34" i="31"/>
  <c r="E34" i="31"/>
  <c r="C34" i="31"/>
  <c r="I33" i="31"/>
  <c r="F33" i="31"/>
  <c r="E33" i="31"/>
  <c r="C33" i="31"/>
  <c r="F32" i="31"/>
  <c r="C32" i="31"/>
  <c r="F31" i="31"/>
  <c r="C31" i="31"/>
  <c r="I30" i="31"/>
  <c r="F30" i="31"/>
  <c r="C30" i="31"/>
  <c r="F29" i="31"/>
  <c r="C29" i="31"/>
  <c r="F25" i="31"/>
  <c r="I25" i="31"/>
  <c r="C25" i="31"/>
  <c r="F24" i="31"/>
  <c r="C24" i="31"/>
  <c r="F23" i="31"/>
  <c r="C23" i="31"/>
  <c r="F22" i="31"/>
  <c r="C22" i="31"/>
  <c r="F18" i="31"/>
  <c r="C18" i="31"/>
  <c r="F17" i="31"/>
  <c r="C17" i="31"/>
  <c r="F16" i="31"/>
  <c r="C16" i="31"/>
  <c r="F15" i="31"/>
  <c r="C15" i="31"/>
  <c r="I14" i="31"/>
  <c r="F14" i="31"/>
  <c r="C14" i="31"/>
  <c r="I13" i="31"/>
  <c r="F13" i="31"/>
  <c r="C13" i="31"/>
  <c r="F12" i="31"/>
  <c r="C12" i="31"/>
  <c r="I8" i="31"/>
  <c r="F8" i="31"/>
  <c r="C8" i="31"/>
  <c r="I7" i="31"/>
  <c r="F7" i="31"/>
  <c r="C7" i="31"/>
  <c r="F6" i="31"/>
  <c r="C6" i="31"/>
  <c r="F5" i="31"/>
  <c r="C5" i="31"/>
  <c r="G2" i="31"/>
  <c r="D2" i="31"/>
  <c r="B2" i="31"/>
  <c r="G16" i="31" l="1"/>
  <c r="J16" i="31" s="1"/>
  <c r="B136" i="31"/>
  <c r="E136" i="31" s="1"/>
  <c r="B137" i="31"/>
  <c r="E137" i="31" s="1"/>
  <c r="B134" i="31"/>
  <c r="E134" i="31" s="1"/>
  <c r="B135" i="31"/>
  <c r="F49" i="31"/>
  <c r="E49" i="31"/>
  <c r="I49" i="31" s="1"/>
  <c r="C120" i="31"/>
  <c r="E120" i="31"/>
  <c r="I120" i="31" s="1"/>
  <c r="C124" i="31"/>
  <c r="E124" i="31"/>
  <c r="I124" i="31" s="1"/>
  <c r="C50" i="31"/>
  <c r="E50" i="31"/>
  <c r="I50" i="31" s="1"/>
  <c r="F122" i="31"/>
  <c r="E122" i="31"/>
  <c r="I122" i="31" s="1"/>
  <c r="F126" i="31"/>
  <c r="E126" i="31"/>
  <c r="I126" i="31" s="1"/>
  <c r="C123" i="31"/>
  <c r="E123" i="31"/>
  <c r="I123" i="31" s="1"/>
  <c r="F127" i="31"/>
  <c r="E127" i="31"/>
  <c r="I127" i="31" s="1"/>
  <c r="AJ313" i="4"/>
  <c r="AJ312" i="4"/>
  <c r="G7" i="31"/>
  <c r="J7" i="31" s="1"/>
  <c r="AJ283" i="4"/>
  <c r="AJ287" i="4"/>
  <c r="AJ284" i="4"/>
  <c r="AJ282" i="4"/>
  <c r="AJ286" i="4"/>
  <c r="AJ288" i="4"/>
  <c r="AJ285" i="4"/>
  <c r="AJ281" i="4"/>
  <c r="AJ62" i="4"/>
  <c r="AJ304" i="4"/>
  <c r="AJ305" i="4"/>
  <c r="E213" i="31"/>
  <c r="I213" i="31" s="1"/>
  <c r="E217" i="31"/>
  <c r="I217" i="31" s="1"/>
  <c r="E225" i="31"/>
  <c r="I225" i="31" s="1"/>
  <c r="E233" i="31"/>
  <c r="I233" i="31" s="1"/>
  <c r="E237" i="31"/>
  <c r="I237" i="31" s="1"/>
  <c r="E241" i="31"/>
  <c r="I241" i="31" s="1"/>
  <c r="F202" i="31"/>
  <c r="E202" i="31"/>
  <c r="I202" i="31" s="1"/>
  <c r="E206" i="31"/>
  <c r="I206" i="31" s="1"/>
  <c r="C210" i="31"/>
  <c r="E210" i="31"/>
  <c r="I210" i="31" s="1"/>
  <c r="C214" i="31"/>
  <c r="E214" i="31"/>
  <c r="I214" i="31" s="1"/>
  <c r="C218" i="31"/>
  <c r="E218" i="31"/>
  <c r="I218" i="31" s="1"/>
  <c r="C222" i="31"/>
  <c r="E222" i="31"/>
  <c r="I222" i="31" s="1"/>
  <c r="E221" i="31"/>
  <c r="I221" i="31" s="1"/>
  <c r="C226" i="31"/>
  <c r="E226" i="31"/>
  <c r="I226" i="31" s="1"/>
  <c r="C230" i="31"/>
  <c r="E230" i="31"/>
  <c r="I230" i="31" s="1"/>
  <c r="C234" i="31"/>
  <c r="E234" i="31"/>
  <c r="I234" i="31" s="1"/>
  <c r="C238" i="31"/>
  <c r="E238" i="31"/>
  <c r="I238" i="31" s="1"/>
  <c r="C242" i="31"/>
  <c r="E242" i="31"/>
  <c r="I242" i="31" s="1"/>
  <c r="E205" i="31"/>
  <c r="I205" i="31" s="1"/>
  <c r="F207" i="31"/>
  <c r="E207" i="31"/>
  <c r="I207" i="31" s="1"/>
  <c r="F215" i="31"/>
  <c r="E215" i="31"/>
  <c r="I215" i="31" s="1"/>
  <c r="C219" i="31"/>
  <c r="E219" i="31"/>
  <c r="I219" i="31" s="1"/>
  <c r="E223" i="31"/>
  <c r="I223" i="31" s="1"/>
  <c r="F227" i="31"/>
  <c r="E231" i="31"/>
  <c r="I231" i="31" s="1"/>
  <c r="E235" i="31"/>
  <c r="I235" i="31" s="1"/>
  <c r="E239" i="31"/>
  <c r="I239" i="31" s="1"/>
  <c r="E209" i="31"/>
  <c r="I209" i="31" s="1"/>
  <c r="C204" i="31"/>
  <c r="E153" i="31"/>
  <c r="I153" i="31" s="1"/>
  <c r="E208" i="31"/>
  <c r="I208" i="31" s="1"/>
  <c r="E161" i="31"/>
  <c r="I161" i="31" s="1"/>
  <c r="E216" i="31"/>
  <c r="I216" i="31" s="1"/>
  <c r="E165" i="31"/>
  <c r="I165" i="31" s="1"/>
  <c r="E220" i="31"/>
  <c r="I220" i="31" s="1"/>
  <c r="F169" i="31"/>
  <c r="E224" i="31"/>
  <c r="I224" i="31" s="1"/>
  <c r="F173" i="31"/>
  <c r="C177" i="31"/>
  <c r="E232" i="31"/>
  <c r="I232" i="31" s="1"/>
  <c r="C181" i="31"/>
  <c r="E236" i="31"/>
  <c r="I236" i="31" s="1"/>
  <c r="E185" i="31"/>
  <c r="I185" i="31" s="1"/>
  <c r="E240" i="31"/>
  <c r="I240" i="31" s="1"/>
  <c r="I60" i="5"/>
  <c r="H15" i="31"/>
  <c r="M60" i="5" s="1"/>
  <c r="I58" i="5"/>
  <c r="H5" i="31"/>
  <c r="I59" i="5"/>
  <c r="H6" i="31"/>
  <c r="M59" i="5" s="1"/>
  <c r="C168" i="31"/>
  <c r="C41" i="31"/>
  <c r="F43" i="31"/>
  <c r="E43" i="31"/>
  <c r="I43" i="31" s="1"/>
  <c r="F42" i="31"/>
  <c r="E42" i="31"/>
  <c r="I42" i="31" s="1"/>
  <c r="E115" i="31"/>
  <c r="I115" i="31" s="1"/>
  <c r="E69" i="31"/>
  <c r="I69" i="31" s="1"/>
  <c r="F57" i="31"/>
  <c r="C60" i="31"/>
  <c r="F77" i="31"/>
  <c r="C80" i="31"/>
  <c r="C104" i="31"/>
  <c r="G15" i="31"/>
  <c r="G6" i="31"/>
  <c r="G17" i="31"/>
  <c r="J17" i="31" s="1"/>
  <c r="G12" i="31"/>
  <c r="J12" i="31" s="1"/>
  <c r="E74" i="31"/>
  <c r="I74" i="31" s="1"/>
  <c r="E92" i="31"/>
  <c r="I92" i="31" s="1"/>
  <c r="F89" i="31"/>
  <c r="C92" i="31"/>
  <c r="C118" i="31"/>
  <c r="C126" i="31"/>
  <c r="F225" i="31"/>
  <c r="C42" i="31"/>
  <c r="C71" i="31"/>
  <c r="E84" i="31"/>
  <c r="I84" i="31" s="1"/>
  <c r="C102" i="31"/>
  <c r="C127" i="31"/>
  <c r="C69" i="31"/>
  <c r="C213" i="31"/>
  <c r="C215" i="31"/>
  <c r="F235" i="31"/>
  <c r="F53" i="31"/>
  <c r="C56" i="31"/>
  <c r="C64" i="31"/>
  <c r="C67" i="31"/>
  <c r="E72" i="31"/>
  <c r="I72" i="31" s="1"/>
  <c r="C88" i="31"/>
  <c r="C97" i="31"/>
  <c r="C100" i="31"/>
  <c r="F116" i="31"/>
  <c r="F205" i="31"/>
  <c r="C217" i="31"/>
  <c r="F237" i="31"/>
  <c r="E56" i="31"/>
  <c r="I56" i="31" s="1"/>
  <c r="G14" i="31"/>
  <c r="J14" i="31" s="1"/>
  <c r="G29" i="31"/>
  <c r="C43" i="31"/>
  <c r="C52" i="31"/>
  <c r="F62" i="31"/>
  <c r="C76" i="31"/>
  <c r="E81" i="31"/>
  <c r="I81" i="31" s="1"/>
  <c r="C83" i="31"/>
  <c r="C106" i="31"/>
  <c r="C122" i="31"/>
  <c r="E162" i="31"/>
  <c r="F209" i="31"/>
  <c r="C223" i="31"/>
  <c r="E52" i="31"/>
  <c r="I52" i="31" s="1"/>
  <c r="F81" i="31"/>
  <c r="F120" i="31"/>
  <c r="F223" i="31"/>
  <c r="F229" i="31"/>
  <c r="G8" i="31"/>
  <c r="J8" i="31" s="1"/>
  <c r="G13" i="31"/>
  <c r="J13" i="31" s="1"/>
  <c r="G25" i="31"/>
  <c r="C61" i="31"/>
  <c r="C65" i="31"/>
  <c r="F66" i="31"/>
  <c r="C68" i="31"/>
  <c r="C73" i="31"/>
  <c r="F78" i="31"/>
  <c r="C85" i="31"/>
  <c r="C93" i="31"/>
  <c r="C98" i="31"/>
  <c r="F99" i="31"/>
  <c r="C101" i="31"/>
  <c r="C109" i="31"/>
  <c r="C111" i="31"/>
  <c r="C115" i="31"/>
  <c r="F124" i="31"/>
  <c r="F204" i="31"/>
  <c r="C207" i="31"/>
  <c r="F219" i="31"/>
  <c r="C221" i="31"/>
  <c r="C227" i="31"/>
  <c r="C231" i="31"/>
  <c r="C233" i="31"/>
  <c r="C239" i="31"/>
  <c r="C241" i="31"/>
  <c r="G5" i="31"/>
  <c r="G30" i="31"/>
  <c r="J30" i="31" s="1"/>
  <c r="J35" i="31"/>
  <c r="C53" i="31"/>
  <c r="C55" i="31"/>
  <c r="E65" i="31"/>
  <c r="I65" i="31" s="1"/>
  <c r="E68" i="31"/>
  <c r="I68" i="31" s="1"/>
  <c r="C72" i="31"/>
  <c r="E73" i="31"/>
  <c r="I73" i="31" s="1"/>
  <c r="F82" i="31"/>
  <c r="C84" i="31"/>
  <c r="E85" i="31"/>
  <c r="I85" i="31" s="1"/>
  <c r="C87" i="31"/>
  <c r="C105" i="31"/>
  <c r="C114" i="31"/>
  <c r="C117" i="31"/>
  <c r="E152" i="31"/>
  <c r="F231" i="31"/>
  <c r="F233" i="31"/>
  <c r="F239" i="31"/>
  <c r="F241" i="31"/>
  <c r="G33" i="31"/>
  <c r="J33" i="31" s="1"/>
  <c r="E114" i="31"/>
  <c r="I114" i="31" s="1"/>
  <c r="E178" i="31"/>
  <c r="E186" i="31"/>
  <c r="C205" i="31"/>
  <c r="C209" i="31"/>
  <c r="F213" i="31"/>
  <c r="F217" i="31"/>
  <c r="C225" i="31"/>
  <c r="C229" i="31"/>
  <c r="C235" i="31"/>
  <c r="C237" i="31"/>
  <c r="E142" i="31"/>
  <c r="E143" i="31"/>
  <c r="C54" i="31"/>
  <c r="F108" i="31"/>
  <c r="C108" i="31"/>
  <c r="G18" i="31"/>
  <c r="E53" i="31"/>
  <c r="I53" i="31" s="1"/>
  <c r="F54" i="31"/>
  <c r="C59" i="31"/>
  <c r="F70" i="31"/>
  <c r="C75" i="31"/>
  <c r="F86" i="31"/>
  <c r="E88" i="31"/>
  <c r="I88" i="31" s="1"/>
  <c r="C91" i="31"/>
  <c r="F103" i="31"/>
  <c r="F110" i="31"/>
  <c r="C110" i="31"/>
  <c r="E62" i="31"/>
  <c r="I62" i="31" s="1"/>
  <c r="E58" i="31"/>
  <c r="I58" i="31" s="1"/>
  <c r="E63" i="31"/>
  <c r="I63" i="31" s="1"/>
  <c r="E59" i="31"/>
  <c r="I59" i="31" s="1"/>
  <c r="E19" i="31"/>
  <c r="E54" i="31"/>
  <c r="I54" i="31" s="1"/>
  <c r="E55" i="31"/>
  <c r="I55" i="31" s="1"/>
  <c r="E78" i="31"/>
  <c r="I78" i="31" s="1"/>
  <c r="E79" i="31"/>
  <c r="I79" i="31" s="1"/>
  <c r="G34" i="31"/>
  <c r="J34" i="31" s="1"/>
  <c r="E249" i="31"/>
  <c r="E250" i="31"/>
  <c r="E247" i="31"/>
  <c r="F41" i="31"/>
  <c r="E248" i="31"/>
  <c r="F50" i="31"/>
  <c r="E57" i="31"/>
  <c r="I57" i="31" s="1"/>
  <c r="F58" i="31"/>
  <c r="E60" i="31"/>
  <c r="I60" i="31" s="1"/>
  <c r="C63" i="31"/>
  <c r="F74" i="31"/>
  <c r="E76" i="31"/>
  <c r="I76" i="31" s="1"/>
  <c r="C79" i="31"/>
  <c r="E89" i="31"/>
  <c r="I89" i="31" s="1"/>
  <c r="F90" i="31"/>
  <c r="C96" i="31"/>
  <c r="F107" i="31"/>
  <c r="E90" i="31"/>
  <c r="I90" i="31" s="1"/>
  <c r="E91" i="31"/>
  <c r="I91" i="31" s="1"/>
  <c r="E66" i="31"/>
  <c r="I66" i="31" s="1"/>
  <c r="E67" i="31"/>
  <c r="I67" i="31" s="1"/>
  <c r="E86" i="31"/>
  <c r="I86" i="31" s="1"/>
  <c r="C49" i="31"/>
  <c r="E61" i="31"/>
  <c r="I61" i="31" s="1"/>
  <c r="E64" i="31"/>
  <c r="I64" i="31" s="1"/>
  <c r="E77" i="31"/>
  <c r="I77" i="31" s="1"/>
  <c r="E80" i="31"/>
  <c r="I80" i="31" s="1"/>
  <c r="E93" i="31"/>
  <c r="I93" i="31" s="1"/>
  <c r="C112" i="31"/>
  <c r="F112" i="31"/>
  <c r="E118" i="31"/>
  <c r="I118" i="31" s="1"/>
  <c r="I121" i="31"/>
  <c r="C121" i="31"/>
  <c r="F125" i="31"/>
  <c r="I125" i="31"/>
  <c r="C125" i="31"/>
  <c r="I140" i="31"/>
  <c r="C140" i="31"/>
  <c r="E71" i="31"/>
  <c r="I71" i="31" s="1"/>
  <c r="E75" i="31"/>
  <c r="I75" i="31" s="1"/>
  <c r="E83" i="31"/>
  <c r="I83" i="31" s="1"/>
  <c r="E87" i="31"/>
  <c r="I87" i="31" s="1"/>
  <c r="C113" i="31"/>
  <c r="F121" i="31"/>
  <c r="E117" i="31"/>
  <c r="I117" i="31" s="1"/>
  <c r="E113" i="31"/>
  <c r="I113" i="31" s="1"/>
  <c r="E138" i="31"/>
  <c r="E139" i="31"/>
  <c r="E70" i="31"/>
  <c r="I70" i="31" s="1"/>
  <c r="E82" i="31"/>
  <c r="I82" i="31" s="1"/>
  <c r="E116" i="31"/>
  <c r="I116" i="31" s="1"/>
  <c r="F140" i="31"/>
  <c r="F123" i="31"/>
  <c r="F220" i="31"/>
  <c r="C220" i="31"/>
  <c r="F208" i="31"/>
  <c r="C208" i="31"/>
  <c r="F224" i="31"/>
  <c r="C224" i="31"/>
  <c r="F216" i="31"/>
  <c r="C216" i="31"/>
  <c r="J265" i="31"/>
  <c r="C202" i="31"/>
  <c r="C206" i="31"/>
  <c r="F206" i="31"/>
  <c r="F228" i="31"/>
  <c r="C228" i="31"/>
  <c r="F232" i="31"/>
  <c r="C232" i="31"/>
  <c r="F236" i="31"/>
  <c r="C236" i="31"/>
  <c r="F240" i="31"/>
  <c r="C240" i="31"/>
  <c r="J251" i="31"/>
  <c r="F210" i="31"/>
  <c r="F214" i="31"/>
  <c r="F218" i="31"/>
  <c r="F222" i="31"/>
  <c r="F226" i="31"/>
  <c r="F230" i="31"/>
  <c r="F234" i="31"/>
  <c r="F238" i="31"/>
  <c r="F242" i="31"/>
  <c r="AI65" i="4"/>
  <c r="AI64" i="4"/>
  <c r="AI61" i="4"/>
  <c r="AI59" i="4"/>
  <c r="AI58" i="4"/>
  <c r="AH65" i="4"/>
  <c r="AH64" i="4"/>
  <c r="AH63" i="4"/>
  <c r="AH61" i="4"/>
  <c r="AH59" i="4"/>
  <c r="AH58" i="4"/>
  <c r="E6" i="7"/>
  <c r="E6" i="30"/>
  <c r="G9" i="31" l="1"/>
  <c r="J15" i="31"/>
  <c r="G206" i="31"/>
  <c r="J206" i="31" s="1"/>
  <c r="G217" i="31"/>
  <c r="J217" i="31" s="1"/>
  <c r="C153" i="31"/>
  <c r="F161" i="31"/>
  <c r="G161" i="31" s="1"/>
  <c r="J161" i="31" s="1"/>
  <c r="G233" i="31"/>
  <c r="J233" i="31" s="1"/>
  <c r="G231" i="31"/>
  <c r="J231" i="31" s="1"/>
  <c r="AH282" i="4"/>
  <c r="AH283" i="4"/>
  <c r="AH284" i="4"/>
  <c r="AH285" i="4"/>
  <c r="AH286" i="4"/>
  <c r="AH287" i="4"/>
  <c r="AH288" i="4"/>
  <c r="AH281" i="4"/>
  <c r="F185" i="31"/>
  <c r="G185" i="31" s="1"/>
  <c r="J185" i="31" s="1"/>
  <c r="G213" i="31"/>
  <c r="J213" i="31" s="1"/>
  <c r="G205" i="31"/>
  <c r="J205" i="31" s="1"/>
  <c r="G235" i="31"/>
  <c r="J235" i="31" s="1"/>
  <c r="G223" i="31"/>
  <c r="J223" i="31" s="1"/>
  <c r="G241" i="31"/>
  <c r="J241" i="31" s="1"/>
  <c r="C161" i="31"/>
  <c r="C185" i="31"/>
  <c r="F177" i="31"/>
  <c r="F153" i="31"/>
  <c r="G153" i="31" s="1"/>
  <c r="J153" i="31" s="1"/>
  <c r="G209" i="31"/>
  <c r="J209" i="31" s="1"/>
  <c r="G225" i="31"/>
  <c r="J225" i="31" s="1"/>
  <c r="G239" i="31"/>
  <c r="J239" i="31" s="1"/>
  <c r="F150" i="31"/>
  <c r="E150" i="31"/>
  <c r="I150" i="31" s="1"/>
  <c r="F168" i="31"/>
  <c r="E168" i="31"/>
  <c r="I168" i="31" s="1"/>
  <c r="E181" i="31"/>
  <c r="I181" i="31" s="1"/>
  <c r="F165" i="31"/>
  <c r="G165" i="31" s="1"/>
  <c r="J165" i="31" s="1"/>
  <c r="E179" i="31"/>
  <c r="I179" i="31" s="1"/>
  <c r="G237" i="31"/>
  <c r="J237" i="31" s="1"/>
  <c r="C149" i="31"/>
  <c r="E149" i="31"/>
  <c r="I149" i="31" s="1"/>
  <c r="F163" i="31"/>
  <c r="E163" i="31"/>
  <c r="I163" i="31" s="1"/>
  <c r="E174" i="31"/>
  <c r="I174" i="31" s="1"/>
  <c r="E166" i="31"/>
  <c r="I166" i="31" s="1"/>
  <c r="E170" i="31"/>
  <c r="I170" i="31" s="1"/>
  <c r="C180" i="31"/>
  <c r="E180" i="31"/>
  <c r="I180" i="31" s="1"/>
  <c r="F160" i="31"/>
  <c r="E160" i="31"/>
  <c r="I160" i="31" s="1"/>
  <c r="E159" i="31"/>
  <c r="I159" i="31" s="1"/>
  <c r="F183" i="31"/>
  <c r="E183" i="31"/>
  <c r="I183" i="31" s="1"/>
  <c r="C173" i="31"/>
  <c r="E173" i="31"/>
  <c r="I173" i="31" s="1"/>
  <c r="E133" i="31"/>
  <c r="I133" i="31" s="1"/>
  <c r="E135" i="31"/>
  <c r="I135" i="31" s="1"/>
  <c r="F175" i="31"/>
  <c r="E175" i="31"/>
  <c r="I175" i="31" s="1"/>
  <c r="F171" i="31"/>
  <c r="E171" i="31"/>
  <c r="I171" i="31" s="1"/>
  <c r="F155" i="31"/>
  <c r="E155" i="31"/>
  <c r="I155" i="31" s="1"/>
  <c r="F158" i="31"/>
  <c r="E158" i="31"/>
  <c r="I158" i="31" s="1"/>
  <c r="F154" i="31"/>
  <c r="E154" i="31"/>
  <c r="I154" i="31" s="1"/>
  <c r="F151" i="31"/>
  <c r="E151" i="31"/>
  <c r="I151" i="31" s="1"/>
  <c r="F176" i="31"/>
  <c r="E176" i="31"/>
  <c r="I176" i="31" s="1"/>
  <c r="E177" i="31"/>
  <c r="C169" i="31"/>
  <c r="E169" i="31"/>
  <c r="I169" i="31" s="1"/>
  <c r="F181" i="31"/>
  <c r="E187" i="31"/>
  <c r="I187" i="31" s="1"/>
  <c r="F141" i="31"/>
  <c r="E141" i="31"/>
  <c r="I141" i="31" s="1"/>
  <c r="E182" i="31"/>
  <c r="I182" i="31" s="1"/>
  <c r="F172" i="31"/>
  <c r="E172" i="31"/>
  <c r="I172" i="31" s="1"/>
  <c r="C165" i="31"/>
  <c r="F167" i="31"/>
  <c r="E167" i="31"/>
  <c r="I167" i="31" s="1"/>
  <c r="C164" i="31"/>
  <c r="E164" i="31"/>
  <c r="I164" i="31" s="1"/>
  <c r="F147" i="31"/>
  <c r="E147" i="31"/>
  <c r="I147" i="31" s="1"/>
  <c r="F184" i="31"/>
  <c r="E184" i="31"/>
  <c r="I184" i="31" s="1"/>
  <c r="G219" i="31"/>
  <c r="J219" i="31" s="1"/>
  <c r="C176" i="31"/>
  <c r="F170" i="31"/>
  <c r="F149" i="31"/>
  <c r="C160" i="31"/>
  <c r="G115" i="31"/>
  <c r="J115" i="31" s="1"/>
  <c r="G72" i="31"/>
  <c r="J72" i="31" s="1"/>
  <c r="I6" i="31"/>
  <c r="J6" i="31" s="1"/>
  <c r="O59" i="5" s="1"/>
  <c r="M58" i="5"/>
  <c r="I5" i="31"/>
  <c r="J5" i="31" s="1"/>
  <c r="C183" i="31"/>
  <c r="G230" i="31"/>
  <c r="J230" i="31" s="1"/>
  <c r="F180" i="31"/>
  <c r="C147" i="31"/>
  <c r="C187" i="31"/>
  <c r="G123" i="31"/>
  <c r="J123" i="31" s="1"/>
  <c r="C184" i="31"/>
  <c r="C150" i="31"/>
  <c r="G69" i="31"/>
  <c r="J69" i="31" s="1"/>
  <c r="F187" i="31"/>
  <c r="G88" i="31"/>
  <c r="J88" i="31" s="1"/>
  <c r="K59" i="5"/>
  <c r="K58" i="5"/>
  <c r="G84" i="31"/>
  <c r="J84" i="31" s="1"/>
  <c r="C154" i="31"/>
  <c r="C155" i="31"/>
  <c r="C171" i="31"/>
  <c r="C158" i="31"/>
  <c r="C151" i="31"/>
  <c r="G43" i="31"/>
  <c r="J43" i="31" s="1"/>
  <c r="C174" i="31"/>
  <c r="C170" i="31"/>
  <c r="G202" i="31"/>
  <c r="J202" i="31" s="1"/>
  <c r="C166" i="31"/>
  <c r="C163" i="31"/>
  <c r="G210" i="31"/>
  <c r="J210" i="31" s="1"/>
  <c r="G114" i="31"/>
  <c r="J114" i="31" s="1"/>
  <c r="C182" i="31"/>
  <c r="G120" i="31"/>
  <c r="J120" i="31" s="1"/>
  <c r="F174" i="31"/>
  <c r="F166" i="31"/>
  <c r="F182" i="31"/>
  <c r="G42" i="31"/>
  <c r="J42" i="31" s="1"/>
  <c r="F164" i="31"/>
  <c r="G127" i="31"/>
  <c r="J127" i="31" s="1"/>
  <c r="G89" i="31"/>
  <c r="J89" i="31" s="1"/>
  <c r="G56" i="31"/>
  <c r="J56" i="31" s="1"/>
  <c r="G68" i="31"/>
  <c r="J68" i="31" s="1"/>
  <c r="G81" i="31"/>
  <c r="J81" i="31" s="1"/>
  <c r="G74" i="31"/>
  <c r="J74" i="31" s="1"/>
  <c r="G92" i="31"/>
  <c r="J92" i="31" s="1"/>
  <c r="G214" i="31"/>
  <c r="J214" i="31" s="1"/>
  <c r="G140" i="31"/>
  <c r="J140" i="31" s="1"/>
  <c r="C167" i="31"/>
  <c r="G242" i="31"/>
  <c r="J242" i="31" s="1"/>
  <c r="G222" i="31"/>
  <c r="J222" i="31" s="1"/>
  <c r="G226" i="31"/>
  <c r="J226" i="31" s="1"/>
  <c r="C172" i="31"/>
  <c r="F159" i="31"/>
  <c r="C159" i="31"/>
  <c r="G207" i="31"/>
  <c r="J207" i="31" s="1"/>
  <c r="G215" i="31"/>
  <c r="J215" i="31" s="1"/>
  <c r="G224" i="31"/>
  <c r="J224" i="31" s="1"/>
  <c r="C179" i="31"/>
  <c r="G118" i="31"/>
  <c r="J118" i="31" s="1"/>
  <c r="G52" i="31"/>
  <c r="J52" i="31" s="1"/>
  <c r="G65" i="31"/>
  <c r="J65" i="31" s="1"/>
  <c r="G124" i="31"/>
  <c r="J124" i="31" s="1"/>
  <c r="F179" i="31"/>
  <c r="C175" i="31"/>
  <c r="G85" i="31"/>
  <c r="J85" i="31" s="1"/>
  <c r="C141" i="31"/>
  <c r="G73" i="31"/>
  <c r="J73" i="31" s="1"/>
  <c r="I162" i="31"/>
  <c r="C162" i="31"/>
  <c r="F162" i="31"/>
  <c r="G238" i="31"/>
  <c r="G234" i="31"/>
  <c r="J234" i="31" s="1"/>
  <c r="G19" i="31"/>
  <c r="K60" i="5" s="1"/>
  <c r="G58" i="31"/>
  <c r="J58" i="31" s="1"/>
  <c r="G240" i="31"/>
  <c r="J240" i="31" s="1"/>
  <c r="G236" i="31"/>
  <c r="J236" i="31" s="1"/>
  <c r="G232" i="31"/>
  <c r="J232" i="31" s="1"/>
  <c r="J25" i="31"/>
  <c r="G57" i="31"/>
  <c r="G60" i="31"/>
  <c r="J60" i="31" s="1"/>
  <c r="G63" i="31"/>
  <c r="J63" i="31" s="1"/>
  <c r="I186" i="31"/>
  <c r="F186" i="31"/>
  <c r="C186" i="31"/>
  <c r="C152" i="31"/>
  <c r="F152" i="31"/>
  <c r="I152" i="31"/>
  <c r="G61" i="31"/>
  <c r="J61" i="31" s="1"/>
  <c r="G49" i="31"/>
  <c r="J49" i="31" s="1"/>
  <c r="G218" i="31"/>
  <c r="J218" i="31" s="1"/>
  <c r="G121" i="31"/>
  <c r="J121" i="31" s="1"/>
  <c r="I178" i="31"/>
  <c r="F178" i="31"/>
  <c r="C178" i="31"/>
  <c r="G67" i="31"/>
  <c r="F249" i="31"/>
  <c r="I249" i="31"/>
  <c r="C249" i="31"/>
  <c r="E194" i="31"/>
  <c r="C139" i="31"/>
  <c r="F139" i="31"/>
  <c r="I139" i="31"/>
  <c r="G87" i="31"/>
  <c r="G125" i="31"/>
  <c r="J125" i="31" s="1"/>
  <c r="F134" i="31"/>
  <c r="I134" i="31"/>
  <c r="C134" i="31"/>
  <c r="G90" i="31"/>
  <c r="J90" i="31" s="1"/>
  <c r="F129" i="31"/>
  <c r="C129" i="31"/>
  <c r="G78" i="31"/>
  <c r="G62" i="31"/>
  <c r="G80" i="31"/>
  <c r="J80" i="31" s="1"/>
  <c r="G64" i="31"/>
  <c r="J64" i="31" s="1"/>
  <c r="J18" i="31"/>
  <c r="G82" i="31"/>
  <c r="J82" i="31" s="1"/>
  <c r="G66" i="31"/>
  <c r="J66" i="31" s="1"/>
  <c r="G113" i="31"/>
  <c r="J113" i="31" s="1"/>
  <c r="G91" i="31"/>
  <c r="J91" i="31" s="1"/>
  <c r="G216" i="31"/>
  <c r="J216" i="31" s="1"/>
  <c r="G220" i="31"/>
  <c r="J220" i="31" s="1"/>
  <c r="F138" i="31"/>
  <c r="I138" i="31"/>
  <c r="C138" i="31"/>
  <c r="G117" i="31"/>
  <c r="G83" i="31"/>
  <c r="G116" i="31"/>
  <c r="J116" i="31" s="1"/>
  <c r="G53" i="31"/>
  <c r="J53" i="31" s="1"/>
  <c r="G50" i="31"/>
  <c r="J50" i="31" s="1"/>
  <c r="F248" i="31"/>
  <c r="I248" i="31"/>
  <c r="C248" i="31"/>
  <c r="E193" i="31"/>
  <c r="I247" i="31"/>
  <c r="C247" i="31"/>
  <c r="F247" i="31"/>
  <c r="E192" i="31"/>
  <c r="G93" i="31"/>
  <c r="J93" i="31" s="1"/>
  <c r="C143" i="31"/>
  <c r="F143" i="31"/>
  <c r="I143" i="31"/>
  <c r="G79" i="31"/>
  <c r="J79" i="31" s="1"/>
  <c r="G59" i="31"/>
  <c r="J59" i="31" s="1"/>
  <c r="G71" i="31"/>
  <c r="C135" i="31"/>
  <c r="F135" i="31"/>
  <c r="F137" i="31"/>
  <c r="I137" i="31"/>
  <c r="C137" i="31"/>
  <c r="G208" i="31"/>
  <c r="J208" i="31" s="1"/>
  <c r="G221" i="31"/>
  <c r="J221" i="31" s="1"/>
  <c r="G126" i="31"/>
  <c r="J126" i="31" s="1"/>
  <c r="G77" i="31"/>
  <c r="J77" i="31" s="1"/>
  <c r="G122" i="31"/>
  <c r="J122" i="31" s="1"/>
  <c r="I136" i="31"/>
  <c r="C136" i="31"/>
  <c r="F136" i="31"/>
  <c r="C250" i="31"/>
  <c r="F250" i="31"/>
  <c r="I250" i="31"/>
  <c r="E195" i="31"/>
  <c r="G55" i="31"/>
  <c r="G86" i="31"/>
  <c r="J86" i="31" s="1"/>
  <c r="G70" i="31"/>
  <c r="J70" i="31" s="1"/>
  <c r="G54" i="31"/>
  <c r="J54" i="31" s="1"/>
  <c r="G76" i="31"/>
  <c r="J76" i="31" s="1"/>
  <c r="F142" i="31"/>
  <c r="I142" i="31"/>
  <c r="C142" i="31"/>
  <c r="G75" i="31"/>
  <c r="J75" i="31" s="1"/>
  <c r="H7" i="4"/>
  <c r="O58" i="5" l="1"/>
  <c r="J9" i="31"/>
  <c r="J19" i="31"/>
  <c r="O60" i="5" s="1"/>
  <c r="G169" i="31"/>
  <c r="J169" i="31" s="1"/>
  <c r="G181" i="31"/>
  <c r="J181" i="31" s="1"/>
  <c r="G183" i="31"/>
  <c r="J183" i="31" s="1"/>
  <c r="G174" i="31"/>
  <c r="J174" i="31" s="1"/>
  <c r="G182" i="31"/>
  <c r="J182" i="31" s="1"/>
  <c r="G179" i="31"/>
  <c r="J179" i="31" s="1"/>
  <c r="G160" i="31"/>
  <c r="J160" i="31" s="1"/>
  <c r="G177" i="31"/>
  <c r="G170" i="31"/>
  <c r="J170" i="31" s="1"/>
  <c r="G168" i="31"/>
  <c r="J168" i="31" s="1"/>
  <c r="G187" i="31"/>
  <c r="J187" i="31" s="1"/>
  <c r="G173" i="31"/>
  <c r="G166" i="31"/>
  <c r="J166" i="31" s="1"/>
  <c r="I177" i="31"/>
  <c r="G159" i="31"/>
  <c r="J159" i="31" s="1"/>
  <c r="G150" i="31"/>
  <c r="J150" i="31" s="1"/>
  <c r="G149" i="31"/>
  <c r="J149" i="31" s="1"/>
  <c r="G180" i="31"/>
  <c r="J180" i="31" s="1"/>
  <c r="J238" i="31"/>
  <c r="J57" i="31"/>
  <c r="K63" i="5"/>
  <c r="G154" i="31"/>
  <c r="J154" i="31" s="1"/>
  <c r="G176" i="31"/>
  <c r="J176" i="31" s="1"/>
  <c r="G184" i="31"/>
  <c r="J184" i="31" s="1"/>
  <c r="G163" i="31"/>
  <c r="J163" i="31" s="1"/>
  <c r="G171" i="31"/>
  <c r="J171" i="31" s="1"/>
  <c r="G151" i="31"/>
  <c r="J151" i="31" s="1"/>
  <c r="G147" i="31"/>
  <c r="J147" i="31" s="1"/>
  <c r="G158" i="31"/>
  <c r="J158" i="31" s="1"/>
  <c r="G155" i="31"/>
  <c r="J155" i="31" s="1"/>
  <c r="G164" i="31"/>
  <c r="J164" i="31" s="1"/>
  <c r="G247" i="31"/>
  <c r="J247" i="31" s="1"/>
  <c r="G167" i="31"/>
  <c r="J167" i="31" s="1"/>
  <c r="J55" i="31"/>
  <c r="G172" i="31"/>
  <c r="J172" i="31" s="1"/>
  <c r="G162" i="31"/>
  <c r="J162" i="31" s="1"/>
  <c r="G178" i="31"/>
  <c r="J178" i="31" s="1"/>
  <c r="G137" i="31"/>
  <c r="J137" i="31" s="1"/>
  <c r="G135" i="31"/>
  <c r="J135" i="31" s="1"/>
  <c r="G143" i="31"/>
  <c r="J143" i="31" s="1"/>
  <c r="G141" i="31"/>
  <c r="J141" i="31" s="1"/>
  <c r="G152" i="31"/>
  <c r="J152" i="31" s="1"/>
  <c r="G175" i="31"/>
  <c r="J175" i="31" s="1"/>
  <c r="G248" i="31"/>
  <c r="J248" i="31" s="1"/>
  <c r="J62" i="31"/>
  <c r="J78" i="31"/>
  <c r="J87" i="31"/>
  <c r="G186" i="31"/>
  <c r="J186" i="31" s="1"/>
  <c r="J67" i="31"/>
  <c r="G142" i="31"/>
  <c r="J142" i="31" s="1"/>
  <c r="G250" i="31"/>
  <c r="J250" i="31" s="1"/>
  <c r="G136" i="31"/>
  <c r="J136" i="31" s="1"/>
  <c r="J71" i="31"/>
  <c r="J117" i="31"/>
  <c r="G138" i="31"/>
  <c r="J138" i="31" s="1"/>
  <c r="G134" i="31"/>
  <c r="J134" i="31" s="1"/>
  <c r="F195" i="31"/>
  <c r="I195" i="31"/>
  <c r="C195" i="31"/>
  <c r="F192" i="31"/>
  <c r="I192" i="31"/>
  <c r="C192" i="31"/>
  <c r="C193" i="31"/>
  <c r="F193" i="31"/>
  <c r="I193" i="31"/>
  <c r="I194" i="31"/>
  <c r="C194" i="31"/>
  <c r="F194" i="31"/>
  <c r="J83" i="31"/>
  <c r="G139" i="31"/>
  <c r="J139" i="31" s="1"/>
  <c r="G249" i="31"/>
  <c r="J249" i="31" s="1"/>
  <c r="E5" i="30"/>
  <c r="E25" i="30"/>
  <c r="I25" i="30" s="1"/>
  <c r="AI282" i="4" l="1"/>
  <c r="AI286" i="4"/>
  <c r="AI281" i="4"/>
  <c r="AI285" i="4"/>
  <c r="AI283" i="4"/>
  <c r="AI287" i="4"/>
  <c r="AI284" i="4"/>
  <c r="AI288" i="4"/>
  <c r="AI304" i="4"/>
  <c r="AI305" i="4"/>
  <c r="J177" i="31"/>
  <c r="J173" i="31"/>
  <c r="G194" i="31"/>
  <c r="J194" i="31" s="1"/>
  <c r="G195" i="31"/>
  <c r="J195" i="31" s="1"/>
  <c r="G193" i="31"/>
  <c r="J193" i="31" s="1"/>
  <c r="G192" i="31"/>
  <c r="J192" i="31" s="1"/>
  <c r="E29" i="30"/>
  <c r="E18" i="30"/>
  <c r="E17" i="30"/>
  <c r="E16" i="30"/>
  <c r="E15" i="30"/>
  <c r="D14" i="30"/>
  <c r="D13" i="30"/>
  <c r="D12" i="30"/>
  <c r="E30" i="30"/>
  <c r="E45" i="5"/>
  <c r="E46" i="5"/>
  <c r="E47" i="5"/>
  <c r="E48" i="5"/>
  <c r="E49" i="5"/>
  <c r="K53" i="5"/>
  <c r="O53" i="5" s="1"/>
  <c r="E55" i="5"/>
  <c r="R113" i="4"/>
  <c r="R112" i="4"/>
  <c r="R111" i="4"/>
  <c r="R110" i="4"/>
  <c r="R109" i="4"/>
  <c r="R108" i="4"/>
  <c r="R107" i="4"/>
  <c r="R106" i="4"/>
  <c r="R105" i="4"/>
  <c r="R104" i="4"/>
  <c r="R103" i="4"/>
  <c r="R102" i="4"/>
  <c r="R101" i="4"/>
  <c r="R100" i="4"/>
  <c r="R99" i="4"/>
  <c r="R98" i="4"/>
  <c r="R97" i="4"/>
  <c r="R96" i="4"/>
  <c r="R95" i="4"/>
  <c r="R94" i="4"/>
  <c r="R93" i="4"/>
  <c r="R92" i="4"/>
  <c r="R91" i="4"/>
  <c r="R90" i="4"/>
  <c r="R89" i="4"/>
  <c r="R88" i="4"/>
  <c r="R87" i="4"/>
  <c r="R86" i="4"/>
  <c r="R85" i="4"/>
  <c r="R84" i="4"/>
  <c r="R83" i="4"/>
  <c r="R82" i="4"/>
  <c r="R81" i="4"/>
  <c r="R80" i="4"/>
  <c r="R79" i="4"/>
  <c r="R78" i="4"/>
  <c r="R77" i="4"/>
  <c r="R76" i="4"/>
  <c r="R75" i="4"/>
  <c r="R74" i="4"/>
  <c r="R73" i="4"/>
  <c r="R72" i="4"/>
  <c r="R71" i="4"/>
  <c r="R70" i="4"/>
  <c r="R69" i="4"/>
  <c r="R68" i="4"/>
  <c r="R67" i="4"/>
  <c r="R66" i="4"/>
  <c r="R114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AI60" i="4" l="1"/>
  <c r="AI63" i="4"/>
  <c r="AI62" i="4"/>
  <c r="P125" i="4"/>
  <c r="P124" i="4"/>
  <c r="P123" i="4"/>
  <c r="P122" i="4"/>
  <c r="B212" i="30" s="1"/>
  <c r="B157" i="30" s="1"/>
  <c r="P121" i="4"/>
  <c r="P120" i="4"/>
  <c r="P119" i="4"/>
  <c r="P118" i="4"/>
  <c r="N184" i="4"/>
  <c r="N183" i="4"/>
  <c r="N182" i="4"/>
  <c r="N181" i="4"/>
  <c r="N180" i="4"/>
  <c r="N179" i="4"/>
  <c r="N178" i="4"/>
  <c r="N177" i="4"/>
  <c r="B101" i="30" s="1"/>
  <c r="N176" i="4"/>
  <c r="N175" i="4"/>
  <c r="N174" i="4"/>
  <c r="N173" i="4"/>
  <c r="B95" i="30" s="1"/>
  <c r="R172" i="4"/>
  <c r="B105" i="30" s="1"/>
  <c r="Q172" i="4"/>
  <c r="B104" i="30" s="1"/>
  <c r="O172" i="4"/>
  <c r="B102" i="30" s="1"/>
  <c r="R171" i="4"/>
  <c r="Q171" i="4"/>
  <c r="O171" i="4"/>
  <c r="R170" i="4"/>
  <c r="Q170" i="4"/>
  <c r="O170" i="4"/>
  <c r="R169" i="4"/>
  <c r="B99" i="30" s="1"/>
  <c r="Q169" i="4"/>
  <c r="B98" i="30" s="1"/>
  <c r="O169" i="4"/>
  <c r="B96" i="30" s="1"/>
  <c r="R168" i="4"/>
  <c r="Q168" i="4"/>
  <c r="O168" i="4"/>
  <c r="O44" i="4"/>
  <c r="O125" i="4"/>
  <c r="O124" i="4"/>
  <c r="O123" i="4"/>
  <c r="O122" i="4"/>
  <c r="B211" i="30" s="1"/>
  <c r="B156" i="30" s="1"/>
  <c r="O121" i="4"/>
  <c r="O120" i="4"/>
  <c r="O119" i="4"/>
  <c r="O118" i="4"/>
  <c r="B203" i="30"/>
  <c r="B148" i="30" s="1"/>
  <c r="B199" i="30"/>
  <c r="B144" i="30" s="1"/>
  <c r="B40" i="30"/>
  <c r="I125" i="4"/>
  <c r="I124" i="4"/>
  <c r="I123" i="4"/>
  <c r="I122" i="4"/>
  <c r="I121" i="4"/>
  <c r="I120" i="4"/>
  <c r="I119" i="4"/>
  <c r="I118" i="4"/>
  <c r="F212" i="31" l="1"/>
  <c r="C212" i="31"/>
  <c r="B246" i="30"/>
  <c r="B191" i="30" s="1"/>
  <c r="B245" i="30"/>
  <c r="B190" i="30" s="1"/>
  <c r="B244" i="30"/>
  <c r="B189" i="30" s="1"/>
  <c r="B243" i="30"/>
  <c r="B188" i="30" s="1"/>
  <c r="B128" i="30"/>
  <c r="A1" i="30"/>
  <c r="E8" i="30"/>
  <c r="D8" i="30"/>
  <c r="H8" i="30" s="1"/>
  <c r="E7" i="30"/>
  <c r="D7" i="30"/>
  <c r="H7" i="30" s="1"/>
  <c r="D6" i="30"/>
  <c r="D5" i="30"/>
  <c r="G265" i="30"/>
  <c r="G264" i="30"/>
  <c r="G263" i="30"/>
  <c r="G262" i="30"/>
  <c r="J262" i="30" s="1"/>
  <c r="G261" i="30"/>
  <c r="G260" i="30"/>
  <c r="G259" i="30"/>
  <c r="G258" i="30"/>
  <c r="J258" i="30" s="1"/>
  <c r="G257" i="30"/>
  <c r="F256" i="30"/>
  <c r="G256" i="30" s="1"/>
  <c r="J256" i="30" s="1"/>
  <c r="C256" i="30"/>
  <c r="F255" i="30"/>
  <c r="G255" i="30" s="1"/>
  <c r="C255" i="30"/>
  <c r="F254" i="30"/>
  <c r="G254" i="30" s="1"/>
  <c r="C254" i="30"/>
  <c r="F253" i="30"/>
  <c r="G253" i="30" s="1"/>
  <c r="C253" i="30"/>
  <c r="F252" i="30"/>
  <c r="G252" i="30" s="1"/>
  <c r="J252" i="30" s="1"/>
  <c r="C252" i="30"/>
  <c r="F251" i="30"/>
  <c r="G251" i="30" s="1"/>
  <c r="C251" i="30"/>
  <c r="F221" i="30"/>
  <c r="E210" i="30"/>
  <c r="I210" i="30" s="1"/>
  <c r="E202" i="30"/>
  <c r="I202" i="30" s="1"/>
  <c r="I125" i="30"/>
  <c r="F124" i="30"/>
  <c r="C123" i="30"/>
  <c r="I122" i="30"/>
  <c r="F106" i="30"/>
  <c r="F105" i="30"/>
  <c r="C103" i="30"/>
  <c r="F102" i="30"/>
  <c r="F100" i="30"/>
  <c r="F99" i="30"/>
  <c r="C98" i="30"/>
  <c r="F95" i="30"/>
  <c r="C93" i="30"/>
  <c r="F91" i="30"/>
  <c r="F90" i="30"/>
  <c r="C89" i="30"/>
  <c r="C88" i="30"/>
  <c r="C85" i="30"/>
  <c r="F84" i="30"/>
  <c r="F83" i="30"/>
  <c r="F79" i="30"/>
  <c r="C77" i="30"/>
  <c r="C76" i="30"/>
  <c r="F75" i="30"/>
  <c r="C73" i="30"/>
  <c r="C72" i="30"/>
  <c r="F67" i="30"/>
  <c r="C65" i="30"/>
  <c r="C64" i="30"/>
  <c r="F59" i="30"/>
  <c r="C57" i="30"/>
  <c r="C56" i="30"/>
  <c r="E54" i="30"/>
  <c r="I54" i="30" s="1"/>
  <c r="E42" i="30"/>
  <c r="I42" i="30" s="1"/>
  <c r="F36" i="30"/>
  <c r="G36" i="30" s="1"/>
  <c r="C36" i="30"/>
  <c r="F35" i="30"/>
  <c r="G35" i="30" s="1"/>
  <c r="C35" i="30"/>
  <c r="I34" i="30"/>
  <c r="F34" i="30"/>
  <c r="E34" i="30"/>
  <c r="C34" i="30"/>
  <c r="I33" i="30"/>
  <c r="F33" i="30"/>
  <c r="E33" i="30"/>
  <c r="C33" i="30"/>
  <c r="F32" i="30"/>
  <c r="C32" i="30"/>
  <c r="F31" i="30"/>
  <c r="C31" i="30"/>
  <c r="I30" i="30"/>
  <c r="F30" i="30"/>
  <c r="C30" i="30"/>
  <c r="F29" i="30"/>
  <c r="C29" i="30"/>
  <c r="F25" i="30"/>
  <c r="C25" i="30"/>
  <c r="F24" i="30"/>
  <c r="C24" i="30"/>
  <c r="F23" i="30"/>
  <c r="C23" i="30"/>
  <c r="F22" i="30"/>
  <c r="C22" i="30"/>
  <c r="F18" i="30"/>
  <c r="C18" i="30"/>
  <c r="F17" i="30"/>
  <c r="C17" i="30"/>
  <c r="F16" i="30"/>
  <c r="C16" i="30"/>
  <c r="F15" i="30"/>
  <c r="C15" i="30"/>
  <c r="F14" i="30"/>
  <c r="H14" i="30"/>
  <c r="I14" i="30" s="1"/>
  <c r="C14" i="30"/>
  <c r="F13" i="30"/>
  <c r="H13" i="30"/>
  <c r="I13" i="30" s="1"/>
  <c r="C13" i="30"/>
  <c r="F12" i="30"/>
  <c r="H12" i="30"/>
  <c r="I12" i="30" s="1"/>
  <c r="C12" i="30"/>
  <c r="I8" i="30"/>
  <c r="F8" i="30"/>
  <c r="C8" i="30"/>
  <c r="I7" i="30"/>
  <c r="F7" i="30"/>
  <c r="C7" i="30"/>
  <c r="F6" i="30"/>
  <c r="C6" i="30"/>
  <c r="F5" i="30"/>
  <c r="C5" i="30"/>
  <c r="G2" i="30"/>
  <c r="D2" i="30"/>
  <c r="B2" i="30"/>
  <c r="AI313" i="4" l="1"/>
  <c r="E157" i="31"/>
  <c r="I157" i="31" s="1"/>
  <c r="F157" i="31"/>
  <c r="C157" i="31"/>
  <c r="AI312" i="4"/>
  <c r="I46" i="5"/>
  <c r="H6" i="30"/>
  <c r="M46" i="5" s="1"/>
  <c r="I45" i="5"/>
  <c r="H5" i="30"/>
  <c r="I5" i="30" s="1"/>
  <c r="F41" i="30"/>
  <c r="C43" i="30"/>
  <c r="E43" i="30"/>
  <c r="I43" i="30" s="1"/>
  <c r="J36" i="30"/>
  <c r="J257" i="30"/>
  <c r="J261" i="30"/>
  <c r="J263" i="30"/>
  <c r="J251" i="30"/>
  <c r="J255" i="30"/>
  <c r="J260" i="30"/>
  <c r="J265" i="30"/>
  <c r="J254" i="30"/>
  <c r="J264" i="30"/>
  <c r="J253" i="30"/>
  <c r="J259" i="30"/>
  <c r="J35" i="30"/>
  <c r="E213" i="30"/>
  <c r="I213" i="30" s="1"/>
  <c r="F206" i="30"/>
  <c r="E206" i="30"/>
  <c r="I206" i="30" s="1"/>
  <c r="F214" i="30"/>
  <c r="E214" i="30"/>
  <c r="I214" i="30" s="1"/>
  <c r="C218" i="30"/>
  <c r="E218" i="30"/>
  <c r="I218" i="30" s="1"/>
  <c r="C222" i="30"/>
  <c r="E222" i="30"/>
  <c r="I222" i="30" s="1"/>
  <c r="E221" i="30"/>
  <c r="I221" i="30" s="1"/>
  <c r="C226" i="30"/>
  <c r="E226" i="30"/>
  <c r="I226" i="30" s="1"/>
  <c r="C230" i="30"/>
  <c r="E230" i="30"/>
  <c r="I230" i="30" s="1"/>
  <c r="C234" i="30"/>
  <c r="E234" i="30"/>
  <c r="I234" i="30" s="1"/>
  <c r="C238" i="30"/>
  <c r="E238" i="30"/>
  <c r="I238" i="30" s="1"/>
  <c r="C242" i="30"/>
  <c r="E242" i="30"/>
  <c r="I242" i="30" s="1"/>
  <c r="E205" i="30"/>
  <c r="I205" i="30" s="1"/>
  <c r="F217" i="30"/>
  <c r="E217" i="30"/>
  <c r="I217" i="30" s="1"/>
  <c r="F184" i="30"/>
  <c r="E184" i="30"/>
  <c r="I184" i="30" s="1"/>
  <c r="C203" i="30"/>
  <c r="C207" i="30"/>
  <c r="E207" i="30"/>
  <c r="I207" i="30" s="1"/>
  <c r="E215" i="30"/>
  <c r="I215" i="30" s="1"/>
  <c r="F219" i="30"/>
  <c r="E219" i="30"/>
  <c r="I219" i="30" s="1"/>
  <c r="F223" i="30"/>
  <c r="E223" i="30"/>
  <c r="I223" i="30" s="1"/>
  <c r="E172" i="30"/>
  <c r="I172" i="30" s="1"/>
  <c r="F231" i="30"/>
  <c r="E231" i="30"/>
  <c r="I231" i="30" s="1"/>
  <c r="F235" i="30"/>
  <c r="E235" i="30"/>
  <c r="I235" i="30" s="1"/>
  <c r="F239" i="30"/>
  <c r="E239" i="30"/>
  <c r="I239" i="30" s="1"/>
  <c r="E209" i="30"/>
  <c r="I209" i="30" s="1"/>
  <c r="F225" i="30"/>
  <c r="E225" i="30"/>
  <c r="I225" i="30" s="1"/>
  <c r="F229" i="30"/>
  <c r="F233" i="30"/>
  <c r="E233" i="30"/>
  <c r="I233" i="30" s="1"/>
  <c r="F237" i="30"/>
  <c r="E237" i="30"/>
  <c r="I237" i="30" s="1"/>
  <c r="F241" i="30"/>
  <c r="E241" i="30"/>
  <c r="I241" i="30" s="1"/>
  <c r="C137" i="30"/>
  <c r="E137" i="30"/>
  <c r="I137" i="30" s="1"/>
  <c r="C208" i="30"/>
  <c r="E208" i="30"/>
  <c r="I208" i="30" s="1"/>
  <c r="E161" i="30"/>
  <c r="I161" i="30" s="1"/>
  <c r="E216" i="30"/>
  <c r="I216" i="30" s="1"/>
  <c r="C220" i="30"/>
  <c r="E220" i="30"/>
  <c r="I220" i="30" s="1"/>
  <c r="E169" i="30"/>
  <c r="I169" i="30" s="1"/>
  <c r="E224" i="30"/>
  <c r="I224" i="30" s="1"/>
  <c r="E177" i="30"/>
  <c r="I177" i="30" s="1"/>
  <c r="E232" i="30"/>
  <c r="I232" i="30" s="1"/>
  <c r="E181" i="30"/>
  <c r="I181" i="30" s="1"/>
  <c r="E236" i="30"/>
  <c r="I236" i="30" s="1"/>
  <c r="F185" i="30"/>
  <c r="E240" i="30"/>
  <c r="I240" i="30" s="1"/>
  <c r="H15" i="30"/>
  <c r="M47" i="5" s="1"/>
  <c r="I47" i="5"/>
  <c r="E50" i="5"/>
  <c r="G13" i="30"/>
  <c r="J13" i="30" s="1"/>
  <c r="E81" i="30"/>
  <c r="I81" i="30" s="1"/>
  <c r="E85" i="30"/>
  <c r="I85" i="30" s="1"/>
  <c r="H17" i="30"/>
  <c r="G18" i="30"/>
  <c r="E92" i="30"/>
  <c r="I92" i="30" s="1"/>
  <c r="G17" i="30"/>
  <c r="C102" i="30"/>
  <c r="F215" i="30"/>
  <c r="C233" i="30"/>
  <c r="E88" i="30"/>
  <c r="I88" i="30" s="1"/>
  <c r="C125" i="30"/>
  <c r="C91" i="30"/>
  <c r="F85" i="30"/>
  <c r="C206" i="30"/>
  <c r="G15" i="30"/>
  <c r="F77" i="30"/>
  <c r="I123" i="30"/>
  <c r="C205" i="30"/>
  <c r="C41" i="30"/>
  <c r="E76" i="30"/>
  <c r="I76" i="30" s="1"/>
  <c r="F92" i="30"/>
  <c r="F211" i="30"/>
  <c r="F234" i="30"/>
  <c r="G16" i="30"/>
  <c r="C84" i="30"/>
  <c r="C92" i="30"/>
  <c r="F98" i="30"/>
  <c r="F123" i="30"/>
  <c r="C199" i="30"/>
  <c r="C225" i="30"/>
  <c r="F238" i="30"/>
  <c r="C241" i="30"/>
  <c r="F199" i="30"/>
  <c r="C106" i="30"/>
  <c r="C211" i="30"/>
  <c r="F213" i="30"/>
  <c r="C215" i="30"/>
  <c r="G33" i="30"/>
  <c r="J33" i="30" s="1"/>
  <c r="G5" i="30"/>
  <c r="G25" i="30"/>
  <c r="J25" i="30" s="1"/>
  <c r="C42" i="30"/>
  <c r="F57" i="30"/>
  <c r="F76" i="30"/>
  <c r="E84" i="30"/>
  <c r="I84" i="30" s="1"/>
  <c r="F93" i="30"/>
  <c r="F205" i="30"/>
  <c r="F227" i="30"/>
  <c r="E56" i="30"/>
  <c r="I56" i="30" s="1"/>
  <c r="G29" i="30"/>
  <c r="F42" i="30"/>
  <c r="G42" i="30" s="1"/>
  <c r="J42" i="30" s="1"/>
  <c r="F65" i="30"/>
  <c r="E72" i="30"/>
  <c r="I72" i="30" s="1"/>
  <c r="C75" i="30"/>
  <c r="C83" i="30"/>
  <c r="F208" i="30"/>
  <c r="F222" i="30"/>
  <c r="E93" i="30"/>
  <c r="I93" i="30" s="1"/>
  <c r="E167" i="30"/>
  <c r="I167" i="30" s="1"/>
  <c r="E66" i="30"/>
  <c r="I66" i="30" s="1"/>
  <c r="E65" i="30"/>
  <c r="I65" i="30" s="1"/>
  <c r="E68" i="30"/>
  <c r="I68" i="30" s="1"/>
  <c r="E69" i="30"/>
  <c r="I69" i="30" s="1"/>
  <c r="E64" i="30"/>
  <c r="I64" i="30" s="1"/>
  <c r="F71" i="30"/>
  <c r="C71" i="30"/>
  <c r="F97" i="30"/>
  <c r="C97" i="30"/>
  <c r="F52" i="30"/>
  <c r="C52" i="30"/>
  <c r="F68" i="30"/>
  <c r="C68" i="30"/>
  <c r="F104" i="30"/>
  <c r="C104" i="30"/>
  <c r="F114" i="30"/>
  <c r="C114" i="30"/>
  <c r="G12" i="30"/>
  <c r="J12" i="30" s="1"/>
  <c r="E62" i="30"/>
  <c r="I62" i="30" s="1"/>
  <c r="E60" i="30"/>
  <c r="I60" i="30" s="1"/>
  <c r="E61" i="30"/>
  <c r="I61" i="30" s="1"/>
  <c r="G14" i="30"/>
  <c r="J14" i="30" s="1"/>
  <c r="E19" i="30"/>
  <c r="F53" i="30"/>
  <c r="F63" i="30"/>
  <c r="C63" i="30"/>
  <c r="C69" i="30"/>
  <c r="F69" i="30"/>
  <c r="F80" i="30"/>
  <c r="E80" i="30"/>
  <c r="I80" i="30" s="1"/>
  <c r="C80" i="30"/>
  <c r="F87" i="30"/>
  <c r="C87" i="30"/>
  <c r="E57" i="30"/>
  <c r="I57" i="30" s="1"/>
  <c r="E52" i="30"/>
  <c r="I52" i="30" s="1"/>
  <c r="E53" i="30"/>
  <c r="I53" i="30" s="1"/>
  <c r="F55" i="30"/>
  <c r="C55" i="30"/>
  <c r="C61" i="30"/>
  <c r="F61" i="30"/>
  <c r="F101" i="30"/>
  <c r="C101" i="30"/>
  <c r="F110" i="30"/>
  <c r="C110" i="30"/>
  <c r="F118" i="30"/>
  <c r="C118" i="30"/>
  <c r="F60" i="30"/>
  <c r="C60" i="30"/>
  <c r="C81" i="30"/>
  <c r="F81" i="30"/>
  <c r="F108" i="30"/>
  <c r="C108" i="30"/>
  <c r="F112" i="30"/>
  <c r="C112" i="30"/>
  <c r="F116" i="30"/>
  <c r="C116" i="30"/>
  <c r="I121" i="30"/>
  <c r="C121" i="30"/>
  <c r="F127" i="30"/>
  <c r="I127" i="30"/>
  <c r="C127" i="30"/>
  <c r="E73" i="30"/>
  <c r="I73" i="30" s="1"/>
  <c r="E118" i="30"/>
  <c r="I118" i="30" s="1"/>
  <c r="F43" i="30"/>
  <c r="F56" i="30"/>
  <c r="F64" i="30"/>
  <c r="F72" i="30"/>
  <c r="F88" i="30"/>
  <c r="F125" i="30"/>
  <c r="G125" i="30" s="1"/>
  <c r="J125" i="30" s="1"/>
  <c r="E158" i="30"/>
  <c r="I158" i="30" s="1"/>
  <c r="E159" i="30"/>
  <c r="I159" i="30" s="1"/>
  <c r="E171" i="30"/>
  <c r="I171" i="30" s="1"/>
  <c r="E182" i="30"/>
  <c r="I182" i="30" s="1"/>
  <c r="F203" i="30"/>
  <c r="F207" i="30"/>
  <c r="C221" i="30"/>
  <c r="C237" i="30"/>
  <c r="F226" i="30"/>
  <c r="F242" i="30"/>
  <c r="G34" i="30"/>
  <c r="J34" i="30" s="1"/>
  <c r="C50" i="30"/>
  <c r="C59" i="30"/>
  <c r="C67" i="30"/>
  <c r="F73" i="30"/>
  <c r="C79" i="30"/>
  <c r="F89" i="30"/>
  <c r="C100" i="30"/>
  <c r="F103" i="30"/>
  <c r="E166" i="30"/>
  <c r="I166" i="30" s="1"/>
  <c r="C209" i="30"/>
  <c r="C213" i="30"/>
  <c r="C214" i="30"/>
  <c r="C217" i="30"/>
  <c r="F218" i="30"/>
  <c r="C229" i="30"/>
  <c r="F230" i="30"/>
  <c r="F58" i="30"/>
  <c r="C58" i="30"/>
  <c r="F62" i="30"/>
  <c r="C62" i="30"/>
  <c r="E245" i="30"/>
  <c r="I245" i="30" s="1"/>
  <c r="E246" i="30"/>
  <c r="I246" i="30" s="1"/>
  <c r="E243" i="30"/>
  <c r="I243" i="30" s="1"/>
  <c r="E244" i="30"/>
  <c r="I244" i="30" s="1"/>
  <c r="F40" i="30"/>
  <c r="C40" i="30"/>
  <c r="E135" i="30"/>
  <c r="I135" i="30" s="1"/>
  <c r="F49" i="30"/>
  <c r="I49" i="30"/>
  <c r="C49" i="30"/>
  <c r="F66" i="30"/>
  <c r="C66" i="30"/>
  <c r="G6" i="30"/>
  <c r="G7" i="30"/>
  <c r="J7" i="30" s="1"/>
  <c r="G8" i="30"/>
  <c r="J8" i="30" s="1"/>
  <c r="G30" i="30"/>
  <c r="J30" i="30" s="1"/>
  <c r="E143" i="30"/>
  <c r="I143" i="30" s="1"/>
  <c r="E142" i="30"/>
  <c r="I142" i="30" s="1"/>
  <c r="F54" i="30"/>
  <c r="C54" i="30"/>
  <c r="F70" i="30"/>
  <c r="C70" i="30"/>
  <c r="F74" i="30"/>
  <c r="C74" i="30"/>
  <c r="F78" i="30"/>
  <c r="C78" i="30"/>
  <c r="F82" i="30"/>
  <c r="C82" i="30"/>
  <c r="F86" i="30"/>
  <c r="C86" i="30"/>
  <c r="F111" i="30"/>
  <c r="C111" i="30"/>
  <c r="F115" i="30"/>
  <c r="C115" i="30"/>
  <c r="C120" i="30"/>
  <c r="I120" i="30"/>
  <c r="E55" i="30"/>
  <c r="I55" i="30" s="1"/>
  <c r="E59" i="30"/>
  <c r="I59" i="30" s="1"/>
  <c r="E63" i="30"/>
  <c r="I63" i="30" s="1"/>
  <c r="E67" i="30"/>
  <c r="I67" i="30" s="1"/>
  <c r="E71" i="30"/>
  <c r="I71" i="30" s="1"/>
  <c r="E75" i="30"/>
  <c r="I75" i="30" s="1"/>
  <c r="E79" i="30"/>
  <c r="I79" i="30" s="1"/>
  <c r="E83" i="30"/>
  <c r="I83" i="30" s="1"/>
  <c r="E87" i="30"/>
  <c r="I87" i="30" s="1"/>
  <c r="C90" i="30"/>
  <c r="E91" i="30"/>
  <c r="I91" i="30" s="1"/>
  <c r="C95" i="30"/>
  <c r="C99" i="30"/>
  <c r="C105" i="30"/>
  <c r="E113" i="30"/>
  <c r="I113" i="30" s="1"/>
  <c r="E115" i="30"/>
  <c r="I115" i="30" s="1"/>
  <c r="E117" i="30"/>
  <c r="I117" i="30" s="1"/>
  <c r="F120" i="30"/>
  <c r="F126" i="30"/>
  <c r="C126" i="30"/>
  <c r="F107" i="30"/>
  <c r="C107" i="30"/>
  <c r="C113" i="30"/>
  <c r="F113" i="30"/>
  <c r="F117" i="30"/>
  <c r="C117" i="30"/>
  <c r="F210" i="30"/>
  <c r="C210" i="30"/>
  <c r="E155" i="30"/>
  <c r="I155" i="30" s="1"/>
  <c r="I50" i="30"/>
  <c r="H16" i="30"/>
  <c r="H18" i="30"/>
  <c r="E114" i="30"/>
  <c r="I114" i="30" s="1"/>
  <c r="E116" i="30"/>
  <c r="I116" i="30" s="1"/>
  <c r="F50" i="30"/>
  <c r="C53" i="30"/>
  <c r="E58" i="30"/>
  <c r="I58" i="30" s="1"/>
  <c r="E70" i="30"/>
  <c r="I70" i="30" s="1"/>
  <c r="E74" i="30"/>
  <c r="I74" i="30" s="1"/>
  <c r="E78" i="30"/>
  <c r="I78" i="30" s="1"/>
  <c r="E82" i="30"/>
  <c r="I82" i="30" s="1"/>
  <c r="E86" i="30"/>
  <c r="I86" i="30" s="1"/>
  <c r="E90" i="30"/>
  <c r="I90" i="30" s="1"/>
  <c r="F122" i="30"/>
  <c r="G122" i="30" s="1"/>
  <c r="J122" i="30" s="1"/>
  <c r="C122" i="30"/>
  <c r="C124" i="30"/>
  <c r="I124" i="30"/>
  <c r="I126" i="30"/>
  <c r="E136" i="30"/>
  <c r="I136" i="30" s="1"/>
  <c r="C109" i="30"/>
  <c r="F109" i="30"/>
  <c r="E249" i="30"/>
  <c r="I249" i="30" s="1"/>
  <c r="E250" i="30"/>
  <c r="I250" i="30" s="1"/>
  <c r="E247" i="30"/>
  <c r="I247" i="30" s="1"/>
  <c r="E248" i="30"/>
  <c r="I248" i="30" s="1"/>
  <c r="F137" i="30"/>
  <c r="E77" i="30"/>
  <c r="I77" i="30" s="1"/>
  <c r="E89" i="30"/>
  <c r="I89" i="30" s="1"/>
  <c r="E141" i="30"/>
  <c r="I141" i="30" s="1"/>
  <c r="F121" i="30"/>
  <c r="C204" i="30"/>
  <c r="F204" i="30"/>
  <c r="C212" i="30"/>
  <c r="F212" i="30"/>
  <c r="F157" i="30"/>
  <c r="C184" i="30"/>
  <c r="F202" i="30"/>
  <c r="C202" i="30"/>
  <c r="E147" i="30"/>
  <c r="I147" i="30" s="1"/>
  <c r="F216" i="30"/>
  <c r="C216" i="30"/>
  <c r="F209" i="30"/>
  <c r="F220" i="30"/>
  <c r="F224" i="30"/>
  <c r="C224" i="30"/>
  <c r="F228" i="30"/>
  <c r="C228" i="30"/>
  <c r="F232" i="30"/>
  <c r="C232" i="30"/>
  <c r="F236" i="30"/>
  <c r="C236" i="30"/>
  <c r="F240" i="30"/>
  <c r="C240" i="30"/>
  <c r="C219" i="30"/>
  <c r="C223" i="30"/>
  <c r="C227" i="30"/>
  <c r="C231" i="30"/>
  <c r="C235" i="30"/>
  <c r="C239" i="30"/>
  <c r="G9" i="30" l="1"/>
  <c r="I6" i="30"/>
  <c r="J6" i="30" s="1"/>
  <c r="O46" i="5" s="1"/>
  <c r="G157" i="31"/>
  <c r="J157" i="31" s="1"/>
  <c r="G213" i="30"/>
  <c r="J213" i="30" s="1"/>
  <c r="M45" i="5"/>
  <c r="G209" i="30"/>
  <c r="J209" i="30" s="1"/>
  <c r="C172" i="30"/>
  <c r="G215" i="30"/>
  <c r="J215" i="30" s="1"/>
  <c r="F172" i="30"/>
  <c r="G172" i="30" s="1"/>
  <c r="J172" i="30" s="1"/>
  <c r="J15" i="30"/>
  <c r="F169" i="30"/>
  <c r="G169" i="30" s="1"/>
  <c r="J169" i="30" s="1"/>
  <c r="F177" i="30"/>
  <c r="G177" i="30" s="1"/>
  <c r="J177" i="30" s="1"/>
  <c r="F161" i="30"/>
  <c r="G161" i="30" s="1"/>
  <c r="J161" i="30" s="1"/>
  <c r="C169" i="30"/>
  <c r="C177" i="30"/>
  <c r="C161" i="30"/>
  <c r="G205" i="30"/>
  <c r="J205" i="30" s="1"/>
  <c r="C179" i="30"/>
  <c r="E179" i="30"/>
  <c r="I179" i="30" s="1"/>
  <c r="E175" i="30"/>
  <c r="I175" i="30" s="1"/>
  <c r="F151" i="30"/>
  <c r="E151" i="30"/>
  <c r="I151" i="30" s="1"/>
  <c r="C173" i="30"/>
  <c r="E173" i="30"/>
  <c r="I173" i="30" s="1"/>
  <c r="C149" i="30"/>
  <c r="E149" i="30"/>
  <c r="I149" i="30" s="1"/>
  <c r="E133" i="30"/>
  <c r="I133" i="30" s="1"/>
  <c r="E134" i="30"/>
  <c r="I134" i="30" s="1"/>
  <c r="F168" i="30"/>
  <c r="E168" i="30"/>
  <c r="I168" i="30" s="1"/>
  <c r="F152" i="30"/>
  <c r="E152" i="30"/>
  <c r="I152" i="30" s="1"/>
  <c r="E156" i="30"/>
  <c r="I156" i="30" s="1"/>
  <c r="F176" i="30"/>
  <c r="E176" i="30"/>
  <c r="I176" i="30" s="1"/>
  <c r="F178" i="30"/>
  <c r="E178" i="30"/>
  <c r="I178" i="30" s="1"/>
  <c r="C164" i="30"/>
  <c r="E164" i="30"/>
  <c r="I164" i="30" s="1"/>
  <c r="E138" i="30"/>
  <c r="I138" i="30" s="1"/>
  <c r="F183" i="30"/>
  <c r="E183" i="30"/>
  <c r="I183" i="30" s="1"/>
  <c r="C157" i="30"/>
  <c r="E157" i="30"/>
  <c r="I157" i="30" s="1"/>
  <c r="F149" i="30"/>
  <c r="F181" i="30"/>
  <c r="G181" i="30" s="1"/>
  <c r="J181" i="30" s="1"/>
  <c r="E140" i="30"/>
  <c r="I140" i="30" s="1"/>
  <c r="E139" i="30"/>
  <c r="I139" i="30" s="1"/>
  <c r="E154" i="30"/>
  <c r="I154" i="30" s="1"/>
  <c r="E186" i="30"/>
  <c r="I186" i="30" s="1"/>
  <c r="C165" i="30"/>
  <c r="E165" i="30"/>
  <c r="I165" i="30" s="1"/>
  <c r="F162" i="30"/>
  <c r="E162" i="30"/>
  <c r="I162" i="30" s="1"/>
  <c r="C185" i="30"/>
  <c r="E185" i="30"/>
  <c r="I185" i="30" s="1"/>
  <c r="F187" i="30"/>
  <c r="E187" i="30"/>
  <c r="I187" i="30" s="1"/>
  <c r="E174" i="30"/>
  <c r="I174" i="30" s="1"/>
  <c r="F173" i="30"/>
  <c r="C181" i="30"/>
  <c r="C150" i="30"/>
  <c r="E150" i="30"/>
  <c r="I150" i="30" s="1"/>
  <c r="C153" i="30"/>
  <c r="E153" i="30"/>
  <c r="I153" i="30" s="1"/>
  <c r="F144" i="30"/>
  <c r="F160" i="30"/>
  <c r="E160" i="30"/>
  <c r="I160" i="30" s="1"/>
  <c r="F170" i="30"/>
  <c r="E170" i="30"/>
  <c r="I170" i="30" s="1"/>
  <c r="F163" i="30"/>
  <c r="E163" i="30"/>
  <c r="I163" i="30" s="1"/>
  <c r="F180" i="30"/>
  <c r="E180" i="30"/>
  <c r="I180" i="30" s="1"/>
  <c r="C180" i="30"/>
  <c r="K46" i="5"/>
  <c r="J5" i="30"/>
  <c r="K45" i="5"/>
  <c r="C151" i="30"/>
  <c r="G208" i="30"/>
  <c r="J208" i="30" s="1"/>
  <c r="G222" i="30"/>
  <c r="J222" i="30" s="1"/>
  <c r="F179" i="30"/>
  <c r="C183" i="30"/>
  <c r="C163" i="30"/>
  <c r="F174" i="30"/>
  <c r="C144" i="30"/>
  <c r="F153" i="30"/>
  <c r="G81" i="30"/>
  <c r="J81" i="30" s="1"/>
  <c r="F164" i="30"/>
  <c r="C178" i="30"/>
  <c r="G230" i="30"/>
  <c r="J230" i="30" s="1"/>
  <c r="G121" i="30"/>
  <c r="J121" i="30" s="1"/>
  <c r="G214" i="30"/>
  <c r="J214" i="30" s="1"/>
  <c r="G85" i="30"/>
  <c r="J85" i="30" s="1"/>
  <c r="C170" i="30"/>
  <c r="C162" i="30"/>
  <c r="C187" i="30"/>
  <c r="C138" i="30"/>
  <c r="F138" i="30"/>
  <c r="J17" i="30"/>
  <c r="J18" i="30"/>
  <c r="G92" i="30"/>
  <c r="J92" i="30" s="1"/>
  <c r="F175" i="30"/>
  <c r="C175" i="30"/>
  <c r="C160" i="30"/>
  <c r="F140" i="30"/>
  <c r="G127" i="30"/>
  <c r="J127" i="30" s="1"/>
  <c r="C140" i="30"/>
  <c r="G72" i="30"/>
  <c r="J72" i="30" s="1"/>
  <c r="G207" i="30"/>
  <c r="J207" i="30" s="1"/>
  <c r="G124" i="30"/>
  <c r="J124" i="30" s="1"/>
  <c r="C176" i="30"/>
  <c r="G80" i="30"/>
  <c r="J80" i="30" s="1"/>
  <c r="G234" i="30"/>
  <c r="J234" i="30" s="1"/>
  <c r="G76" i="30"/>
  <c r="J76" i="30" s="1"/>
  <c r="G88" i="30"/>
  <c r="J88" i="30" s="1"/>
  <c r="G43" i="30"/>
  <c r="J43" i="30" s="1"/>
  <c r="F165" i="30"/>
  <c r="C148" i="30"/>
  <c r="G123" i="30"/>
  <c r="J123" i="30" s="1"/>
  <c r="J16" i="30"/>
  <c r="G218" i="30"/>
  <c r="J218" i="30" s="1"/>
  <c r="C174" i="30"/>
  <c r="G238" i="30"/>
  <c r="J238" i="30" s="1"/>
  <c r="F156" i="30"/>
  <c r="C152" i="30"/>
  <c r="C156" i="30"/>
  <c r="G117" i="30"/>
  <c r="J117" i="30" s="1"/>
  <c r="F139" i="30"/>
  <c r="C139" i="30"/>
  <c r="F148" i="30"/>
  <c r="G233" i="30"/>
  <c r="J233" i="30" s="1"/>
  <c r="G226" i="30"/>
  <c r="J226" i="30" s="1"/>
  <c r="G61" i="30"/>
  <c r="J61" i="30" s="1"/>
  <c r="C168" i="30"/>
  <c r="G84" i="30"/>
  <c r="J84" i="30" s="1"/>
  <c r="G66" i="30"/>
  <c r="J66" i="30" s="1"/>
  <c r="G217" i="30"/>
  <c r="J217" i="30" s="1"/>
  <c r="G65" i="30"/>
  <c r="J65" i="30" s="1"/>
  <c r="F150" i="30"/>
  <c r="G68" i="30"/>
  <c r="J68" i="30" s="1"/>
  <c r="G206" i="30"/>
  <c r="J206" i="30" s="1"/>
  <c r="G56" i="30"/>
  <c r="J56" i="30" s="1"/>
  <c r="G137" i="30"/>
  <c r="J137" i="30" s="1"/>
  <c r="G235" i="30"/>
  <c r="J235" i="30" s="1"/>
  <c r="G93" i="30"/>
  <c r="J93" i="30" s="1"/>
  <c r="F186" i="30"/>
  <c r="C186" i="30"/>
  <c r="G64" i="30"/>
  <c r="J64" i="30" s="1"/>
  <c r="G60" i="30"/>
  <c r="J60" i="30" s="1"/>
  <c r="G240" i="30"/>
  <c r="J240" i="30" s="1"/>
  <c r="G224" i="30"/>
  <c r="J224" i="30" s="1"/>
  <c r="G82" i="30"/>
  <c r="J82" i="30" s="1"/>
  <c r="G242" i="30"/>
  <c r="J242" i="30" s="1"/>
  <c r="G118" i="30"/>
  <c r="J118" i="30" s="1"/>
  <c r="G55" i="30"/>
  <c r="J55" i="30" s="1"/>
  <c r="G69" i="30"/>
  <c r="J69" i="30" s="1"/>
  <c r="G216" i="30"/>
  <c r="J216" i="30" s="1"/>
  <c r="F167" i="30"/>
  <c r="C167" i="30"/>
  <c r="F154" i="30"/>
  <c r="C154" i="30"/>
  <c r="G73" i="30"/>
  <c r="J73" i="30" s="1"/>
  <c r="G114" i="30"/>
  <c r="J114" i="30" s="1"/>
  <c r="G52" i="30"/>
  <c r="J52" i="30" s="1"/>
  <c r="C159" i="30"/>
  <c r="F159" i="30"/>
  <c r="G220" i="30"/>
  <c r="J220" i="30" s="1"/>
  <c r="G54" i="30"/>
  <c r="J54" i="30" s="1"/>
  <c r="G49" i="30"/>
  <c r="J49" i="30" s="1"/>
  <c r="G58" i="30"/>
  <c r="J58" i="30" s="1"/>
  <c r="F166" i="30"/>
  <c r="C166" i="30"/>
  <c r="F182" i="30"/>
  <c r="C182" i="30"/>
  <c r="F158" i="30"/>
  <c r="C158" i="30"/>
  <c r="G237" i="30"/>
  <c r="J237" i="30" s="1"/>
  <c r="G53" i="30"/>
  <c r="J53" i="30" s="1"/>
  <c r="G113" i="30"/>
  <c r="J113" i="30" s="1"/>
  <c r="G83" i="30"/>
  <c r="J83" i="30" s="1"/>
  <c r="G62" i="30"/>
  <c r="J62" i="30" s="1"/>
  <c r="G19" i="30"/>
  <c r="K47" i="5" s="1"/>
  <c r="G241" i="30"/>
  <c r="J241" i="30" s="1"/>
  <c r="G225" i="30"/>
  <c r="G221" i="30"/>
  <c r="J221" i="30" s="1"/>
  <c r="C171" i="30"/>
  <c r="F171" i="30"/>
  <c r="G57" i="30"/>
  <c r="J57" i="30" s="1"/>
  <c r="G231" i="30"/>
  <c r="J231" i="30" s="1"/>
  <c r="F143" i="30"/>
  <c r="C143" i="30"/>
  <c r="C135" i="30"/>
  <c r="F135" i="30"/>
  <c r="G232" i="30"/>
  <c r="J232" i="30" s="1"/>
  <c r="G219" i="30"/>
  <c r="J219" i="30" s="1"/>
  <c r="G202" i="30"/>
  <c r="C247" i="30"/>
  <c r="F247" i="30"/>
  <c r="E192" i="30"/>
  <c r="I192" i="30" s="1"/>
  <c r="C136" i="30"/>
  <c r="F136" i="30"/>
  <c r="G50" i="30"/>
  <c r="J50" i="30" s="1"/>
  <c r="G126" i="30"/>
  <c r="J126" i="30" s="1"/>
  <c r="G86" i="30"/>
  <c r="J86" i="30" s="1"/>
  <c r="G70" i="30"/>
  <c r="J70" i="30" s="1"/>
  <c r="C128" i="30"/>
  <c r="F128" i="30"/>
  <c r="C243" i="30"/>
  <c r="F243" i="30"/>
  <c r="E188" i="30"/>
  <c r="I188" i="30" s="1"/>
  <c r="G79" i="30"/>
  <c r="J79" i="30" s="1"/>
  <c r="C141" i="30"/>
  <c r="F141" i="30"/>
  <c r="F129" i="30"/>
  <c r="C129" i="30"/>
  <c r="F244" i="30"/>
  <c r="C244" i="30"/>
  <c r="E189" i="30"/>
  <c r="I189" i="30" s="1"/>
  <c r="G236" i="30"/>
  <c r="J236" i="30" s="1"/>
  <c r="G239" i="30"/>
  <c r="J239" i="30" s="1"/>
  <c r="G223" i="30"/>
  <c r="J223" i="30" s="1"/>
  <c r="C147" i="30"/>
  <c r="F147" i="30"/>
  <c r="C250" i="30"/>
  <c r="F250" i="30"/>
  <c r="E195" i="30"/>
  <c r="I195" i="30" s="1"/>
  <c r="G116" i="30"/>
  <c r="J116" i="30" s="1"/>
  <c r="G210" i="30"/>
  <c r="J210" i="30" s="1"/>
  <c r="G184" i="30"/>
  <c r="J184" i="30" s="1"/>
  <c r="G120" i="30"/>
  <c r="J120" i="30" s="1"/>
  <c r="G74" i="30"/>
  <c r="J74" i="30" s="1"/>
  <c r="G63" i="30"/>
  <c r="J63" i="30" s="1"/>
  <c r="C246" i="30"/>
  <c r="F246" i="30"/>
  <c r="E191" i="30"/>
  <c r="I191" i="30" s="1"/>
  <c r="G91" i="30"/>
  <c r="J91" i="30" s="1"/>
  <c r="G75" i="30"/>
  <c r="J75" i="30" s="1"/>
  <c r="G67" i="30"/>
  <c r="J67" i="30" s="1"/>
  <c r="F248" i="30"/>
  <c r="C248" i="30"/>
  <c r="E193" i="30"/>
  <c r="I193" i="30" s="1"/>
  <c r="F249" i="30"/>
  <c r="E194" i="30"/>
  <c r="I194" i="30" s="1"/>
  <c r="C249" i="30"/>
  <c r="C155" i="30"/>
  <c r="F155" i="30"/>
  <c r="G115" i="30"/>
  <c r="J115" i="30" s="1"/>
  <c r="G89" i="30"/>
  <c r="J89" i="30" s="1"/>
  <c r="G78" i="30"/>
  <c r="J78" i="30" s="1"/>
  <c r="F142" i="30"/>
  <c r="C142" i="30"/>
  <c r="G87" i="30"/>
  <c r="J87" i="30" s="1"/>
  <c r="G77" i="30"/>
  <c r="J77" i="30" s="1"/>
  <c r="G59" i="30"/>
  <c r="J59" i="30" s="1"/>
  <c r="F134" i="30"/>
  <c r="C134" i="30"/>
  <c r="G90" i="30"/>
  <c r="J90" i="30" s="1"/>
  <c r="F245" i="30"/>
  <c r="C245" i="30"/>
  <c r="E190" i="30"/>
  <c r="I190" i="30" s="1"/>
  <c r="G71" i="30"/>
  <c r="J71" i="30" s="1"/>
  <c r="D34" i="7"/>
  <c r="O45" i="5" l="1"/>
  <c r="J9" i="30"/>
  <c r="B201" i="30"/>
  <c r="B146" i="30" s="1"/>
  <c r="G139" i="30"/>
  <c r="J139" i="30" s="1"/>
  <c r="G156" i="30"/>
  <c r="J156" i="30" s="1"/>
  <c r="G175" i="30"/>
  <c r="J175" i="30" s="1"/>
  <c r="G173" i="30"/>
  <c r="J173" i="30" s="1"/>
  <c r="G138" i="30"/>
  <c r="J138" i="30" s="1"/>
  <c r="G140" i="30"/>
  <c r="J140" i="30" s="1"/>
  <c r="G174" i="30"/>
  <c r="J174" i="30" s="1"/>
  <c r="G149" i="30"/>
  <c r="J149" i="30" s="1"/>
  <c r="G185" i="30"/>
  <c r="J185" i="30" s="1"/>
  <c r="G186" i="30"/>
  <c r="J186" i="30" s="1"/>
  <c r="G180" i="30"/>
  <c r="G157" i="30"/>
  <c r="J157" i="30" s="1"/>
  <c r="G154" i="30"/>
  <c r="J154" i="30" s="1"/>
  <c r="G151" i="30"/>
  <c r="J151" i="30" s="1"/>
  <c r="J225" i="30"/>
  <c r="G164" i="30"/>
  <c r="J164" i="30" s="1"/>
  <c r="G163" i="30"/>
  <c r="J163" i="30" s="1"/>
  <c r="G179" i="30"/>
  <c r="J179" i="30" s="1"/>
  <c r="G183" i="30"/>
  <c r="J183" i="30" s="1"/>
  <c r="G160" i="30"/>
  <c r="G153" i="30"/>
  <c r="J153" i="30" s="1"/>
  <c r="G165" i="30"/>
  <c r="J165" i="30" s="1"/>
  <c r="G152" i="30"/>
  <c r="J152" i="30" s="1"/>
  <c r="G170" i="30"/>
  <c r="J170" i="30" s="1"/>
  <c r="G176" i="30"/>
  <c r="J176" i="30" s="1"/>
  <c r="G178" i="30"/>
  <c r="J178" i="30" s="1"/>
  <c r="G162" i="30"/>
  <c r="J162" i="30" s="1"/>
  <c r="J19" i="30"/>
  <c r="O47" i="5" s="1"/>
  <c r="G150" i="30"/>
  <c r="J150" i="30" s="1"/>
  <c r="G168" i="30"/>
  <c r="J168" i="30" s="1"/>
  <c r="G141" i="30"/>
  <c r="J141" i="30" s="1"/>
  <c r="G166" i="30"/>
  <c r="J166" i="30" s="1"/>
  <c r="G143" i="30"/>
  <c r="J143" i="30" s="1"/>
  <c r="G171" i="30"/>
  <c r="J171" i="30" s="1"/>
  <c r="G187" i="30"/>
  <c r="J187" i="30" s="1"/>
  <c r="G243" i="30"/>
  <c r="J243" i="30" s="1"/>
  <c r="G159" i="30"/>
  <c r="J159" i="30" s="1"/>
  <c r="G135" i="30"/>
  <c r="J135" i="30" s="1"/>
  <c r="G167" i="30"/>
  <c r="J167" i="30" s="1"/>
  <c r="G182" i="30"/>
  <c r="J182" i="30" s="1"/>
  <c r="G147" i="30"/>
  <c r="J147" i="30" s="1"/>
  <c r="G136" i="30"/>
  <c r="J136" i="30" s="1"/>
  <c r="G158" i="30"/>
  <c r="J158" i="30" s="1"/>
  <c r="G155" i="30"/>
  <c r="J155" i="30" s="1"/>
  <c r="F194" i="30"/>
  <c r="C194" i="30"/>
  <c r="C191" i="30"/>
  <c r="F191" i="30"/>
  <c r="G142" i="30"/>
  <c r="J142" i="30" s="1"/>
  <c r="F192" i="30"/>
  <c r="C192" i="30"/>
  <c r="G249" i="30"/>
  <c r="J249" i="30" s="1"/>
  <c r="G244" i="30"/>
  <c r="J244" i="30" s="1"/>
  <c r="G247" i="30"/>
  <c r="J247" i="30" s="1"/>
  <c r="G134" i="30"/>
  <c r="J134" i="30" s="1"/>
  <c r="G250" i="30"/>
  <c r="J250" i="30" s="1"/>
  <c r="G245" i="30"/>
  <c r="J245" i="30" s="1"/>
  <c r="G248" i="30"/>
  <c r="J248" i="30" s="1"/>
  <c r="G246" i="30"/>
  <c r="J246" i="30" s="1"/>
  <c r="C190" i="30"/>
  <c r="F190" i="30"/>
  <c r="F193" i="30"/>
  <c r="C193" i="30"/>
  <c r="C195" i="30"/>
  <c r="F195" i="30"/>
  <c r="F189" i="30"/>
  <c r="C189" i="30"/>
  <c r="J202" i="30"/>
  <c r="F188" i="30"/>
  <c r="C188" i="30"/>
  <c r="B118" i="7"/>
  <c r="F118" i="7" s="1"/>
  <c r="B117" i="7"/>
  <c r="F117" i="7" s="1"/>
  <c r="B116" i="7"/>
  <c r="C116" i="7" s="1"/>
  <c r="B115" i="7"/>
  <c r="C115" i="7" s="1"/>
  <c r="B114" i="7"/>
  <c r="C114" i="7" s="1"/>
  <c r="B113" i="7"/>
  <c r="F113" i="7" s="1"/>
  <c r="B112" i="7"/>
  <c r="C112" i="7" s="1"/>
  <c r="B111" i="7"/>
  <c r="C111" i="7" s="1"/>
  <c r="B110" i="7"/>
  <c r="C110" i="7" s="1"/>
  <c r="B109" i="7"/>
  <c r="F109" i="7" s="1"/>
  <c r="B108" i="7"/>
  <c r="C108" i="7" s="1"/>
  <c r="B107" i="7"/>
  <c r="C107" i="7" s="1"/>
  <c r="B106" i="7"/>
  <c r="C106" i="7" s="1"/>
  <c r="B103" i="7"/>
  <c r="C103" i="7" s="1"/>
  <c r="B100" i="7"/>
  <c r="F100" i="7" s="1"/>
  <c r="B97" i="7"/>
  <c r="J180" i="30" l="1"/>
  <c r="J160" i="30"/>
  <c r="G189" i="30"/>
  <c r="J189" i="30" s="1"/>
  <c r="G192" i="30"/>
  <c r="J192" i="30" s="1"/>
  <c r="G190" i="30"/>
  <c r="J190" i="30" s="1"/>
  <c r="G191" i="30"/>
  <c r="J191" i="30" s="1"/>
  <c r="G194" i="30"/>
  <c r="J194" i="30" s="1"/>
  <c r="G188" i="30"/>
  <c r="G195" i="30"/>
  <c r="J195" i="30" s="1"/>
  <c r="G193" i="30"/>
  <c r="J193" i="30" s="1"/>
  <c r="C118" i="7"/>
  <c r="F106" i="7"/>
  <c r="F116" i="7"/>
  <c r="F110" i="7"/>
  <c r="F114" i="7"/>
  <c r="F112" i="7"/>
  <c r="F108" i="7"/>
  <c r="C100" i="7"/>
  <c r="F97" i="7"/>
  <c r="C97" i="7"/>
  <c r="F103" i="7"/>
  <c r="F107" i="7"/>
  <c r="C109" i="7"/>
  <c r="F111" i="7"/>
  <c r="C113" i="7"/>
  <c r="F115" i="7"/>
  <c r="C117" i="7"/>
  <c r="I263" i="7"/>
  <c r="G263" i="7"/>
  <c r="I262" i="7"/>
  <c r="G262" i="7"/>
  <c r="I261" i="7"/>
  <c r="G261" i="7"/>
  <c r="I259" i="7"/>
  <c r="G259" i="7"/>
  <c r="I258" i="7"/>
  <c r="G258" i="7"/>
  <c r="I257" i="7"/>
  <c r="G257" i="7"/>
  <c r="J188" i="30" l="1"/>
  <c r="J263" i="7"/>
  <c r="J262" i="7"/>
  <c r="J258" i="7"/>
  <c r="J261" i="7"/>
  <c r="J257" i="7"/>
  <c r="J259" i="7"/>
  <c r="F5" i="7" l="1"/>
  <c r="B92" i="7"/>
  <c r="C92" i="7" s="1"/>
  <c r="B91" i="7"/>
  <c r="F91" i="7" s="1"/>
  <c r="B90" i="7"/>
  <c r="F90" i="7" s="1"/>
  <c r="B89" i="7"/>
  <c r="F89" i="7" s="1"/>
  <c r="B88" i="7"/>
  <c r="C88" i="7" s="1"/>
  <c r="B93" i="7"/>
  <c r="F93" i="7" s="1"/>
  <c r="C91" i="7" l="1"/>
  <c r="F92" i="7"/>
  <c r="C90" i="7"/>
  <c r="C89" i="7"/>
  <c r="C93" i="7"/>
  <c r="F88" i="7"/>
  <c r="D59" i="23" l="1"/>
  <c r="E59" i="23"/>
  <c r="F59" i="23"/>
  <c r="C59" i="23"/>
  <c r="C60" i="23" s="1"/>
  <c r="D46" i="23"/>
  <c r="E46" i="23"/>
  <c r="F46" i="23"/>
  <c r="C46" i="23"/>
  <c r="D2" i="29"/>
  <c r="D45" i="23"/>
  <c r="B3" i="29"/>
  <c r="D3" i="29" s="1"/>
  <c r="B4" i="29"/>
  <c r="D4" i="29" s="1"/>
  <c r="B5" i="29"/>
  <c r="D5" i="29" s="1"/>
  <c r="B6" i="29"/>
  <c r="D6" i="29" s="1"/>
  <c r="B7" i="29"/>
  <c r="D7" i="29" s="1"/>
  <c r="B9" i="29"/>
  <c r="D9" i="29" s="1"/>
  <c r="B10" i="29"/>
  <c r="D10" i="29" s="1"/>
  <c r="B11" i="29"/>
  <c r="D11" i="29" s="1"/>
  <c r="B12" i="29"/>
  <c r="D12" i="29" s="1"/>
  <c r="B13" i="29"/>
  <c r="D13" i="29" s="1"/>
  <c r="B14" i="29"/>
  <c r="D14" i="29" s="1"/>
  <c r="B15" i="29"/>
  <c r="D15" i="29" s="1"/>
  <c r="B16" i="29"/>
  <c r="D16" i="29" s="1"/>
  <c r="B8" i="29"/>
  <c r="D8" i="29" s="1"/>
  <c r="F60" i="23" l="1"/>
  <c r="D60" i="23"/>
  <c r="D47" i="23"/>
  <c r="E60" i="23"/>
  <c r="F45" i="23"/>
  <c r="F47" i="23" s="1"/>
  <c r="C45" i="23"/>
  <c r="C47" i="23" s="1"/>
  <c r="E45" i="23"/>
  <c r="E47" i="23" s="1"/>
  <c r="B86" i="7" l="1"/>
  <c r="C86" i="7" s="1"/>
  <c r="B85" i="7"/>
  <c r="C85" i="7" s="1"/>
  <c r="B84" i="7"/>
  <c r="B83" i="7"/>
  <c r="C83" i="7" s="1"/>
  <c r="B82" i="7"/>
  <c r="B87" i="7"/>
  <c r="C87" i="7" s="1"/>
  <c r="F84" i="7" l="1"/>
  <c r="C84" i="7"/>
  <c r="F82" i="7"/>
  <c r="C82" i="7"/>
  <c r="F86" i="7"/>
  <c r="F85" i="7"/>
  <c r="F83" i="7"/>
  <c r="F87" i="7"/>
  <c r="B59" i="7" l="1"/>
  <c r="F59" i="7" s="1"/>
  <c r="B60" i="7"/>
  <c r="C60" i="7" s="1"/>
  <c r="B61" i="7"/>
  <c r="B62" i="7"/>
  <c r="F62" i="7" s="1"/>
  <c r="B63" i="7"/>
  <c r="F63" i="7" s="1"/>
  <c r="B64" i="7"/>
  <c r="C64" i="7" s="1"/>
  <c r="B65" i="7"/>
  <c r="B66" i="7"/>
  <c r="B67" i="7"/>
  <c r="F67" i="7" s="1"/>
  <c r="B68" i="7"/>
  <c r="C68" i="7" s="1"/>
  <c r="B69" i="7"/>
  <c r="B77" i="7"/>
  <c r="B79" i="7"/>
  <c r="B73" i="7"/>
  <c r="B71" i="7"/>
  <c r="B57" i="7"/>
  <c r="F57" i="7" s="1"/>
  <c r="B56" i="7"/>
  <c r="C56" i="7" s="1"/>
  <c r="B55" i="7"/>
  <c r="B54" i="7"/>
  <c r="B53" i="7"/>
  <c r="F79" i="7" l="1"/>
  <c r="F71" i="7"/>
  <c r="C77" i="7"/>
  <c r="F73" i="7"/>
  <c r="C63" i="7"/>
  <c r="F77" i="7"/>
  <c r="C59" i="7"/>
  <c r="C73" i="7"/>
  <c r="F56" i="7"/>
  <c r="C67" i="7"/>
  <c r="C66" i="7"/>
  <c r="F66" i="7"/>
  <c r="C65" i="7"/>
  <c r="C61" i="7"/>
  <c r="F65" i="7"/>
  <c r="C79" i="7"/>
  <c r="C71" i="7"/>
  <c r="C62" i="7"/>
  <c r="C69" i="7"/>
  <c r="C57" i="7"/>
  <c r="F69" i="7"/>
  <c r="F61" i="7"/>
  <c r="F68" i="7"/>
  <c r="F64" i="7"/>
  <c r="F60" i="7"/>
  <c r="K168" i="4"/>
  <c r="K169" i="4"/>
  <c r="B99" i="7" s="1"/>
  <c r="K170" i="4"/>
  <c r="K171" i="4"/>
  <c r="K172" i="4"/>
  <c r="B105" i="7" s="1"/>
  <c r="G173" i="4"/>
  <c r="G174" i="4"/>
  <c r="G175" i="4"/>
  <c r="G176" i="4"/>
  <c r="G177" i="4"/>
  <c r="B101" i="7" s="1"/>
  <c r="G178" i="4"/>
  <c r="G179" i="4"/>
  <c r="G180" i="4"/>
  <c r="G181" i="4"/>
  <c r="G182" i="4"/>
  <c r="G183" i="4"/>
  <c r="G184" i="4"/>
  <c r="C99" i="7" l="1"/>
  <c r="F99" i="7"/>
  <c r="C105" i="7"/>
  <c r="F105" i="7"/>
  <c r="F101" i="7"/>
  <c r="C101" i="7"/>
  <c r="C95" i="31"/>
  <c r="B95" i="7"/>
  <c r="B75" i="7"/>
  <c r="B81" i="7"/>
  <c r="B74" i="7"/>
  <c r="B80" i="7"/>
  <c r="B70" i="7"/>
  <c r="B76" i="7"/>
  <c r="B78" i="7"/>
  <c r="B72" i="7"/>
  <c r="H125" i="4"/>
  <c r="H124" i="4"/>
  <c r="H123" i="4"/>
  <c r="H121" i="4"/>
  <c r="H120" i="4"/>
  <c r="H119" i="4"/>
  <c r="H122" i="4"/>
  <c r="H118" i="4"/>
  <c r="H44" i="4"/>
  <c r="H169" i="4"/>
  <c r="J169" i="4"/>
  <c r="B98" i="7" s="1"/>
  <c r="H170" i="4"/>
  <c r="J170" i="4"/>
  <c r="H171" i="4"/>
  <c r="J171" i="4"/>
  <c r="H172" i="4"/>
  <c r="B102" i="7" s="1"/>
  <c r="J172" i="4"/>
  <c r="B104" i="7" s="1"/>
  <c r="J168" i="4"/>
  <c r="H168" i="4"/>
  <c r="C102" i="7" l="1"/>
  <c r="F102" i="7"/>
  <c r="C98" i="7"/>
  <c r="F98" i="7"/>
  <c r="F104" i="7"/>
  <c r="C104" i="7"/>
  <c r="F95" i="31"/>
  <c r="F211" i="31"/>
  <c r="C211" i="31"/>
  <c r="C95" i="7"/>
  <c r="F95" i="7"/>
  <c r="B96" i="7"/>
  <c r="F96" i="7" s="1"/>
  <c r="C81" i="7"/>
  <c r="F81" i="7"/>
  <c r="F75" i="7"/>
  <c r="C75" i="7"/>
  <c r="C76" i="7"/>
  <c r="F76" i="7"/>
  <c r="C78" i="7"/>
  <c r="F78" i="7"/>
  <c r="C70" i="7"/>
  <c r="F70" i="7"/>
  <c r="C72" i="7"/>
  <c r="F72" i="7"/>
  <c r="C80" i="7"/>
  <c r="F80" i="7"/>
  <c r="C74" i="7"/>
  <c r="F74" i="7"/>
  <c r="I15" i="4"/>
  <c r="I14" i="4"/>
  <c r="I13" i="4"/>
  <c r="I12" i="4"/>
  <c r="H11" i="4"/>
  <c r="H8" i="4"/>
  <c r="H9" i="4"/>
  <c r="H10" i="4"/>
  <c r="H35" i="4"/>
  <c r="H12" i="4"/>
  <c r="AH202" i="4"/>
  <c r="AI202" i="4"/>
  <c r="AJ202" i="4"/>
  <c r="AK202" i="4"/>
  <c r="H38" i="4"/>
  <c r="H37" i="4"/>
  <c r="H36" i="4"/>
  <c r="H34" i="4"/>
  <c r="H33" i="4"/>
  <c r="H32" i="4"/>
  <c r="H31" i="4"/>
  <c r="H21" i="4"/>
  <c r="H20" i="4"/>
  <c r="H14" i="4"/>
  <c r="H13" i="4"/>
  <c r="H15" i="4"/>
  <c r="F15" i="4"/>
  <c r="F14" i="4"/>
  <c r="F12" i="4"/>
  <c r="F13" i="4"/>
  <c r="F11" i="4"/>
  <c r="F156" i="31" l="1"/>
  <c r="E156" i="31"/>
  <c r="I156" i="31" s="1"/>
  <c r="C156" i="31"/>
  <c r="C199" i="31"/>
  <c r="F199" i="31"/>
  <c r="C40" i="31"/>
  <c r="F40" i="31"/>
  <c r="E63" i="5"/>
  <c r="F203" i="31"/>
  <c r="C203" i="31"/>
  <c r="C96" i="7"/>
  <c r="F96" i="30"/>
  <c r="C96" i="30"/>
  <c r="AK318" i="4"/>
  <c r="AK320" i="4"/>
  <c r="AK321" i="4"/>
  <c r="AK322" i="4"/>
  <c r="AK323" i="4"/>
  <c r="E229" i="32" s="1"/>
  <c r="AK324" i="4"/>
  <c r="AK325" i="4"/>
  <c r="AK326" i="4"/>
  <c r="AK327" i="4"/>
  <c r="AK317" i="4"/>
  <c r="E228" i="32" s="1"/>
  <c r="AJ318" i="4"/>
  <c r="AJ320" i="4"/>
  <c r="AJ321" i="4"/>
  <c r="AJ322" i="4"/>
  <c r="AJ323" i="4"/>
  <c r="E229" i="31" s="1"/>
  <c r="AJ324" i="4"/>
  <c r="AJ325" i="4"/>
  <c r="AJ326" i="4"/>
  <c r="AJ327" i="4"/>
  <c r="AJ317" i="4"/>
  <c r="E228" i="31" s="1"/>
  <c r="AI318" i="4"/>
  <c r="AI320" i="4"/>
  <c r="AI321" i="4"/>
  <c r="AI322" i="4"/>
  <c r="AI323" i="4"/>
  <c r="E229" i="30" s="1"/>
  <c r="AI324" i="4"/>
  <c r="AI325" i="4"/>
  <c r="AI326" i="4"/>
  <c r="AI327" i="4"/>
  <c r="AI317" i="4"/>
  <c r="E228" i="30" s="1"/>
  <c r="AH318" i="4"/>
  <c r="AH320" i="4"/>
  <c r="AH321" i="4"/>
  <c r="AH322" i="4"/>
  <c r="AH323" i="4"/>
  <c r="AH324" i="4"/>
  <c r="AH325" i="4"/>
  <c r="AH326" i="4"/>
  <c r="AH327" i="4"/>
  <c r="AH317" i="4"/>
  <c r="I228" i="32" l="1"/>
  <c r="G228" i="32"/>
  <c r="I229" i="32"/>
  <c r="G229" i="32"/>
  <c r="G156" i="31"/>
  <c r="J156" i="31" s="1"/>
  <c r="I229" i="30"/>
  <c r="G229" i="30"/>
  <c r="E246" i="31"/>
  <c r="I246" i="31" s="1"/>
  <c r="C246" i="31"/>
  <c r="F246" i="31"/>
  <c r="I228" i="30"/>
  <c r="G228" i="30"/>
  <c r="E244" i="31"/>
  <c r="I244" i="31" s="1"/>
  <c r="F244" i="31"/>
  <c r="C244" i="31"/>
  <c r="C148" i="31"/>
  <c r="F148" i="31"/>
  <c r="C144" i="31"/>
  <c r="F144" i="31"/>
  <c r="I228" i="31"/>
  <c r="G228" i="31"/>
  <c r="E243" i="31"/>
  <c r="I243" i="31" s="1"/>
  <c r="C243" i="31"/>
  <c r="F243" i="31"/>
  <c r="C128" i="31"/>
  <c r="F128" i="31"/>
  <c r="I229" i="31"/>
  <c r="G229" i="31"/>
  <c r="E245" i="31"/>
  <c r="I245" i="31" s="1"/>
  <c r="C245" i="31"/>
  <c r="F245" i="31"/>
  <c r="F19" i="23"/>
  <c r="N31" i="23" s="1"/>
  <c r="P14" i="5"/>
  <c r="L14" i="5"/>
  <c r="Y26" i="24" l="1"/>
  <c r="N18" i="23"/>
  <c r="F42" i="23"/>
  <c r="R26" i="24"/>
  <c r="Y4" i="24"/>
  <c r="R4" i="24"/>
  <c r="J229" i="32"/>
  <c r="J228" i="32"/>
  <c r="G244" i="31"/>
  <c r="J244" i="31" s="1"/>
  <c r="G243" i="31"/>
  <c r="J243" i="31" s="1"/>
  <c r="J229" i="30"/>
  <c r="G245" i="31"/>
  <c r="J245" i="31" s="1"/>
  <c r="J229" i="31"/>
  <c r="J228" i="31"/>
  <c r="E189" i="31"/>
  <c r="I189" i="31" s="1"/>
  <c r="F189" i="31"/>
  <c r="C189" i="31"/>
  <c r="J228" i="30"/>
  <c r="E191" i="31"/>
  <c r="I191" i="31" s="1"/>
  <c r="C191" i="31"/>
  <c r="F191" i="31"/>
  <c r="E190" i="31"/>
  <c r="I190" i="31" s="1"/>
  <c r="F190" i="31"/>
  <c r="C190" i="31"/>
  <c r="E188" i="31"/>
  <c r="I188" i="31" s="1"/>
  <c r="F188" i="31"/>
  <c r="C188" i="31"/>
  <c r="G246" i="31"/>
  <c r="J246" i="31" s="1"/>
  <c r="AJ308" i="4"/>
  <c r="AK308" i="4"/>
  <c r="G188" i="31" l="1"/>
  <c r="J188" i="31" s="1"/>
  <c r="G190" i="31"/>
  <c r="J190" i="31" s="1"/>
  <c r="G191" i="31"/>
  <c r="J191" i="31" s="1"/>
  <c r="G189" i="31"/>
  <c r="J189" i="31" s="1"/>
  <c r="E25" i="7"/>
  <c r="E118" i="7" l="1"/>
  <c r="E114" i="7"/>
  <c r="E117" i="7"/>
  <c r="E113" i="7"/>
  <c r="E116" i="7"/>
  <c r="E115" i="7"/>
  <c r="B141" i="7"/>
  <c r="E141" i="7" s="1"/>
  <c r="K18" i="23"/>
  <c r="C42" i="23" l="1"/>
  <c r="V26" i="24"/>
  <c r="B143" i="7"/>
  <c r="E143" i="7" s="1"/>
  <c r="E81" i="5"/>
  <c r="Z4" i="5"/>
  <c r="V26" i="5"/>
  <c r="D29" i="30" s="1"/>
  <c r="H29" i="30" s="1"/>
  <c r="V27" i="5"/>
  <c r="D29" i="31" s="1"/>
  <c r="H29" i="31" s="1"/>
  <c r="I29" i="31" s="1"/>
  <c r="J29" i="31" s="1"/>
  <c r="V28" i="5"/>
  <c r="D29" i="32" s="1"/>
  <c r="V25" i="5"/>
  <c r="AK297" i="4"/>
  <c r="AK298" i="4"/>
  <c r="AK299" i="4"/>
  <c r="AK300" i="4"/>
  <c r="AK301" i="4"/>
  <c r="AK302" i="4"/>
  <c r="AK303" i="4"/>
  <c r="AK296" i="4"/>
  <c r="E211" i="32" s="1"/>
  <c r="AK274" i="4"/>
  <c r="AK275" i="4"/>
  <c r="AK276" i="4"/>
  <c r="AK273" i="4"/>
  <c r="AK259" i="4"/>
  <c r="E199" i="32" s="1"/>
  <c r="AH259" i="4"/>
  <c r="AI259" i="4"/>
  <c r="AK256" i="4"/>
  <c r="AK257" i="4"/>
  <c r="AK258" i="4"/>
  <c r="AK255" i="4"/>
  <c r="AK244" i="4"/>
  <c r="AK208" i="4"/>
  <c r="AK207" i="4"/>
  <c r="AK194" i="4"/>
  <c r="AK195" i="4"/>
  <c r="AK196" i="4"/>
  <c r="AK197" i="4"/>
  <c r="AK198" i="4"/>
  <c r="AK199" i="4"/>
  <c r="AK200" i="4"/>
  <c r="AK201" i="4"/>
  <c r="AK203" i="4"/>
  <c r="AK204" i="4"/>
  <c r="AK205" i="4"/>
  <c r="AK193" i="4"/>
  <c r="AK182" i="4"/>
  <c r="AK183" i="4"/>
  <c r="E24" i="32" s="1"/>
  <c r="AK184" i="4"/>
  <c r="AK181" i="4"/>
  <c r="AK178" i="4"/>
  <c r="AK179" i="4"/>
  <c r="AK180" i="4"/>
  <c r="AK177" i="4"/>
  <c r="AK174" i="4"/>
  <c r="AK175" i="4"/>
  <c r="AK176" i="4"/>
  <c r="AK173" i="4"/>
  <c r="AK44" i="4"/>
  <c r="F22" i="23"/>
  <c r="F21" i="23"/>
  <c r="E22" i="32" l="1"/>
  <c r="E99" i="32" s="1"/>
  <c r="I24" i="32"/>
  <c r="E110" i="32"/>
  <c r="E108" i="32"/>
  <c r="E112" i="32"/>
  <c r="E107" i="32"/>
  <c r="G24" i="32"/>
  <c r="E109" i="32"/>
  <c r="E111" i="32"/>
  <c r="E23" i="32"/>
  <c r="E212" i="32"/>
  <c r="I212" i="32" s="1"/>
  <c r="H29" i="32"/>
  <c r="I199" i="32"/>
  <c r="G199" i="32"/>
  <c r="I211" i="32"/>
  <c r="G211" i="32"/>
  <c r="B32" i="5"/>
  <c r="N3" i="5"/>
  <c r="P21" i="5"/>
  <c r="B58" i="5"/>
  <c r="B71" i="5"/>
  <c r="B45" i="5"/>
  <c r="S28" i="5"/>
  <c r="T28" i="5"/>
  <c r="U28" i="5"/>
  <c r="W28" i="5"/>
  <c r="E40" i="32" s="1"/>
  <c r="X28" i="5"/>
  <c r="E41" i="32" s="1"/>
  <c r="N28" i="5"/>
  <c r="AK190" i="4" l="1"/>
  <c r="AK188" i="4"/>
  <c r="I74" i="5"/>
  <c r="E100" i="32"/>
  <c r="G100" i="32" s="1"/>
  <c r="E97" i="32"/>
  <c r="G97" i="32" s="1"/>
  <c r="I22" i="32"/>
  <c r="E96" i="32"/>
  <c r="I96" i="32" s="1"/>
  <c r="E95" i="32"/>
  <c r="I95" i="32" s="1"/>
  <c r="G22" i="32"/>
  <c r="E98" i="32"/>
  <c r="I98" i="32" s="1"/>
  <c r="J24" i="32"/>
  <c r="E103" i="32"/>
  <c r="G103" i="32" s="1"/>
  <c r="E104" i="32"/>
  <c r="G104" i="32" s="1"/>
  <c r="E106" i="32"/>
  <c r="G106" i="32" s="1"/>
  <c r="E105" i="32"/>
  <c r="G105" i="32" s="1"/>
  <c r="I111" i="32"/>
  <c r="G111" i="32"/>
  <c r="I112" i="32"/>
  <c r="G112" i="32"/>
  <c r="E26" i="32"/>
  <c r="G23" i="32"/>
  <c r="I23" i="32"/>
  <c r="I109" i="32"/>
  <c r="G109" i="32"/>
  <c r="I108" i="32"/>
  <c r="G108" i="32"/>
  <c r="E102" i="32"/>
  <c r="G102" i="32" s="1"/>
  <c r="E101" i="32"/>
  <c r="I101" i="32" s="1"/>
  <c r="I110" i="32"/>
  <c r="G110" i="32"/>
  <c r="I107" i="32"/>
  <c r="G107" i="32"/>
  <c r="G212" i="32"/>
  <c r="J212" i="32" s="1"/>
  <c r="I41" i="32"/>
  <c r="E129" i="32"/>
  <c r="G41" i="32"/>
  <c r="I76" i="5"/>
  <c r="I29" i="32"/>
  <c r="J29" i="32" s="1"/>
  <c r="J199" i="32"/>
  <c r="I40" i="32"/>
  <c r="G40" i="32"/>
  <c r="E128" i="32"/>
  <c r="J211" i="32"/>
  <c r="I99" i="32"/>
  <c r="G99" i="32"/>
  <c r="I29" i="30"/>
  <c r="J29" i="30" s="1"/>
  <c r="Q28" i="5"/>
  <c r="AK191" i="4" s="1"/>
  <c r="AK186" i="4"/>
  <c r="AK211" i="4"/>
  <c r="AK187" i="4"/>
  <c r="B50" i="7"/>
  <c r="E50" i="7" s="1"/>
  <c r="B49" i="7"/>
  <c r="E49" i="7" s="1"/>
  <c r="I100" i="32" l="1"/>
  <c r="G26" i="32"/>
  <c r="K74" i="5" s="1"/>
  <c r="P13" i="5"/>
  <c r="AK280" i="4" s="1"/>
  <c r="E204" i="32" s="1"/>
  <c r="AK206" i="4"/>
  <c r="AK241" i="4" s="1"/>
  <c r="J22" i="32"/>
  <c r="I97" i="32"/>
  <c r="J97" i="32" s="1"/>
  <c r="G98" i="32"/>
  <c r="G96" i="32"/>
  <c r="J96" i="32" s="1"/>
  <c r="G95" i="32"/>
  <c r="J95" i="32" s="1"/>
  <c r="I103" i="32"/>
  <c r="J103" i="32" s="1"/>
  <c r="I104" i="32"/>
  <c r="J104" i="32" s="1"/>
  <c r="J110" i="32"/>
  <c r="J108" i="32"/>
  <c r="J23" i="32"/>
  <c r="I106" i="32"/>
  <c r="J106" i="32" s="1"/>
  <c r="J111" i="32"/>
  <c r="J112" i="32"/>
  <c r="I102" i="32"/>
  <c r="J102" i="32" s="1"/>
  <c r="I105" i="32"/>
  <c r="J105" i="32" s="1"/>
  <c r="J107" i="32"/>
  <c r="J109" i="32"/>
  <c r="M74" i="5"/>
  <c r="G101" i="32"/>
  <c r="J101" i="32" s="1"/>
  <c r="M76" i="5"/>
  <c r="J41" i="32"/>
  <c r="I129" i="32"/>
  <c r="G129" i="32"/>
  <c r="AK295" i="4"/>
  <c r="AK307" i="4"/>
  <c r="E227" i="32" s="1"/>
  <c r="AK277" i="4"/>
  <c r="I128" i="32"/>
  <c r="G128" i="32"/>
  <c r="G44" i="32"/>
  <c r="K76" i="5" s="1"/>
  <c r="J40" i="32"/>
  <c r="J98" i="32"/>
  <c r="J99" i="32"/>
  <c r="J100" i="32"/>
  <c r="R28" i="5"/>
  <c r="P11" i="5" s="1"/>
  <c r="AK306" i="4"/>
  <c r="AK267" i="4"/>
  <c r="AK268" i="4"/>
  <c r="AK269" i="4"/>
  <c r="AK270" i="4"/>
  <c r="B135" i="7"/>
  <c r="E135" i="7" s="1"/>
  <c r="B137" i="7"/>
  <c r="E137" i="7" s="1"/>
  <c r="AK294" i="4"/>
  <c r="AK238" i="4"/>
  <c r="AK220" i="4"/>
  <c r="AK236" i="4"/>
  <c r="AK225" i="4"/>
  <c r="AK250" i="4"/>
  <c r="AK163" i="4"/>
  <c r="AK291" i="4"/>
  <c r="AK221" i="4"/>
  <c r="AK292" i="4"/>
  <c r="AK249" i="4"/>
  <c r="AK243" i="4"/>
  <c r="AK235" i="4"/>
  <c r="AK213" i="4"/>
  <c r="AK217" i="4"/>
  <c r="AK222" i="4"/>
  <c r="AK226" i="4"/>
  <c r="AK212" i="4"/>
  <c r="AK251" i="4"/>
  <c r="AK165" i="4"/>
  <c r="AK159" i="4"/>
  <c r="AK160" i="4"/>
  <c r="AK156" i="4"/>
  <c r="AK279" i="4"/>
  <c r="AK272" i="4"/>
  <c r="AK247" i="4"/>
  <c r="AK233" i="4"/>
  <c r="AK219" i="4"/>
  <c r="AK228" i="4"/>
  <c r="AK248" i="4"/>
  <c r="AK230" i="4"/>
  <c r="E148" i="32" s="1"/>
  <c r="AK253" i="4"/>
  <c r="AK293" i="4"/>
  <c r="E203" i="32" s="1"/>
  <c r="AK254" i="4"/>
  <c r="AK237" i="4"/>
  <c r="AK232" i="4"/>
  <c r="AK214" i="4"/>
  <c r="AK218" i="4"/>
  <c r="AK223" i="4"/>
  <c r="AK227" i="4"/>
  <c r="AK166" i="4"/>
  <c r="AK252" i="4"/>
  <c r="AK157" i="4"/>
  <c r="AK162" i="4"/>
  <c r="AK161" i="4"/>
  <c r="AK234" i="4"/>
  <c r="AK215" i="4"/>
  <c r="AK224" i="4"/>
  <c r="AK167" i="4"/>
  <c r="AK158" i="4"/>
  <c r="AK278" i="4"/>
  <c r="AK216" i="4"/>
  <c r="AK229" i="4"/>
  <c r="P12" i="5" l="1"/>
  <c r="J26" i="32"/>
  <c r="O74" i="5" s="1"/>
  <c r="J44" i="32"/>
  <c r="O76" i="5" s="1"/>
  <c r="J129" i="32"/>
  <c r="I204" i="32"/>
  <c r="G204" i="32"/>
  <c r="I227" i="32"/>
  <c r="G227" i="32"/>
  <c r="J128" i="32"/>
  <c r="I148" i="32"/>
  <c r="G148" i="32"/>
  <c r="I203" i="32"/>
  <c r="G203" i="32"/>
  <c r="E22" i="23"/>
  <c r="E21" i="23"/>
  <c r="D22" i="23"/>
  <c r="D21" i="23"/>
  <c r="C22" i="23"/>
  <c r="E19" i="23"/>
  <c r="D19" i="23"/>
  <c r="K1" i="23"/>
  <c r="C1" i="23"/>
  <c r="D7" i="26"/>
  <c r="A33" i="23" s="1"/>
  <c r="C33" i="23" s="1"/>
  <c r="M7" i="26"/>
  <c r="M9" i="26" s="1"/>
  <c r="E5" i="26" s="1"/>
  <c r="E6" i="26" s="1"/>
  <c r="N8" i="26"/>
  <c r="N9" i="26" s="1"/>
  <c r="F5" i="26" s="1"/>
  <c r="D11" i="26"/>
  <c r="D13" i="26" s="1"/>
  <c r="E11" i="26"/>
  <c r="E13" i="26" s="1"/>
  <c r="F11" i="26"/>
  <c r="F13" i="26" s="1"/>
  <c r="AA4" i="24"/>
  <c r="F23" i="23"/>
  <c r="N34" i="23" s="1"/>
  <c r="N36" i="23" s="1"/>
  <c r="L18" i="23" l="1"/>
  <c r="L31" i="23"/>
  <c r="M18" i="23"/>
  <c r="M31" i="23"/>
  <c r="Y28" i="24"/>
  <c r="F36" i="23"/>
  <c r="H22" i="23"/>
  <c r="E42" i="23"/>
  <c r="X26" i="24"/>
  <c r="D42" i="23"/>
  <c r="W26" i="24"/>
  <c r="J204" i="32"/>
  <c r="J227" i="32"/>
  <c r="J148" i="32"/>
  <c r="J203" i="32"/>
  <c r="D33" i="23"/>
  <c r="E33" i="23" s="1"/>
  <c r="F33" i="23" s="1"/>
  <c r="R6" i="24"/>
  <c r="D5" i="18" s="1"/>
  <c r="R28" i="24"/>
  <c r="Y6" i="24"/>
  <c r="D23" i="23"/>
  <c r="L34" i="23" s="1"/>
  <c r="L36" i="23" s="1"/>
  <c r="Q4" i="24"/>
  <c r="X4" i="24"/>
  <c r="Q26" i="24"/>
  <c r="O26" i="24"/>
  <c r="O4" i="24"/>
  <c r="V4" i="24"/>
  <c r="P4" i="24"/>
  <c r="W4" i="24"/>
  <c r="P26" i="24"/>
  <c r="E23" i="23"/>
  <c r="M34" i="23" s="1"/>
  <c r="M36" i="23" s="1"/>
  <c r="C23" i="23"/>
  <c r="F6" i="26"/>
  <c r="F7" i="26" s="1"/>
  <c r="E7" i="26"/>
  <c r="C36" i="23" l="1"/>
  <c r="K34" i="23"/>
  <c r="X28" i="24"/>
  <c r="E36" i="23"/>
  <c r="W28" i="24"/>
  <c r="D36" i="23"/>
  <c r="D48" i="23" s="1"/>
  <c r="D49" i="23" s="1"/>
  <c r="V28" i="24"/>
  <c r="O28" i="24"/>
  <c r="H23" i="23"/>
  <c r="G33" i="23"/>
  <c r="G39" i="23" s="1"/>
  <c r="F48" i="23"/>
  <c r="F49" i="23" s="1"/>
  <c r="F61" i="23"/>
  <c r="F62" i="23" s="1"/>
  <c r="F37" i="23" s="1"/>
  <c r="F55" i="23"/>
  <c r="O6" i="24"/>
  <c r="V6" i="24"/>
  <c r="Q28" i="24"/>
  <c r="Q6" i="24"/>
  <c r="D4" i="18" s="1"/>
  <c r="X6" i="24"/>
  <c r="P6" i="24"/>
  <c r="D3" i="18" s="1"/>
  <c r="W6" i="24"/>
  <c r="P28" i="24"/>
  <c r="P34" i="23" l="1"/>
  <c r="K36" i="23"/>
  <c r="P36" i="23" s="1"/>
  <c r="S9" i="24"/>
  <c r="S15" i="24" s="1"/>
  <c r="S32" i="24"/>
  <c r="S38" i="24" s="1"/>
  <c r="Z9" i="24"/>
  <c r="Z15" i="24" s="1"/>
  <c r="Z32" i="24"/>
  <c r="T6" i="24"/>
  <c r="Y33" i="24"/>
  <c r="AA28" i="24"/>
  <c r="T28" i="24"/>
  <c r="AA6" i="24"/>
  <c r="R33" i="24"/>
  <c r="Y10" i="24"/>
  <c r="R10" i="24"/>
  <c r="E48" i="23"/>
  <c r="E49" i="23" s="1"/>
  <c r="E61" i="23"/>
  <c r="E55" i="23"/>
  <c r="C48" i="23"/>
  <c r="C49" i="23" s="1"/>
  <c r="H36" i="23"/>
  <c r="P35" i="23" l="1"/>
  <c r="X33" i="24"/>
  <c r="Z38" i="24"/>
  <c r="Q33" i="24"/>
  <c r="Q10" i="24"/>
  <c r="X10" i="24"/>
  <c r="D55" i="23"/>
  <c r="W33" i="24" s="1"/>
  <c r="D61" i="23"/>
  <c r="C6" i="24"/>
  <c r="C55" i="23"/>
  <c r="O33" i="24" s="1"/>
  <c r="C61" i="23"/>
  <c r="C62" i="23" s="1"/>
  <c r="C37" i="23" s="1"/>
  <c r="C38" i="23" s="1"/>
  <c r="C39" i="23" s="1"/>
  <c r="O9" i="24" s="1"/>
  <c r="E62" i="23"/>
  <c r="E37" i="23" s="1"/>
  <c r="O10" i="24" l="1"/>
  <c r="V32" i="24"/>
  <c r="V38" i="24" s="1"/>
  <c r="O32" i="24"/>
  <c r="O38" i="24" s="1"/>
  <c r="V9" i="24"/>
  <c r="H6" i="24"/>
  <c r="I6" i="24" s="1"/>
  <c r="J6" i="24" s="1"/>
  <c r="K6" i="24" s="1"/>
  <c r="D6" i="24"/>
  <c r="E6" i="24" s="1"/>
  <c r="F6" i="24" s="1"/>
  <c r="G6" i="24" s="1"/>
  <c r="V33" i="24"/>
  <c r="AA33" i="24" s="1"/>
  <c r="K10" i="24" s="1"/>
  <c r="P10" i="24"/>
  <c r="P33" i="24"/>
  <c r="T33" i="24" s="1"/>
  <c r="J10" i="24" s="1"/>
  <c r="W10" i="24"/>
  <c r="V10" i="24"/>
  <c r="AJ274" i="4"/>
  <c r="AJ275" i="4"/>
  <c r="AJ276" i="4"/>
  <c r="AJ273" i="4"/>
  <c r="AI274" i="4"/>
  <c r="AI275" i="4"/>
  <c r="AI276" i="4"/>
  <c r="AI273" i="4"/>
  <c r="AH274" i="4"/>
  <c r="AH275" i="4"/>
  <c r="AH276" i="4"/>
  <c r="AH273" i="4"/>
  <c r="E8" i="7"/>
  <c r="AJ256" i="4"/>
  <c r="AJ257" i="4"/>
  <c r="AJ258" i="4"/>
  <c r="AJ255" i="4"/>
  <c r="AI256" i="4"/>
  <c r="AI257" i="4"/>
  <c r="AI258" i="4"/>
  <c r="AI255" i="4"/>
  <c r="AH256" i="4"/>
  <c r="AH257" i="4"/>
  <c r="AH258" i="4"/>
  <c r="AH255" i="4"/>
  <c r="O15" i="24" l="1"/>
  <c r="T10" i="24"/>
  <c r="H10" i="24" s="1"/>
  <c r="AA10" i="24"/>
  <c r="I10" i="24" s="1"/>
  <c r="E29" i="7"/>
  <c r="C10" i="24" l="1"/>
  <c r="AI297" i="4"/>
  <c r="AJ297" i="4"/>
  <c r="AI298" i="4"/>
  <c r="AJ298" i="4"/>
  <c r="AI299" i="4"/>
  <c r="AJ299" i="4"/>
  <c r="AI300" i="4"/>
  <c r="E212" i="30" s="1"/>
  <c r="I212" i="30" s="1"/>
  <c r="AJ300" i="4"/>
  <c r="AI301" i="4"/>
  <c r="AJ301" i="4"/>
  <c r="AI302" i="4"/>
  <c r="AJ302" i="4"/>
  <c r="AI303" i="4"/>
  <c r="AJ303" i="4"/>
  <c r="AJ296" i="4"/>
  <c r="E211" i="31" s="1"/>
  <c r="AI296" i="4"/>
  <c r="E211" i="30" s="1"/>
  <c r="I211" i="30" s="1"/>
  <c r="AH297" i="4"/>
  <c r="AH298" i="4"/>
  <c r="AH299" i="4"/>
  <c r="AH300" i="4"/>
  <c r="AH301" i="4"/>
  <c r="AH302" i="4"/>
  <c r="AH303" i="4"/>
  <c r="AH296" i="4"/>
  <c r="E212" i="31" l="1"/>
  <c r="I212" i="31" s="1"/>
  <c r="I211" i="31"/>
  <c r="G211" i="31"/>
  <c r="G211" i="30"/>
  <c r="G212" i="30"/>
  <c r="G212" i="31" l="1"/>
  <c r="J212" i="31" s="1"/>
  <c r="J211" i="31"/>
  <c r="J211" i="30"/>
  <c r="J212" i="30"/>
  <c r="AH305" i="4"/>
  <c r="AH304" i="4"/>
  <c r="E7" i="7"/>
  <c r="AJ259" i="4" l="1"/>
  <c r="J3" i="5" l="1"/>
  <c r="F3" i="5"/>
  <c r="B3" i="5"/>
  <c r="E56" i="7" l="1"/>
  <c r="E53" i="7"/>
  <c r="E57" i="7"/>
  <c r="E54" i="7"/>
  <c r="E55" i="7"/>
  <c r="E60" i="7"/>
  <c r="E61" i="7"/>
  <c r="E62" i="7"/>
  <c r="E59" i="7"/>
  <c r="E63" i="7"/>
  <c r="E64" i="7"/>
  <c r="E68" i="7"/>
  <c r="E65" i="7"/>
  <c r="E69" i="7"/>
  <c r="E66" i="7"/>
  <c r="E67" i="7"/>
  <c r="I66" i="7" l="1"/>
  <c r="G66" i="7"/>
  <c r="I64" i="7"/>
  <c r="G64" i="7"/>
  <c r="I69" i="7"/>
  <c r="G69" i="7"/>
  <c r="I63" i="7"/>
  <c r="G63" i="7"/>
  <c r="I61" i="7"/>
  <c r="G61" i="7"/>
  <c r="I57" i="7"/>
  <c r="G57" i="7"/>
  <c r="I65" i="7"/>
  <c r="G65" i="7"/>
  <c r="I59" i="7"/>
  <c r="G59" i="7"/>
  <c r="I60" i="7"/>
  <c r="G60" i="7"/>
  <c r="I67" i="7"/>
  <c r="G67" i="7"/>
  <c r="I68" i="7"/>
  <c r="G68" i="7"/>
  <c r="I62" i="7"/>
  <c r="G62" i="7"/>
  <c r="G56" i="7"/>
  <c r="I56" i="7"/>
  <c r="J62" i="7" l="1"/>
  <c r="J67" i="7"/>
  <c r="J59" i="7"/>
  <c r="J63" i="7"/>
  <c r="J66" i="7"/>
  <c r="J57" i="7"/>
  <c r="J68" i="7"/>
  <c r="J60" i="7"/>
  <c r="J65" i="7"/>
  <c r="J61" i="7"/>
  <c r="J69" i="7"/>
  <c r="J64" i="7"/>
  <c r="J56" i="7"/>
  <c r="A1" i="7"/>
  <c r="AJ182" i="4" l="1"/>
  <c r="AJ183" i="4"/>
  <c r="E24" i="31" s="1"/>
  <c r="AJ184" i="4"/>
  <c r="AJ181" i="4"/>
  <c r="AJ178" i="4"/>
  <c r="AJ179" i="4"/>
  <c r="AJ180" i="4"/>
  <c r="AJ177" i="4"/>
  <c r="AJ174" i="4"/>
  <c r="AJ175" i="4"/>
  <c r="AJ176" i="4"/>
  <c r="AJ173" i="4"/>
  <c r="E22" i="31" s="1"/>
  <c r="AI182" i="4"/>
  <c r="AI183" i="4"/>
  <c r="E24" i="30" s="1"/>
  <c r="AI184" i="4"/>
  <c r="AI181" i="4"/>
  <c r="AI174" i="4"/>
  <c r="AI175" i="4"/>
  <c r="AI176" i="4"/>
  <c r="AI177" i="4"/>
  <c r="E23" i="30" s="1"/>
  <c r="I23" i="30" s="1"/>
  <c r="AI178" i="4"/>
  <c r="AI179" i="4"/>
  <c r="AI180" i="4"/>
  <c r="AI173" i="4"/>
  <c r="S25" i="5"/>
  <c r="E30" i="7"/>
  <c r="U25" i="5"/>
  <c r="AH182" i="4"/>
  <c r="AH183" i="4"/>
  <c r="E24" i="7" s="1"/>
  <c r="AH184" i="4"/>
  <c r="AH181" i="4"/>
  <c r="E18" i="7"/>
  <c r="E17" i="7"/>
  <c r="F18" i="7"/>
  <c r="C18" i="7"/>
  <c r="E23" i="31" l="1"/>
  <c r="E105" i="31" s="1"/>
  <c r="I24" i="30"/>
  <c r="E112" i="30"/>
  <c r="E107" i="30"/>
  <c r="E111" i="30"/>
  <c r="G24" i="30"/>
  <c r="E108" i="30"/>
  <c r="E109" i="30"/>
  <c r="E110" i="30"/>
  <c r="I24" i="31"/>
  <c r="E110" i="31"/>
  <c r="E111" i="31"/>
  <c r="E109" i="31"/>
  <c r="E108" i="31"/>
  <c r="E107" i="31"/>
  <c r="E112" i="31"/>
  <c r="G24" i="31"/>
  <c r="E112" i="7"/>
  <c r="E108" i="7"/>
  <c r="E110" i="7"/>
  <c r="E111" i="7"/>
  <c r="E109" i="7"/>
  <c r="E107" i="7"/>
  <c r="E98" i="31"/>
  <c r="G22" i="31"/>
  <c r="E96" i="31"/>
  <c r="E100" i="31"/>
  <c r="E99" i="31"/>
  <c r="E97" i="31"/>
  <c r="I22" i="31"/>
  <c r="E95" i="31"/>
  <c r="E105" i="30"/>
  <c r="I105" i="30" s="1"/>
  <c r="E101" i="30"/>
  <c r="I101" i="30" s="1"/>
  <c r="E104" i="30"/>
  <c r="I104" i="30" s="1"/>
  <c r="E102" i="30"/>
  <c r="I102" i="30" s="1"/>
  <c r="E103" i="30"/>
  <c r="I103" i="30" s="1"/>
  <c r="E106" i="30"/>
  <c r="I106" i="30" s="1"/>
  <c r="G23" i="30"/>
  <c r="H18" i="7"/>
  <c r="E93" i="7"/>
  <c r="E88" i="7"/>
  <c r="E92" i="7"/>
  <c r="E90" i="7"/>
  <c r="E89" i="7"/>
  <c r="E91" i="7"/>
  <c r="E85" i="7"/>
  <c r="E84" i="7"/>
  <c r="E86" i="7"/>
  <c r="E83" i="7"/>
  <c r="E87" i="7"/>
  <c r="E82" i="7"/>
  <c r="G18" i="7"/>
  <c r="J24" i="30" l="1"/>
  <c r="J24" i="31"/>
  <c r="E103" i="31"/>
  <c r="G103" i="31" s="1"/>
  <c r="I23" i="31"/>
  <c r="M61" i="5" s="1"/>
  <c r="I61" i="5"/>
  <c r="E101" i="31"/>
  <c r="I101" i="31" s="1"/>
  <c r="E104" i="31"/>
  <c r="G104" i="31" s="1"/>
  <c r="E26" i="31"/>
  <c r="E102" i="31"/>
  <c r="I102" i="31" s="1"/>
  <c r="G23" i="31"/>
  <c r="E106" i="31"/>
  <c r="I106" i="31" s="1"/>
  <c r="I111" i="7"/>
  <c r="G111" i="7"/>
  <c r="I109" i="31"/>
  <c r="G109" i="31"/>
  <c r="I110" i="30"/>
  <c r="G110" i="30"/>
  <c r="I111" i="30"/>
  <c r="G111" i="30"/>
  <c r="I110" i="7"/>
  <c r="G110" i="7"/>
  <c r="I112" i="31"/>
  <c r="G112" i="31"/>
  <c r="I111" i="31"/>
  <c r="G111" i="31"/>
  <c r="I109" i="30"/>
  <c r="G109" i="30"/>
  <c r="I107" i="30"/>
  <c r="G107" i="30"/>
  <c r="I107" i="7"/>
  <c r="G107" i="7"/>
  <c r="G108" i="7"/>
  <c r="I108" i="7"/>
  <c r="I107" i="31"/>
  <c r="G107" i="31"/>
  <c r="I110" i="31"/>
  <c r="G110" i="31"/>
  <c r="I108" i="30"/>
  <c r="G108" i="30"/>
  <c r="I112" i="30"/>
  <c r="G112" i="30"/>
  <c r="I109" i="7"/>
  <c r="G109" i="7"/>
  <c r="I112" i="7"/>
  <c r="G112" i="7"/>
  <c r="I108" i="31"/>
  <c r="G108" i="31"/>
  <c r="I105" i="31"/>
  <c r="G105" i="31"/>
  <c r="I97" i="31"/>
  <c r="G97" i="31"/>
  <c r="I99" i="31"/>
  <c r="G99" i="31"/>
  <c r="I96" i="31"/>
  <c r="G96" i="31"/>
  <c r="I95" i="31"/>
  <c r="G95" i="31"/>
  <c r="J22" i="31"/>
  <c r="I100" i="31"/>
  <c r="G100" i="31"/>
  <c r="I98" i="31"/>
  <c r="G98" i="31"/>
  <c r="J23" i="30"/>
  <c r="G101" i="30"/>
  <c r="G106" i="30"/>
  <c r="G105" i="30"/>
  <c r="G103" i="30"/>
  <c r="G104" i="30"/>
  <c r="G102" i="30"/>
  <c r="I90" i="7"/>
  <c r="G90" i="7"/>
  <c r="J18" i="7"/>
  <c r="I92" i="7"/>
  <c r="G92" i="7"/>
  <c r="G91" i="7"/>
  <c r="I91" i="7"/>
  <c r="I88" i="7"/>
  <c r="G88" i="7"/>
  <c r="I89" i="7"/>
  <c r="G89" i="7"/>
  <c r="G93" i="7"/>
  <c r="I93" i="7"/>
  <c r="I83" i="7"/>
  <c r="G83" i="7"/>
  <c r="I86" i="7"/>
  <c r="G86" i="7"/>
  <c r="I82" i="7"/>
  <c r="G82" i="7"/>
  <c r="I84" i="7"/>
  <c r="G84" i="7"/>
  <c r="I87" i="7"/>
  <c r="G87" i="7"/>
  <c r="I85" i="7"/>
  <c r="G85" i="7"/>
  <c r="H17" i="7"/>
  <c r="E16" i="7"/>
  <c r="E15" i="7"/>
  <c r="D14" i="7"/>
  <c r="H14" i="7" s="1"/>
  <c r="I14" i="7" s="1"/>
  <c r="D13" i="7"/>
  <c r="H13" i="7" s="1"/>
  <c r="I13" i="7" s="1"/>
  <c r="D12" i="7"/>
  <c r="E34" i="5"/>
  <c r="F17" i="7"/>
  <c r="F16" i="7"/>
  <c r="C17" i="7"/>
  <c r="C16" i="7"/>
  <c r="F14" i="7"/>
  <c r="F13" i="7"/>
  <c r="C14" i="7"/>
  <c r="C13" i="7"/>
  <c r="I104" i="31" l="1"/>
  <c r="J104" i="31" s="1"/>
  <c r="I103" i="31"/>
  <c r="J103" i="31" s="1"/>
  <c r="J23" i="31"/>
  <c r="J26" i="31" s="1"/>
  <c r="O61" i="5" s="1"/>
  <c r="G102" i="31"/>
  <c r="J102" i="31" s="1"/>
  <c r="G106" i="31"/>
  <c r="J106" i="31" s="1"/>
  <c r="G101" i="31"/>
  <c r="J101" i="31" s="1"/>
  <c r="G26" i="31"/>
  <c r="K61" i="5" s="1"/>
  <c r="AH60" i="4"/>
  <c r="J108" i="31"/>
  <c r="J109" i="7"/>
  <c r="J108" i="30"/>
  <c r="J107" i="31"/>
  <c r="J107" i="7"/>
  <c r="J109" i="30"/>
  <c r="J112" i="31"/>
  <c r="J111" i="30"/>
  <c r="J112" i="7"/>
  <c r="J112" i="30"/>
  <c r="J110" i="31"/>
  <c r="J107" i="30"/>
  <c r="J111" i="31"/>
  <c r="J110" i="7"/>
  <c r="J110" i="30"/>
  <c r="J111" i="7"/>
  <c r="J109" i="31"/>
  <c r="J108" i="7"/>
  <c r="J105" i="31"/>
  <c r="AH62" i="4"/>
  <c r="J98" i="31"/>
  <c r="J96" i="31"/>
  <c r="J97" i="31"/>
  <c r="J100" i="31"/>
  <c r="J95" i="31"/>
  <c r="J99" i="31"/>
  <c r="J103" i="30"/>
  <c r="J102" i="30"/>
  <c r="J101" i="30"/>
  <c r="J104" i="30"/>
  <c r="J105" i="30"/>
  <c r="J106" i="30"/>
  <c r="J89" i="7"/>
  <c r="J91" i="7"/>
  <c r="J93" i="7"/>
  <c r="J88" i="7"/>
  <c r="J92" i="7"/>
  <c r="J90" i="7"/>
  <c r="J87" i="7"/>
  <c r="J82" i="7"/>
  <c r="J83" i="7"/>
  <c r="J85" i="7"/>
  <c r="J84" i="7"/>
  <c r="J86" i="7"/>
  <c r="H16" i="7"/>
  <c r="E79" i="7"/>
  <c r="E77" i="7"/>
  <c r="E81" i="7"/>
  <c r="E80" i="7"/>
  <c r="E76" i="7"/>
  <c r="E78" i="7"/>
  <c r="E73" i="7"/>
  <c r="E71" i="7"/>
  <c r="E70" i="7"/>
  <c r="E75" i="7"/>
  <c r="E72" i="7"/>
  <c r="E74" i="7"/>
  <c r="E19" i="7"/>
  <c r="G17" i="7"/>
  <c r="J17" i="7" s="1"/>
  <c r="G14" i="7"/>
  <c r="J14" i="7" s="1"/>
  <c r="G13" i="7"/>
  <c r="J13" i="7" s="1"/>
  <c r="G16" i="7"/>
  <c r="J16" i="7" l="1"/>
  <c r="I115" i="7"/>
  <c r="G115" i="7"/>
  <c r="I117" i="7"/>
  <c r="G117" i="7"/>
  <c r="I114" i="7"/>
  <c r="G114" i="7"/>
  <c r="I116" i="7"/>
  <c r="G116" i="7"/>
  <c r="I118" i="7"/>
  <c r="G118" i="7"/>
  <c r="I113" i="7"/>
  <c r="G113" i="7"/>
  <c r="I81" i="7"/>
  <c r="G81" i="7"/>
  <c r="I77" i="7"/>
  <c r="G77" i="7"/>
  <c r="I79" i="7"/>
  <c r="G79" i="7"/>
  <c r="I75" i="7"/>
  <c r="G75" i="7"/>
  <c r="I71" i="7"/>
  <c r="G71" i="7"/>
  <c r="G73" i="7"/>
  <c r="I73" i="7"/>
  <c r="J113" i="7" l="1"/>
  <c r="J116" i="7"/>
  <c r="J115" i="7"/>
  <c r="J118" i="7"/>
  <c r="J114" i="7"/>
  <c r="J117" i="7"/>
  <c r="J77" i="7"/>
  <c r="J79" i="7"/>
  <c r="J81" i="7"/>
  <c r="J71" i="7"/>
  <c r="J75" i="7"/>
  <c r="J73" i="7"/>
  <c r="B127" i="7" l="1"/>
  <c r="E127" i="7" s="1"/>
  <c r="B126" i="7"/>
  <c r="E126" i="7" s="1"/>
  <c r="B125" i="7"/>
  <c r="E125" i="7" s="1"/>
  <c r="B124" i="7"/>
  <c r="E124" i="7" s="1"/>
  <c r="B123" i="7"/>
  <c r="E123" i="7" s="1"/>
  <c r="B122" i="7"/>
  <c r="E122" i="7" s="1"/>
  <c r="B121" i="7"/>
  <c r="E121" i="7" s="1"/>
  <c r="B120" i="7"/>
  <c r="E120" i="7" s="1"/>
  <c r="B52" i="7"/>
  <c r="E52" i="7" s="1"/>
  <c r="F15" i="7"/>
  <c r="C15" i="7"/>
  <c r="F5" i="16"/>
  <c r="B139" i="7" l="1"/>
  <c r="E139" i="7" s="1"/>
  <c r="I50" i="7"/>
  <c r="F53" i="7"/>
  <c r="C54" i="7"/>
  <c r="B140" i="7"/>
  <c r="E140" i="7" s="1"/>
  <c r="B142" i="7"/>
  <c r="E142" i="7" s="1"/>
  <c r="B136" i="7"/>
  <c r="E136" i="7" s="1"/>
  <c r="B134" i="7"/>
  <c r="E134" i="7" s="1"/>
  <c r="B138" i="7"/>
  <c r="E138" i="7" s="1"/>
  <c r="F50" i="7"/>
  <c r="C53" i="7"/>
  <c r="C50" i="7"/>
  <c r="I53" i="7"/>
  <c r="F55" i="7"/>
  <c r="F54" i="7"/>
  <c r="C55" i="7"/>
  <c r="S4" i="16"/>
  <c r="T4" i="16" s="1"/>
  <c r="S3" i="16"/>
  <c r="T3" i="16" s="1"/>
  <c r="T5" i="16"/>
  <c r="M5" i="16"/>
  <c r="L4" i="16"/>
  <c r="M4" i="16" s="1"/>
  <c r="L3" i="16"/>
  <c r="M3" i="16" s="1"/>
  <c r="E4" i="16"/>
  <c r="F4" i="16" s="1"/>
  <c r="E3" i="16"/>
  <c r="C139" i="7" l="1"/>
  <c r="F135" i="7"/>
  <c r="C140" i="7"/>
  <c r="G50" i="7"/>
  <c r="J50" i="7" s="1"/>
  <c r="C136" i="7"/>
  <c r="I139" i="7"/>
  <c r="C137" i="7"/>
  <c r="F139" i="7"/>
  <c r="C138" i="7"/>
  <c r="C134" i="7"/>
  <c r="C141" i="7"/>
  <c r="I135" i="7"/>
  <c r="C135" i="7"/>
  <c r="F3" i="16"/>
  <c r="F140" i="7"/>
  <c r="I140" i="7"/>
  <c r="F136" i="7"/>
  <c r="I136" i="7"/>
  <c r="F134" i="7"/>
  <c r="I134" i="7"/>
  <c r="F141" i="7"/>
  <c r="I141" i="7"/>
  <c r="F143" i="7"/>
  <c r="I143" i="7"/>
  <c r="C143" i="7"/>
  <c r="F138" i="7"/>
  <c r="I138" i="7"/>
  <c r="F137" i="7"/>
  <c r="I137" i="7"/>
  <c r="F142" i="7"/>
  <c r="C142" i="7"/>
  <c r="G53" i="7"/>
  <c r="J53" i="7" s="1"/>
  <c r="Q9" i="16"/>
  <c r="R9" i="16" s="1"/>
  <c r="T9" i="16" s="1"/>
  <c r="J9" i="16"/>
  <c r="K9" i="16" s="1"/>
  <c r="M9" i="16" s="1"/>
  <c r="J10" i="16" s="1"/>
  <c r="K10" i="16" s="1"/>
  <c r="J19" i="16"/>
  <c r="K19" i="16" s="1"/>
  <c r="Q19" i="16"/>
  <c r="R19" i="16" s="1"/>
  <c r="T19" i="16" s="1"/>
  <c r="C19" i="16"/>
  <c r="D19" i="16" s="1"/>
  <c r="M19" i="16" l="1"/>
  <c r="J20" i="16" s="1"/>
  <c r="K20" i="16" s="1"/>
  <c r="L20" i="16"/>
  <c r="C9" i="16"/>
  <c r="D9" i="16" s="1"/>
  <c r="G139" i="7"/>
  <c r="J139" i="7" s="1"/>
  <c r="G135" i="7"/>
  <c r="J135" i="7" s="1"/>
  <c r="G136" i="7"/>
  <c r="J136" i="7" s="1"/>
  <c r="G134" i="7"/>
  <c r="J134" i="7" s="1"/>
  <c r="G143" i="7"/>
  <c r="J143" i="7" s="1"/>
  <c r="G141" i="7"/>
  <c r="J141" i="7" s="1"/>
  <c r="G137" i="7"/>
  <c r="J137" i="7" s="1"/>
  <c r="G138" i="7"/>
  <c r="J138" i="7" s="1"/>
  <c r="G140" i="7"/>
  <c r="J140" i="7" s="1"/>
  <c r="Q20" i="16"/>
  <c r="R20" i="16" s="1"/>
  <c r="Q10" i="16"/>
  <c r="R10" i="16" s="1"/>
  <c r="L10" i="16"/>
  <c r="M10" i="16" s="1"/>
  <c r="S20" i="16"/>
  <c r="S10" i="16"/>
  <c r="F19" i="16"/>
  <c r="E20" i="16"/>
  <c r="M20" i="16" l="1"/>
  <c r="J21" i="16" s="1"/>
  <c r="K21" i="16" s="1"/>
  <c r="E10" i="16"/>
  <c r="T10" i="16"/>
  <c r="F9" i="16"/>
  <c r="C10" i="16" s="1"/>
  <c r="T20" i="16"/>
  <c r="Q21" i="16" s="1"/>
  <c r="R21" i="16" s="1"/>
  <c r="J11" i="16"/>
  <c r="K11" i="16" s="1"/>
  <c r="L11" i="16"/>
  <c r="C20" i="16"/>
  <c r="D20" i="16" s="1"/>
  <c r="L21" i="16" l="1"/>
  <c r="D10" i="16"/>
  <c r="F10" i="16" s="1"/>
  <c r="M11" i="16"/>
  <c r="L12" i="16" s="1"/>
  <c r="M21" i="16"/>
  <c r="J22" i="16" s="1"/>
  <c r="K22" i="16" s="1"/>
  <c r="Q11" i="16"/>
  <c r="R11" i="16" s="1"/>
  <c r="S11" i="16"/>
  <c r="S21" i="16"/>
  <c r="F20" i="16"/>
  <c r="C11" i="16" l="1"/>
  <c r="D11" i="16" s="1"/>
  <c r="E11" i="16"/>
  <c r="T21" i="16"/>
  <c r="Q22" i="16" s="1"/>
  <c r="R22" i="16" s="1"/>
  <c r="J12" i="16"/>
  <c r="K12" i="16" s="1"/>
  <c r="T11" i="16"/>
  <c r="S12" i="16" s="1"/>
  <c r="L22" i="16"/>
  <c r="C21" i="16"/>
  <c r="D21" i="16" s="1"/>
  <c r="E21" i="16"/>
  <c r="F11" i="16" l="1"/>
  <c r="E12" i="16" s="1"/>
  <c r="S22" i="16"/>
  <c r="T22" i="16" s="1"/>
  <c r="Q23" i="16" s="1"/>
  <c r="R23" i="16" s="1"/>
  <c r="M12" i="16"/>
  <c r="J13" i="16" s="1"/>
  <c r="K13" i="16" s="1"/>
  <c r="F21" i="16"/>
  <c r="M22" i="16"/>
  <c r="J23" i="16" s="1"/>
  <c r="K23" i="16" s="1"/>
  <c r="Q12" i="16"/>
  <c r="C12" i="16" l="1"/>
  <c r="D12" i="16" s="1"/>
  <c r="J14" i="16"/>
  <c r="T12" i="16"/>
  <c r="Q13" i="16" s="1"/>
  <c r="R13" i="16" s="1"/>
  <c r="R12" i="16"/>
  <c r="L13" i="16"/>
  <c r="M13" i="16" s="1"/>
  <c r="L23" i="16"/>
  <c r="M23" i="16" s="1"/>
  <c r="J24" i="16"/>
  <c r="S23" i="16"/>
  <c r="T23" i="16" s="1"/>
  <c r="Q24" i="16"/>
  <c r="C22" i="16"/>
  <c r="D22" i="16" s="1"/>
  <c r="E22" i="16"/>
  <c r="M15" i="16" l="1"/>
  <c r="F12" i="16"/>
  <c r="C13" i="16" s="1"/>
  <c r="D13" i="16" s="1"/>
  <c r="T25" i="16"/>
  <c r="M25" i="16"/>
  <c r="F22" i="16"/>
  <c r="S13" i="16"/>
  <c r="T13" i="16" s="1"/>
  <c r="Q14" i="16"/>
  <c r="E13" i="16" l="1"/>
  <c r="F13" i="16" s="1"/>
  <c r="C14" i="16"/>
  <c r="T15" i="16"/>
  <c r="C23" i="16"/>
  <c r="D23" i="16" s="1"/>
  <c r="E23" i="16"/>
  <c r="F15" i="16" l="1"/>
  <c r="F23" i="16"/>
  <c r="C24" i="16"/>
  <c r="F25" i="16" l="1"/>
  <c r="AJ205" i="4"/>
  <c r="AI205" i="4"/>
  <c r="AH205" i="4"/>
  <c r="AJ198" i="4"/>
  <c r="AI198" i="4"/>
  <c r="AH198" i="4"/>
  <c r="I33" i="7" l="1"/>
  <c r="E34" i="7" l="1"/>
  <c r="I265" i="7" l="1"/>
  <c r="I260" i="7"/>
  <c r="I256" i="7"/>
  <c r="I255" i="7"/>
  <c r="I254" i="7"/>
  <c r="I253" i="7"/>
  <c r="I252" i="7"/>
  <c r="I251" i="7"/>
  <c r="I36" i="7"/>
  <c r="I34" i="7"/>
  <c r="I30" i="7"/>
  <c r="G260" i="7" l="1"/>
  <c r="J260" i="7" s="1"/>
  <c r="F256" i="7"/>
  <c r="G256" i="7" s="1"/>
  <c r="J256" i="7" s="1"/>
  <c r="C256" i="7"/>
  <c r="G2" i="7" l="1"/>
  <c r="D2" i="7"/>
  <c r="B2" i="7"/>
  <c r="E68" i="5" l="1"/>
  <c r="E42" i="5"/>
  <c r="AB4" i="5"/>
  <c r="AA4" i="5"/>
  <c r="Z3" i="5"/>
  <c r="H21" i="5" l="1"/>
  <c r="L21" i="5"/>
  <c r="D21" i="5"/>
  <c r="B199" i="7"/>
  <c r="B202" i="7"/>
  <c r="E202" i="7" s="1"/>
  <c r="B204" i="7"/>
  <c r="B205" i="7"/>
  <c r="E205" i="7" s="1"/>
  <c r="B206" i="7"/>
  <c r="E206" i="7" s="1"/>
  <c r="B207" i="7"/>
  <c r="E207" i="7" s="1"/>
  <c r="B208" i="7"/>
  <c r="E208" i="7" s="1"/>
  <c r="B209" i="7"/>
  <c r="E209" i="7" s="1"/>
  <c r="B210" i="7"/>
  <c r="E210" i="7" s="1"/>
  <c r="B211" i="7"/>
  <c r="E211" i="7" s="1"/>
  <c r="B212" i="7"/>
  <c r="E212" i="7" s="1"/>
  <c r="B213" i="7"/>
  <c r="E213" i="7" s="1"/>
  <c r="B214" i="7"/>
  <c r="E214" i="7" s="1"/>
  <c r="B215" i="7"/>
  <c r="E215" i="7" s="1"/>
  <c r="B216" i="7"/>
  <c r="E216" i="7" s="1"/>
  <c r="B217" i="7"/>
  <c r="E217" i="7" s="1"/>
  <c r="B218" i="7"/>
  <c r="E218" i="7" s="1"/>
  <c r="B219" i="7"/>
  <c r="E219" i="7" s="1"/>
  <c r="B220" i="7"/>
  <c r="E220" i="7" s="1"/>
  <c r="B221" i="7"/>
  <c r="E221" i="7" s="1"/>
  <c r="B222" i="7"/>
  <c r="E222" i="7" s="1"/>
  <c r="B223" i="7"/>
  <c r="E223" i="7" s="1"/>
  <c r="B224" i="7"/>
  <c r="E224" i="7" s="1"/>
  <c r="B225" i="7"/>
  <c r="E225" i="7" s="1"/>
  <c r="B226" i="7"/>
  <c r="E226" i="7" s="1"/>
  <c r="B227" i="7"/>
  <c r="F227" i="7" s="1"/>
  <c r="B228" i="7"/>
  <c r="B229" i="7"/>
  <c r="B230" i="7"/>
  <c r="E230" i="7" s="1"/>
  <c r="B231" i="7"/>
  <c r="E231" i="7" s="1"/>
  <c r="B232" i="7"/>
  <c r="E232" i="7" s="1"/>
  <c r="B233" i="7"/>
  <c r="E233" i="7" s="1"/>
  <c r="B234" i="7"/>
  <c r="E234" i="7" s="1"/>
  <c r="B235" i="7"/>
  <c r="E235" i="7" s="1"/>
  <c r="B236" i="7"/>
  <c r="E236" i="7" s="1"/>
  <c r="B237" i="7"/>
  <c r="E237" i="7" s="1"/>
  <c r="B238" i="7"/>
  <c r="E238" i="7" s="1"/>
  <c r="B239" i="7"/>
  <c r="E239" i="7" s="1"/>
  <c r="B240" i="7"/>
  <c r="E240" i="7" s="1"/>
  <c r="B241" i="7"/>
  <c r="E241" i="7" s="1"/>
  <c r="B242" i="7"/>
  <c r="E242" i="7" s="1"/>
  <c r="C251" i="7"/>
  <c r="F251" i="7"/>
  <c r="G251" i="7" s="1"/>
  <c r="J251" i="7" s="1"/>
  <c r="C252" i="7"/>
  <c r="F252" i="7"/>
  <c r="G252" i="7" s="1"/>
  <c r="J252" i="7" s="1"/>
  <c r="C253" i="7"/>
  <c r="F253" i="7"/>
  <c r="G253" i="7" s="1"/>
  <c r="J253" i="7" s="1"/>
  <c r="C254" i="7"/>
  <c r="F254" i="7"/>
  <c r="G254" i="7" s="1"/>
  <c r="J254" i="7" s="1"/>
  <c r="C255" i="7"/>
  <c r="F255" i="7"/>
  <c r="G255" i="7" s="1"/>
  <c r="J255" i="7" s="1"/>
  <c r="G265" i="7"/>
  <c r="J265" i="7" s="1"/>
  <c r="F52" i="7"/>
  <c r="I120" i="7"/>
  <c r="C121" i="7"/>
  <c r="F122" i="7"/>
  <c r="F123" i="7"/>
  <c r="I124" i="7"/>
  <c r="C125" i="7"/>
  <c r="F127" i="7"/>
  <c r="B40" i="7"/>
  <c r="B41" i="7"/>
  <c r="B42" i="7"/>
  <c r="B43" i="7"/>
  <c r="C29" i="7"/>
  <c r="F29" i="7"/>
  <c r="C30" i="7"/>
  <c r="D30" i="7"/>
  <c r="H30" i="7" s="1"/>
  <c r="F30" i="7"/>
  <c r="C31" i="7"/>
  <c r="F31" i="7"/>
  <c r="C32" i="7"/>
  <c r="F32" i="7"/>
  <c r="C33" i="7"/>
  <c r="F33" i="7"/>
  <c r="C34" i="7"/>
  <c r="F34" i="7"/>
  <c r="C35" i="7"/>
  <c r="F35" i="7"/>
  <c r="C36" i="7"/>
  <c r="F36" i="7"/>
  <c r="G36" i="7" s="1"/>
  <c r="J36" i="7" s="1"/>
  <c r="C22" i="7"/>
  <c r="F22" i="7"/>
  <c r="C23" i="7"/>
  <c r="F23" i="7"/>
  <c r="C24" i="7"/>
  <c r="F24" i="7"/>
  <c r="C25" i="7"/>
  <c r="I25" i="7"/>
  <c r="F25" i="7"/>
  <c r="C12" i="7"/>
  <c r="F12" i="7"/>
  <c r="E229" i="7" l="1"/>
  <c r="F229" i="7"/>
  <c r="E228" i="7"/>
  <c r="F228" i="7"/>
  <c r="B243" i="7"/>
  <c r="B246" i="7"/>
  <c r="B245" i="7"/>
  <c r="B244" i="7"/>
  <c r="B128" i="7"/>
  <c r="F40" i="7"/>
  <c r="I24" i="7"/>
  <c r="C231" i="7"/>
  <c r="C223" i="7"/>
  <c r="C215" i="7"/>
  <c r="C207" i="7"/>
  <c r="C199" i="7"/>
  <c r="I242" i="7"/>
  <c r="I238" i="7"/>
  <c r="C234" i="7"/>
  <c r="C230" i="7"/>
  <c r="C226" i="7"/>
  <c r="C222" i="7"/>
  <c r="C218" i="7"/>
  <c r="C214" i="7"/>
  <c r="C210" i="7"/>
  <c r="C206" i="7"/>
  <c r="C202" i="7"/>
  <c r="E42" i="7"/>
  <c r="I42" i="7" s="1"/>
  <c r="C241" i="7"/>
  <c r="C237" i="7"/>
  <c r="C233" i="7"/>
  <c r="C225" i="7"/>
  <c r="F221" i="7"/>
  <c r="C213" i="7"/>
  <c r="C209" i="7"/>
  <c r="F205" i="7"/>
  <c r="C43" i="7"/>
  <c r="C236" i="7"/>
  <c r="C228" i="7"/>
  <c r="C220" i="7"/>
  <c r="C212" i="7"/>
  <c r="B250" i="7"/>
  <c r="E250" i="7" s="1"/>
  <c r="B129" i="7"/>
  <c r="E37" i="5"/>
  <c r="C204" i="7"/>
  <c r="B149" i="7"/>
  <c r="E149" i="7" s="1"/>
  <c r="C242" i="7"/>
  <c r="I236" i="7"/>
  <c r="F236" i="7"/>
  <c r="C229" i="7"/>
  <c r="F231" i="7"/>
  <c r="F207" i="7"/>
  <c r="C205" i="7"/>
  <c r="F199" i="7"/>
  <c r="F223" i="7"/>
  <c r="C221" i="7"/>
  <c r="F215" i="7"/>
  <c r="F212" i="7"/>
  <c r="F237" i="7"/>
  <c r="F213" i="7"/>
  <c r="I237" i="7"/>
  <c r="C238" i="7"/>
  <c r="F220" i="7"/>
  <c r="F204" i="7"/>
  <c r="C240" i="7"/>
  <c r="I240" i="7"/>
  <c r="F240" i="7"/>
  <c r="I225" i="7"/>
  <c r="F225" i="7"/>
  <c r="C219" i="7"/>
  <c r="F219" i="7"/>
  <c r="C216" i="7"/>
  <c r="I216" i="7"/>
  <c r="F216" i="7"/>
  <c r="C208" i="7"/>
  <c r="I208" i="7"/>
  <c r="F208" i="7"/>
  <c r="I233" i="7"/>
  <c r="F233" i="7"/>
  <c r="C227" i="7"/>
  <c r="C224" i="7"/>
  <c r="I224" i="7"/>
  <c r="F224" i="7"/>
  <c r="I217" i="7"/>
  <c r="F217" i="7"/>
  <c r="C211" i="7"/>
  <c r="F211" i="7"/>
  <c r="F49" i="7"/>
  <c r="I241" i="7"/>
  <c r="F241" i="7"/>
  <c r="C235" i="7"/>
  <c r="F235" i="7"/>
  <c r="C232" i="7"/>
  <c r="I232" i="7"/>
  <c r="F232" i="7"/>
  <c r="C217" i="7"/>
  <c r="I209" i="7"/>
  <c r="F209" i="7"/>
  <c r="F126" i="7"/>
  <c r="I126" i="7"/>
  <c r="C239" i="7"/>
  <c r="I239" i="7"/>
  <c r="F239" i="7"/>
  <c r="C41" i="7"/>
  <c r="B248" i="7"/>
  <c r="E248" i="7" s="1"/>
  <c r="B249" i="7"/>
  <c r="E249" i="7" s="1"/>
  <c r="B247" i="7"/>
  <c r="E247" i="7" s="1"/>
  <c r="F242" i="7"/>
  <c r="F238" i="7"/>
  <c r="I235" i="7"/>
  <c r="F234" i="7"/>
  <c r="I231" i="7"/>
  <c r="F230" i="7"/>
  <c r="F226" i="7"/>
  <c r="I223" i="7"/>
  <c r="F222" i="7"/>
  <c r="F218" i="7"/>
  <c r="I215" i="7"/>
  <c r="F214" i="7"/>
  <c r="F210" i="7"/>
  <c r="I207" i="7"/>
  <c r="F206" i="7"/>
  <c r="F202" i="7"/>
  <c r="I234" i="7"/>
  <c r="I226" i="7"/>
  <c r="I222" i="7"/>
  <c r="I218" i="7"/>
  <c r="I210" i="7"/>
  <c r="I206" i="7"/>
  <c r="F124" i="7"/>
  <c r="G124" i="7" s="1"/>
  <c r="J124" i="7" s="1"/>
  <c r="F120" i="7"/>
  <c r="G120" i="7" s="1"/>
  <c r="J120" i="7" s="1"/>
  <c r="C49" i="7"/>
  <c r="F125" i="7"/>
  <c r="F121" i="7"/>
  <c r="C127" i="7"/>
  <c r="C126" i="7"/>
  <c r="I125" i="7"/>
  <c r="C124" i="7"/>
  <c r="C123" i="7"/>
  <c r="C122" i="7"/>
  <c r="I121" i="7"/>
  <c r="C120" i="7"/>
  <c r="C52" i="7"/>
  <c r="C40" i="7"/>
  <c r="F41" i="7"/>
  <c r="G30" i="7"/>
  <c r="J30" i="7" s="1"/>
  <c r="C42" i="7"/>
  <c r="F43" i="7"/>
  <c r="E43" i="7"/>
  <c r="I43" i="7" s="1"/>
  <c r="F42" i="7"/>
  <c r="G24" i="7"/>
  <c r="G34" i="7"/>
  <c r="J34" i="7" s="1"/>
  <c r="G25" i="7"/>
  <c r="J25" i="7" s="1"/>
  <c r="C244" i="7" l="1"/>
  <c r="E244" i="7"/>
  <c r="I244" i="7" s="1"/>
  <c r="F244" i="7"/>
  <c r="E245" i="7"/>
  <c r="I245" i="7" s="1"/>
  <c r="F245" i="7"/>
  <c r="C245" i="7"/>
  <c r="F246" i="7"/>
  <c r="C246" i="7"/>
  <c r="E246" i="7"/>
  <c r="I246" i="7" s="1"/>
  <c r="C243" i="7"/>
  <c r="E243" i="7"/>
  <c r="I243" i="7" s="1"/>
  <c r="F243" i="7"/>
  <c r="J24" i="7"/>
  <c r="G238" i="7"/>
  <c r="J238" i="7" s="1"/>
  <c r="G42" i="7"/>
  <c r="J42" i="7" s="1"/>
  <c r="G242" i="7"/>
  <c r="J242" i="7" s="1"/>
  <c r="I250" i="7"/>
  <c r="C250" i="7"/>
  <c r="F250" i="7"/>
  <c r="G52" i="7"/>
  <c r="I52" i="7"/>
  <c r="G127" i="7"/>
  <c r="I127" i="7"/>
  <c r="G123" i="7"/>
  <c r="I123" i="7"/>
  <c r="G122" i="7"/>
  <c r="I122" i="7"/>
  <c r="G207" i="7"/>
  <c r="J207" i="7" s="1"/>
  <c r="G215" i="7"/>
  <c r="J215" i="7" s="1"/>
  <c r="G236" i="7"/>
  <c r="J236" i="7" s="1"/>
  <c r="G231" i="7"/>
  <c r="J231" i="7" s="1"/>
  <c r="G240" i="7"/>
  <c r="J240" i="7" s="1"/>
  <c r="G241" i="7"/>
  <c r="J241" i="7" s="1"/>
  <c r="G126" i="7"/>
  <c r="J126" i="7" s="1"/>
  <c r="G223" i="7"/>
  <c r="J223" i="7" s="1"/>
  <c r="G216" i="7"/>
  <c r="J216" i="7" s="1"/>
  <c r="G232" i="7"/>
  <c r="J232" i="7" s="1"/>
  <c r="G218" i="7"/>
  <c r="J218" i="7" s="1"/>
  <c r="G234" i="7"/>
  <c r="J234" i="7" s="1"/>
  <c r="G237" i="7"/>
  <c r="J237" i="7" s="1"/>
  <c r="G209" i="7"/>
  <c r="J209" i="7" s="1"/>
  <c r="G217" i="7"/>
  <c r="J217" i="7" s="1"/>
  <c r="G224" i="7"/>
  <c r="J224" i="7" s="1"/>
  <c r="G208" i="7"/>
  <c r="J208" i="7" s="1"/>
  <c r="G235" i="7"/>
  <c r="J235" i="7" s="1"/>
  <c r="G233" i="7"/>
  <c r="J233" i="7" s="1"/>
  <c r="G225" i="7"/>
  <c r="J225" i="7" s="1"/>
  <c r="G210" i="7"/>
  <c r="J210" i="7" s="1"/>
  <c r="G226" i="7"/>
  <c r="J226" i="7" s="1"/>
  <c r="C247" i="7"/>
  <c r="I247" i="7"/>
  <c r="F247" i="7"/>
  <c r="C248" i="7"/>
  <c r="F248" i="7"/>
  <c r="I248" i="7"/>
  <c r="G125" i="7"/>
  <c r="J125" i="7" s="1"/>
  <c r="G206" i="7"/>
  <c r="J206" i="7" s="1"/>
  <c r="G222" i="7"/>
  <c r="J222" i="7" s="1"/>
  <c r="F249" i="7"/>
  <c r="C249" i="7"/>
  <c r="I249" i="7"/>
  <c r="G239" i="7"/>
  <c r="J239" i="7" s="1"/>
  <c r="G121" i="7"/>
  <c r="J121" i="7" s="1"/>
  <c r="F129" i="7"/>
  <c r="C129" i="7"/>
  <c r="C128" i="7"/>
  <c r="F128" i="7"/>
  <c r="G43" i="7"/>
  <c r="J43" i="7" s="1"/>
  <c r="E36" i="5"/>
  <c r="E35" i="5"/>
  <c r="E33" i="5"/>
  <c r="E32" i="5"/>
  <c r="G244" i="7" l="1"/>
  <c r="J244" i="7" s="1"/>
  <c r="G245" i="7"/>
  <c r="J245" i="7" s="1"/>
  <c r="G243" i="7"/>
  <c r="J243" i="7" s="1"/>
  <c r="G246" i="7"/>
  <c r="J246" i="7" s="1"/>
  <c r="G250" i="7"/>
  <c r="J250" i="7" s="1"/>
  <c r="J123" i="7"/>
  <c r="J52" i="7"/>
  <c r="J122" i="7"/>
  <c r="J127" i="7"/>
  <c r="G248" i="7"/>
  <c r="J248" i="7" s="1"/>
  <c r="G249" i="7"/>
  <c r="J249" i="7" s="1"/>
  <c r="G247" i="7"/>
  <c r="J247" i="7" s="1"/>
  <c r="AJ44" i="4"/>
  <c r="AI44" i="4"/>
  <c r="E22" i="30" s="1"/>
  <c r="I22" i="30" s="1"/>
  <c r="AH44" i="4"/>
  <c r="AH176" i="4" l="1"/>
  <c r="AH175" i="4"/>
  <c r="AH174" i="4"/>
  <c r="AH173" i="4"/>
  <c r="AH180" i="4"/>
  <c r="AH179" i="4"/>
  <c r="AH178" i="4"/>
  <c r="AH177" i="4"/>
  <c r="AJ208" i="4"/>
  <c r="AI208" i="4"/>
  <c r="AH208" i="4"/>
  <c r="AJ207" i="4"/>
  <c r="AI207" i="4"/>
  <c r="AH207" i="4"/>
  <c r="AJ204" i="4"/>
  <c r="AI204" i="4"/>
  <c r="AH204" i="4"/>
  <c r="AJ203" i="4"/>
  <c r="AI203" i="4"/>
  <c r="AH203" i="4"/>
  <c r="AJ201" i="4"/>
  <c r="AI201" i="4"/>
  <c r="AH201" i="4"/>
  <c r="AJ200" i="4"/>
  <c r="AI200" i="4"/>
  <c r="AH200" i="4"/>
  <c r="AJ199" i="4"/>
  <c r="AI199" i="4"/>
  <c r="AH199" i="4"/>
  <c r="AJ197" i="4"/>
  <c r="AI197" i="4"/>
  <c r="AH197" i="4"/>
  <c r="AJ196" i="4"/>
  <c r="AI196" i="4"/>
  <c r="AH196" i="4"/>
  <c r="AJ195" i="4"/>
  <c r="AI195" i="4"/>
  <c r="AH195" i="4"/>
  <c r="AJ194" i="4"/>
  <c r="AI194" i="4"/>
  <c r="AH194" i="4"/>
  <c r="AI308" i="4"/>
  <c r="D14" i="5"/>
  <c r="I35" i="7" l="1"/>
  <c r="G35" i="7"/>
  <c r="AH308" i="4"/>
  <c r="D33" i="7"/>
  <c r="I48" i="5"/>
  <c r="G22" i="30"/>
  <c r="E98" i="30"/>
  <c r="I98" i="30" s="1"/>
  <c r="E95" i="30"/>
  <c r="I95" i="30" s="1"/>
  <c r="E97" i="30"/>
  <c r="I97" i="30" s="1"/>
  <c r="E26" i="30"/>
  <c r="E100" i="30"/>
  <c r="I100" i="30" s="1"/>
  <c r="M48" i="5"/>
  <c r="E96" i="30"/>
  <c r="I96" i="30" s="1"/>
  <c r="E99" i="30"/>
  <c r="I99" i="30" s="1"/>
  <c r="AH314" i="4"/>
  <c r="AI314" i="4"/>
  <c r="AJ314" i="4"/>
  <c r="K40" i="5"/>
  <c r="O40" i="5" s="1"/>
  <c r="G202" i="7"/>
  <c r="I202" i="7"/>
  <c r="J35" i="7" l="1"/>
  <c r="E33" i="7"/>
  <c r="G98" i="30"/>
  <c r="G97" i="30"/>
  <c r="G99" i="30"/>
  <c r="G100" i="30"/>
  <c r="G26" i="30"/>
  <c r="K48" i="5" s="1"/>
  <c r="J22" i="30"/>
  <c r="J26" i="30" s="1"/>
  <c r="O48" i="5" s="1"/>
  <c r="G96" i="30"/>
  <c r="G95" i="30"/>
  <c r="J202" i="7"/>
  <c r="N26" i="5"/>
  <c r="B150" i="7"/>
  <c r="E150" i="7" s="1"/>
  <c r="B144" i="7"/>
  <c r="D277" i="4"/>
  <c r="AI188" i="4" l="1"/>
  <c r="AI190" i="4"/>
  <c r="G33" i="7"/>
  <c r="J33" i="7" s="1"/>
  <c r="J95" i="30"/>
  <c r="J100" i="30"/>
  <c r="J99" i="30"/>
  <c r="J97" i="30"/>
  <c r="J98" i="30"/>
  <c r="J96" i="30"/>
  <c r="G214" i="7"/>
  <c r="G213" i="7"/>
  <c r="AI187" i="4"/>
  <c r="G221" i="7"/>
  <c r="I221" i="7"/>
  <c r="I213" i="7"/>
  <c r="I214" i="7"/>
  <c r="AI211" i="4"/>
  <c r="B175" i="7"/>
  <c r="E175" i="7" s="1"/>
  <c r="C144" i="7"/>
  <c r="F144" i="7"/>
  <c r="B163" i="7"/>
  <c r="E163" i="7" s="1"/>
  <c r="B179" i="7"/>
  <c r="E179" i="7" s="1"/>
  <c r="B147" i="7"/>
  <c r="E147" i="7" s="1"/>
  <c r="C149" i="7"/>
  <c r="F149" i="7"/>
  <c r="B167" i="7"/>
  <c r="E167" i="7" s="1"/>
  <c r="B183" i="7"/>
  <c r="E183" i="7" s="1"/>
  <c r="B151" i="7"/>
  <c r="E151" i="7" s="1"/>
  <c r="B159" i="7"/>
  <c r="E159" i="7" s="1"/>
  <c r="I150" i="7"/>
  <c r="F150" i="7"/>
  <c r="C150" i="7"/>
  <c r="B155" i="7"/>
  <c r="E155" i="7" s="1"/>
  <c r="B171" i="7"/>
  <c r="E171" i="7" s="1"/>
  <c r="B187" i="7"/>
  <c r="E187" i="7" s="1"/>
  <c r="Q26" i="5"/>
  <c r="AI191" i="4" s="1"/>
  <c r="B186" i="7"/>
  <c r="E186" i="7" s="1"/>
  <c r="B185" i="7"/>
  <c r="E185" i="7" s="1"/>
  <c r="B184" i="7"/>
  <c r="E184" i="7" s="1"/>
  <c r="B182" i="7"/>
  <c r="E182" i="7" s="1"/>
  <c r="B181" i="7"/>
  <c r="E181" i="7" s="1"/>
  <c r="B180" i="7"/>
  <c r="E180" i="7" s="1"/>
  <c r="B178" i="7"/>
  <c r="E178" i="7" s="1"/>
  <c r="B177" i="7"/>
  <c r="E177" i="7" s="1"/>
  <c r="B176" i="7"/>
  <c r="E176" i="7" s="1"/>
  <c r="B174" i="7"/>
  <c r="E174" i="7" s="1"/>
  <c r="B173" i="7"/>
  <c r="E173" i="7" s="1"/>
  <c r="B172" i="7"/>
  <c r="E172" i="7" s="1"/>
  <c r="B170" i="7"/>
  <c r="E170" i="7" s="1"/>
  <c r="B169" i="7"/>
  <c r="E169" i="7" s="1"/>
  <c r="B168" i="7"/>
  <c r="E168" i="7" s="1"/>
  <c r="B166" i="7"/>
  <c r="E166" i="7" s="1"/>
  <c r="B165" i="7"/>
  <c r="E165" i="7" s="1"/>
  <c r="B164" i="7"/>
  <c r="E164" i="7" s="1"/>
  <c r="B162" i="7"/>
  <c r="E162" i="7" s="1"/>
  <c r="B161" i="7"/>
  <c r="E161" i="7" s="1"/>
  <c r="B160" i="7"/>
  <c r="E160" i="7" s="1"/>
  <c r="B158" i="7"/>
  <c r="E158" i="7" s="1"/>
  <c r="B157" i="7"/>
  <c r="E157" i="7" s="1"/>
  <c r="B156" i="7"/>
  <c r="E156" i="7" s="1"/>
  <c r="B154" i="7"/>
  <c r="E154" i="7" s="1"/>
  <c r="B153" i="7"/>
  <c r="E153" i="7" s="1"/>
  <c r="B152" i="7"/>
  <c r="E152" i="7" s="1"/>
  <c r="AJ244" i="4"/>
  <c r="AI244" i="4"/>
  <c r="AH244" i="4"/>
  <c r="AJ193" i="4"/>
  <c r="AI193" i="4"/>
  <c r="AH193" i="4"/>
  <c r="W27" i="5"/>
  <c r="E40" i="31" s="1"/>
  <c r="F8" i="7"/>
  <c r="D8" i="7"/>
  <c r="C8" i="7"/>
  <c r="F7" i="7"/>
  <c r="D7" i="7"/>
  <c r="C7" i="7"/>
  <c r="F6" i="7"/>
  <c r="D6" i="7"/>
  <c r="D5" i="7"/>
  <c r="H5" i="7" s="1"/>
  <c r="H13" i="5" l="1"/>
  <c r="AH313" i="4"/>
  <c r="AI277" i="4"/>
  <c r="AI295" i="4"/>
  <c r="AH312" i="4"/>
  <c r="I40" i="31"/>
  <c r="E128" i="31"/>
  <c r="G40" i="31"/>
  <c r="AI280" i="4"/>
  <c r="E204" i="30" s="1"/>
  <c r="AI206" i="4"/>
  <c r="AI241" i="4" s="1"/>
  <c r="R26" i="5"/>
  <c r="H11" i="5" s="1"/>
  <c r="D32" i="30" s="1"/>
  <c r="H32" i="30" s="1"/>
  <c r="AI306" i="4"/>
  <c r="AI268" i="4"/>
  <c r="AI269" i="4"/>
  <c r="AI270" i="4"/>
  <c r="AI267" i="4"/>
  <c r="AI249" i="4"/>
  <c r="AI247" i="4"/>
  <c r="AI248" i="4"/>
  <c r="AI254" i="4"/>
  <c r="AI292" i="4"/>
  <c r="AI294" i="4"/>
  <c r="AI293" i="4"/>
  <c r="AI291" i="4"/>
  <c r="E199" i="30" s="1"/>
  <c r="AI167" i="4"/>
  <c r="AI166" i="4"/>
  <c r="AI230" i="4"/>
  <c r="E144" i="30" s="1"/>
  <c r="AI233" i="4"/>
  <c r="AI235" i="4"/>
  <c r="AI232" i="4"/>
  <c r="AI225" i="4"/>
  <c r="AI237" i="4"/>
  <c r="AI279" i="4"/>
  <c r="AI238" i="4"/>
  <c r="AI278" i="4"/>
  <c r="AI236" i="4"/>
  <c r="AI307" i="4"/>
  <c r="J214" i="7"/>
  <c r="J213" i="7"/>
  <c r="J221" i="7"/>
  <c r="H6" i="7"/>
  <c r="G7" i="7"/>
  <c r="H7" i="7"/>
  <c r="I7" i="7" s="1"/>
  <c r="G8" i="7"/>
  <c r="H8" i="7"/>
  <c r="I8" i="7" s="1"/>
  <c r="I32" i="5"/>
  <c r="AI272" i="4"/>
  <c r="AI229" i="4"/>
  <c r="AI243" i="4"/>
  <c r="AI226" i="4"/>
  <c r="AI227" i="4"/>
  <c r="AI228" i="4"/>
  <c r="I33" i="5"/>
  <c r="AI159" i="4"/>
  <c r="AI223" i="4"/>
  <c r="C165" i="7"/>
  <c r="I165" i="7"/>
  <c r="F165" i="7"/>
  <c r="C181" i="7"/>
  <c r="I181" i="7"/>
  <c r="F181" i="7"/>
  <c r="F171" i="7"/>
  <c r="C171" i="7"/>
  <c r="I171" i="7"/>
  <c r="F183" i="7"/>
  <c r="I183" i="7"/>
  <c r="C183" i="7"/>
  <c r="F147" i="7"/>
  <c r="C147" i="7"/>
  <c r="I147" i="7"/>
  <c r="F179" i="7"/>
  <c r="C179" i="7"/>
  <c r="I179" i="7"/>
  <c r="C153" i="7"/>
  <c r="F153" i="7"/>
  <c r="I153" i="7"/>
  <c r="I156" i="7"/>
  <c r="C156" i="7"/>
  <c r="F156" i="7"/>
  <c r="C161" i="7"/>
  <c r="I161" i="7"/>
  <c r="F161" i="7"/>
  <c r="I166" i="7"/>
  <c r="F166" i="7"/>
  <c r="C166" i="7"/>
  <c r="I172" i="7"/>
  <c r="C172" i="7"/>
  <c r="F172" i="7"/>
  <c r="C177" i="7"/>
  <c r="I177" i="7"/>
  <c r="F177" i="7"/>
  <c r="I182" i="7"/>
  <c r="F182" i="7"/>
  <c r="C182" i="7"/>
  <c r="G150" i="7"/>
  <c r="J150" i="7" s="1"/>
  <c r="I152" i="7"/>
  <c r="F152" i="7"/>
  <c r="C152" i="7"/>
  <c r="I160" i="7"/>
  <c r="C160" i="7"/>
  <c r="F160" i="7"/>
  <c r="I176" i="7"/>
  <c r="C176" i="7"/>
  <c r="F176" i="7"/>
  <c r="F151" i="7"/>
  <c r="I151" i="7"/>
  <c r="C151" i="7"/>
  <c r="C162" i="7"/>
  <c r="I162" i="7"/>
  <c r="F162" i="7"/>
  <c r="C173" i="7"/>
  <c r="I173" i="7"/>
  <c r="F173" i="7"/>
  <c r="C187" i="7"/>
  <c r="F187" i="7"/>
  <c r="I187" i="7"/>
  <c r="F155" i="7"/>
  <c r="C155" i="7"/>
  <c r="I155" i="7"/>
  <c r="F159" i="7"/>
  <c r="C159" i="7"/>
  <c r="I159" i="7"/>
  <c r="F167" i="7"/>
  <c r="I167" i="7"/>
  <c r="C167" i="7"/>
  <c r="F163" i="7"/>
  <c r="C163" i="7"/>
  <c r="I163" i="7"/>
  <c r="F175" i="7"/>
  <c r="C175" i="7"/>
  <c r="I175" i="7"/>
  <c r="F170" i="7"/>
  <c r="C170" i="7"/>
  <c r="I170" i="7"/>
  <c r="C186" i="7"/>
  <c r="I186" i="7"/>
  <c r="F186" i="7"/>
  <c r="F154" i="7"/>
  <c r="C154" i="7"/>
  <c r="I154" i="7"/>
  <c r="C157" i="7"/>
  <c r="I157" i="7"/>
  <c r="F157" i="7"/>
  <c r="I168" i="7"/>
  <c r="F168" i="7"/>
  <c r="C168" i="7"/>
  <c r="C178" i="7"/>
  <c r="I178" i="7"/>
  <c r="F178" i="7"/>
  <c r="I184" i="7"/>
  <c r="F184" i="7"/>
  <c r="C184" i="7"/>
  <c r="C158" i="7"/>
  <c r="I158" i="7"/>
  <c r="F158" i="7"/>
  <c r="I164" i="7"/>
  <c r="C164" i="7"/>
  <c r="F164" i="7"/>
  <c r="C169" i="7"/>
  <c r="F169" i="7"/>
  <c r="I169" i="7"/>
  <c r="C174" i="7"/>
  <c r="I174" i="7"/>
  <c r="F174" i="7"/>
  <c r="I180" i="7"/>
  <c r="C180" i="7"/>
  <c r="F180" i="7"/>
  <c r="I185" i="7"/>
  <c r="F185" i="7"/>
  <c r="C185" i="7"/>
  <c r="AI158" i="4"/>
  <c r="AI218" i="4"/>
  <c r="AI212" i="4"/>
  <c r="AI219" i="4"/>
  <c r="AI217" i="4"/>
  <c r="AI215" i="4"/>
  <c r="AI213" i="4"/>
  <c r="AI216" i="4"/>
  <c r="AI214" i="4"/>
  <c r="AI251" i="4"/>
  <c r="AI252" i="4"/>
  <c r="AI160" i="4"/>
  <c r="AI222" i="4"/>
  <c r="AI253" i="4"/>
  <c r="AI221" i="4"/>
  <c r="AI234" i="4"/>
  <c r="AI157" i="4"/>
  <c r="AI165" i="4"/>
  <c r="AI161" i="4"/>
  <c r="AI163" i="4"/>
  <c r="AI224" i="4"/>
  <c r="AI220" i="4"/>
  <c r="AI156" i="4"/>
  <c r="AI162" i="4"/>
  <c r="AI250" i="4"/>
  <c r="B191" i="7"/>
  <c r="E191" i="7" s="1"/>
  <c r="B195" i="7"/>
  <c r="E195" i="7" s="1"/>
  <c r="B193" i="7"/>
  <c r="E193" i="7" s="1"/>
  <c r="B189" i="7"/>
  <c r="E189" i="7" s="1"/>
  <c r="B194" i="7"/>
  <c r="E194" i="7" s="1"/>
  <c r="B190" i="7"/>
  <c r="E190" i="7" s="1"/>
  <c r="B192" i="7"/>
  <c r="E192" i="7" s="1"/>
  <c r="B188" i="7"/>
  <c r="E188" i="7" s="1"/>
  <c r="H12" i="5" l="1"/>
  <c r="D31" i="30" s="1"/>
  <c r="G31" i="30" s="1"/>
  <c r="I204" i="30"/>
  <c r="G204" i="30"/>
  <c r="I144" i="30"/>
  <c r="G144" i="30"/>
  <c r="I199" i="30"/>
  <c r="G199" i="30"/>
  <c r="E227" i="30"/>
  <c r="J40" i="31"/>
  <c r="I128" i="31"/>
  <c r="G128" i="31"/>
  <c r="E148" i="30"/>
  <c r="I148" i="30" s="1"/>
  <c r="E203" i="30"/>
  <c r="I203" i="30" s="1"/>
  <c r="G32" i="30"/>
  <c r="I6" i="7"/>
  <c r="M33" i="5"/>
  <c r="J8" i="7"/>
  <c r="J7" i="7"/>
  <c r="M32" i="5"/>
  <c r="I5" i="7"/>
  <c r="G6" i="7"/>
  <c r="K33" i="5" s="1"/>
  <c r="G5" i="7"/>
  <c r="G169" i="7"/>
  <c r="J169" i="7" s="1"/>
  <c r="G180" i="7"/>
  <c r="J180" i="7" s="1"/>
  <c r="G158" i="7"/>
  <c r="J158" i="7" s="1"/>
  <c r="G170" i="7"/>
  <c r="J170" i="7" s="1"/>
  <c r="G159" i="7"/>
  <c r="J159" i="7" s="1"/>
  <c r="G161" i="7"/>
  <c r="J161" i="7" s="1"/>
  <c r="G147" i="7"/>
  <c r="J147" i="7" s="1"/>
  <c r="G184" i="7"/>
  <c r="J184" i="7" s="1"/>
  <c r="G157" i="7"/>
  <c r="J157" i="7" s="1"/>
  <c r="G152" i="7"/>
  <c r="J152" i="7" s="1"/>
  <c r="G164" i="7"/>
  <c r="J164" i="7" s="1"/>
  <c r="G163" i="7"/>
  <c r="J163" i="7" s="1"/>
  <c r="G160" i="7"/>
  <c r="J160" i="7" s="1"/>
  <c r="G182" i="7"/>
  <c r="J182" i="7" s="1"/>
  <c r="G179" i="7"/>
  <c r="J179" i="7" s="1"/>
  <c r="G166" i="7"/>
  <c r="J166" i="7" s="1"/>
  <c r="G165" i="7"/>
  <c r="J165" i="7" s="1"/>
  <c r="C190" i="7"/>
  <c r="I190" i="7"/>
  <c r="F190" i="7"/>
  <c r="C194" i="7"/>
  <c r="I194" i="7"/>
  <c r="F194" i="7"/>
  <c r="G187" i="7"/>
  <c r="J187" i="7" s="1"/>
  <c r="G151" i="7"/>
  <c r="J151" i="7" s="1"/>
  <c r="F188" i="7"/>
  <c r="I188" i="7"/>
  <c r="C188" i="7"/>
  <c r="I189" i="7"/>
  <c r="F189" i="7"/>
  <c r="C189" i="7"/>
  <c r="G185" i="7"/>
  <c r="J185" i="7" s="1"/>
  <c r="G154" i="7"/>
  <c r="J154" i="7" s="1"/>
  <c r="G175" i="7"/>
  <c r="J175" i="7" s="1"/>
  <c r="G167" i="7"/>
  <c r="J167" i="7" s="1"/>
  <c r="G162" i="7"/>
  <c r="J162" i="7" s="1"/>
  <c r="G176" i="7"/>
  <c r="J176" i="7" s="1"/>
  <c r="G172" i="7"/>
  <c r="J172" i="7" s="1"/>
  <c r="G153" i="7"/>
  <c r="J153" i="7" s="1"/>
  <c r="G171" i="7"/>
  <c r="J171" i="7" s="1"/>
  <c r="F192" i="7"/>
  <c r="C192" i="7"/>
  <c r="I192" i="7"/>
  <c r="I193" i="7"/>
  <c r="F193" i="7"/>
  <c r="C193" i="7"/>
  <c r="C195" i="7"/>
  <c r="I195" i="7"/>
  <c r="F195" i="7"/>
  <c r="C191" i="7"/>
  <c r="F191" i="7"/>
  <c r="I191" i="7"/>
  <c r="G174" i="7"/>
  <c r="J174" i="7" s="1"/>
  <c r="G178" i="7"/>
  <c r="J178" i="7" s="1"/>
  <c r="G168" i="7"/>
  <c r="J168" i="7" s="1"/>
  <c r="G186" i="7"/>
  <c r="J186" i="7" s="1"/>
  <c r="G155" i="7"/>
  <c r="J155" i="7" s="1"/>
  <c r="G173" i="7"/>
  <c r="J173" i="7" s="1"/>
  <c r="G177" i="7"/>
  <c r="J177" i="7" s="1"/>
  <c r="G156" i="7"/>
  <c r="J156" i="7" s="1"/>
  <c r="G183" i="7"/>
  <c r="J183" i="7" s="1"/>
  <c r="G181" i="7"/>
  <c r="J181" i="7" s="1"/>
  <c r="G9" i="7" l="1"/>
  <c r="I49" i="5"/>
  <c r="H31" i="30"/>
  <c r="M49" i="5" s="1"/>
  <c r="N23" i="4"/>
  <c r="N8" i="4"/>
  <c r="N17" i="4"/>
  <c r="N25" i="4"/>
  <c r="N7" i="4"/>
  <c r="N16" i="4"/>
  <c r="N10" i="4"/>
  <c r="N26" i="4"/>
  <c r="N9" i="4"/>
  <c r="N19" i="4"/>
  <c r="N24" i="4"/>
  <c r="N18" i="4"/>
  <c r="J204" i="30"/>
  <c r="J199" i="30"/>
  <c r="J144" i="30"/>
  <c r="I227" i="30"/>
  <c r="G227" i="30"/>
  <c r="J128" i="31"/>
  <c r="J32" i="30"/>
  <c r="G37" i="30"/>
  <c r="K49" i="5" s="1"/>
  <c r="J6" i="7"/>
  <c r="O33" i="5" s="1"/>
  <c r="K32" i="5"/>
  <c r="J5" i="7"/>
  <c r="G194" i="7"/>
  <c r="J194" i="7" s="1"/>
  <c r="G190" i="7"/>
  <c r="J190" i="7" s="1"/>
  <c r="G195" i="7"/>
  <c r="J195" i="7" s="1"/>
  <c r="G193" i="7"/>
  <c r="J193" i="7" s="1"/>
  <c r="G192" i="7"/>
  <c r="J192" i="7" s="1"/>
  <c r="G191" i="7"/>
  <c r="J191" i="7" s="1"/>
  <c r="G189" i="7"/>
  <c r="J189" i="7" s="1"/>
  <c r="G188" i="7"/>
  <c r="J188" i="7" s="1"/>
  <c r="J31" i="30" l="1"/>
  <c r="N276" i="4" s="1"/>
  <c r="O32" i="5"/>
  <c r="J9" i="7"/>
  <c r="B200" i="30"/>
  <c r="B145" i="30" s="1"/>
  <c r="B47" i="30"/>
  <c r="J227" i="30"/>
  <c r="C6" i="7"/>
  <c r="C5" i="7"/>
  <c r="N39" i="4" l="1"/>
  <c r="N13" i="4"/>
  <c r="N33" i="4"/>
  <c r="N32" i="4"/>
  <c r="N36" i="4"/>
  <c r="N38" i="4"/>
  <c r="N42" i="4"/>
  <c r="N35" i="4"/>
  <c r="B48" i="30" s="1"/>
  <c r="B133" i="30" s="1"/>
  <c r="N41" i="4"/>
  <c r="N31" i="4"/>
  <c r="N34" i="4"/>
  <c r="N40" i="4"/>
  <c r="N15" i="4"/>
  <c r="N37" i="4"/>
  <c r="N14" i="4"/>
  <c r="J37" i="30"/>
  <c r="O49" i="5" s="1"/>
  <c r="N275" i="4"/>
  <c r="N274" i="4"/>
  <c r="N43" i="4"/>
  <c r="N12" i="4"/>
  <c r="N273" i="4"/>
  <c r="B130" i="30" s="1"/>
  <c r="B131" i="30"/>
  <c r="C47" i="30"/>
  <c r="F47" i="30"/>
  <c r="E47" i="30"/>
  <c r="I47" i="30" s="1"/>
  <c r="B132" i="30" l="1"/>
  <c r="E48" i="30"/>
  <c r="G47" i="30"/>
  <c r="J47" i="30" s="1"/>
  <c r="F130" i="30"/>
  <c r="C130" i="30"/>
  <c r="E130" i="30"/>
  <c r="I130" i="30" s="1"/>
  <c r="C131" i="30"/>
  <c r="F131" i="30"/>
  <c r="E131" i="30"/>
  <c r="I131" i="30" s="1"/>
  <c r="E23" i="7"/>
  <c r="X27" i="5"/>
  <c r="E41" i="31" s="1"/>
  <c r="U27" i="5"/>
  <c r="T27" i="5"/>
  <c r="S27" i="5"/>
  <c r="N27" i="5"/>
  <c r="X26" i="5"/>
  <c r="E41" i="30" s="1"/>
  <c r="W26" i="5"/>
  <c r="E40" i="30" s="1"/>
  <c r="I40" i="30" s="1"/>
  <c r="U26" i="5"/>
  <c r="T26" i="5"/>
  <c r="S26" i="5"/>
  <c r="X25" i="5"/>
  <c r="E41" i="7" s="1"/>
  <c r="W25" i="5"/>
  <c r="T25" i="5"/>
  <c r="AJ190" i="4" l="1"/>
  <c r="AJ188" i="4"/>
  <c r="G131" i="30"/>
  <c r="J131" i="30" s="1"/>
  <c r="G130" i="30"/>
  <c r="J130" i="30" s="1"/>
  <c r="I41" i="31"/>
  <c r="M63" i="5" s="1"/>
  <c r="E129" i="31"/>
  <c r="G41" i="31"/>
  <c r="I63" i="5"/>
  <c r="I41" i="30"/>
  <c r="E129" i="30"/>
  <c r="G41" i="30"/>
  <c r="E40" i="7"/>
  <c r="E128" i="7" s="1"/>
  <c r="E106" i="7"/>
  <c r="E102" i="7"/>
  <c r="E105" i="7"/>
  <c r="E101" i="7"/>
  <c r="E104" i="7"/>
  <c r="E103" i="7"/>
  <c r="I41" i="7"/>
  <c r="G41" i="7"/>
  <c r="E129" i="7"/>
  <c r="I23" i="7"/>
  <c r="G23" i="7"/>
  <c r="AK314" i="4"/>
  <c r="AJ187" i="4"/>
  <c r="AH187" i="4"/>
  <c r="AJ211" i="4"/>
  <c r="AH211" i="4"/>
  <c r="AJ186" i="4"/>
  <c r="AI186" i="4"/>
  <c r="E22" i="7"/>
  <c r="E96" i="7" s="1"/>
  <c r="AH186" i="4"/>
  <c r="Q25" i="5"/>
  <c r="AH191" i="4" s="1"/>
  <c r="Q27" i="5"/>
  <c r="AJ191" i="4" s="1"/>
  <c r="D32" i="32" l="1"/>
  <c r="G32" i="32" s="1"/>
  <c r="L13" i="5"/>
  <c r="D13" i="5"/>
  <c r="AH280" i="4" s="1"/>
  <c r="E204" i="7" s="1"/>
  <c r="J41" i="30"/>
  <c r="J41" i="31"/>
  <c r="J44" i="31" s="1"/>
  <c r="O63" i="5" s="1"/>
  <c r="G44" i="31"/>
  <c r="I129" i="31"/>
  <c r="G129" i="31"/>
  <c r="I129" i="30"/>
  <c r="G129" i="30"/>
  <c r="AJ277" i="4"/>
  <c r="AJ295" i="4"/>
  <c r="AH277" i="4"/>
  <c r="AH295" i="4"/>
  <c r="I40" i="7"/>
  <c r="M37" i="5" s="1"/>
  <c r="I37" i="5"/>
  <c r="G40" i="7"/>
  <c r="I50" i="5"/>
  <c r="G40" i="30"/>
  <c r="E128" i="30"/>
  <c r="I128" i="30" s="1"/>
  <c r="M50" i="5"/>
  <c r="AJ206" i="4"/>
  <c r="AJ241" i="4" s="1"/>
  <c r="R27" i="5"/>
  <c r="E98" i="7"/>
  <c r="E97" i="7"/>
  <c r="E99" i="7"/>
  <c r="E100" i="7"/>
  <c r="E95" i="7"/>
  <c r="I101" i="7"/>
  <c r="G101" i="7"/>
  <c r="I105" i="7"/>
  <c r="G105" i="7"/>
  <c r="I103" i="7"/>
  <c r="G103" i="7"/>
  <c r="I102" i="7"/>
  <c r="G102" i="7"/>
  <c r="I104" i="7"/>
  <c r="G104" i="7"/>
  <c r="I106" i="7"/>
  <c r="G106" i="7"/>
  <c r="I129" i="7"/>
  <c r="G129" i="7"/>
  <c r="J41" i="7"/>
  <c r="I128" i="7"/>
  <c r="G128" i="7"/>
  <c r="J23" i="7"/>
  <c r="R25" i="5"/>
  <c r="D11" i="5" s="1"/>
  <c r="AH206" i="4"/>
  <c r="AH241" i="4" s="1"/>
  <c r="AH306" i="4"/>
  <c r="AH268" i="4"/>
  <c r="AH269" i="4"/>
  <c r="AH267" i="4"/>
  <c r="AH270" i="4"/>
  <c r="AH272" i="4"/>
  <c r="AJ306" i="4"/>
  <c r="AJ267" i="4"/>
  <c r="AJ268" i="4"/>
  <c r="AJ269" i="4"/>
  <c r="AJ270" i="4"/>
  <c r="AJ248" i="4"/>
  <c r="AJ249" i="4"/>
  <c r="AJ247" i="4"/>
  <c r="AJ254" i="4"/>
  <c r="AH247" i="4"/>
  <c r="AH248" i="4"/>
  <c r="AH249" i="4"/>
  <c r="AH254" i="4"/>
  <c r="AJ292" i="4"/>
  <c r="AJ294" i="4"/>
  <c r="AJ293" i="4"/>
  <c r="E203" i="31" s="1"/>
  <c r="AJ291" i="4"/>
  <c r="E199" i="31" s="1"/>
  <c r="AH292" i="4"/>
  <c r="AH293" i="4"/>
  <c r="AH291" i="4"/>
  <c r="E199" i="7" s="1"/>
  <c r="AH294" i="4"/>
  <c r="AH156" i="4"/>
  <c r="AH167" i="4"/>
  <c r="AH166" i="4"/>
  <c r="AJ166" i="4"/>
  <c r="AJ167" i="4"/>
  <c r="AJ232" i="4"/>
  <c r="AJ230" i="4"/>
  <c r="AJ233" i="4"/>
  <c r="AJ235" i="4"/>
  <c r="AH233" i="4"/>
  <c r="AH230" i="4"/>
  <c r="E144" i="7" s="1"/>
  <c r="AH235" i="4"/>
  <c r="AH232" i="4"/>
  <c r="AJ236" i="4"/>
  <c r="AJ238" i="4"/>
  <c r="AJ279" i="4"/>
  <c r="AJ237" i="4"/>
  <c r="AJ278" i="4"/>
  <c r="AJ307" i="4"/>
  <c r="E227" i="31" s="1"/>
  <c r="AH236" i="4"/>
  <c r="AH238" i="4"/>
  <c r="AH237" i="4"/>
  <c r="AH278" i="4"/>
  <c r="AH279" i="4"/>
  <c r="AH307" i="4"/>
  <c r="AJ225" i="4"/>
  <c r="AH225" i="4"/>
  <c r="I34" i="5"/>
  <c r="H12" i="7"/>
  <c r="G230" i="7"/>
  <c r="I230" i="7"/>
  <c r="AJ229" i="4"/>
  <c r="AJ226" i="4"/>
  <c r="AJ227" i="4"/>
  <c r="AJ228" i="4"/>
  <c r="AJ243" i="4"/>
  <c r="AH228" i="4"/>
  <c r="AH229" i="4"/>
  <c r="AH243" i="4"/>
  <c r="AH226" i="4"/>
  <c r="AH227" i="4"/>
  <c r="AJ272" i="4"/>
  <c r="AJ219" i="4"/>
  <c r="AJ217" i="4"/>
  <c r="AJ215" i="4"/>
  <c r="AJ213" i="4"/>
  <c r="AJ218" i="4"/>
  <c r="AJ216" i="4"/>
  <c r="AJ214" i="4"/>
  <c r="AJ212" i="4"/>
  <c r="AH217" i="4"/>
  <c r="AH213" i="4"/>
  <c r="AH218" i="4"/>
  <c r="AH214" i="4"/>
  <c r="AH219" i="4"/>
  <c r="AH215" i="4"/>
  <c r="AH216" i="4"/>
  <c r="AH212" i="4"/>
  <c r="AH158" i="4"/>
  <c r="AH253" i="4"/>
  <c r="AH250" i="4"/>
  <c r="AH161" i="4"/>
  <c r="AH162" i="4"/>
  <c r="AH157" i="4"/>
  <c r="AH165" i="4"/>
  <c r="AH251" i="4"/>
  <c r="AH160" i="4"/>
  <c r="AH159" i="4"/>
  <c r="AH252" i="4"/>
  <c r="AH163" i="4"/>
  <c r="AJ158" i="4"/>
  <c r="AJ252" i="4"/>
  <c r="AJ165" i="4"/>
  <c r="AJ161" i="4"/>
  <c r="AJ162" i="4"/>
  <c r="AJ157" i="4"/>
  <c r="AJ160" i="4"/>
  <c r="AJ159" i="4"/>
  <c r="AJ156" i="4"/>
  <c r="AJ253" i="4"/>
  <c r="AJ250" i="4"/>
  <c r="AJ163" i="4"/>
  <c r="AJ251" i="4"/>
  <c r="AJ221" i="4"/>
  <c r="AJ222" i="4"/>
  <c r="AJ224" i="4"/>
  <c r="AJ220" i="4"/>
  <c r="AJ234" i="4"/>
  <c r="AJ223" i="4"/>
  <c r="AH223" i="4"/>
  <c r="AH220" i="4"/>
  <c r="AH221" i="4"/>
  <c r="AH234" i="4"/>
  <c r="AH222" i="4"/>
  <c r="AH224" i="4"/>
  <c r="AJ280" i="4" l="1"/>
  <c r="E204" i="31" s="1"/>
  <c r="I204" i="31" s="1"/>
  <c r="E201" i="32"/>
  <c r="D12" i="5"/>
  <c r="H32" i="32"/>
  <c r="J32" i="32" s="1"/>
  <c r="J129" i="31"/>
  <c r="J129" i="30"/>
  <c r="I144" i="7"/>
  <c r="G144" i="7"/>
  <c r="I199" i="31"/>
  <c r="G199" i="31"/>
  <c r="I227" i="31"/>
  <c r="G227" i="31"/>
  <c r="E148" i="31"/>
  <c r="I148" i="31" s="1"/>
  <c r="E144" i="31"/>
  <c r="I203" i="31"/>
  <c r="G203" i="31"/>
  <c r="J40" i="7"/>
  <c r="J44" i="7" s="1"/>
  <c r="O37" i="5" s="1"/>
  <c r="G44" i="7"/>
  <c r="K37" i="5" s="1"/>
  <c r="G128" i="30"/>
  <c r="J40" i="30"/>
  <c r="J44" i="30" s="1"/>
  <c r="O50" i="5" s="1"/>
  <c r="G44" i="30"/>
  <c r="K50" i="5" s="1"/>
  <c r="G148" i="30"/>
  <c r="G203" i="30"/>
  <c r="L11" i="5"/>
  <c r="D32" i="31" s="1"/>
  <c r="J106" i="7"/>
  <c r="J102" i="7"/>
  <c r="J105" i="7"/>
  <c r="J104" i="7"/>
  <c r="J103" i="7"/>
  <c r="J101" i="7"/>
  <c r="I100" i="7"/>
  <c r="G100" i="7"/>
  <c r="I99" i="7"/>
  <c r="G99" i="7"/>
  <c r="I95" i="7"/>
  <c r="G95" i="7"/>
  <c r="I97" i="7"/>
  <c r="G97" i="7"/>
  <c r="I96" i="7"/>
  <c r="G96" i="7"/>
  <c r="I98" i="7"/>
  <c r="G98" i="7"/>
  <c r="E227" i="7"/>
  <c r="J129" i="7"/>
  <c r="J128" i="7"/>
  <c r="D32" i="7"/>
  <c r="G204" i="7"/>
  <c r="H15" i="7"/>
  <c r="M34" i="5" s="1"/>
  <c r="G15" i="7"/>
  <c r="I55" i="7"/>
  <c r="G55" i="7"/>
  <c r="D29" i="7"/>
  <c r="E26" i="7"/>
  <c r="J230" i="7"/>
  <c r="G199" i="7"/>
  <c r="I199" i="7"/>
  <c r="G205" i="7"/>
  <c r="I205" i="7"/>
  <c r="G229" i="7"/>
  <c r="I229" i="7"/>
  <c r="G228" i="7"/>
  <c r="I228" i="7"/>
  <c r="I12" i="7"/>
  <c r="G12" i="7"/>
  <c r="G204" i="31" l="1"/>
  <c r="J204" i="31" s="1"/>
  <c r="I201" i="32"/>
  <c r="G201" i="32"/>
  <c r="H32" i="31"/>
  <c r="L12" i="5"/>
  <c r="D31" i="31" s="1"/>
  <c r="J144" i="7"/>
  <c r="J199" i="31"/>
  <c r="G148" i="31"/>
  <c r="J148" i="31" s="1"/>
  <c r="J227" i="31"/>
  <c r="I144" i="31"/>
  <c r="G144" i="31"/>
  <c r="J203" i="31"/>
  <c r="J128" i="30"/>
  <c r="J148" i="30"/>
  <c r="J203" i="30"/>
  <c r="J98" i="7"/>
  <c r="J97" i="7"/>
  <c r="J99" i="7"/>
  <c r="J96" i="7"/>
  <c r="J95" i="7"/>
  <c r="J100" i="7"/>
  <c r="G227" i="7"/>
  <c r="I227" i="7"/>
  <c r="H32" i="7"/>
  <c r="G32" i="7"/>
  <c r="D31" i="7"/>
  <c r="G31" i="7" s="1"/>
  <c r="I72" i="7"/>
  <c r="G72" i="7"/>
  <c r="I78" i="7"/>
  <c r="G78" i="7"/>
  <c r="I70" i="7"/>
  <c r="G70" i="7"/>
  <c r="I80" i="7"/>
  <c r="G80" i="7"/>
  <c r="I76" i="7"/>
  <c r="G76" i="7"/>
  <c r="I74" i="7"/>
  <c r="G74" i="7"/>
  <c r="I204" i="7"/>
  <c r="J204" i="7" s="1"/>
  <c r="G19" i="7"/>
  <c r="K34" i="5" s="1"/>
  <c r="J15" i="7"/>
  <c r="I22" i="7"/>
  <c r="M35" i="5" s="1"/>
  <c r="J55" i="7"/>
  <c r="I142" i="7"/>
  <c r="G142" i="7"/>
  <c r="I54" i="7"/>
  <c r="G54" i="7"/>
  <c r="I49" i="7"/>
  <c r="G49" i="7"/>
  <c r="H29" i="7"/>
  <c r="I35" i="5"/>
  <c r="G22" i="7"/>
  <c r="J228" i="7"/>
  <c r="J205" i="7"/>
  <c r="J229" i="7"/>
  <c r="J199" i="7"/>
  <c r="G149" i="7"/>
  <c r="I149" i="7"/>
  <c r="J12" i="7"/>
  <c r="J201" i="32" l="1"/>
  <c r="J266" i="32" s="1"/>
  <c r="O78" i="5" s="1"/>
  <c r="G266" i="32"/>
  <c r="G32" i="31"/>
  <c r="J32" i="31" s="1"/>
  <c r="U7" i="4"/>
  <c r="B47" i="31" s="1"/>
  <c r="U26" i="4"/>
  <c r="U23" i="4"/>
  <c r="H31" i="31"/>
  <c r="M62" i="5" s="1"/>
  <c r="U16" i="4"/>
  <c r="U24" i="4"/>
  <c r="U17" i="4"/>
  <c r="U19" i="4"/>
  <c r="I62" i="5"/>
  <c r="U25" i="4"/>
  <c r="U18" i="4"/>
  <c r="U9" i="4"/>
  <c r="U8" i="4"/>
  <c r="G31" i="31"/>
  <c r="U10" i="4"/>
  <c r="J144" i="31"/>
  <c r="G25" i="4"/>
  <c r="G18" i="4"/>
  <c r="G9" i="4"/>
  <c r="G26" i="4"/>
  <c r="G19" i="4"/>
  <c r="G10" i="4"/>
  <c r="G23" i="4"/>
  <c r="G17" i="4"/>
  <c r="G7" i="4"/>
  <c r="G24" i="4"/>
  <c r="G16" i="4"/>
  <c r="G8" i="4"/>
  <c r="H31" i="7"/>
  <c r="J227" i="7"/>
  <c r="I36" i="5"/>
  <c r="J32" i="7"/>
  <c r="J80" i="7"/>
  <c r="J74" i="7"/>
  <c r="J78" i="7"/>
  <c r="J76" i="7"/>
  <c r="J70" i="7"/>
  <c r="J72" i="7"/>
  <c r="I264" i="7"/>
  <c r="G264" i="7"/>
  <c r="J19" i="7"/>
  <c r="O34" i="5" s="1"/>
  <c r="I29" i="7"/>
  <c r="G29" i="7"/>
  <c r="G37" i="7" s="1"/>
  <c r="K36" i="5" s="1"/>
  <c r="J22" i="7"/>
  <c r="J26" i="7" s="1"/>
  <c r="O35" i="5" s="1"/>
  <c r="I220" i="7"/>
  <c r="I219" i="7"/>
  <c r="G220" i="7"/>
  <c r="G219" i="7"/>
  <c r="J49" i="7"/>
  <c r="J54" i="7"/>
  <c r="J142" i="7"/>
  <c r="G26" i="7"/>
  <c r="K35" i="5" s="1"/>
  <c r="J149" i="7"/>
  <c r="G211" i="7"/>
  <c r="I211" i="7"/>
  <c r="G212" i="7"/>
  <c r="I212" i="7"/>
  <c r="J31" i="31" l="1"/>
  <c r="G37" i="31"/>
  <c r="K62" i="5" s="1"/>
  <c r="M36" i="5"/>
  <c r="E200" i="31"/>
  <c r="I200" i="31" s="1"/>
  <c r="J31" i="7"/>
  <c r="G275" i="4" s="1"/>
  <c r="B200" i="7"/>
  <c r="E200" i="7" s="1"/>
  <c r="I200" i="7" s="1"/>
  <c r="E200" i="30"/>
  <c r="I200" i="30" s="1"/>
  <c r="B203" i="7"/>
  <c r="E203" i="7" s="1"/>
  <c r="J264" i="7"/>
  <c r="J29" i="7"/>
  <c r="J219" i="7"/>
  <c r="J220" i="7"/>
  <c r="J212" i="7"/>
  <c r="J211" i="7"/>
  <c r="J37" i="31" l="1"/>
  <c r="O62" i="5" s="1"/>
  <c r="U40" i="4"/>
  <c r="U38" i="4"/>
  <c r="U39" i="4"/>
  <c r="U35" i="4"/>
  <c r="U37" i="4"/>
  <c r="U276" i="4"/>
  <c r="U33" i="4"/>
  <c r="U15" i="4"/>
  <c r="U13" i="4"/>
  <c r="U12" i="4"/>
  <c r="U14" i="4"/>
  <c r="U31" i="4"/>
  <c r="U43" i="4"/>
  <c r="U36" i="4"/>
  <c r="U34" i="4"/>
  <c r="U275" i="4"/>
  <c r="U42" i="4"/>
  <c r="U32" i="4"/>
  <c r="U274" i="4"/>
  <c r="U41" i="4"/>
  <c r="U273" i="4"/>
  <c r="C200" i="31"/>
  <c r="F200" i="31"/>
  <c r="G200" i="31" s="1"/>
  <c r="G40" i="4"/>
  <c r="G41" i="4"/>
  <c r="G274" i="4"/>
  <c r="G32" i="4"/>
  <c r="G12" i="4"/>
  <c r="G14" i="4"/>
  <c r="G31" i="4"/>
  <c r="G13" i="4"/>
  <c r="G39" i="4"/>
  <c r="G43" i="4"/>
  <c r="G15" i="4"/>
  <c r="G273" i="4"/>
  <c r="G276" i="4"/>
  <c r="G38" i="4"/>
  <c r="G37" i="4"/>
  <c r="B58" i="7" s="1"/>
  <c r="G36" i="4"/>
  <c r="G35" i="4"/>
  <c r="G33" i="4"/>
  <c r="G34" i="4"/>
  <c r="G42" i="4"/>
  <c r="J37" i="7"/>
  <c r="O36" i="5" s="1"/>
  <c r="C200" i="30"/>
  <c r="F200" i="30"/>
  <c r="C200" i="7"/>
  <c r="F200" i="7"/>
  <c r="G200" i="7" s="1"/>
  <c r="J200" i="7" s="1"/>
  <c r="C203" i="7"/>
  <c r="F203" i="7"/>
  <c r="B148" i="7"/>
  <c r="E148" i="7" s="1"/>
  <c r="I203" i="7"/>
  <c r="C58" i="7" l="1"/>
  <c r="F58" i="7"/>
  <c r="E58" i="7"/>
  <c r="I58" i="7" s="1"/>
  <c r="B48" i="31"/>
  <c r="E48" i="31" s="1"/>
  <c r="E145" i="30"/>
  <c r="I145" i="30" s="1"/>
  <c r="B47" i="7"/>
  <c r="B201" i="7"/>
  <c r="F201" i="31"/>
  <c r="B145" i="7"/>
  <c r="E145" i="7" s="1"/>
  <c r="I145" i="7" s="1"/>
  <c r="E145" i="31"/>
  <c r="J200" i="31"/>
  <c r="B48" i="7"/>
  <c r="E48" i="7" s="1"/>
  <c r="G200" i="30"/>
  <c r="F145" i="30"/>
  <c r="C145" i="30"/>
  <c r="G203" i="7"/>
  <c r="J203" i="7" s="1"/>
  <c r="C148" i="7"/>
  <c r="F148" i="7"/>
  <c r="I148" i="7"/>
  <c r="G58" i="7" l="1"/>
  <c r="J58" i="7" s="1"/>
  <c r="I48" i="31"/>
  <c r="B132" i="31"/>
  <c r="E132" i="31" s="1"/>
  <c r="B133" i="31"/>
  <c r="B131" i="31"/>
  <c r="E131" i="31" s="1"/>
  <c r="I131" i="31" s="1"/>
  <c r="B130" i="31"/>
  <c r="E130" i="31" s="1"/>
  <c r="I130" i="31" s="1"/>
  <c r="C47" i="31"/>
  <c r="E47" i="31"/>
  <c r="I47" i="31" s="1"/>
  <c r="F47" i="31"/>
  <c r="B130" i="7"/>
  <c r="C47" i="7"/>
  <c r="E47" i="7"/>
  <c r="I47" i="7" s="1"/>
  <c r="B131" i="7"/>
  <c r="F47" i="7"/>
  <c r="E201" i="7"/>
  <c r="I201" i="7" s="1"/>
  <c r="C201" i="7"/>
  <c r="F201" i="7"/>
  <c r="B146" i="7"/>
  <c r="C201" i="31"/>
  <c r="E146" i="31"/>
  <c r="I146" i="31" s="1"/>
  <c r="E201" i="31"/>
  <c r="I201" i="31" s="1"/>
  <c r="E201" i="30"/>
  <c r="I201" i="30" s="1"/>
  <c r="C201" i="30"/>
  <c r="F201" i="30"/>
  <c r="I48" i="7"/>
  <c r="F48" i="30"/>
  <c r="I48" i="30"/>
  <c r="C48" i="30"/>
  <c r="E132" i="30"/>
  <c r="I132" i="30" s="1"/>
  <c r="F145" i="7"/>
  <c r="G145" i="7" s="1"/>
  <c r="J145" i="7" s="1"/>
  <c r="C133" i="30"/>
  <c r="C145" i="7"/>
  <c r="F145" i="31"/>
  <c r="I145" i="31"/>
  <c r="C145" i="31"/>
  <c r="C48" i="31"/>
  <c r="F48" i="31"/>
  <c r="B132" i="7"/>
  <c r="E132" i="7" s="1"/>
  <c r="I132" i="7" s="1"/>
  <c r="C48" i="7"/>
  <c r="F48" i="7"/>
  <c r="B133" i="7"/>
  <c r="E133" i="7" s="1"/>
  <c r="I133" i="7" s="1"/>
  <c r="J200" i="30"/>
  <c r="G145" i="30"/>
  <c r="J145" i="30" s="1"/>
  <c r="G148" i="7"/>
  <c r="J148" i="7" s="1"/>
  <c r="C130" i="31" l="1"/>
  <c r="F131" i="31"/>
  <c r="G131" i="31" s="1"/>
  <c r="J131" i="31" s="1"/>
  <c r="C131" i="31"/>
  <c r="F130" i="31"/>
  <c r="G130" i="31" s="1"/>
  <c r="J130" i="31" s="1"/>
  <c r="G47" i="31"/>
  <c r="J47" i="31" s="1"/>
  <c r="G47" i="7"/>
  <c r="J47" i="7" s="1"/>
  <c r="C131" i="7"/>
  <c r="E131" i="7"/>
  <c r="I131" i="7" s="1"/>
  <c r="F131" i="7"/>
  <c r="E130" i="7"/>
  <c r="I130" i="7" s="1"/>
  <c r="C130" i="7"/>
  <c r="F130" i="7"/>
  <c r="G201" i="7"/>
  <c r="J201" i="7" s="1"/>
  <c r="J266" i="7" s="1"/>
  <c r="O39" i="5" s="1"/>
  <c r="E146" i="7"/>
  <c r="I146" i="7" s="1"/>
  <c r="F146" i="7"/>
  <c r="C146" i="7"/>
  <c r="F146" i="31"/>
  <c r="G146" i="31" s="1"/>
  <c r="J146" i="31" s="1"/>
  <c r="C146" i="31"/>
  <c r="G201" i="30"/>
  <c r="J201" i="30" s="1"/>
  <c r="J266" i="30" s="1"/>
  <c r="O52" i="5" s="1"/>
  <c r="G48" i="7"/>
  <c r="J48" i="7" s="1"/>
  <c r="E146" i="30"/>
  <c r="I146" i="30" s="1"/>
  <c r="C146" i="30"/>
  <c r="F146" i="30"/>
  <c r="G201" i="31"/>
  <c r="G48" i="30"/>
  <c r="J48" i="30" s="1"/>
  <c r="F133" i="30"/>
  <c r="G133" i="30" s="1"/>
  <c r="J133" i="30" s="1"/>
  <c r="C132" i="30"/>
  <c r="F132" i="30"/>
  <c r="G132" i="30" s="1"/>
  <c r="J132" i="30" s="1"/>
  <c r="C132" i="7"/>
  <c r="C133" i="7"/>
  <c r="F133" i="31"/>
  <c r="G133" i="31" s="1"/>
  <c r="J133" i="31" s="1"/>
  <c r="C133" i="31"/>
  <c r="F132" i="31"/>
  <c r="I132" i="31"/>
  <c r="C132" i="31"/>
  <c r="G48" i="31"/>
  <c r="G145" i="31"/>
  <c r="J145" i="31" s="1"/>
  <c r="F133" i="7"/>
  <c r="G133" i="7" s="1"/>
  <c r="J133" i="7" s="1"/>
  <c r="F132" i="7"/>
  <c r="G132" i="7" s="1"/>
  <c r="J132" i="7" s="1"/>
  <c r="G130" i="7" l="1"/>
  <c r="J130" i="7" s="1"/>
  <c r="G131" i="7"/>
  <c r="J131" i="7" s="1"/>
  <c r="G266" i="7"/>
  <c r="K39" i="5" s="1"/>
  <c r="G146" i="7"/>
  <c r="J146" i="7" s="1"/>
  <c r="G266" i="30"/>
  <c r="K52" i="5" s="1"/>
  <c r="G146" i="30"/>
  <c r="J146" i="30" s="1"/>
  <c r="J196" i="30" s="1"/>
  <c r="O51" i="5" s="1"/>
  <c r="O54" i="5" s="1"/>
  <c r="O55" i="5" s="1"/>
  <c r="O56" i="5" s="1"/>
  <c r="J201" i="31"/>
  <c r="J266" i="31" s="1"/>
  <c r="O65" i="5" s="1"/>
  <c r="G266" i="31"/>
  <c r="K65" i="5" s="1"/>
  <c r="G132" i="31"/>
  <c r="J132" i="31" s="1"/>
  <c r="J48" i="31"/>
  <c r="P34" i="24" l="1"/>
  <c r="P35" i="24" s="1"/>
  <c r="W34" i="24"/>
  <c r="W35" i="24" s="1"/>
  <c r="P11" i="24"/>
  <c r="W11" i="24"/>
  <c r="W12" i="24" s="1"/>
  <c r="Q46" i="5"/>
  <c r="Q45" i="5"/>
  <c r="R45" i="5"/>
  <c r="J196" i="7"/>
  <c r="O38" i="5" s="1"/>
  <c r="O41" i="5" s="1"/>
  <c r="O42" i="5" s="1"/>
  <c r="O43" i="5" s="1"/>
  <c r="O34" i="24" s="1"/>
  <c r="O35" i="24" s="1"/>
  <c r="G196" i="7"/>
  <c r="K38" i="5" s="1"/>
  <c r="K41" i="5" s="1"/>
  <c r="K42" i="5" s="1"/>
  <c r="K43" i="5" s="1"/>
  <c r="D15" i="5" s="1"/>
  <c r="G196" i="30"/>
  <c r="K51" i="5" s="1"/>
  <c r="K54" i="5" s="1"/>
  <c r="K55" i="5" s="1"/>
  <c r="K56" i="5" s="1"/>
  <c r="H15" i="5" s="1"/>
  <c r="G196" i="31"/>
  <c r="K64" i="5" s="1"/>
  <c r="J196" i="31"/>
  <c r="O64" i="5" s="1"/>
  <c r="O67" i="5" s="1"/>
  <c r="O68" i="5" s="1"/>
  <c r="O69" i="5" s="1"/>
  <c r="X34" i="24" s="1"/>
  <c r="X35" i="24" s="1"/>
  <c r="L19" i="23" l="1"/>
  <c r="P12" i="24"/>
  <c r="V34" i="24"/>
  <c r="V35" i="24" s="1"/>
  <c r="Q11" i="24"/>
  <c r="X11" i="24"/>
  <c r="X12" i="24" s="1"/>
  <c r="Q34" i="24"/>
  <c r="Q35" i="24" s="1"/>
  <c r="O11" i="24"/>
  <c r="V11" i="24"/>
  <c r="V12" i="24" s="1"/>
  <c r="R32" i="5"/>
  <c r="Q32" i="5"/>
  <c r="Q33" i="5"/>
  <c r="Q59" i="5"/>
  <c r="Q58" i="5"/>
  <c r="R58" i="5"/>
  <c r="K68" i="5"/>
  <c r="K67" i="5"/>
  <c r="P15" i="5"/>
  <c r="K19" i="23" l="1"/>
  <c r="O12" i="24"/>
  <c r="M19" i="23"/>
  <c r="Q12" i="24"/>
  <c r="K69" i="5"/>
  <c r="L15" i="5" s="1"/>
  <c r="V15" i="24" l="1"/>
  <c r="E38" i="23" l="1"/>
  <c r="E39" i="23" s="1"/>
  <c r="Q9" i="24" l="1"/>
  <c r="Q15" i="24" s="1"/>
  <c r="Q32" i="24"/>
  <c r="Q38" i="24" s="1"/>
  <c r="X9" i="24"/>
  <c r="X15" i="24" s="1"/>
  <c r="X32" i="24"/>
  <c r="X38" i="24" s="1"/>
  <c r="D62" i="23"/>
  <c r="D37" i="23" s="1"/>
  <c r="D38" i="23" l="1"/>
  <c r="D39" i="23" l="1"/>
  <c r="W9" i="24" l="1"/>
  <c r="P9" i="24"/>
  <c r="P32" i="24"/>
  <c r="W32" i="24"/>
  <c r="W38" i="24" s="1"/>
  <c r="P15" i="24" l="1"/>
  <c r="W15" i="24"/>
  <c r="P38" i="24"/>
  <c r="D31" i="32" l="1"/>
  <c r="AB24" i="4" l="1"/>
  <c r="AB10" i="4"/>
  <c r="AB7" i="4"/>
  <c r="B47" i="32" s="1"/>
  <c r="AB26" i="4"/>
  <c r="AB25" i="4"/>
  <c r="AB19" i="4"/>
  <c r="AB16" i="4"/>
  <c r="AB17" i="4"/>
  <c r="AB9" i="4"/>
  <c r="AB23" i="4"/>
  <c r="AB18" i="4"/>
  <c r="AB8" i="4"/>
  <c r="G31" i="32"/>
  <c r="H31" i="32"/>
  <c r="M75" i="5" s="1"/>
  <c r="I75" i="5"/>
  <c r="B131" i="32" l="1"/>
  <c r="E47" i="32"/>
  <c r="I47" i="32" s="1"/>
  <c r="F47" i="32"/>
  <c r="C47" i="32"/>
  <c r="J31" i="32"/>
  <c r="G37" i="32"/>
  <c r="K75" i="5" s="1"/>
  <c r="G47" i="32" l="1"/>
  <c r="J37" i="32"/>
  <c r="O75" i="5" s="1"/>
  <c r="AB41" i="4"/>
  <c r="AB43" i="4"/>
  <c r="AB31" i="4"/>
  <c r="AB38" i="4"/>
  <c r="AB35" i="4"/>
  <c r="AB274" i="4"/>
  <c r="AB276" i="4"/>
  <c r="AB40" i="4"/>
  <c r="AB14" i="4"/>
  <c r="AB32" i="4"/>
  <c r="AB34" i="4"/>
  <c r="AB42" i="4"/>
  <c r="AB36" i="4"/>
  <c r="AB39" i="4"/>
  <c r="AB33" i="4"/>
  <c r="AB275" i="4"/>
  <c r="AB273" i="4"/>
  <c r="B130" i="32" s="1"/>
  <c r="AB12" i="4"/>
  <c r="AB13" i="4"/>
  <c r="AB37" i="4"/>
  <c r="AB15" i="4"/>
  <c r="E131" i="32"/>
  <c r="I131" i="32" s="1"/>
  <c r="F131" i="32"/>
  <c r="C131" i="32"/>
  <c r="B48" i="32" l="1"/>
  <c r="B132" i="32" s="1"/>
  <c r="E130" i="32"/>
  <c r="I130" i="32" s="1"/>
  <c r="C130" i="32"/>
  <c r="F130" i="32"/>
  <c r="G131" i="32"/>
  <c r="J131" i="32" s="1"/>
  <c r="J47" i="32"/>
  <c r="C48" i="32" l="1"/>
  <c r="E48" i="32"/>
  <c r="I48" i="32" s="1"/>
  <c r="F48" i="32"/>
  <c r="B133" i="32"/>
  <c r="F133" i="32" s="1"/>
  <c r="G133" i="32" s="1"/>
  <c r="J133" i="32" s="1"/>
  <c r="G130" i="32"/>
  <c r="J130" i="32" s="1"/>
  <c r="E132" i="32"/>
  <c r="I132" i="32" s="1"/>
  <c r="C132" i="32"/>
  <c r="F132" i="32"/>
  <c r="G48" i="32" l="1"/>
  <c r="J48" i="32" s="1"/>
  <c r="C133" i="32"/>
  <c r="G132" i="32"/>
  <c r="J132" i="32" s="1"/>
  <c r="J196" i="32" l="1"/>
  <c r="O77" i="5" s="1"/>
  <c r="O80" i="5" s="1"/>
  <c r="O81" i="5" s="1"/>
  <c r="O82" i="5" s="1"/>
  <c r="Y34" i="24" s="1"/>
  <c r="Y35" i="24" s="1"/>
  <c r="G196" i="32"/>
  <c r="K78" i="5" s="1"/>
  <c r="K80" i="5" s="1"/>
  <c r="R34" i="24" l="1"/>
  <c r="R35" i="24" s="1"/>
  <c r="Y11" i="24"/>
  <c r="Y12" i="24" s="1"/>
  <c r="R11" i="24"/>
  <c r="Q72" i="5"/>
  <c r="F38" i="23"/>
  <c r="F39" i="23" s="1"/>
  <c r="Q71" i="5"/>
  <c r="R71" i="5"/>
  <c r="O84" i="5"/>
  <c r="K81" i="5"/>
  <c r="K82" i="5" s="1"/>
  <c r="K84" i="5" s="1"/>
  <c r="R9" i="24" l="1"/>
  <c r="R15" i="24" s="1"/>
  <c r="R32" i="24"/>
  <c r="Y9" i="24"/>
  <c r="Y32" i="24"/>
  <c r="AA32" i="24" s="1"/>
  <c r="N19" i="23"/>
  <c r="R12" i="24"/>
  <c r="H37" i="23"/>
  <c r="H38" i="23"/>
  <c r="K9" i="24" l="1"/>
  <c r="AA9" i="24"/>
  <c r="T9" i="24"/>
  <c r="K68" i="26" s="1"/>
  <c r="Y38" i="24"/>
  <c r="AA38" i="24" s="1"/>
  <c r="K15" i="24" s="1"/>
  <c r="H39" i="23"/>
  <c r="T32" i="24" l="1"/>
  <c r="I9" i="24"/>
  <c r="H9" i="24"/>
  <c r="Y15" i="24"/>
  <c r="AA15" i="24" s="1"/>
  <c r="I15" i="24" s="1"/>
  <c r="R38" i="24"/>
  <c r="T38" i="24" s="1"/>
  <c r="J15" i="24" s="1"/>
  <c r="T15" i="24"/>
  <c r="H15" i="24" s="1"/>
  <c r="J9" i="24" l="1"/>
  <c r="C9" i="24"/>
  <c r="C15" i="24"/>
  <c r="F33" i="35" l="1"/>
  <c r="E33" i="35"/>
  <c r="H33" i="35" s="1"/>
  <c r="I33" i="35" s="1"/>
  <c r="C33" i="35"/>
  <c r="G33" i="35" l="1"/>
  <c r="G40" i="35" s="1"/>
  <c r="I40" i="35"/>
  <c r="J33" i="35" l="1"/>
  <c r="J40" i="35" s="1"/>
  <c r="J54" i="35" s="1"/>
  <c r="Z34" i="24" s="1"/>
  <c r="Z35" i="24" l="1"/>
  <c r="AA34" i="24"/>
  <c r="S11" i="24"/>
  <c r="S34" i="24"/>
  <c r="Z11" i="24"/>
  <c r="Z12" i="24" l="1"/>
  <c r="K11" i="24"/>
  <c r="S35" i="24"/>
  <c r="O19" i="23"/>
  <c r="S12" i="24"/>
  <c r="T12" i="24" s="1"/>
  <c r="AA35" i="24"/>
  <c r="K12" i="24" s="1"/>
  <c r="T11" i="24"/>
  <c r="T34" i="24"/>
  <c r="AA11" i="24"/>
  <c r="I11" i="24" l="1"/>
  <c r="J11" i="24"/>
  <c r="P19" i="23"/>
  <c r="C12" i="24"/>
  <c r="H12" i="24"/>
  <c r="C11" i="24"/>
  <c r="H11" i="24"/>
  <c r="AA12" i="24"/>
  <c r="I12" i="24" s="1"/>
  <c r="T35" i="24"/>
  <c r="J12" i="24" s="1"/>
  <c r="K21" i="23" l="1"/>
  <c r="N21" i="23"/>
  <c r="L21" i="23"/>
  <c r="M21" i="23"/>
  <c r="O21" i="23"/>
  <c r="P20" i="23"/>
  <c r="J4" i="23" l="1"/>
  <c r="J8" i="23" s="1"/>
  <c r="R14" i="24" s="1"/>
  <c r="K20" i="23"/>
  <c r="N20" i="23"/>
  <c r="O20" i="23"/>
  <c r="L20" i="23"/>
  <c r="M20" i="23"/>
  <c r="X14" i="24" l="1"/>
  <c r="S37" i="24"/>
  <c r="Y14" i="24"/>
  <c r="Q37" i="24"/>
  <c r="Z14" i="24"/>
  <c r="O14" i="24"/>
  <c r="P14" i="24"/>
  <c r="W14" i="24"/>
  <c r="V14" i="24"/>
  <c r="Q14" i="24"/>
  <c r="R37" i="24"/>
  <c r="P37" i="24"/>
  <c r="O37" i="24"/>
  <c r="Z37" i="24"/>
  <c r="W37" i="24"/>
  <c r="W41" i="24" s="1"/>
  <c r="W27" i="24" s="1"/>
  <c r="Y37" i="24"/>
  <c r="Y41" i="24" s="1"/>
  <c r="X37" i="24"/>
  <c r="X41" i="24" s="1"/>
  <c r="X27" i="24" s="1"/>
  <c r="X36" i="24" s="1"/>
  <c r="X39" i="24" s="1"/>
  <c r="X43" i="24" s="1"/>
  <c r="X44" i="24" s="1"/>
  <c r="X45" i="24" s="1"/>
  <c r="S14" i="24"/>
  <c r="V37" i="24"/>
  <c r="V41" i="24" s="1"/>
  <c r="X29" i="24" l="1"/>
  <c r="T14" i="24"/>
  <c r="H14" i="24" s="1"/>
  <c r="AA14" i="24"/>
  <c r="I14" i="24" s="1"/>
  <c r="Y27" i="24"/>
  <c r="Y36" i="24" s="1"/>
  <c r="Y39" i="24" s="1"/>
  <c r="Y43" i="24" s="1"/>
  <c r="Y44" i="24" s="1"/>
  <c r="Y45" i="24" s="1"/>
  <c r="T37" i="24"/>
  <c r="J14" i="24" s="1"/>
  <c r="AA37" i="24"/>
  <c r="K14" i="24" s="1"/>
  <c r="V27" i="24"/>
  <c r="C14" i="24"/>
  <c r="Y29" i="24"/>
  <c r="W29" i="24"/>
  <c r="W36" i="24"/>
  <c r="W39" i="24" s="1"/>
  <c r="W43" i="24" s="1"/>
  <c r="W44" i="24" s="1"/>
  <c r="W45" i="24" s="1"/>
  <c r="V29" i="24" l="1"/>
  <c r="V36" i="24"/>
  <c r="V39" i="24" l="1"/>
  <c r="V43" i="24" l="1"/>
  <c r="V44" i="24" l="1"/>
  <c r="V45" i="24" l="1"/>
  <c r="P76" i="26" l="1"/>
  <c r="M76" i="26"/>
  <c r="L76" i="26"/>
  <c r="O76" i="26"/>
  <c r="N76" i="26"/>
  <c r="Q76" i="26" l="1"/>
  <c r="E22" i="24" l="1"/>
  <c r="F22" i="24"/>
  <c r="D22" i="24"/>
  <c r="L68" i="26"/>
  <c r="N64" i="26"/>
  <c r="N74" i="26" s="1"/>
  <c r="O63" i="26"/>
  <c r="L73" i="26"/>
  <c r="O19" i="26" l="1"/>
  <c r="O73" i="26"/>
  <c r="N20" i="26"/>
  <c r="M63" i="26"/>
  <c r="O65" i="26"/>
  <c r="P63" i="26"/>
  <c r="M64" i="26"/>
  <c r="P65" i="26"/>
  <c r="N65" i="26"/>
  <c r="O64" i="26"/>
  <c r="N63" i="26"/>
  <c r="M65" i="26"/>
  <c r="P64" i="26"/>
  <c r="P20" i="26" l="1"/>
  <c r="P74" i="26"/>
  <c r="O21" i="26"/>
  <c r="O75" i="26"/>
  <c r="M19" i="26"/>
  <c r="Q19" i="26" s="1"/>
  <c r="M73" i="26"/>
  <c r="L21" i="26"/>
  <c r="Q21" i="26" s="1"/>
  <c r="M41" i="24" s="1"/>
  <c r="L75" i="26"/>
  <c r="M21" i="26"/>
  <c r="M75" i="26"/>
  <c r="N73" i="26"/>
  <c r="N19" i="26"/>
  <c r="O20" i="26"/>
  <c r="O74" i="26"/>
  <c r="L20" i="26"/>
  <c r="L74" i="26"/>
  <c r="N21" i="26"/>
  <c r="N75" i="26"/>
  <c r="P21" i="26"/>
  <c r="P75" i="26"/>
  <c r="M20" i="26"/>
  <c r="M74" i="26"/>
  <c r="P73" i="26"/>
  <c r="P19" i="26"/>
  <c r="Q20" i="26" l="1"/>
  <c r="U18" i="24" s="1"/>
  <c r="Z41" i="24" s="1"/>
  <c r="Q74" i="26"/>
  <c r="M18" i="24"/>
  <c r="D16" i="26"/>
  <c r="E16" i="26" s="1"/>
  <c r="P41" i="24"/>
  <c r="Q41" i="24"/>
  <c r="O41" i="24"/>
  <c r="S41" i="24"/>
  <c r="R41" i="24"/>
  <c r="Q73" i="26"/>
  <c r="Q75" i="26"/>
  <c r="R7" i="24"/>
  <c r="E5" i="18" s="1"/>
  <c r="Y18" i="24" l="1"/>
  <c r="Y5" i="24" s="1"/>
  <c r="X18" i="24"/>
  <c r="X5" i="24" s="1"/>
  <c r="W18" i="24"/>
  <c r="W5" i="24" s="1"/>
  <c r="Z18" i="24"/>
  <c r="Z5" i="24" s="1"/>
  <c r="Z7" i="24" s="1"/>
  <c r="V18" i="24"/>
  <c r="V5" i="24" s="1"/>
  <c r="O18" i="24"/>
  <c r="P18" i="24"/>
  <c r="P5" i="24" s="1"/>
  <c r="R18" i="24"/>
  <c r="R5" i="24" s="1"/>
  <c r="R13" i="24" s="1"/>
  <c r="R16" i="24" s="1"/>
  <c r="R20" i="24" s="1"/>
  <c r="R21" i="24" s="1"/>
  <c r="R22" i="24" s="1"/>
  <c r="Q18" i="24"/>
  <c r="Q5" i="24" s="1"/>
  <c r="S18" i="24"/>
  <c r="S5" i="24" s="1"/>
  <c r="S7" i="24" s="1"/>
  <c r="E6" i="18" s="1"/>
  <c r="Z27" i="24"/>
  <c r="Z29" i="24" s="1"/>
  <c r="AA41" i="24"/>
  <c r="K18" i="24" s="1"/>
  <c r="Q27" i="24"/>
  <c r="P27" i="24"/>
  <c r="S27" i="24"/>
  <c r="S29" i="24" s="1"/>
  <c r="T41" i="24"/>
  <c r="J18" i="24" s="1"/>
  <c r="O27" i="24"/>
  <c r="R27" i="24"/>
  <c r="Q13" i="24" l="1"/>
  <c r="Q16" i="24" s="1"/>
  <c r="Q20" i="24" s="1"/>
  <c r="Q21" i="24" s="1"/>
  <c r="Q22" i="24" s="1"/>
  <c r="Q7" i="24"/>
  <c r="E4" i="18" s="1"/>
  <c r="P13" i="24"/>
  <c r="P16" i="24" s="1"/>
  <c r="P20" i="24" s="1"/>
  <c r="P21" i="24" s="1"/>
  <c r="P22" i="24" s="1"/>
  <c r="P7" i="24"/>
  <c r="E3" i="18" s="1"/>
  <c r="AA18" i="24"/>
  <c r="I18" i="24" s="1"/>
  <c r="S13" i="24"/>
  <c r="S16" i="24" s="1"/>
  <c r="S20" i="24" s="1"/>
  <c r="S21" i="24" s="1"/>
  <c r="S22" i="24" s="1"/>
  <c r="O5" i="24"/>
  <c r="O7" i="24" s="1"/>
  <c r="E2" i="18" s="1"/>
  <c r="T18" i="24"/>
  <c r="R29" i="24"/>
  <c r="R36" i="24"/>
  <c r="R39" i="24" s="1"/>
  <c r="R43" i="24" s="1"/>
  <c r="R44" i="24" s="1"/>
  <c r="R45" i="24" s="1"/>
  <c r="V7" i="24"/>
  <c r="AA5" i="24"/>
  <c r="V13" i="24"/>
  <c r="X7" i="24"/>
  <c r="X13" i="24"/>
  <c r="X16" i="24" s="1"/>
  <c r="X20" i="24" s="1"/>
  <c r="X21" i="24" s="1"/>
  <c r="X22" i="24" s="1"/>
  <c r="Q29" i="24"/>
  <c r="Q36" i="24"/>
  <c r="Q39" i="24" s="1"/>
  <c r="Q43" i="24" s="1"/>
  <c r="Q44" i="24" s="1"/>
  <c r="Q45" i="24" s="1"/>
  <c r="P36" i="24"/>
  <c r="P39" i="24" s="1"/>
  <c r="P43" i="24" s="1"/>
  <c r="P44" i="24" s="1"/>
  <c r="P45" i="24" s="1"/>
  <c r="P29" i="24"/>
  <c r="Y13" i="24"/>
  <c r="Y16" i="24" s="1"/>
  <c r="Y20" i="24" s="1"/>
  <c r="Y21" i="24" s="1"/>
  <c r="Y22" i="24" s="1"/>
  <c r="Y7" i="24"/>
  <c r="O29" i="24"/>
  <c r="O36" i="24"/>
  <c r="T27" i="24"/>
  <c r="S36" i="24"/>
  <c r="S39" i="24" s="1"/>
  <c r="S43" i="24" s="1"/>
  <c r="S44" i="24" s="1"/>
  <c r="S45" i="24" s="1"/>
  <c r="Z13" i="24"/>
  <c r="Z16" i="24" s="1"/>
  <c r="Z20" i="24" s="1"/>
  <c r="Z21" i="24" s="1"/>
  <c r="Z22" i="24" s="1"/>
  <c r="W7" i="24"/>
  <c r="W13" i="24"/>
  <c r="W16" i="24" s="1"/>
  <c r="W20" i="24" s="1"/>
  <c r="W21" i="24" s="1"/>
  <c r="W22" i="24" s="1"/>
  <c r="AA27" i="24"/>
  <c r="Z36" i="24"/>
  <c r="H18" i="24" l="1"/>
  <c r="C18" i="24"/>
  <c r="T5" i="24"/>
  <c r="T7" i="24" s="1"/>
  <c r="D7" i="24" s="1"/>
  <c r="H7" i="24" s="1"/>
  <c r="O13" i="24"/>
  <c r="G18" i="24"/>
  <c r="K5" i="24"/>
  <c r="G10" i="24"/>
  <c r="G12" i="24"/>
  <c r="G9" i="24"/>
  <c r="G14" i="24"/>
  <c r="G15" i="24"/>
  <c r="G11" i="24"/>
  <c r="AA29" i="24"/>
  <c r="G7" i="24" s="1"/>
  <c r="K7" i="24" s="1"/>
  <c r="AA13" i="24"/>
  <c r="I13" i="24" s="1"/>
  <c r="I16" i="24" s="1"/>
  <c r="I20" i="24" s="1"/>
  <c r="V16" i="24"/>
  <c r="F11" i="24"/>
  <c r="F9" i="24"/>
  <c r="F15" i="24"/>
  <c r="T29" i="24"/>
  <c r="F7" i="24" s="1"/>
  <c r="J7" i="24" s="1"/>
  <c r="F18" i="24"/>
  <c r="F14" i="24"/>
  <c r="F10" i="24"/>
  <c r="J5" i="24"/>
  <c r="F12" i="24"/>
  <c r="E10" i="24"/>
  <c r="E11" i="24"/>
  <c r="E14" i="24"/>
  <c r="AA7" i="24"/>
  <c r="E7" i="24" s="1"/>
  <c r="I7" i="24" s="1"/>
  <c r="E18" i="24"/>
  <c r="E9" i="24"/>
  <c r="I5" i="24"/>
  <c r="E12" i="24"/>
  <c r="E15" i="24"/>
  <c r="T36" i="24"/>
  <c r="J13" i="24" s="1"/>
  <c r="J16" i="24" s="1"/>
  <c r="J20" i="24" s="1"/>
  <c r="O39" i="24"/>
  <c r="Z39" i="24"/>
  <c r="AA36" i="24"/>
  <c r="K13" i="24" s="1"/>
  <c r="K16" i="24" s="1"/>
  <c r="K20" i="24" s="1"/>
  <c r="O16" i="24" l="1"/>
  <c r="T13" i="24"/>
  <c r="C13" i="24" s="1"/>
  <c r="D14" i="24"/>
  <c r="H5" i="24"/>
  <c r="D10" i="24"/>
  <c r="D18" i="24"/>
  <c r="D12" i="24"/>
  <c r="D11" i="24"/>
  <c r="D9" i="24"/>
  <c r="D15" i="24"/>
  <c r="G13" i="24"/>
  <c r="E13" i="24"/>
  <c r="F13" i="24"/>
  <c r="I21" i="24"/>
  <c r="I22" i="24" s="1"/>
  <c r="AA39" i="24"/>
  <c r="G16" i="24" s="1"/>
  <c r="G23" i="24" s="1"/>
  <c r="K23" i="24" s="1"/>
  <c r="Z43" i="24"/>
  <c r="AA16" i="24"/>
  <c r="E16" i="24" s="1"/>
  <c r="E23" i="24" s="1"/>
  <c r="I23" i="24" s="1"/>
  <c r="V20" i="24"/>
  <c r="K21" i="24"/>
  <c r="K22" i="24" s="1"/>
  <c r="T39" i="24"/>
  <c r="F16" i="24" s="1"/>
  <c r="F23" i="24" s="1"/>
  <c r="J23" i="24" s="1"/>
  <c r="O43" i="24"/>
  <c r="J21" i="24"/>
  <c r="J22" i="24" s="1"/>
  <c r="D13" i="24" l="1"/>
  <c r="H13" i="24"/>
  <c r="H16" i="24" s="1"/>
  <c r="H20" i="24" s="1"/>
  <c r="H21" i="24" s="1"/>
  <c r="H22" i="24" s="1"/>
  <c r="T16" i="24"/>
  <c r="O20" i="24"/>
  <c r="AA20" i="24"/>
  <c r="E20" i="24" s="1"/>
  <c r="V21" i="24"/>
  <c r="T43" i="24"/>
  <c r="F20" i="24" s="1"/>
  <c r="O44" i="24"/>
  <c r="AA43" i="24"/>
  <c r="G20" i="24" s="1"/>
  <c r="Z44" i="24"/>
  <c r="AA44" i="24" l="1"/>
  <c r="Z45" i="24"/>
  <c r="K69" i="26"/>
  <c r="D16" i="24"/>
  <c r="D23" i="24" s="1"/>
  <c r="H23" i="24" s="1"/>
  <c r="C16" i="24"/>
  <c r="O21" i="24"/>
  <c r="T20" i="24"/>
  <c r="T44" i="24"/>
  <c r="O45" i="24"/>
  <c r="AA21" i="24"/>
  <c r="V22" i="24"/>
  <c r="T21" i="24" l="1"/>
  <c r="O22" i="24"/>
  <c r="C20" i="24"/>
  <c r="D20" i="2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A8CE7DE-8EE7-4B24-AB5A-231DD687019E}" keepAlive="1" name="Query - Table11" description="Connection to the 'Table11' query in the workbook." type="5" refreshedVersion="6" background="1" saveData="1">
    <dbPr connection="Provider=Microsoft.Mashup.OleDb.1;Data Source=$Workbook$;Location=Table11;Extended Properties=&quot;&quot;" command="SELECT * FROM [Table11]"/>
  </connection>
  <connection id="2" xr16:uid="{09744278-AB9B-4CD4-9E69-51B9659AC067}" keepAlive="1" name="Query - Table13" description="Connection to the 'Table13' query in the workbook." type="5" refreshedVersion="6" background="1" saveData="1">
    <dbPr connection="Provider=Microsoft.Mashup.OleDb.1;Data Source=$Workbook$;Location=Table13;Extended Properties=&quot;&quot;" command="SELECT * FROM [Table13]"/>
  </connection>
  <connection id="3" xr16:uid="{391351C1-3BAA-45E1-BCBE-B2D8581ADD4B}" keepAlive="1" name="Query - Table13_2" description="Connection to the 'Table13_2' query in the workbook." type="5" refreshedVersion="6" background="1">
    <dbPr connection="Provider=Microsoft.Mashup.OleDb.1;Data Source=$Workbook$;Location=Table13_2;Extended Properties=&quot;&quot;" command="SELECT * FROM [Table13_2]"/>
  </connection>
  <connection id="4" xr16:uid="{A88C5A66-666F-4262-9748-8594AE06FDE4}" keepAlive="1" name="Query - Table16" description="Connection to the 'Table16' query in the workbook." type="5" refreshedVersion="6" background="1" saveData="1">
    <dbPr connection="Provider=Microsoft.Mashup.OleDb.1;Data Source=$Workbook$;Location=Table16;Extended Properties=&quot;&quot;" command="SELECT * FROM [Table16]"/>
  </connection>
  <connection id="5" xr16:uid="{2BD8DCD6-E1FF-4E93-9739-C9E4DC995BE1}" keepAlive="1" name="Query - Table18" description="Connection to the 'Table18' query in the workbook." type="5" refreshedVersion="6" background="1" saveData="1">
    <dbPr connection="Provider=Microsoft.Mashup.OleDb.1;Data Source=$Workbook$;Location=Table18;Extended Properties=&quot;&quot;" command="SELECT * FROM [Table18]"/>
  </connection>
</connections>
</file>

<file path=xl/sharedStrings.xml><?xml version="1.0" encoding="utf-8"?>
<sst xmlns="http://schemas.openxmlformats.org/spreadsheetml/2006/main" count="12037" uniqueCount="1183">
  <si>
    <t>Top Rail</t>
  </si>
  <si>
    <t>A</t>
  </si>
  <si>
    <t>B</t>
  </si>
  <si>
    <t>C</t>
  </si>
  <si>
    <t>Posts</t>
  </si>
  <si>
    <t>Post</t>
  </si>
  <si>
    <t>Mounting</t>
  </si>
  <si>
    <t>Fasteners</t>
  </si>
  <si>
    <t>Infill</t>
  </si>
  <si>
    <t xml:space="preserve"> </t>
  </si>
  <si>
    <t>Miscellaneous</t>
  </si>
  <si>
    <t>Item</t>
  </si>
  <si>
    <t>Description</t>
  </si>
  <si>
    <t>Cost</t>
  </si>
  <si>
    <t>200EP POW Blk</t>
  </si>
  <si>
    <t>Top Rail End Plate w/Screws- Black</t>
  </si>
  <si>
    <t>999EP Blk</t>
  </si>
  <si>
    <t>Elliptical End Plate- Black</t>
  </si>
  <si>
    <t>BR650 EC</t>
  </si>
  <si>
    <t>Bottom Rail 650 End Cap...120" 5052-- Laser, Deburr, and C'sink</t>
  </si>
  <si>
    <t>Halfen Corner</t>
  </si>
  <si>
    <t>HT4512 Corner</t>
  </si>
  <si>
    <t>BR100- Blk</t>
  </si>
  <si>
    <t>Series 100 Bottom Rail (20')- Black</t>
  </si>
  <si>
    <t>BR200- Blk</t>
  </si>
  <si>
    <t>Series 200 Bottom Rail (20')- Black</t>
  </si>
  <si>
    <t>142015</t>
  </si>
  <si>
    <t>Base Plate Screws</t>
  </si>
  <si>
    <t>2"X2"X3"  1/4" Angles</t>
  </si>
  <si>
    <t>2"X2"X3" 1/4" Angle Brackets</t>
  </si>
  <si>
    <t>200EP POW Br</t>
  </si>
  <si>
    <t>Top Rail End Plate w/Screws- Bronze</t>
  </si>
  <si>
    <t>200EP POW Cl</t>
  </si>
  <si>
    <t>Top Rail End Plate w/Screws- Clear Anodized</t>
  </si>
  <si>
    <t>200EP POW W</t>
  </si>
  <si>
    <t>Top Rail End Plate w/Screws- White</t>
  </si>
  <si>
    <t>225 EP</t>
  </si>
  <si>
    <t>End Plate for TR225</t>
  </si>
  <si>
    <t>3/8 SS Hex Nut</t>
  </si>
  <si>
    <t>3/8 Stainless Steel Hex Nut</t>
  </si>
  <si>
    <t>3/8 SS Lock Washer</t>
  </si>
  <si>
    <t>3/8" Stainless Steel Medium Lock washer</t>
  </si>
  <si>
    <t>3/8 x 1" SS Flat Washer</t>
  </si>
  <si>
    <t>3/8" x 1" SS Flat washer .060 Thick</t>
  </si>
  <si>
    <t>3/8" x 3-1/2" SS Hex Cap Screw</t>
  </si>
  <si>
    <t>3/8" x 4-1/2" SS Hex Cap Screw</t>
  </si>
  <si>
    <t>3/8" x 4" SS Hex Cap Screw</t>
  </si>
  <si>
    <t>3/8" x 5" SS Hex Cap Screw</t>
  </si>
  <si>
    <t>3/8" x 5" SS Lag Screw</t>
  </si>
  <si>
    <t>3/8" x 5" Stainless Steel Lag Screw</t>
  </si>
  <si>
    <t>3/8" x 6" SS Lag Screw</t>
  </si>
  <si>
    <t>3/8" x 6" Stainless Steel Lag Screw</t>
  </si>
  <si>
    <t>3/8" x 7" SS Lag Screw</t>
  </si>
  <si>
    <t>3/8" x 7" Stainless Steel Lag Screw</t>
  </si>
  <si>
    <t>3/8" x 8" SS Lag Screw</t>
  </si>
  <si>
    <t>3/8" x 8" Stainless Steel Lag Screw</t>
  </si>
  <si>
    <t>375 EP - Mil</t>
  </si>
  <si>
    <t>375 End Plate- Mill Finish</t>
  </si>
  <si>
    <t>999EP Br</t>
  </si>
  <si>
    <t>Elliptical End Plate- Bronze</t>
  </si>
  <si>
    <t>999EP Cl</t>
  </si>
  <si>
    <t>Elliptical End Plate w/Screws- Clear Anodized</t>
  </si>
  <si>
    <t>999EP W</t>
  </si>
  <si>
    <t>Elliptical End Plate- White</t>
  </si>
  <si>
    <t>Bottom Cap for PEU-Mill Finish</t>
  </si>
  <si>
    <t>Standard post bottom cap - Mill Finish</t>
  </si>
  <si>
    <t>BP- 3x5 Blk</t>
  </si>
  <si>
    <t>Post Base Plate 3 X 5- Black</t>
  </si>
  <si>
    <t>BP- 3x5 Brn</t>
  </si>
  <si>
    <t>Post Base Plate 3 X 5- Bronze</t>
  </si>
  <si>
    <t>BP- 3x5 Cl</t>
  </si>
  <si>
    <t>Post Base Plate 3 X 5- Clear Anodized</t>
  </si>
  <si>
    <t>BP- 3x5 Wht</t>
  </si>
  <si>
    <t>Post Base Plate 3 X 5- White</t>
  </si>
  <si>
    <t>BP- Cl</t>
  </si>
  <si>
    <t>Post Base Plate 5 x 5 - Clear Anodized</t>
  </si>
  <si>
    <t>BP-6SC Blk</t>
  </si>
  <si>
    <t>Six screw chase post base plate 5 x 5 - Black</t>
  </si>
  <si>
    <t>BP-6SC Brn</t>
  </si>
  <si>
    <t>Six screw chase post base plate 5 x 5 - Brown</t>
  </si>
  <si>
    <t>BP-6SC Wht</t>
  </si>
  <si>
    <t>Six screw chase post base plate 5 x 5 - White</t>
  </si>
  <si>
    <t>BP Offset</t>
  </si>
  <si>
    <t>Base Plate Offset-Mill Finish</t>
  </si>
  <si>
    <t>BP Rubber Gkt</t>
  </si>
  <si>
    <t>Base Plate Rubber Gasket (5 X 5)</t>
  </si>
  <si>
    <t>BPS-BLK</t>
  </si>
  <si>
    <t>Base Plate Skirt - Black</t>
  </si>
  <si>
    <t>BPS-BR</t>
  </si>
  <si>
    <t>Base Plate Skirt - Bronze</t>
  </si>
  <si>
    <t>BPS-Cl</t>
  </si>
  <si>
    <t>Base Plate Skirt Clear</t>
  </si>
  <si>
    <t>BPS-W</t>
  </si>
  <si>
    <t>Base Plate Skirt - White</t>
  </si>
  <si>
    <t>BR100- Br</t>
  </si>
  <si>
    <t>Series 100 Bottom Rail (20')- Bronze</t>
  </si>
  <si>
    <t>BR100- Cl</t>
  </si>
  <si>
    <t>Series 100 Bottom Rail (20')- Clear Anodized</t>
  </si>
  <si>
    <t>BR100- W</t>
  </si>
  <si>
    <t>Series 100 Bottom Rail (20')- White</t>
  </si>
  <si>
    <t>BR200- Br</t>
  </si>
  <si>
    <t>Series 200 Bottom Rail (20')- Bronze</t>
  </si>
  <si>
    <t>BR200- Cl</t>
  </si>
  <si>
    <t>Series 200 Bottom Rail (20')- Clear Anodized</t>
  </si>
  <si>
    <t>BR200- W</t>
  </si>
  <si>
    <t>Series 200 Bottom Rail (20')- White</t>
  </si>
  <si>
    <t>C12 TR900 White</t>
  </si>
  <si>
    <t>1/2" Flat Washer for tee bolts w/hex nuts for HT4512 channel profile, HW1211</t>
  </si>
  <si>
    <t>Concrete Anchor</t>
  </si>
  <si>
    <t>3/8"x3-3/4" Wedge Anchor for Concrete Application</t>
  </si>
  <si>
    <t>1/4" Clear Tempered Glass -- Seamed Edges</t>
  </si>
  <si>
    <t>CW POW</t>
  </si>
  <si>
    <t>Washer - Bolt Head Cover</t>
  </si>
  <si>
    <t>FI- Blk</t>
  </si>
  <si>
    <t>Flat Infill (for Cable)  ( 20' )- Black</t>
  </si>
  <si>
    <t>FI- Br</t>
  </si>
  <si>
    <t>Flat Infill (for Cable)  ( 20' )- Bronze</t>
  </si>
  <si>
    <t>FI- Cl</t>
  </si>
  <si>
    <t>Flat Infill (for Cable)  ( 20' )- Clear Anodized</t>
  </si>
  <si>
    <t>FI- W</t>
  </si>
  <si>
    <t>Flat Infill (for Cable)  ( 20' )- White</t>
  </si>
  <si>
    <t>Galvanized Steel Sleeves</t>
  </si>
  <si>
    <t>GVS Bot Glass Vnl</t>
  </si>
  <si>
    <t>Bottom Glass Vinyl (10')</t>
  </si>
  <si>
    <t>GVS Top Glass Vnl</t>
  </si>
  <si>
    <t>Top Glass Vinyl (10')</t>
  </si>
  <si>
    <t>Halfen Anchor-10"</t>
  </si>
  <si>
    <t xml:space="preserve"> MBHT4510 – (HALFEN 4022 ANCHOR 10")</t>
  </si>
  <si>
    <t>Halfen Anchor-12"</t>
  </si>
  <si>
    <t xml:space="preserve"> MBHT4512 – (HALFEN 4022 ANCHOR 12")</t>
  </si>
  <si>
    <t>Halfen Anchor-6"</t>
  </si>
  <si>
    <t xml:space="preserve"> MBHT4506 – (HALFEN 4022 ANCHOR 6")</t>
  </si>
  <si>
    <t>Halfen Anchor-8"</t>
  </si>
  <si>
    <t xml:space="preserve"> MBHT4508 – (HALFEN 4022 ANCHOR 8")</t>
  </si>
  <si>
    <t>INT-90°/650 rail</t>
  </si>
  <si>
    <t>Internal 90° Splice Corner</t>
  </si>
  <si>
    <t>IPF-  POW Blk</t>
  </si>
  <si>
    <t>Intermediate Post Fitting- Black</t>
  </si>
  <si>
    <t>IPF-  POW Br</t>
  </si>
  <si>
    <t>Intermediate Post Fitting- Bronze</t>
  </si>
  <si>
    <t>IPF-  POW C</t>
  </si>
  <si>
    <t>Intermediate Post Fitting- Clear</t>
  </si>
  <si>
    <t>IPF-  POW W</t>
  </si>
  <si>
    <t>Intermediate Post Fitting- White</t>
  </si>
  <si>
    <t>IPF-  Premium</t>
  </si>
  <si>
    <t>Intermediate Post Fitting (Premium)- Mill</t>
  </si>
  <si>
    <t>NC- Blk</t>
  </si>
  <si>
    <t>Nylon Bolt Cap- Black</t>
  </si>
  <si>
    <t>NC- Br</t>
  </si>
  <si>
    <t>Nylon Bolt Cap- Bronze</t>
  </si>
  <si>
    <t>NC- Silver</t>
  </si>
  <si>
    <t>Nylon Bolt Cap- Clear Silver</t>
  </si>
  <si>
    <t>NC- W</t>
  </si>
  <si>
    <t>Nylon Bolt Cap- White</t>
  </si>
  <si>
    <t>PBP 1-Mil</t>
  </si>
  <si>
    <t>Bottom plate for midspan picket</t>
  </si>
  <si>
    <t>Post Cap-135°- Mill Finish</t>
  </si>
  <si>
    <t>PC1- POW Blk</t>
  </si>
  <si>
    <t>Pyramid Post Cap- Black</t>
  </si>
  <si>
    <t>PC1- POW Br</t>
  </si>
  <si>
    <t>Pyramid Post Cap- Bronze</t>
  </si>
  <si>
    <t>PC1- POW W</t>
  </si>
  <si>
    <t>Pyramid Post Cap- White</t>
  </si>
  <si>
    <t>PC2-Mil</t>
  </si>
  <si>
    <t>Flat Post Cap- Mill Finish, Coastal applications</t>
  </si>
  <si>
    <t>PEU- Blk 18 3/4</t>
  </si>
  <si>
    <t>No Line Post Extrusion (18' 9")- Black</t>
  </si>
  <si>
    <t>PEU- Brn 18 3/4</t>
  </si>
  <si>
    <t>No Line Post Extrusion (18' 9")- Bronze</t>
  </si>
  <si>
    <t>PEU- Cl 18 3/4</t>
  </si>
  <si>
    <t>No Line Post Extrusion (18' 9")- Clear Anodized</t>
  </si>
  <si>
    <t>PEU- W 18 3/4</t>
  </si>
  <si>
    <t>No Line Post Extrusion (18' 9")- White</t>
  </si>
  <si>
    <t>Pocket Infill- Blk</t>
  </si>
  <si>
    <t>Series 200/999 Pocket Infill ( 20' )-  Black</t>
  </si>
  <si>
    <t>Pocket Infill- Br</t>
  </si>
  <si>
    <t>Series 200/999 Pocket Infill ( 20' )- Bronze</t>
  </si>
  <si>
    <t>Pocket Infill- Cl</t>
  </si>
  <si>
    <t>Series 200/999 Pocket Infill ( 20' )- Clear Anodized</t>
  </si>
  <si>
    <t>Pocket Infill- W</t>
  </si>
  <si>
    <t>Series 200/999 Pocket Infill ( 20' )- White</t>
  </si>
  <si>
    <t>PVI</t>
  </si>
  <si>
    <t>Picket Vinyl Insert (10')</t>
  </si>
  <si>
    <t>RCB screws- DP</t>
  </si>
  <si>
    <t>RCB screws- Drill Points  #10 x 2" Phillips Pan SS</t>
  </si>
  <si>
    <t>RCBE1</t>
  </si>
  <si>
    <t>Rail Connecting Block Extrusion 100 (10')</t>
  </si>
  <si>
    <t>RCBE2</t>
  </si>
  <si>
    <t>Rail Connecting Block Extrusion 200 (10')</t>
  </si>
  <si>
    <t>Rubber Gkt Cubes</t>
  </si>
  <si>
    <t>5/8" X 1, 3/8" thick, 40 Duro Neoprene Cubes</t>
  </si>
  <si>
    <t>SPE1- Blk</t>
  </si>
  <si>
    <t>Series 100 Picket Spacer Extrusion (20')- Black</t>
  </si>
  <si>
    <t>SPE1- Br</t>
  </si>
  <si>
    <t>Series 100 Picket Spacer Extrusion (20')- Bronze</t>
  </si>
  <si>
    <t>SPE1- Cl</t>
  </si>
  <si>
    <t>Series 100 Picket Spacer Extrusion (20'), Clear Anodized</t>
  </si>
  <si>
    <t>SPE1- W</t>
  </si>
  <si>
    <t>Series 100 Picket Spacer Extrusion (20')- White</t>
  </si>
  <si>
    <t>SPE2- Blk</t>
  </si>
  <si>
    <t>Series 200 Picket Spacer Extrusion (20')- Black</t>
  </si>
  <si>
    <t>SPE2- Br</t>
  </si>
  <si>
    <t>Series 200 Picket Spacer Extrusion (20')- Bronze</t>
  </si>
  <si>
    <t>SPE2- Cl</t>
  </si>
  <si>
    <t>Series 200 Picket Spacer Extrusion (20')- Clear Anodized</t>
  </si>
  <si>
    <t>SPE2- W</t>
  </si>
  <si>
    <t>Series 200 Picket Spacer Extrusion (20')- White</t>
  </si>
  <si>
    <t>SS AW 30</t>
  </si>
  <si>
    <t>SS 30* Angled Washer</t>
  </si>
  <si>
    <t>SS Cable- 1/8"</t>
  </si>
  <si>
    <t>Stainless steel cable, 316 1x19, 1/8"; per foot</t>
  </si>
  <si>
    <t>SS Cable-1/4"</t>
  </si>
  <si>
    <t>Stainless steel cable, 316 1x19, 1/4"; per foot</t>
  </si>
  <si>
    <t>SS Cable-3/16"</t>
  </si>
  <si>
    <t>Stainless steel cable, 316 1x19, 3/16"; per foot</t>
  </si>
  <si>
    <t>SS DPMS Short</t>
  </si>
  <si>
    <t>SS 1/8" Machine swage stud terminal with drop pin, short</t>
  </si>
  <si>
    <t>SS DTHS</t>
  </si>
  <si>
    <t>SS Deck Toggle Hand Swage Fitting</t>
  </si>
  <si>
    <t>SS End Plate Screws</t>
  </si>
  <si>
    <t>#8 X 3/4 Philips Flat Self Drilling18-8 S/S</t>
  </si>
  <si>
    <t>SS TBDTHS</t>
  </si>
  <si>
    <t>SS Turn Buckle Deck Toggle Hand Swage Fitting</t>
  </si>
  <si>
    <t>SS TBDTMS</t>
  </si>
  <si>
    <t>SS Turn Buckle Deck Toggle Machine Swage Fitting</t>
  </si>
  <si>
    <t>SS TBHS</t>
  </si>
  <si>
    <t>1/8" SS Turn Buckle Hand Swage Fitting</t>
  </si>
  <si>
    <t>SS TTHS</t>
  </si>
  <si>
    <t>SS Threaded Terminal Hand Swage Fitting includes Nut, Acorn Nut and Flat Washer</t>
  </si>
  <si>
    <t>SS TTHS- Long</t>
  </si>
  <si>
    <t>Extra Long 1/8" SS Threaded Terminal Hand Swage Fitting includes Nut, Acorn Nut and Flat Washer</t>
  </si>
  <si>
    <t>SS TTHS 3-16</t>
  </si>
  <si>
    <t>3/16" SS Threaded Terminal Hand Swage Fitting includes Nut, Acorn Nut and Flat Washer</t>
  </si>
  <si>
    <t>SS TTMS</t>
  </si>
  <si>
    <t>SS Threaded Terminal Machine Swage Fitting includes Nut, Acorn Nut and Flat Washer</t>
  </si>
  <si>
    <t>SS TTMS 1-4</t>
  </si>
  <si>
    <t>1/4" SS Threaded Terminal Machine Swage Fitting includes Nut, Acorn Nut and Flat Washer</t>
  </si>
  <si>
    <t>SS W805X100 - Blk</t>
  </si>
  <si>
    <t>TR &amp; BR Screws - #10 x 5/8" Phillips Pan Head Self Drill Stainless Steel Zinc Plated - Black- One screw</t>
  </si>
  <si>
    <t>SS W805X100 - Br</t>
  </si>
  <si>
    <t>TR &amp; BR Screws - #10 x 5/8" Phillips Pan Head Self Drill Stainless Steel Zinc Plated - Bronze- One screw</t>
  </si>
  <si>
    <t>SS W805X100 - W</t>
  </si>
  <si>
    <t>TR &amp; BR Screws - #10 x 5/8" Phillips Pan Head Self Drill Stainless Steel Zinc Plated - White- One screw</t>
  </si>
  <si>
    <t>Stanchion 2"</t>
  </si>
  <si>
    <t>"C" channel stanchion- 2" (back) x 1" (flanges) x 3/16 thick. 21" in length.  Galvanized steel</t>
  </si>
  <si>
    <t>T Bolt Lock Washer 1/2- Halfen</t>
  </si>
  <si>
    <t>1/2" Lock Washer for tee bolts w/hex nuts for HT4512 channel profile, LW1211</t>
  </si>
  <si>
    <t>T Bolt Washer 1/2- Halfen</t>
  </si>
  <si>
    <t>T Bolts 1/2 x 1 1/2- Halfen</t>
  </si>
  <si>
    <t>tee bolts w/hex nuts for HT4512 channel profile, BF4411 –(HALFEN 4022B&amp;N M12X40 (4.6))  std. grade, electo plated</t>
  </si>
  <si>
    <t>TR175A  Blk</t>
  </si>
  <si>
    <t>Slim Square Top Rail ( 18.25' )- Black</t>
  </si>
  <si>
    <t>TR175A  Br 18.5'</t>
  </si>
  <si>
    <t>Slim Square Top Rail ( 18.50' )- Bronze</t>
  </si>
  <si>
    <t>TR175A Br</t>
  </si>
  <si>
    <t>Slim Square Top Rail ( 20' )- Bronze</t>
  </si>
  <si>
    <t>TR200 Blk</t>
  </si>
  <si>
    <t>Top Rail 200 ( 20' )- Black</t>
  </si>
  <si>
    <t>TR200 Br</t>
  </si>
  <si>
    <t>Top Rail 200 ( 20' )- Bronze</t>
  </si>
  <si>
    <t>TR200 Cl</t>
  </si>
  <si>
    <t>Top Rail 200 ( 20' )- Clear Anodized</t>
  </si>
  <si>
    <t>TR200 W</t>
  </si>
  <si>
    <t>Top Rail 200 ( 20' )- White</t>
  </si>
  <si>
    <t>TR375 Blk</t>
  </si>
  <si>
    <t>Square Top Rail ( 20' )- Black</t>
  </si>
  <si>
    <t>TR375 Br</t>
  </si>
  <si>
    <t>Square Top Rail ( 20' )- Bronze</t>
  </si>
  <si>
    <t>TR375 Cl</t>
  </si>
  <si>
    <t>Square Top Rail ( 20' )- Clear Anodized</t>
  </si>
  <si>
    <t>TR375 W</t>
  </si>
  <si>
    <t>Square Top Rail ( 20' )- White</t>
  </si>
  <si>
    <t>TR400 Blk</t>
  </si>
  <si>
    <t>Top Rail 400 ( 20' )- Black</t>
  </si>
  <si>
    <t>TR400 Br</t>
  </si>
  <si>
    <t>Top Rail 400 ( 20' )- Bronze</t>
  </si>
  <si>
    <t>TR400 Cl</t>
  </si>
  <si>
    <t>Top Rail 400 ( 20' )- Clear Anodized</t>
  </si>
  <si>
    <t>TR400 W</t>
  </si>
  <si>
    <t>Top Rail 400 ( 20' )- White</t>
  </si>
  <si>
    <t>TR999 Blk</t>
  </si>
  <si>
    <t>Top Rail 999 -( 20' )- Black</t>
  </si>
  <si>
    <t>TR999 Br</t>
  </si>
  <si>
    <t>Top Rail 999 -( 20' )- Bronze</t>
  </si>
  <si>
    <t>TR999 Cl</t>
  </si>
  <si>
    <t>Top Rail 999 -( 20' )- Clear Anodized</t>
  </si>
  <si>
    <t>TR999 W</t>
  </si>
  <si>
    <t>Top Rail 999 -( 20' )- White</t>
  </si>
  <si>
    <t>Universal Drive Rivet 1/4 x 1/2</t>
  </si>
  <si>
    <t>1/4 x 1/2 Universal Driver Rivet - Aluminum..</t>
  </si>
  <si>
    <t>W805X100- SS</t>
  </si>
  <si>
    <t>WMP- W</t>
  </si>
  <si>
    <t>Wall Mount Plate-White</t>
  </si>
  <si>
    <t>FMPBS 1- Blk</t>
  </si>
  <si>
    <t>Intermediate Fascia Mount Bracket 6", with bottom plate, six screws- Black</t>
  </si>
  <si>
    <t>FMPBS 1- Br</t>
  </si>
  <si>
    <t>Intermediate Fascia Mount Bracket 6", bottom plate, six screws- Bronze</t>
  </si>
  <si>
    <t>FMPBS 1- Cl</t>
  </si>
  <si>
    <t>Intermediate Fascia Mount Bracket 6", bottom plate, six screws Clear Anodized</t>
  </si>
  <si>
    <t>FMPBS 1- W</t>
  </si>
  <si>
    <t>Intermediate Fascia Mount Bracket 6", with bottom plate, six screws- White</t>
  </si>
  <si>
    <t>FMPBS 2- Blk</t>
  </si>
  <si>
    <t>Outside Corner Fascia Mount Bracket 6"- with bottom plate &amp; six screws- Black</t>
  </si>
  <si>
    <t>FMPBS 2- Brn</t>
  </si>
  <si>
    <t>Outside Corner Fascia Mount Bracket 6"- with bottom plate &amp; six screws- Bronze</t>
  </si>
  <si>
    <t>FMPBS 2- Cl</t>
  </si>
  <si>
    <t>Outside Corner Fascia Mount Bracket 6"- with bottom plate &amp; six screws- Clear Anodized</t>
  </si>
  <si>
    <t>FMPBS 2- W</t>
  </si>
  <si>
    <t>Outside Corner Fascia Mount Bracket 6"- with bottom plate &amp; six screws- White</t>
  </si>
  <si>
    <t>FMPBS3- Blk</t>
  </si>
  <si>
    <t>Inside Corner Fascia Mount Bracket 6"- with bottom plate and six screws- Black</t>
  </si>
  <si>
    <t>FMPBS3- Brn</t>
  </si>
  <si>
    <t>Inside Corner Fascia Mount Bracket 6"- with bottom plate and six screws- Bronze</t>
  </si>
  <si>
    <t>FMPBS3- Cl</t>
  </si>
  <si>
    <t>Inside Corner Fascia Mount Bracket 6"- with bottom plate and six screws- Clear Anodized</t>
  </si>
  <si>
    <t>FMPBS3- W</t>
  </si>
  <si>
    <t>Inside Corner Fascia Mount Bracket 6"- with bottom plate and six screws- White</t>
  </si>
  <si>
    <t>Foam Block Outs for Concrete pour.</t>
  </si>
  <si>
    <t>Internal 135° Splice Corner</t>
  </si>
  <si>
    <t>INT-CC</t>
  </si>
  <si>
    <t>Internal Custom Corner</t>
  </si>
  <si>
    <t>Mid-Span Picket</t>
  </si>
  <si>
    <t>Mid-Span Picket used when posts are more then 4ft apart.</t>
  </si>
  <si>
    <t>Pyramid Post Cap- Clear Anodized</t>
  </si>
  <si>
    <t>RCB1</t>
  </si>
  <si>
    <t>Rail Connecting Block for Top &amp; Bottom Rails (1")</t>
  </si>
  <si>
    <t>RCB1-12"</t>
  </si>
  <si>
    <t>100 Rail Connecting Block (12")</t>
  </si>
  <si>
    <t>RCB2</t>
  </si>
  <si>
    <t>Rail Connecting Block for BR 200 (1")</t>
  </si>
  <si>
    <t>RCB2-12"</t>
  </si>
  <si>
    <t>200 Rail Connecting Block (12")</t>
  </si>
  <si>
    <t>SP41- Blk</t>
  </si>
  <si>
    <t>Series 100 Picket Spacer (4")- Black</t>
  </si>
  <si>
    <t>SP41- Br</t>
  </si>
  <si>
    <t>Series 100 Picket Spacer (4")- Bronze</t>
  </si>
  <si>
    <t>SP41- Cl</t>
  </si>
  <si>
    <t>Series 100 Picket Spacer (4")- Clear Anodized</t>
  </si>
  <si>
    <t>SP41- W</t>
  </si>
  <si>
    <t>Series 100 Picket Spacer (4")- White</t>
  </si>
  <si>
    <t>SP42- Blk</t>
  </si>
  <si>
    <t>Series 200 Picket Spacer (4")- Black</t>
  </si>
  <si>
    <t>SP42- Br</t>
  </si>
  <si>
    <t>Series 200 Picket Spacer (4")- Bronze</t>
  </si>
  <si>
    <t>SP42- Cl</t>
  </si>
  <si>
    <t>Series 200 Picket Spacer (4")- Clear Anodized</t>
  </si>
  <si>
    <t>SP42- W</t>
  </si>
  <si>
    <t>Series 200 Picket Spacer (4")- White</t>
  </si>
  <si>
    <t>1/4" Bronze Tempered Glass per Sq Ft</t>
  </si>
  <si>
    <t>1/4" Clear Tempered Glass per Sq Ft</t>
  </si>
  <si>
    <t>CTG - CL 1/2</t>
  </si>
  <si>
    <t>1/2" Clear Tempered Glass per Sq Ft</t>
  </si>
  <si>
    <t>CTG - CL 3/8</t>
  </si>
  <si>
    <t>3/8" Clear Tempered Glass per Sq Ft</t>
  </si>
  <si>
    <t>1/4" Gray Tempered Glass Per Sq Ft</t>
  </si>
  <si>
    <t>Polished Edges 1/4" Glass, per inch</t>
  </si>
  <si>
    <t>CTG - PE 1/2</t>
  </si>
  <si>
    <t>Polished Edges 1/2" Glass, per inch</t>
  </si>
  <si>
    <t>CTG - PE 3/8</t>
  </si>
  <si>
    <t>Polished Edges 3/8" Glass, per inch</t>
  </si>
  <si>
    <t>1/4" Satin Tempered Glass per Sq Ft</t>
  </si>
  <si>
    <t>Length</t>
  </si>
  <si>
    <t>Area</t>
  </si>
  <si>
    <t>End Plates</t>
  </si>
  <si>
    <t>In Line</t>
  </si>
  <si>
    <t>End</t>
  </si>
  <si>
    <t># Posts</t>
  </si>
  <si>
    <t>Total</t>
  </si>
  <si>
    <t>Vinyl</t>
  </si>
  <si>
    <t>3/8" x 3" SS Hex Cap Screw</t>
  </si>
  <si>
    <t>3/8" x 4" SS Lag Screw</t>
  </si>
  <si>
    <t>3/8" x 4" Stainless Steel Lag Screw</t>
  </si>
  <si>
    <t>Base Shoe- 12'</t>
  </si>
  <si>
    <t>Handrail Shoe 6063-T52, 12', mill finish</t>
  </si>
  <si>
    <t>Base shoe EP</t>
  </si>
  <si>
    <t>Glass base shoe end plate</t>
  </si>
  <si>
    <t>BR650 -Blk</t>
  </si>
  <si>
    <t>Series 650 Bottom Rail (20.00')- Black..(6005A-T61)</t>
  </si>
  <si>
    <t>PC1-135°-Mil</t>
  </si>
  <si>
    <t>PEU- CP 18 3/4</t>
  </si>
  <si>
    <t>No Line Post Extrusion (18' 9")-  Cool Parchment, AT-0157</t>
  </si>
  <si>
    <t>PEU-3x3 Cl 15.5</t>
  </si>
  <si>
    <t>3"x3" Post Extrusion (15' 6")- Clear Anodized</t>
  </si>
  <si>
    <t>PEU650- Cl</t>
  </si>
  <si>
    <t>No Line Post Extrusion 650 (16' 6")-C14 Clear Class I-4 Min E (6005A-T61)</t>
  </si>
  <si>
    <t>Titen HD 1/4" x 4" Zinc / HDG</t>
  </si>
  <si>
    <t>Titen HD 1/4 x 4 Zinc / HDG</t>
  </si>
  <si>
    <t>Titen HD 3/8 x 4" SS</t>
  </si>
  <si>
    <t>Titen HD 3/8 x 4 316 Stainless</t>
  </si>
  <si>
    <t>TR225 Cl</t>
  </si>
  <si>
    <t>Top Rail 225 ( 20' )- Clear Anodized</t>
  </si>
  <si>
    <t>TR670 -Blk</t>
  </si>
  <si>
    <t>Series 670 Top Rail (20.00')- Black..(6005A-T61)</t>
  </si>
  <si>
    <t>TR &amp; BR Screws- #10 x 3/4" Phillips Pan SDS - Stainless Steel- One screw</t>
  </si>
  <si>
    <t>FP45- Blk</t>
  </si>
  <si>
    <t>45" Fascia Post- Black</t>
  </si>
  <si>
    <t>FP45- Brn</t>
  </si>
  <si>
    <t>45" Fascia Post- Bronze</t>
  </si>
  <si>
    <t>FP45- Cl</t>
  </si>
  <si>
    <t>45" Fascia Post- Clear Anodized</t>
  </si>
  <si>
    <t>FP45- W</t>
  </si>
  <si>
    <t>45" Fascia Post- White</t>
  </si>
  <si>
    <t>FP56- Blk</t>
  </si>
  <si>
    <t>56" Fascia Post- Black</t>
  </si>
  <si>
    <t>FP56- Brn</t>
  </si>
  <si>
    <t>56" Fascia Post- Bronze</t>
  </si>
  <si>
    <t>FP56- Cl</t>
  </si>
  <si>
    <t>56" Fascia Post- Clear Anodized</t>
  </si>
  <si>
    <t>FP56- W</t>
  </si>
  <si>
    <t>56" Fascia Post- White</t>
  </si>
  <si>
    <t>INT - 135°</t>
  </si>
  <si>
    <t>PC1-Cl</t>
  </si>
  <si>
    <t>Kwixset Grout</t>
  </si>
  <si>
    <t>Bottom Rail</t>
  </si>
  <si>
    <t>End Plate</t>
  </si>
  <si>
    <t>Stainless Steel</t>
  </si>
  <si>
    <t>Category</t>
  </si>
  <si>
    <t>Fastener</t>
  </si>
  <si>
    <t>None</t>
  </si>
  <si>
    <t>Yes</t>
  </si>
  <si>
    <t>No</t>
  </si>
  <si>
    <t>Misc 1</t>
  </si>
  <si>
    <t>Misc 2</t>
  </si>
  <si>
    <t>Misc 3</t>
  </si>
  <si>
    <t>Total LF</t>
  </si>
  <si>
    <t>Extended Cost</t>
  </si>
  <si>
    <t>---Total Posts---</t>
  </si>
  <si>
    <t>Avg Deck Length (Ft)</t>
  </si>
  <si>
    <t># Decks</t>
  </si>
  <si>
    <t>Misc.</t>
  </si>
  <si>
    <t>Custom Color</t>
  </si>
  <si>
    <t>Subtotal</t>
  </si>
  <si>
    <t>Area A</t>
  </si>
  <si>
    <t>Area B</t>
  </si>
  <si>
    <t>Area C</t>
  </si>
  <si>
    <t>Qty (Feet)</t>
  </si>
  <si>
    <t>Unit Count</t>
  </si>
  <si>
    <t>Unit Cost</t>
  </si>
  <si>
    <t>Top Rail EP</t>
  </si>
  <si>
    <t>Bottom Rail EP</t>
  </si>
  <si>
    <t>SS End Plate Screw</t>
  </si>
  <si>
    <t>SF Per Panel</t>
  </si>
  <si>
    <t>Core Hole</t>
  </si>
  <si>
    <t>Picket</t>
  </si>
  <si>
    <t>Glass</t>
  </si>
  <si>
    <t>Cable</t>
  </si>
  <si>
    <t>Other</t>
  </si>
  <si>
    <t>Pickets Needed</t>
  </si>
  <si>
    <t>Infill-Picket</t>
  </si>
  <si>
    <t>Infill-Glass</t>
  </si>
  <si>
    <t>Infill-Cable</t>
  </si>
  <si>
    <t>Infill-Other</t>
  </si>
  <si>
    <t>End Plates-TR</t>
  </si>
  <si>
    <t>End Plates-BR</t>
  </si>
  <si>
    <t>Misc 4</t>
  </si>
  <si>
    <t>Top Rail 900 ( 20')- Duracron 100</t>
  </si>
  <si>
    <t>0</t>
  </si>
  <si>
    <t>Additional(Manual Entry)</t>
  </si>
  <si>
    <t>Needed Area A</t>
  </si>
  <si>
    <t>Needed Area B</t>
  </si>
  <si>
    <t>Needed Area C</t>
  </si>
  <si>
    <t>Glass W (Inch)</t>
  </si>
  <si>
    <t>Glass H (Inch)</t>
  </si>
  <si>
    <t>Custom Color? Yes/No</t>
  </si>
  <si>
    <t>Top Rail End Plates/Deck</t>
  </si>
  <si>
    <t>BottomRail End Plates/Deck</t>
  </si>
  <si>
    <t>Top Rail End Plates</t>
  </si>
  <si>
    <t>Bottom Rail End Plates</t>
  </si>
  <si>
    <t>Project Notes:</t>
  </si>
  <si>
    <t>CTG - CL 1/4</t>
  </si>
  <si>
    <t>CTG - BRN 1/4</t>
  </si>
  <si>
    <t>CTG - GR 1/4</t>
  </si>
  <si>
    <t>CTG - PE 1/4</t>
  </si>
  <si>
    <t>CTG - SE 1/4</t>
  </si>
  <si>
    <t>CTG - STN 1/4</t>
  </si>
  <si>
    <t>Selection</t>
  </si>
  <si>
    <t>Estimated Cost</t>
  </si>
  <si>
    <t>Total Cost/LF</t>
  </si>
  <si>
    <t>Width</t>
  </si>
  <si>
    <t>Rails</t>
  </si>
  <si>
    <t>UOM</t>
  </si>
  <si>
    <t>LF</t>
  </si>
  <si>
    <t>Each</t>
  </si>
  <si>
    <t>Custom Color Surcharge</t>
  </si>
  <si>
    <t>LF, SQ FT, IN</t>
  </si>
  <si>
    <t>Qty(s)</t>
  </si>
  <si>
    <t>Install Year</t>
  </si>
  <si>
    <t>Future Cost Increase %</t>
  </si>
  <si>
    <t>Months Until Install</t>
  </si>
  <si>
    <t>Grand Total</t>
  </si>
  <si>
    <t>Project Name:</t>
  </si>
  <si>
    <t>Customer Name:</t>
  </si>
  <si>
    <t>Estimate Due Date:</t>
  </si>
  <si>
    <t>Additional Cushion</t>
  </si>
  <si>
    <t>Future Price Increase</t>
  </si>
  <si>
    <t>Fastener 2</t>
  </si>
  <si>
    <t>Install Month (Number)</t>
  </si>
  <si>
    <t>Glass-Polish</t>
  </si>
  <si>
    <t>Misc Small Parts</t>
  </si>
  <si>
    <t>Cushion Qty(s)</t>
  </si>
  <si>
    <t>Adjusted Cost</t>
  </si>
  <si>
    <t>Coushion Qty</t>
  </si>
  <si>
    <t>CoushionUnit Count</t>
  </si>
  <si>
    <t>Adjusted Estimated Cost</t>
  </si>
  <si>
    <t># of Glass Panels</t>
  </si>
  <si>
    <t>TR670 -Cl</t>
  </si>
  <si>
    <t>Series 670 Top Rail (20.00')- C14 Clear Class I-4 Min E (6005A-T61)</t>
  </si>
  <si>
    <t>PEU650- Blk</t>
  </si>
  <si>
    <t>No Line Post Extrusion 650, (16' 6")-Black (6005A-T61)</t>
  </si>
  <si>
    <t>225 EP Extended</t>
  </si>
  <si>
    <t>Extended End Plate for TR225</t>
  </si>
  <si>
    <t>3"X3"X3" Angle Bracket</t>
  </si>
  <si>
    <t>3"X3"x5" Angle Bracket</t>
  </si>
  <si>
    <t>3"X3"x5" 1/4"   Angle Bracket - 3 holes, 2 @ .397", 1 @ .5"</t>
  </si>
  <si>
    <t>PT1-360- Blk</t>
  </si>
  <si>
    <t>PT1-360- Br</t>
  </si>
  <si>
    <t>PT1-360- Cl</t>
  </si>
  <si>
    <t>PT1-360- W</t>
  </si>
  <si>
    <t>5/8" X 5/8" Picket - 30 1/8" - For 36" High Top Rails- Black</t>
  </si>
  <si>
    <t>5/8" X 5/8" Picket - 30 1/8" - For 36" High Top Rails- Bronze</t>
  </si>
  <si>
    <t>5/8" X 5/8" Picket - 30 1/8" - For 36" High Top Rails- Clear Anodized</t>
  </si>
  <si>
    <t>5/8" X 5/8" Picket - 30 1/8" - For 36" High Top Rails- White</t>
  </si>
  <si>
    <t>PT1-420- Blk</t>
  </si>
  <si>
    <t>PT1-420- Br</t>
  </si>
  <si>
    <t>PT1-420- Cl</t>
  </si>
  <si>
    <t>PT1-420- W</t>
  </si>
  <si>
    <t>5/8" X 5/8" Picket - 36 1/8"-  For 42" High Top Rails- Black</t>
  </si>
  <si>
    <t>5/8" X 5/8" Picket - 36 1/8"-  For 42" High Top Rails- Bronze</t>
  </si>
  <si>
    <t>5/8" X 5/8" Picket - 36 1/8"-  For 42" High Top Rails- Clear Anodized</t>
  </si>
  <si>
    <t>5/8" X 5/8" Picket - 36 1/8"-  For 42" High Top Rails- White</t>
  </si>
  <si>
    <t>Rail Type</t>
  </si>
  <si>
    <t>Profile</t>
  </si>
  <si>
    <t>Extrusion Length</t>
  </si>
  <si>
    <t>Number of Decks</t>
  </si>
  <si>
    <t>Rail Runs</t>
  </si>
  <si>
    <t>Ft Needed</t>
  </si>
  <si>
    <t># of  Extrusions</t>
  </si>
  <si>
    <t>Drop</t>
  </si>
  <si>
    <t>Usable Drop</t>
  </si>
  <si>
    <t>Net Drop</t>
  </si>
  <si>
    <t>#1</t>
  </si>
  <si>
    <t>N/A</t>
  </si>
  <si>
    <t>#2</t>
  </si>
  <si>
    <t>#3</t>
  </si>
  <si>
    <t>#4</t>
  </si>
  <si>
    <t>#5</t>
  </si>
  <si>
    <t>Drop Per Extrusion</t>
  </si>
  <si>
    <t>PEU500, Blk</t>
  </si>
  <si>
    <t>PEU500, Clr</t>
  </si>
  <si>
    <t>Series 500 Slotted Post Extrusion, Black, (6005A-T61), 18.50'</t>
  </si>
  <si>
    <t>Series 500 Slotted Post Extrusion  (6005A-T61), C14 Clear Class I-4 Min E, 18.50'</t>
  </si>
  <si>
    <t>P361- Blk U</t>
  </si>
  <si>
    <t>P361- Br U</t>
  </si>
  <si>
    <t>P361- Cl U</t>
  </si>
  <si>
    <t>P361- W U</t>
  </si>
  <si>
    <t>P361-135° - Blk</t>
  </si>
  <si>
    <t>P361-135° - BR</t>
  </si>
  <si>
    <t>P361-135° - CL</t>
  </si>
  <si>
    <t>P361-135° - White</t>
  </si>
  <si>
    <t>P3613- Blk</t>
  </si>
  <si>
    <t>P3613- Br</t>
  </si>
  <si>
    <t>P3613- W</t>
  </si>
  <si>
    <t>P362- Blk U</t>
  </si>
  <si>
    <t>P362- Br U</t>
  </si>
  <si>
    <t>P362- Cl U</t>
  </si>
  <si>
    <t>P362- W U</t>
  </si>
  <si>
    <t>P362 - 135° Blk</t>
  </si>
  <si>
    <t>P362 - 135° Br</t>
  </si>
  <si>
    <t>P362 - 135° Cl</t>
  </si>
  <si>
    <t>P362 - 135° W</t>
  </si>
  <si>
    <t>P3623- Blk U</t>
  </si>
  <si>
    <t>P3623- Br U</t>
  </si>
  <si>
    <t>P3623- Cl U</t>
  </si>
  <si>
    <t>P3623- W U</t>
  </si>
  <si>
    <t>P421- Blk U</t>
  </si>
  <si>
    <t>P421- Br U</t>
  </si>
  <si>
    <t>P421- Cl U</t>
  </si>
  <si>
    <t>P421- W U</t>
  </si>
  <si>
    <t>P421-135°-Blk</t>
  </si>
  <si>
    <t>P421-135°-Br</t>
  </si>
  <si>
    <t>P421-135° - Cl</t>
  </si>
  <si>
    <t>P421-135° - W</t>
  </si>
  <si>
    <t>P4213- Blk</t>
  </si>
  <si>
    <t>P4213- Br</t>
  </si>
  <si>
    <t>P4213- Cl</t>
  </si>
  <si>
    <t>P4213- W</t>
  </si>
  <si>
    <t>P422- Blk U</t>
  </si>
  <si>
    <t>P422- Br U</t>
  </si>
  <si>
    <t>P422- Cl U</t>
  </si>
  <si>
    <t>P422- W U</t>
  </si>
  <si>
    <t>P422-135°- Blk</t>
  </si>
  <si>
    <t>P422-135°- Br</t>
  </si>
  <si>
    <t>P422-135°-Cl</t>
  </si>
  <si>
    <t>P422-135°-W</t>
  </si>
  <si>
    <t>P4223- Blk</t>
  </si>
  <si>
    <t>P4223- Br</t>
  </si>
  <si>
    <t>P4223- Cl U</t>
  </si>
  <si>
    <t>P4223- W</t>
  </si>
  <si>
    <t>P650-362- Blk U</t>
  </si>
  <si>
    <t>P650-362- Clr</t>
  </si>
  <si>
    <t>Post-36" with 5" x 5" Base Plate  (36 5/8")- Black Unlined</t>
  </si>
  <si>
    <t>Post-36" with 5" x 5" Base Plate  (36 5/8")- Bronze Unlined</t>
  </si>
  <si>
    <t>Post-36" with 5" x 5" Base Plate (36 5/8")- Clear Anodized</t>
  </si>
  <si>
    <t>Post-36" with 5" x 5" Base Plate  (36 5/8")- White Unlined</t>
  </si>
  <si>
    <t>135° Post-36" with 5" x 5" Base Plate  (36 5/8")- Black</t>
  </si>
  <si>
    <t>135° Post-36" with 5" x 5" Base Plate  (36 5/8")- Bronze</t>
  </si>
  <si>
    <t>135° Post-36" with 5" x 5" Base Plate  (36 5/8")- Clear Anodized</t>
  </si>
  <si>
    <t>135° Post-36" with 5" x 5" Base Plate  (36 5/8")- White</t>
  </si>
  <si>
    <t>Post-36" with 3" x 5" Base Plate  (36 5/8")- Black</t>
  </si>
  <si>
    <t>Post-36" with 3" x 5" Base Plate  (36 5/8")- Bronze</t>
  </si>
  <si>
    <t>Post-36" with 3" x 5" Base Plate  (36 5/8")- White</t>
  </si>
  <si>
    <t>Post- 36" with 5" x 5" Base Plate (34 5/8")- Black Unlined</t>
  </si>
  <si>
    <t>Post- 36" with 5" x 5" Base Plate (34 5/8")- Bronze Unlined</t>
  </si>
  <si>
    <t>Post- 36" with 5" x 5" Base Plate (34 5/8")- Clear Anodized Unlined</t>
  </si>
  <si>
    <t>Post- 36" with 5" x 5" Base Plate (34 5/8")- White Unlined</t>
  </si>
  <si>
    <t>135° Post- 36" with 5" x 5" Base Plate (34 5/8")- Black</t>
  </si>
  <si>
    <t>135° Post- 36" with 5" x 5" Base Plate (34 5/8")- Bronze</t>
  </si>
  <si>
    <t>135° Post- 36" with 5" x 5" Base Plate (34 5/8")- Clear Anodized</t>
  </si>
  <si>
    <t>135° Post- 36" with 5" x 5" Base Plate (34 5/8")- White</t>
  </si>
  <si>
    <t>Post- 36" with 3" x 5" Base Plate (34 5/8")- Black</t>
  </si>
  <si>
    <t>Post- 36" with 3" x 5" Base Plate (34 5/8")- Bronze</t>
  </si>
  <si>
    <t>Post- 36" with 3" x 5" Base Plate (34 5/8")- Clear Anodized</t>
  </si>
  <si>
    <t>Post- 36" with 3" x 5" Base Plate (34 5/8")- White</t>
  </si>
  <si>
    <t>Post-42" with 5" x 5"  Base Plate  (42 5/8")- Black Unlined</t>
  </si>
  <si>
    <t>Post-42" with 5" x 5" Base Plate  (42 5/8")- Bronze Unlined</t>
  </si>
  <si>
    <t>Post-42" with 5" x 5" Base Plate  (42 5/8")- Clear Anodized</t>
  </si>
  <si>
    <t>Post-42" with 5" x 5" Base Plate  (42 5/8")- White Unlined</t>
  </si>
  <si>
    <t>135° Post-42" with 5" x 5" Base Plate  (42 5/8")- Black</t>
  </si>
  <si>
    <t>135° Post-42" with 5" x 5" Base Plate  (42 5/8")- Bronze</t>
  </si>
  <si>
    <t>135° Post-42" with 5" x 5" Base Plate  (42 5/8")- Clear Anodized</t>
  </si>
  <si>
    <t>135° Post-42" with 5" x 5" Base Plate  (42 5/8")- White</t>
  </si>
  <si>
    <t>Post-42" with 3" x 5"  Base Plate  (42 5/8")- Black</t>
  </si>
  <si>
    <t>Post-42" with 3" x 5" Base Plate  (42 5/8")- Bronze</t>
  </si>
  <si>
    <t>Post-42" with 3" x 5"  Base Plate  (42 5/8")- Anodized</t>
  </si>
  <si>
    <t>Post-42" with 3" x 5" Base Plate  (42 5/8")- White</t>
  </si>
  <si>
    <t>Post- 42" with 5" x 5" Base Plate (40 5/8")- Black Unlined</t>
  </si>
  <si>
    <t>Post- 42" with 5" x 5" Base Plate (40 5/8")- Bronze Unlined</t>
  </si>
  <si>
    <t>Post- 42" with 5" x 5" Base Plate (40 5/8")- Clear Anodized</t>
  </si>
  <si>
    <t>Post- 42" with 5" x 5" Base Plate (40 5/8")- White Unlined</t>
  </si>
  <si>
    <t>135°  Post- 42" with 5" x 5" Base Plate (40 5/8")- Black</t>
  </si>
  <si>
    <t>135°  Post- 42" with 5" x 5" Base Plate (40 5/8")- Bronze</t>
  </si>
  <si>
    <t>135°  Post- 42" with 5" x 5" Base Plate (40 5/8")- Clear Anodized</t>
  </si>
  <si>
    <t>135°  Post- 42" with 5" x 5" Base Plate (40 5/8")- White</t>
  </si>
  <si>
    <t>Post- 42" with 3" x 5" Base Plate (40 5/8")- Black</t>
  </si>
  <si>
    <t>Post- 42" with 3" x 5" Base Plate (40 5/8")- Bronze</t>
  </si>
  <si>
    <t>Post- 42" with 3" x 5" Base Plate (40 5/8")- Clear Anodized</t>
  </si>
  <si>
    <t>Post- 42" with 3" x 5" Base Plate (40 5/8")- White</t>
  </si>
  <si>
    <t>Slim Post- 36" with Base Plate (34 5/8")- Black Unlined</t>
  </si>
  <si>
    <t>Slim Post- 36" with Base Plate (34 5/8")- Clear Anodized</t>
  </si>
  <si>
    <t>RCBE5</t>
  </si>
  <si>
    <t>Rail Connecting Block Extrusion 500 Wide (10') Mill (6061-T6)</t>
  </si>
  <si>
    <r>
      <t>Cushion %</t>
    </r>
    <r>
      <rPr>
        <b/>
        <sz val="9"/>
        <color theme="1"/>
        <rFont val="Times New Roman"/>
        <family val="1"/>
      </rPr>
      <t xml:space="preserve"> Rails</t>
    </r>
  </si>
  <si>
    <r>
      <t>Cushion %</t>
    </r>
    <r>
      <rPr>
        <b/>
        <sz val="9"/>
        <color theme="1"/>
        <rFont val="Times New Roman"/>
        <family val="1"/>
      </rPr>
      <t xml:space="preserve"> Posts / Pickets</t>
    </r>
  </si>
  <si>
    <t>BR500-Blk</t>
  </si>
  <si>
    <t>BR500-Brn</t>
  </si>
  <si>
    <t>BR500-Cl</t>
  </si>
  <si>
    <t>BR500-Wht</t>
  </si>
  <si>
    <t>Series 500 Bottom Rail Wide (20')- Black (6005A-T61)</t>
  </si>
  <si>
    <t>Series 500 Bottom Rail Wide (20')- Bronze (6005A-T61)</t>
  </si>
  <si>
    <t>Series 500 Bottom Rail Wide (20')- Clear Anodized (6005A-T61)</t>
  </si>
  <si>
    <t>Series 500 Bottom Rail Wide (20')- White (6005A-T61)</t>
  </si>
  <si>
    <t>% of Total Cost</t>
  </si>
  <si>
    <t>Drop % Per Deck</t>
  </si>
  <si>
    <t>CTLG - 1/2</t>
  </si>
  <si>
    <t>CLEAR TEMPERED/LAMINATED GLASS 1/2"</t>
  </si>
  <si>
    <t>CTLG - 1/4</t>
  </si>
  <si>
    <t>CLEAR TEMPERED/LAMINATED GLASS 1/4"</t>
  </si>
  <si>
    <t>CTLG - 3/8"</t>
  </si>
  <si>
    <t>CLEAR TEMPERED/LAMINATED GLASS 3/8""</t>
  </si>
  <si>
    <t>CTLG - 9/16</t>
  </si>
  <si>
    <t>CLEAR TEMPERED/LAMINATED GLASS 9/16"</t>
  </si>
  <si>
    <t>CTLG - PE 1/2</t>
  </si>
  <si>
    <t>CLEAR TEMPERED LAMINATED GLASS  1/2" POLISHED EDGES, PER INCH</t>
  </si>
  <si>
    <t>CTLG - PE 1/4</t>
  </si>
  <si>
    <t>CLEAR TEMPERED LAMINATED GLASS  1/4" POLISHED EDGES, PER INCH</t>
  </si>
  <si>
    <t>CTLG - PE 3/8</t>
  </si>
  <si>
    <t>CLEAR TEMPERED LAMINATED GLASS  3/8" POLISHED EDGES, PER INCH</t>
  </si>
  <si>
    <t>CTLG - PE 9/16</t>
  </si>
  <si>
    <t>CLEAR TEMPERED LAMINATED GLASS 9/16 POLISHED EDGES</t>
  </si>
  <si>
    <t>BP Stairs, Slotted - Black</t>
  </si>
  <si>
    <t>4 Screw Chase Base Plate For Stairs - black</t>
  </si>
  <si>
    <t>BP Stairs, Slotted - Bronze</t>
  </si>
  <si>
    <t>4 Screw Chase Base Plate For Stairs - bronze</t>
  </si>
  <si>
    <t>Stanchion 1.5 x 2" x 12"</t>
  </si>
  <si>
    <t>Saw cut 1 ½" x 2" x 12" length flat bar with 1" -hole drilled into it widthwise. (used inside of posts to strengthen them.</t>
  </si>
  <si>
    <t>3/8 x 3-1/2" SS Hex Cap Bolt</t>
  </si>
  <si>
    <t>3/8 x 3" SS Hex Cap Bolt</t>
  </si>
  <si>
    <t>3/8 x 4-1/2" SS Hex Cap Bolt</t>
  </si>
  <si>
    <t>3/8 x 4" SS Hex Cap Bolt</t>
  </si>
  <si>
    <t>3/8 x 5" SS Hex Cap Bolt</t>
  </si>
  <si>
    <t>3/8" x 9" SS Lag Screw</t>
  </si>
  <si>
    <t>3/8" x 9" Stainless Steel Lag Screw</t>
  </si>
  <si>
    <t>Holes Drilled</t>
  </si>
  <si>
    <t xml:space="preserve">Holes Drilled for Cable </t>
  </si>
  <si>
    <t># of Cable Breaks</t>
  </si>
  <si>
    <t>CTLG - 13/16</t>
  </si>
  <si>
    <t>CLEAR TEMPERED/LAMINATED GLASS 13/16"</t>
  </si>
  <si>
    <t>CTLG - PE 13/16</t>
  </si>
  <si>
    <t>CLEAR TEMPERED LAMINATED GLASS 13/16 POLISHED EDGES</t>
  </si>
  <si>
    <t>Posts Extrusions-End</t>
  </si>
  <si>
    <t>Posts Extrusions-In Line</t>
  </si>
  <si>
    <t>Posts Extrusions-Corner</t>
  </si>
  <si>
    <t>Assembled Posts-End</t>
  </si>
  <si>
    <t>Assembled Posts-In Line</t>
  </si>
  <si>
    <t>Splice Series 200</t>
  </si>
  <si>
    <t>Flat Straight Splice</t>
  </si>
  <si>
    <t>Splice Series 225</t>
  </si>
  <si>
    <t>Flat splice, deburred and punched for identification</t>
  </si>
  <si>
    <t>Outside Corner</t>
  </si>
  <si>
    <t>Inside Corner</t>
  </si>
  <si>
    <t>Assembled Posts-Inside Corner</t>
  </si>
  <si>
    <t>Assembled Posts-Outside Corner</t>
  </si>
  <si>
    <t>Substrate</t>
  </si>
  <si>
    <t>TOTALS</t>
  </si>
  <si>
    <t>QB Estimate(s)</t>
  </si>
  <si>
    <t>Coushion Unit Count</t>
  </si>
  <si>
    <t>Avg. Space Between Posts (Inch)</t>
  </si>
  <si>
    <t>Post Height If Custom (Inch)</t>
  </si>
  <si>
    <t>Picket Height If Custom (Inch)</t>
  </si>
  <si>
    <t># of Cables per Run</t>
  </si>
  <si>
    <t>Indicate Wage Basis &gt;&gt;&gt;</t>
  </si>
  <si>
    <t>Wage Basis Options</t>
  </si>
  <si>
    <t>Prevailing WA</t>
  </si>
  <si>
    <t>Prevailing OR</t>
  </si>
  <si>
    <t>PRO</t>
  </si>
  <si>
    <t>Labor rate inflation</t>
  </si>
  <si>
    <t>19-24 months</t>
  </si>
  <si>
    <t>13-18 months</t>
  </si>
  <si>
    <t>7-12 months</t>
  </si>
  <si>
    <t>0-6 months</t>
  </si>
  <si>
    <t>Install Timing:</t>
  </si>
  <si>
    <t># of Work Days</t>
  </si>
  <si>
    <t>Labor &amp; Direct Burden Cost/Hour</t>
  </si>
  <si>
    <t># of Installers</t>
  </si>
  <si>
    <t>Productive Hours per day</t>
  </si>
  <si>
    <t>Labor Hours:</t>
  </si>
  <si>
    <t># LF per deck</t>
  </si>
  <si>
    <t>Areas</t>
  </si>
  <si>
    <t>Estimate number</t>
  </si>
  <si>
    <t>Project:</t>
  </si>
  <si>
    <t>% Profit Margin</t>
  </si>
  <si>
    <t>$ Profit</t>
  </si>
  <si>
    <t>Total Expenses</t>
  </si>
  <si>
    <t>Total Indirects</t>
  </si>
  <si>
    <t>Total Directs</t>
  </si>
  <si>
    <t>Other Directs</t>
  </si>
  <si>
    <t>of the Project Price Estimate</t>
  </si>
  <si>
    <t>Sales Commission</t>
  </si>
  <si>
    <t>of the COGS &amp; Key Supplies</t>
  </si>
  <si>
    <t>Other Supplies</t>
  </si>
  <si>
    <t>COGS &amp; Key Supplies</t>
  </si>
  <si>
    <t>From the Labor tab</t>
  </si>
  <si>
    <t>Project Price Estimate &gt;&gt;</t>
  </si>
  <si>
    <t>601+</t>
  </si>
  <si>
    <t>501-600</t>
  </si>
  <si>
    <t>401-500</t>
  </si>
  <si>
    <t>301-400</t>
  </si>
  <si>
    <t>251-300</t>
  </si>
  <si>
    <t>201-250</t>
  </si>
  <si>
    <t>151-200</t>
  </si>
  <si>
    <t>100-150</t>
  </si>
  <si>
    <t>76-100</t>
  </si>
  <si>
    <t>26-75</t>
  </si>
  <si>
    <t>0-25</t>
  </si>
  <si>
    <t>Budgeted $</t>
  </si>
  <si>
    <t>% of Wages, DB</t>
  </si>
  <si>
    <t>Wages &amp; DB</t>
  </si>
  <si>
    <t>Avg of Sales Range</t>
  </si>
  <si>
    <t>Expense</t>
  </si>
  <si>
    <t>High</t>
  </si>
  <si>
    <t>Low</t>
  </si>
  <si>
    <t>------------X $1,000-------------</t>
  </si>
  <si>
    <t>Wages &amp; Direct Burden</t>
  </si>
  <si>
    <t>no sales comm in the $</t>
  </si>
  <si>
    <t>Indirect as a % of direct expense</t>
  </si>
  <si>
    <t>Gross Up to Sales</t>
  </si>
  <si>
    <t>Note: as of 1/1/2019</t>
  </si>
  <si>
    <t>Adj Margin</t>
  </si>
  <si>
    <t>Sale Comm %</t>
  </si>
  <si>
    <t>Profit Margin</t>
  </si>
  <si>
    <t>PRO Fringe</t>
  </si>
  <si>
    <t>Direct Burden</t>
  </si>
  <si>
    <t>Wage</t>
  </si>
  <si>
    <t>WA</t>
  </si>
  <si>
    <t>OR</t>
  </si>
  <si>
    <t>Vanc, WA</t>
  </si>
  <si>
    <t>Port, OR</t>
  </si>
  <si>
    <t>Wages</t>
  </si>
  <si>
    <t>Installer Rate:</t>
  </si>
  <si>
    <t>Clark Co.</t>
  </si>
  <si>
    <t>Tri- County</t>
  </si>
  <si>
    <t xml:space="preserve">    Prevailing Wages</t>
  </si>
  <si>
    <t xml:space="preserve">      PRO Adjusted</t>
  </si>
  <si>
    <t>Carpenters</t>
  </si>
  <si>
    <t>Wage Basis  &gt;&gt;</t>
  </si>
  <si>
    <t>Rail (Top)</t>
  </si>
  <si>
    <t>Rail (Bottom)</t>
  </si>
  <si>
    <t>Needed Area D</t>
  </si>
  <si>
    <t>D</t>
  </si>
  <si>
    <t>--------------Posts Per Deck--------------</t>
  </si>
  <si>
    <t>Location Name</t>
  </si>
  <si>
    <t>Knife Plates</t>
  </si>
  <si>
    <t>Concrete - Core Hole</t>
  </si>
  <si>
    <t>Concrete - Halfen</t>
  </si>
  <si>
    <t>Mount / Substrate</t>
  </si>
  <si>
    <t>Cushion % Posts / Pickets</t>
  </si>
  <si>
    <t>Holes Drilled - Base Shoe</t>
  </si>
  <si>
    <t>Holes Drilled for Base Shoe</t>
  </si>
  <si>
    <t>Avg Cable Run Length (Ft)</t>
  </si>
  <si>
    <t>Corners</t>
  </si>
  <si>
    <t>Multiplier</t>
  </si>
  <si>
    <t>L Brackets</t>
  </si>
  <si>
    <t>1 Pair of Angle Brackets</t>
  </si>
  <si>
    <t>Bend</t>
  </si>
  <si>
    <t>Eugene / Florence</t>
  </si>
  <si>
    <t>Lincoln City</t>
  </si>
  <si>
    <t>Seaside</t>
  </si>
  <si>
    <t>Location</t>
  </si>
  <si>
    <t>Lodging</t>
  </si>
  <si>
    <t>M&amp;IE</t>
  </si>
  <si>
    <t>Everett / Lynnwood</t>
  </si>
  <si>
    <t>Ocean Shores</t>
  </si>
  <si>
    <t>Olympia / Tumwater</t>
  </si>
  <si>
    <t>Port Angeles / Port Townsend</t>
  </si>
  <si>
    <t>Richland / Pasco</t>
  </si>
  <si>
    <t>Seattle</t>
  </si>
  <si>
    <t>Spokane</t>
  </si>
  <si>
    <t>Tacoma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</si>
  <si>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</si>
  <si>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</si>
  <si>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</si>
  <si>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</si>
  <si>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</si>
  <si>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</si>
  <si>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</si>
  <si>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</si>
  <si>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</si>
  <si>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</si>
  <si>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</si>
  <si>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</si>
  <si>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No Out of Town Expenses</t>
  </si>
  <si>
    <t>TOTAL</t>
  </si>
  <si>
    <t>Total Per Day</t>
  </si>
  <si>
    <t>Hours Per Round Trip</t>
  </si>
  <si>
    <t>Out of Town Travel Hours</t>
  </si>
  <si>
    <t>OVERNIGHT EXPENSES</t>
  </si>
  <si>
    <t>Driving expenses</t>
  </si>
  <si>
    <t>Driving Labor Hours</t>
  </si>
  <si>
    <t>Total Hours per trip</t>
  </si>
  <si>
    <t>Total # of Round Trips</t>
  </si>
  <si>
    <t>TOTAL LABOR HOURS</t>
  </si>
  <si>
    <t>TRAVEL COSTS</t>
  </si>
  <si>
    <t>Oregon - Unspecified</t>
  </si>
  <si>
    <t>Washington - Unspecified</t>
  </si>
  <si>
    <t>GSA RATES</t>
  </si>
  <si>
    <t>3/8 Aluminum Angle Brackets</t>
  </si>
  <si>
    <t>TR650 EC</t>
  </si>
  <si>
    <t>TR650 End Cap</t>
  </si>
  <si>
    <t>TR670 End Plate</t>
  </si>
  <si>
    <t>670EP</t>
  </si>
  <si>
    <t>INT-90° Series 225</t>
  </si>
  <si>
    <t>Internal 90∙ Splice Corner for Series 225 top rail</t>
  </si>
  <si>
    <t>1.9" OD SS Top Rail (Base Shoe)</t>
  </si>
  <si>
    <t>1.9" OD Anodized Top Rail (Base Shoe)</t>
  </si>
  <si>
    <t>Wagner GR2190.4AN Anodized Aluminum Top Rail for 1/2" Glass</t>
  </si>
  <si>
    <t>Wagner GR3190.4 - Stainless Steel Top Rail for 1/2" Glass</t>
  </si>
  <si>
    <t>Extrusion Rounding Variable</t>
  </si>
  <si>
    <t>.5 Standard</t>
  </si>
  <si>
    <t>.25 Standard</t>
  </si>
  <si>
    <t>Extrusion Length if not TYP</t>
  </si>
  <si>
    <t>Mid Rail</t>
  </si>
  <si>
    <t>LEAVE BOTH CALCULATIONS</t>
  </si>
  <si>
    <t>RCB5</t>
  </si>
  <si>
    <t>500 Rail Connecting Block for BR 500 (1")</t>
  </si>
  <si>
    <t>$/LF</t>
  </si>
  <si>
    <t xml:space="preserve">                              Total Directs</t>
  </si>
  <si>
    <t>No Adj to account for</t>
  </si>
  <si>
    <t>% Gross Margin (QB)</t>
  </si>
  <si>
    <t>Materials inflation</t>
  </si>
  <si>
    <t>NOTES</t>
  </si>
  <si>
    <t>Wood - Surface</t>
  </si>
  <si>
    <t>Wood - Fascia</t>
  </si>
  <si>
    <t>Concrete - Surface</t>
  </si>
  <si>
    <t>5/8 x 5/8 Custom Length Black Picket (Per Extrusion)</t>
  </si>
  <si>
    <t>Custom Picket</t>
  </si>
  <si>
    <t>PTE1 - Blk</t>
  </si>
  <si>
    <t>Travel, set-up/tear down per day (Enter Hours Per Day)</t>
  </si>
  <si>
    <t>Miles Per Round Trip (Enter Miles)</t>
  </si>
  <si>
    <t># of Round Trip Travel Required</t>
  </si>
  <si>
    <r>
      <t># LF per day</t>
    </r>
    <r>
      <rPr>
        <b/>
        <sz val="12"/>
        <color theme="1"/>
        <rFont val="Times New Roman"/>
        <family val="1"/>
      </rPr>
      <t xml:space="preserve"> (Enter estimated LF per day)</t>
    </r>
  </si>
  <si>
    <r>
      <t xml:space="preserve">Number of Installers </t>
    </r>
    <r>
      <rPr>
        <b/>
        <sz val="12"/>
        <color theme="1"/>
        <rFont val="Times New Roman"/>
        <family val="1"/>
      </rPr>
      <t>(Enter # of Installers)</t>
    </r>
  </si>
  <si>
    <t># of Labor hours + Out of town Hours</t>
  </si>
  <si>
    <t>Total Lodg., M&amp;I Cost</t>
  </si>
  <si>
    <t>Total Driving Cost</t>
  </si>
  <si>
    <t>Total Installer Labor Cost</t>
  </si>
  <si>
    <t>Travel Cost</t>
  </si>
  <si>
    <t>Engineering Expences</t>
  </si>
  <si>
    <t>Total Engineering Expenses</t>
  </si>
  <si>
    <t xml:space="preserve">          Time Period</t>
  </si>
  <si>
    <t>Indicate Time Period &gt;&gt;&gt;</t>
  </si>
  <si>
    <t>Pick from drop list below</t>
  </si>
  <si>
    <t>&lt;&lt;&lt; Enter Information (Choose from 1-3 Above)</t>
  </si>
  <si>
    <t>&lt;&lt;&lt; Enter Information (Choose from 1-4 Above)</t>
  </si>
  <si>
    <t>Out of Town Travel Required? &gt;&gt;&gt;</t>
  </si>
  <si>
    <t>&lt;&lt;&lt; Pick from drop list</t>
  </si>
  <si>
    <t>&lt;&lt;&lt; Manual Engineering Cost</t>
  </si>
  <si>
    <t>Total # LF</t>
  </si>
  <si>
    <t>Travel</t>
  </si>
  <si>
    <t>Completion Steps</t>
  </si>
  <si>
    <t>Travel Cost - From Project Labor Tab</t>
  </si>
  <si>
    <t xml:space="preserve">   Indirect Expenses - % of Direct Expenses</t>
  </si>
  <si>
    <r>
      <rPr>
        <sz val="12"/>
        <rFont val="Times New Roman"/>
        <family val="1"/>
      </rPr>
      <t xml:space="preserve">AVG </t>
    </r>
    <r>
      <rPr>
        <sz val="12"/>
        <color rgb="FF000000"/>
        <rFont val="Times New Roman"/>
        <family val="1"/>
      </rPr>
      <t>Price Per LF</t>
    </r>
  </si>
  <si>
    <t>1 &gt;&gt;&gt;</t>
  </si>
  <si>
    <r>
      <t xml:space="preserve">3 </t>
    </r>
    <r>
      <rPr>
        <b/>
        <sz val="9"/>
        <color rgb="FFFF0000"/>
        <rFont val="Times New Roman"/>
        <family val="1"/>
      </rPr>
      <t xml:space="preserve">(If Cable Project)         </t>
    </r>
    <r>
      <rPr>
        <b/>
        <sz val="16"/>
        <color rgb="FFFF0000"/>
        <rFont val="Times New Roman"/>
        <family val="1"/>
      </rPr>
      <t>&gt;&gt;&gt;</t>
    </r>
  </si>
  <si>
    <r>
      <t xml:space="preserve">4 </t>
    </r>
    <r>
      <rPr>
        <b/>
        <sz val="9"/>
        <color rgb="FFFF0000"/>
        <rFont val="Times New Roman"/>
        <family val="1"/>
      </rPr>
      <t>(If Glass Project)</t>
    </r>
    <r>
      <rPr>
        <b/>
        <sz val="16"/>
        <color rgb="FFFF0000"/>
        <rFont val="Times New Roman"/>
        <family val="1"/>
      </rPr>
      <t xml:space="preserve"> &gt;&gt;&gt;</t>
    </r>
  </si>
  <si>
    <t>5 &gt;&gt;&gt;</t>
  </si>
  <si>
    <t>2  &gt;&gt;&gt;</t>
  </si>
  <si>
    <t>2 &gt;&gt;&gt;</t>
  </si>
  <si>
    <t>3 &gt;&gt;&gt;</t>
  </si>
  <si>
    <t>4 &gt;&gt;&gt;</t>
  </si>
  <si>
    <t>6 &gt;&gt;&gt;</t>
  </si>
  <si>
    <t>7 &gt;&gt;&gt;</t>
  </si>
  <si>
    <t>8 &gt;&gt;&gt;</t>
  </si>
  <si>
    <t>9 &gt;&gt;&gt;</t>
  </si>
  <si>
    <t>&lt;&lt;&lt; Auto Eng. Expense Calculation?  Pick from List:  If so pick Yes, if not pick No</t>
  </si>
  <si>
    <t>Area D</t>
  </si>
  <si>
    <t>Misc. Labor</t>
  </si>
  <si>
    <t>Mount</t>
  </si>
  <si>
    <t>Color</t>
  </si>
  <si>
    <t>GR-Rectangle Splice</t>
  </si>
  <si>
    <t>Coupling Splice for  1" x 2" Rectangle Tubing Grab Rail</t>
  </si>
  <si>
    <t>GR-Round Splice</t>
  </si>
  <si>
    <t>Coupling Splice for  1-1/2" Round  Pipe Grab Rail</t>
  </si>
  <si>
    <t>GR-Square Splice</t>
  </si>
  <si>
    <t>Coupling Splice for 1.5" x 1.5" Square Tubing Grab Rail</t>
  </si>
  <si>
    <t>Splices Used?</t>
  </si>
  <si>
    <t>Wall</t>
  </si>
  <si>
    <t>Floor</t>
  </si>
  <si>
    <t>Round</t>
  </si>
  <si>
    <t>Rectangle</t>
  </si>
  <si>
    <t>Square</t>
  </si>
  <si>
    <t>Black</t>
  </si>
  <si>
    <t>Brown</t>
  </si>
  <si>
    <t>Clear Ano</t>
  </si>
  <si>
    <t>Mill Finish</t>
  </si>
  <si>
    <t>White</t>
  </si>
  <si>
    <t>Custom</t>
  </si>
  <si>
    <t>Rail</t>
  </si>
  <si>
    <t>Return</t>
  </si>
  <si>
    <t>Splice</t>
  </si>
  <si>
    <t>Bracket</t>
  </si>
  <si>
    <t>Corner Fitting</t>
  </si>
  <si>
    <t>Grab Rail</t>
  </si>
  <si>
    <t>NC</t>
  </si>
  <si>
    <t>CW</t>
  </si>
  <si>
    <t>Purse Catcher</t>
  </si>
  <si>
    <t>Brackets</t>
  </si>
  <si>
    <t>Fab Labor</t>
  </si>
  <si>
    <t>SS Concrete Wedge Anchor</t>
  </si>
  <si>
    <t>3/8"x3-3/4" 18-8 Stainless Steel Wedge Anchor</t>
  </si>
  <si>
    <t>Returns</t>
  </si>
  <si>
    <t>3/8"-7 x 4" SS Hex Screw</t>
  </si>
  <si>
    <t>Cushion</t>
  </si>
  <si>
    <t>Fasteners / Brackets</t>
  </si>
  <si>
    <t>Welded Joints</t>
  </si>
  <si>
    <t>Fabrication Labor for Welded Joints</t>
  </si>
  <si>
    <t>Fabrication Labor</t>
  </si>
  <si>
    <t>Hourly Wage</t>
  </si>
  <si>
    <t>Direct Burden 16%</t>
  </si>
  <si>
    <t>Total Fab Labor Cost</t>
  </si>
  <si>
    <t>Hours</t>
  </si>
  <si>
    <t>Coushion Hours</t>
  </si>
  <si>
    <t>Coushion Hours Cost</t>
  </si>
  <si>
    <t>LF per Grab Rail</t>
  </si>
  <si>
    <t># of Finished Grab Rail</t>
  </si>
  <si>
    <t># of Returns per Grab Rail</t>
  </si>
  <si>
    <t># of Purse Catchers Per Grab Rail</t>
  </si>
  <si>
    <t>Coushion Qty LF</t>
  </si>
  <si>
    <t>Total Grab Rail Cost</t>
  </si>
  <si>
    <t>Welded Joints -Grab Rail</t>
  </si>
  <si>
    <t>Welded Joints -Returns</t>
  </si>
  <si>
    <t>Welded Joints -Purse Catchers</t>
  </si>
  <si>
    <t>Welded Joints Labor Hours</t>
  </si>
  <si>
    <t>Purse Catchers</t>
  </si>
  <si>
    <t>Minutes</t>
  </si>
  <si>
    <t>Welded Joint Per</t>
  </si>
  <si>
    <t>Base Plate</t>
  </si>
  <si>
    <t>Base Plates / Core Hole</t>
  </si>
  <si>
    <t>Coushion Cost</t>
  </si>
  <si>
    <t>Floor Mount Type</t>
  </si>
  <si>
    <t>Fasteners- Brackets</t>
  </si>
  <si>
    <t>Fasteners  -Base Plates/Core Holes</t>
  </si>
  <si>
    <t>Fastener1</t>
  </si>
  <si>
    <t>Fastener2</t>
  </si>
  <si>
    <t>Kwixset Gout</t>
  </si>
  <si>
    <t>6x4 Hole Dilled  - Subcontracted</t>
  </si>
  <si>
    <t>Calculation</t>
  </si>
  <si>
    <t>Type</t>
  </si>
  <si>
    <t>Grabrail Bracket</t>
  </si>
  <si>
    <t>Handrail Bracket, Aluminum, Extruded, 2-1/2 Inch from Wall to center of handrail, 1-1/2 Inch drop, Round Base</t>
  </si>
  <si>
    <t>GR-Rectangl Crnr Ftng 12x12</t>
  </si>
  <si>
    <t>12" x 12" Rectangle Grab Rail  Corner Fitting</t>
  </si>
  <si>
    <t>12" x 12" Round Grab Rail  Corner Fitting</t>
  </si>
  <si>
    <t>12" x 12" Square Grab Rail  Corner Fitting</t>
  </si>
  <si>
    <t>GR-Rectangle Purse Catcher</t>
  </si>
  <si>
    <t>Rectangle Purse Catcher</t>
  </si>
  <si>
    <t>Round Purse Catcher</t>
  </si>
  <si>
    <t>Square Purse Catcher</t>
  </si>
  <si>
    <t>GR-Round 20'</t>
  </si>
  <si>
    <t>GR-Square 20'</t>
  </si>
  <si>
    <t>1-1/2" Schedule 40 Round Grab Rail 20'</t>
  </si>
  <si>
    <t>1.5" x 1.5" Square Tubing Grab Rail - 20'</t>
  </si>
  <si>
    <t>GR-Rectangle Return 12"</t>
  </si>
  <si>
    <t>GR-Rectangle Return 6"</t>
  </si>
  <si>
    <t>GR-Round Return 12"</t>
  </si>
  <si>
    <t>GR-Round Return 6"</t>
  </si>
  <si>
    <t>GR-Square Return 12"</t>
  </si>
  <si>
    <t>GR-Square Return 6"</t>
  </si>
  <si>
    <t xml:space="preserve">12" x 1.5" Rectangle Tubing Grab Rail Wall Return </t>
  </si>
  <si>
    <t xml:space="preserve">6" x 1.5" Rectangle Tubing Grab Rail Wall Return </t>
  </si>
  <si>
    <t xml:space="preserve">12" x 1.5" - 1.5" Sched. 40 Pipe Round Grab Rail Wall Return </t>
  </si>
  <si>
    <t xml:space="preserve">6" x 1.5"  - 1.5" Sched. 40 Pipe Round Grab Rail Wall Return </t>
  </si>
  <si>
    <t xml:space="preserve">12" x 1.5" Square Tubing Grab Rail Wall Return </t>
  </si>
  <si>
    <t xml:space="preserve">6" x 1.5" Square Tubing Grab Rail Wall Return </t>
  </si>
  <si>
    <t>GR-Round Purse Catcher</t>
  </si>
  <si>
    <t>GR-Square Purse Catcher</t>
  </si>
  <si>
    <t>Powder Coating / Paint</t>
  </si>
  <si>
    <t>Shape/Color</t>
  </si>
  <si>
    <t>Clear Anodized</t>
  </si>
  <si>
    <t>Fasteners -Splices</t>
  </si>
  <si>
    <t>Powder Coating - Black</t>
  </si>
  <si>
    <t>Powder Coating - Brown</t>
  </si>
  <si>
    <t>Powder Coating - Clear Anodized</t>
  </si>
  <si>
    <t>Powder Coating - White</t>
  </si>
  <si>
    <t>Powder Coating - Custom Color</t>
  </si>
  <si>
    <t>Black Powder Coating Per LF</t>
  </si>
  <si>
    <t>Brown Powder Coating Per LF</t>
  </si>
  <si>
    <t>Clear Anodized Powder Coating Per LF</t>
  </si>
  <si>
    <t>White Powder Coating Per LF</t>
  </si>
  <si>
    <t>Custom Powder Coating Per LF</t>
  </si>
  <si>
    <t>Hours / LF</t>
  </si>
  <si>
    <t>Hourly Cost / Cost LF</t>
  </si>
  <si>
    <t>PC/Paint</t>
  </si>
  <si>
    <t># of Corner Fittings per Grab Rail</t>
  </si>
  <si>
    <t>GR-Round Crnr Ftng 12x12</t>
  </si>
  <si>
    <t>GR-Square Crnr Ftng 12x12</t>
  </si>
  <si>
    <t>Pick from List</t>
  </si>
  <si>
    <t>Enter Number</t>
  </si>
  <si>
    <t>Labor / 3rd Party</t>
  </si>
  <si>
    <t>Work out drop issue - wht about posts LF for floor mounted GR</t>
  </si>
  <si>
    <t>Bracket / Post Spacing (Feet)</t>
  </si>
  <si>
    <t># of  Rails   per Floor Mounted Grab Rail</t>
  </si>
  <si>
    <t>Grab Rail Post</t>
  </si>
  <si>
    <t>Cut &amp; Drill</t>
  </si>
  <si>
    <t>Welded Joints -Posts</t>
  </si>
  <si>
    <t>Welded Joints -Base Plates</t>
  </si>
  <si>
    <t>Cut &amp; Drill - Base Plates</t>
  </si>
  <si>
    <t>Fabrication Labor for Cut &amp; Driill</t>
  </si>
  <si>
    <t>Kwixset Grout - 50 Lb Bag</t>
  </si>
  <si>
    <t>3/8" x 4" Base Plate</t>
  </si>
  <si>
    <t>Total # of Posts</t>
  </si>
  <si>
    <t>Tube, 2x4x..25 Mill</t>
  </si>
  <si>
    <t>Rectangle Tube (20' )- (6005A-T61), Mill finish</t>
  </si>
  <si>
    <t>Concrete</t>
  </si>
  <si>
    <t>Wood</t>
  </si>
  <si>
    <t>Remodels</t>
  </si>
  <si>
    <t>Low Rise</t>
  </si>
  <si>
    <t>Apartments</t>
  </si>
  <si>
    <t>Design</t>
  </si>
  <si>
    <t>Build</t>
  </si>
  <si>
    <t>Project</t>
  </si>
  <si>
    <t>Project Type</t>
  </si>
  <si>
    <t>Low Rise Apartments</t>
  </si>
  <si>
    <t>Design Build Projects</t>
  </si>
  <si>
    <t>Apartment Remodels</t>
  </si>
  <si>
    <t>Selected</t>
  </si>
  <si>
    <t>Enter Project Type #</t>
  </si>
  <si>
    <t>#</t>
  </si>
  <si>
    <t>Project type #</t>
  </si>
  <si>
    <t>Commercial</t>
  </si>
  <si>
    <t>Comm'l Grab Rail</t>
  </si>
  <si>
    <t>Preferred Overhead as a % of direct costs</t>
  </si>
  <si>
    <t>Reasonable Overhead as a % of direct costs</t>
  </si>
  <si>
    <t>-----------------------------------------------------Sharpen Pencil (Semi-Variable Overhead)----------------------------------------</t>
  </si>
  <si>
    <t>Preferred Minimum Overhead as a % of direct costs</t>
  </si>
  <si>
    <t>Minimum (No overhead) as a % of direct costs</t>
  </si>
  <si>
    <t>Profit</t>
  </si>
  <si>
    <t>Margin</t>
  </si>
  <si>
    <t>----------Preferred Minimum (Variable Overhead)-----------</t>
  </si>
  <si>
    <t># of Days</t>
  </si>
  <si>
    <t>-------------------------Preferred (Full Overhead)-------------------------------</t>
  </si>
  <si>
    <t>-----------------------% of Sales------------------------</t>
  </si>
  <si>
    <t>Weighted Avg Price Per LF</t>
  </si>
  <si>
    <t>Preferred (Full O/H)</t>
  </si>
  <si>
    <t>Absolute Minimal (No O/H)</t>
  </si>
  <si>
    <t>Sharpen P. (Semi-Variable O/H)</t>
  </si>
  <si>
    <t>Cushion Qty</t>
  </si>
  <si>
    <t>Cushion Cost</t>
  </si>
  <si>
    <t xml:space="preserve">3/8" x 4" From Coast Aluminum </t>
  </si>
  <si>
    <t>Other Commercial</t>
  </si>
  <si>
    <t>Preferred Mininum (Variable O/H)</t>
  </si>
  <si>
    <t>-------------------------Estimates----------------------------</t>
  </si>
  <si>
    <t>Engineering Cost Estimate Assistance:</t>
  </si>
  <si>
    <t>Minimum</t>
  </si>
  <si>
    <t>Average</t>
  </si>
  <si>
    <t>Maximum</t>
  </si>
  <si>
    <t>COGS</t>
  </si>
  <si>
    <t>% of COGS</t>
  </si>
  <si>
    <t>Engineering (NOT IN USE)</t>
  </si>
  <si>
    <t>Historical Information</t>
  </si>
  <si>
    <t>Calc. Engineering</t>
  </si>
  <si>
    <t>Epoxy &amp; allthread</t>
  </si>
  <si>
    <t xml:space="preserve">Epoxy and all thread </t>
  </si>
  <si>
    <t>Design/drafting time (hours)</t>
  </si>
  <si>
    <t>Drafting/Design Rate</t>
  </si>
  <si>
    <t>w/burden</t>
  </si>
  <si>
    <t>Inhouse drafting expense</t>
  </si>
  <si>
    <t>Design/Drafting Expenses</t>
  </si>
  <si>
    <t>Inhouse Design/Drafting Expenses</t>
  </si>
  <si>
    <t>Avg. Engineering</t>
  </si>
  <si>
    <t>Engineering/Drafting</t>
  </si>
  <si>
    <t>Installation Labor:</t>
  </si>
  <si>
    <t>Enter 0 or 1</t>
  </si>
  <si>
    <t>Inhouse = 0</t>
  </si>
  <si>
    <t>Subcontracted = 1</t>
  </si>
  <si>
    <t>2021 IRS Mileage Rate</t>
  </si>
  <si>
    <t>Subcontracted Installation</t>
  </si>
  <si>
    <t>Install Cost/LF</t>
  </si>
  <si>
    <t>Total Cost</t>
  </si>
  <si>
    <t>Field Labor/Burden, Sub Installers</t>
  </si>
  <si>
    <t>Subcontracted % less overhead.</t>
  </si>
  <si>
    <t>From the Project Materials Tab</t>
  </si>
  <si>
    <t>% of the Field Labor/Burden, Sub Installers</t>
  </si>
  <si>
    <t>Labor Burden %</t>
  </si>
  <si>
    <t xml:space="preserve">Calculation of Impact on Overhead with Subcontracted Labor </t>
  </si>
  <si>
    <t>Indirect Overhead Savings</t>
  </si>
  <si>
    <t>% Mark-up of Sub's Cost</t>
  </si>
  <si>
    <t>All other direct expenses, % of DE</t>
  </si>
  <si>
    <t>Direct Labor</t>
  </si>
  <si>
    <t>Total Direct Expense</t>
  </si>
  <si>
    <t>% Adj O/H mark-up of Sub's Cost</t>
  </si>
  <si>
    <t>% Mark-up of Non Labor Directs &amp; Adj. Mark-up of Sub's Cost</t>
  </si>
  <si>
    <t>Impact on Subbed Install on OH</t>
  </si>
  <si>
    <t>Minimum (Min. overhead) as a % of direct costs</t>
  </si>
  <si>
    <t>Absolute Minimal (Min O/H)</t>
  </si>
  <si>
    <t>-----------------------------------------------------Absolute Minimum (Minimal Overhead)----------------------------------------</t>
  </si>
  <si>
    <t>Average labor, % of direct expenses</t>
  </si>
  <si>
    <t>Input Avg labor, % of direct expenses</t>
  </si>
  <si>
    <t>Customer rep name</t>
  </si>
  <si>
    <t>Customer company name</t>
  </si>
  <si>
    <t>customer contact info</t>
  </si>
  <si>
    <t>customer business address</t>
  </si>
  <si>
    <t>job site address</t>
  </si>
  <si>
    <t>job name</t>
  </si>
  <si>
    <t>section_LF</t>
  </si>
  <si>
    <t>section_lf_price</t>
  </si>
  <si>
    <t xml:space="preserve">Section 1 details </t>
  </si>
  <si>
    <t xml:space="preserve">section 2 details </t>
  </si>
  <si>
    <t xml:space="preserve">section 3 details </t>
  </si>
  <si>
    <t xml:space="preserve">section 4 details </t>
  </si>
  <si>
    <t>Section 5 details</t>
  </si>
  <si>
    <t>0 = NA|| 1 = 2' ||2= 3' ||3 = 4' ||4 = 5' ||5 = 6' ||6 = custom</t>
  </si>
  <si>
    <t>0 = Baseshoe|| 1 = std post || 2 = series500 post || 3 = pipe || 4 = square tube || 5 = rectangle || 6 = custom</t>
  </si>
  <si>
    <t>0 = 36" || 1 = 42" || 2 = 34"-38" || 3 = custom</t>
  </si>
  <si>
    <t>0 = Picket || 1 = Glass || 2 = Cable || 3 = Grabrail || 4 = Custom</t>
  </si>
  <si>
    <t>Andersen Construction</t>
  </si>
  <si>
    <t>Tanner Foreman</t>
  </si>
  <si>
    <t>971-201-9161 | tforeman@andersen-const.com</t>
  </si>
  <si>
    <t>South River Parkway &amp; South Lane Street, Portland OR 97239</t>
  </si>
  <si>
    <t xml:space="preserve">6712 N Cutter Cir, Portland OR 97217 </t>
  </si>
  <si>
    <t>Alamo Manhattan Blocks - Block 41</t>
  </si>
  <si>
    <t>0 = picket || 1 = 1/4 glass || 2 = 3/8 glass || 3 = 1/2 glass || 4 = 9/16 glass || 5 = 1/8 cable || 6 = 3/16 Cable || 7 =grout || 8 = 4x4 BP GR || 9 = GR bracket || 10 = custom</t>
  </si>
  <si>
    <t>0 = BR200 || 1 = CRL Clad || 2 = BR100 || 3 = BR500 || 4 = NO BR || 5 = Wall mount GR || 6 = post mount GR || 7 = core hole GR || 8 = surface GR || 9 = custom</t>
  </si>
  <si>
    <t>0 = TR200 || 1 = TR375 || 2 = TR400 || 3 = CRL SS TR || 4 = NO TR || 5 = Coremount GR || 6 = post mount GR || 7 = Wall mount GR || 8  = custom</t>
  </si>
  <si>
    <t>Area Names</t>
  </si>
  <si>
    <t>Detail options</t>
  </si>
  <si>
    <t>PLEASE DO NOT MESS WITH SHEET LAYOUT!!!</t>
  </si>
  <si>
    <t>Grabrail</t>
  </si>
  <si>
    <t xml:space="preserve">0 = Facia w bracket || 1 = steel angle || 2 = fascia direct || 3 = surface 5x5 || 4 = knife plate || 5 = angle brackets || 6 = angle base plate || 7 = 1line || 8 = 2line || 9 = 3line || 10 = custom </t>
  </si>
  <si>
    <t>PRO REP(JAG,Dave)</t>
  </si>
  <si>
    <t>jag</t>
  </si>
  <si>
    <t>Fascia Blocking Bracket</t>
  </si>
  <si>
    <t>Fascia Tie back bracket (pair)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</si>
</sst>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6" formatCode="&quot;$&quot;#,##0_);[Red]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_);_(* \(#,##0.000\);_(* &quot;-&quot;??_);_(@_)"/>
    <numFmt numFmtId="165" formatCode="_(&quot;$&quot;* #,##0.000_);_(&quot;$&quot;* \(#,##0.000\);_(&quot;$&quot;* &quot;-&quot;??_);_(@_)"/>
    <numFmt numFmtId="166" formatCode="0_);\(0\)"/>
    <numFmt numFmtId="167" formatCode="#,##0.0_);\(#,##0.0\)"/>
    <numFmt numFmtId="168" formatCode="0.0%"/>
    <numFmt numFmtId="169" formatCode="#,##0.0"/>
    <numFmt numFmtId="170" formatCode="0.0"/>
    <numFmt numFmtId="171" formatCode="_(* #,##0_);_(* \(#,##0\);_(* &quot;-&quot;??_);_(@_)"/>
    <numFmt numFmtId="172" formatCode="_(* #,##0.0_);_(* \(#,##0.0\);_(* &quot;-&quot;??_);_(@_)"/>
    <numFmt numFmtId="173" formatCode="_(&quot;$&quot;* #,##0_);_(&quot;$&quot;* \(#,##0\);_(&quot;$&quot;* &quot;-&quot;??_);_(@_)"/>
    <numFmt numFmtId="174" formatCode="0.000%"/>
  </numFmts>
  <fonts count="6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12"/>
      <color rgb="FFFF0000"/>
      <name val="Times New Roman"/>
      <family val="1"/>
    </font>
    <font>
      <sz val="11"/>
      <color rgb="FF0000FF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rgb="FFFF0000"/>
      <name val="Times New Roman"/>
      <family val="1"/>
    </font>
    <font>
      <sz val="11"/>
      <color theme="0"/>
      <name val="Times New Roman"/>
      <family val="1"/>
    </font>
    <font>
      <b/>
      <sz val="11"/>
      <name val="Calibri"/>
      <family val="2"/>
      <scheme val="minor"/>
    </font>
    <font>
      <sz val="12"/>
      <color theme="0"/>
      <name val="Times New Roman"/>
      <family val="1"/>
    </font>
    <font>
      <b/>
      <sz val="12"/>
      <name val="Times New Roman"/>
      <family val="1"/>
    </font>
    <font>
      <b/>
      <sz val="16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name val="Times New Roman"/>
      <family val="1"/>
    </font>
    <font>
      <b/>
      <sz val="9"/>
      <color theme="1"/>
      <name val="Times New Roman"/>
      <family val="1"/>
    </font>
    <font>
      <sz val="14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b/>
      <sz val="12"/>
      <color rgb="FFFF0000"/>
      <name val="Times New Roman"/>
      <family val="1"/>
    </font>
    <font>
      <sz val="12"/>
      <color rgb="FF0033CC"/>
      <name val="Times New Roman"/>
      <family val="1"/>
    </font>
    <font>
      <sz val="12"/>
      <name val="Times New Roman"/>
      <family val="1"/>
    </font>
    <font>
      <u/>
      <sz val="12"/>
      <color theme="1"/>
      <name val="Times New Roman"/>
      <family val="1"/>
    </font>
    <font>
      <b/>
      <sz val="16"/>
      <color theme="1"/>
      <name val="Times New Roman"/>
      <family val="1"/>
    </font>
    <font>
      <sz val="14"/>
      <color theme="1"/>
      <name val="Calibri"/>
      <family val="2"/>
      <scheme val="minor"/>
    </font>
    <font>
      <b/>
      <i/>
      <sz val="12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1"/>
      <color rgb="FF9C0006"/>
      <name val="Calibri"/>
      <family val="2"/>
      <scheme val="minor"/>
    </font>
    <font>
      <sz val="12"/>
      <color rgb="FFFA7D00"/>
      <name val="Times New Roman"/>
      <family val="1"/>
    </font>
    <font>
      <sz val="12"/>
      <color rgb="FF9C0006"/>
      <name val="Times New Roman"/>
      <family val="1"/>
    </font>
    <font>
      <b/>
      <sz val="8"/>
      <name val="Arial"/>
      <family val="2"/>
    </font>
    <font>
      <sz val="8"/>
      <name val="Arial"/>
      <family val="2"/>
    </font>
    <font>
      <sz val="10"/>
      <name val="Calibri"/>
      <family val="2"/>
      <scheme val="minor"/>
    </font>
    <font>
      <b/>
      <sz val="18"/>
      <color rgb="FFFF0000"/>
      <name val="Times New Roman"/>
      <family val="1"/>
    </font>
    <font>
      <b/>
      <sz val="16"/>
      <color rgb="FFFF0000"/>
      <name val="Times New Roman"/>
      <family val="1"/>
    </font>
    <font>
      <b/>
      <sz val="9"/>
      <color rgb="FFFF0000"/>
      <name val="Times New Roman"/>
      <family val="1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4"/>
      <color theme="5" tint="-0.249977111117893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2"/>
      <color rgb="FF0000FF"/>
      <name val="Times New Roman"/>
      <family val="1"/>
    </font>
    <font>
      <b/>
      <sz val="12"/>
      <color rgb="FF0000FF"/>
      <name val="Times New Roman"/>
      <family val="1"/>
    </font>
    <font>
      <b/>
      <sz val="12"/>
      <color theme="5" tint="-0.249977111117893"/>
      <name val="Calibri"/>
      <family val="2"/>
      <scheme val="minor"/>
    </font>
    <font>
      <sz val="16"/>
      <color rgb="FFFF0000"/>
      <name val="Calibri"/>
      <family val="2"/>
      <scheme val="minor"/>
    </font>
  </fonts>
  <fills count="4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mediumGray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mediumGray">
        <bgColor theme="8" tint="0.59999389629810485"/>
      </patternFill>
    </fill>
    <fill>
      <patternFill patternType="mediumGray">
        <bgColor theme="7" tint="0.59999389629810485"/>
      </patternFill>
    </fill>
    <fill>
      <patternFill patternType="mediumGray">
        <bgColor theme="5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mediumGray">
        <bgColor theme="6" tint="0.39997558519241921"/>
      </patternFill>
    </fill>
    <fill>
      <patternFill patternType="solid">
        <fgColor rgb="FFA5A5A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</fills>
  <borders count="103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double">
        <color indexed="64"/>
      </bottom>
      <diagonal/>
    </border>
    <border>
      <left style="thin">
        <color rgb="FF7F7F7F"/>
      </left>
      <right/>
      <top style="thin">
        <color indexed="64"/>
      </top>
      <bottom style="double">
        <color indexed="64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 style="dashed">
        <color rgb="FFFF0000"/>
      </right>
      <top style="dashed">
        <color rgb="FFFF0000"/>
      </top>
      <bottom/>
      <diagonal/>
    </border>
    <border>
      <left style="dashed">
        <color rgb="FFFF0000"/>
      </left>
      <right style="dashed">
        <color rgb="FFFF0000"/>
      </right>
      <top/>
      <bottom style="dashed">
        <color rgb="FFFF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ashed">
        <color rgb="FFFF0000"/>
      </left>
      <right style="dashed">
        <color rgb="FFFF0000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 style="dashed">
        <color rgb="FFFF0000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thin">
        <color rgb="FF7F7F7F"/>
      </right>
      <top style="dashed">
        <color rgb="FFFF0000"/>
      </top>
      <bottom style="dashed">
        <color rgb="FFFF0000"/>
      </bottom>
      <diagonal/>
    </border>
    <border>
      <left style="thin">
        <color rgb="FF7F7F7F"/>
      </left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dashed">
        <color rgb="FFFF0000"/>
      </left>
      <right/>
      <top style="dashed">
        <color rgb="FFFF0000"/>
      </top>
      <bottom style="dashed">
        <color rgb="FFFF0000"/>
      </bottom>
      <diagonal/>
    </border>
    <border>
      <left/>
      <right/>
      <top style="dashed">
        <color rgb="FFFF0000"/>
      </top>
      <bottom style="dashed">
        <color rgb="FFFF0000"/>
      </bottom>
      <diagonal/>
    </border>
    <border>
      <left/>
      <right style="dashed">
        <color rgb="FFFF0000"/>
      </right>
      <top style="dashed">
        <color rgb="FFFF0000"/>
      </top>
      <bottom style="dashed">
        <color rgb="FFFF0000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medium">
        <color indexed="64"/>
      </right>
      <top style="thin">
        <color rgb="FF7F7F7F"/>
      </top>
      <bottom/>
      <diagonal/>
    </border>
    <border>
      <left/>
      <right style="medium">
        <color indexed="64"/>
      </right>
      <top style="dashed">
        <color rgb="FFFF0000"/>
      </top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dashed">
        <color rgb="FFFF0000"/>
      </left>
      <right/>
      <top/>
      <bottom style="thin">
        <color indexed="64"/>
      </bottom>
      <diagonal/>
    </border>
    <border>
      <left style="dashed">
        <color rgb="FFFF0000"/>
      </left>
      <right/>
      <top/>
      <bottom/>
      <diagonal/>
    </border>
    <border>
      <left style="dashed">
        <color rgb="FFFF0000"/>
      </left>
      <right/>
      <top/>
      <bottom style="dashed">
        <color rgb="FFFF0000"/>
      </bottom>
      <diagonal/>
    </border>
    <border>
      <left/>
      <right style="dashed">
        <color rgb="FFFF0000"/>
      </right>
      <top/>
      <bottom style="dashed">
        <color rgb="FFFF0000"/>
      </bottom>
      <diagonal/>
    </border>
    <border>
      <left/>
      <right style="dashed">
        <color rgb="FFFF0000"/>
      </right>
      <top/>
      <bottom/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otted">
        <color rgb="FFFF000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 style="dotted">
        <color rgb="FFFF0000"/>
      </left>
      <right style="dotted">
        <color rgb="FFFF0000"/>
      </right>
      <top style="dashed">
        <color rgb="FFFF0000"/>
      </top>
      <bottom style="dotted">
        <color rgb="FFFF0000"/>
      </bottom>
      <diagonal/>
    </border>
    <border>
      <left style="dotted">
        <color rgb="FFFF0000"/>
      </left>
      <right style="dotted">
        <color rgb="FFFF0000"/>
      </right>
      <top style="dotted">
        <color rgb="FFFF0000"/>
      </top>
      <bottom style="dashed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7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0" fontId="30" fillId="17" borderId="24" applyNumberFormat="0" applyAlignment="0" applyProtection="0"/>
    <xf numFmtId="0" fontId="31" fillId="18" borderId="24" applyNumberFormat="0" applyAlignment="0" applyProtection="0"/>
    <xf numFmtId="0" fontId="34" fillId="18" borderId="25" applyNumberFormat="0" applyAlignment="0" applyProtection="0"/>
    <xf numFmtId="0" fontId="35" fillId="0" borderId="26" applyNumberFormat="0" applyFill="0" applyAlignment="0" applyProtection="0"/>
    <xf numFmtId="0" fontId="1" fillId="19" borderId="27" applyNumberFormat="0" applyFont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29" fillId="31" borderId="53" applyNumberFormat="0" applyAlignment="0" applyProtection="0"/>
    <xf numFmtId="0" fontId="45" fillId="0" borderId="0" applyNumberFormat="0" applyFill="0" applyBorder="0" applyAlignment="0" applyProtection="0"/>
    <xf numFmtId="0" fontId="46" fillId="35" borderId="0" applyNumberFormat="0" applyBorder="0" applyAlignment="0" applyProtection="0"/>
    <xf numFmtId="0" fontId="55" fillId="0" borderId="0"/>
  </cellStyleXfs>
  <cellXfs count="1166">
    <xf numFmtId="0" fontId="0" fillId="0" borderId="0" xfId="0"/>
    <xf numFmtId="44" fontId="5" fillId="0" borderId="1" xfId="2" applyFont="1" applyBorder="1" applyAlignment="1">
      <alignment horizontal="center"/>
    </xf>
    <xf numFmtId="49" fontId="6" fillId="0" borderId="0" xfId="0" applyNumberFormat="1" applyFont="1"/>
    <xf numFmtId="49" fontId="5" fillId="0" borderId="1" xfId="0" applyNumberFormat="1" applyFont="1" applyBorder="1" applyAlignment="1">
      <alignment horizontal="center"/>
    </xf>
    <xf numFmtId="44" fontId="6" fillId="0" borderId="0" xfId="2" applyFont="1"/>
    <xf numFmtId="44" fontId="0" fillId="0" borderId="0" xfId="2" applyFont="1"/>
    <xf numFmtId="0" fontId="10" fillId="0" borderId="0" xfId="0" applyFont="1"/>
    <xf numFmtId="49" fontId="5" fillId="0" borderId="0" xfId="0" applyNumberFormat="1" applyFont="1" applyAlignment="1">
      <alignment horizontal="center"/>
    </xf>
    <xf numFmtId="44" fontId="5" fillId="0" borderId="0" xfId="2" applyFont="1" applyAlignment="1">
      <alignment horizontal="center"/>
    </xf>
    <xf numFmtId="43" fontId="0" fillId="0" borderId="0" xfId="0" applyNumberFormat="1"/>
    <xf numFmtId="39" fontId="0" fillId="0" borderId="0" xfId="2" applyNumberFormat="1" applyFont="1"/>
    <xf numFmtId="39" fontId="5" fillId="0" borderId="1" xfId="2" applyNumberFormat="1" applyFont="1" applyBorder="1" applyAlignment="1">
      <alignment horizontal="center"/>
    </xf>
    <xf numFmtId="39" fontId="6" fillId="0" borderId="0" xfId="2" applyNumberFormat="1" applyFont="1"/>
    <xf numFmtId="39" fontId="5" fillId="0" borderId="0" xfId="2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0" fillId="0" borderId="5" xfId="0" applyBorder="1"/>
    <xf numFmtId="0" fontId="10" fillId="0" borderId="0" xfId="0" applyFont="1" applyAlignment="1">
      <alignment horizontal="left"/>
    </xf>
    <xf numFmtId="0" fontId="13" fillId="0" borderId="0" xfId="0" applyFont="1"/>
    <xf numFmtId="0" fontId="4" fillId="0" borderId="0" xfId="0" applyFont="1"/>
    <xf numFmtId="0" fontId="1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3" fillId="0" borderId="0" xfId="0" applyFont="1" applyAlignment="1">
      <alignment wrapText="1"/>
    </xf>
    <xf numFmtId="0" fontId="0" fillId="2" borderId="0" xfId="0" applyFill="1"/>
    <xf numFmtId="49" fontId="5" fillId="2" borderId="0" xfId="0" applyNumberFormat="1" applyFont="1" applyFill="1" applyAlignment="1">
      <alignment horizontal="center"/>
    </xf>
    <xf numFmtId="0" fontId="4" fillId="0" borderId="0" xfId="0" applyFont="1" applyAlignment="1">
      <alignment wrapText="1"/>
    </xf>
    <xf numFmtId="0" fontId="0" fillId="10" borderId="0" xfId="0" applyFill="1"/>
    <xf numFmtId="0" fontId="13" fillId="6" borderId="0" xfId="0" applyFont="1" applyFill="1"/>
    <xf numFmtId="0" fontId="0" fillId="9" borderId="0" xfId="0" applyFill="1"/>
    <xf numFmtId="0" fontId="0" fillId="8" borderId="0" xfId="0" applyFill="1"/>
    <xf numFmtId="0" fontId="2" fillId="4" borderId="0" xfId="0" applyFont="1" applyFill="1"/>
    <xf numFmtId="0" fontId="0" fillId="4" borderId="0" xfId="0" applyFill="1"/>
    <xf numFmtId="0" fontId="4" fillId="6" borderId="0" xfId="0" applyFont="1" applyFill="1" applyAlignment="1">
      <alignment wrapText="1"/>
    </xf>
    <xf numFmtId="0" fontId="13" fillId="6" borderId="0" xfId="0" applyFont="1" applyFill="1" applyAlignment="1">
      <alignment wrapText="1"/>
    </xf>
    <xf numFmtId="0" fontId="22" fillId="0" borderId="0" xfId="0" applyFont="1"/>
    <xf numFmtId="0" fontId="16" fillId="0" borderId="0" xfId="0" applyFont="1" applyAlignment="1">
      <alignment horizontal="center" wrapText="1"/>
    </xf>
    <xf numFmtId="44" fontId="16" fillId="0" borderId="0" xfId="2" applyFont="1" applyAlignment="1">
      <alignment horizontal="center" wrapText="1"/>
    </xf>
    <xf numFmtId="44" fontId="11" fillId="0" borderId="0" xfId="2" applyFont="1" applyAlignment="1">
      <alignment horizontal="center" wrapText="1"/>
    </xf>
    <xf numFmtId="44" fontId="11" fillId="0" borderId="5" xfId="2" applyFont="1" applyBorder="1" applyAlignment="1">
      <alignment horizontal="center" wrapText="1"/>
    </xf>
    <xf numFmtId="0" fontId="11" fillId="0" borderId="0" xfId="0" applyFont="1" applyAlignment="1">
      <alignment horizontal="center" wrapText="1"/>
    </xf>
    <xf numFmtId="0" fontId="0" fillId="6" borderId="0" xfId="0" applyFill="1"/>
    <xf numFmtId="0" fontId="20" fillId="6" borderId="0" xfId="0" applyFont="1" applyFill="1" applyAlignment="1">
      <alignment horizontal="center"/>
    </xf>
    <xf numFmtId="0" fontId="4" fillId="6" borderId="3" xfId="0" applyFont="1" applyFill="1" applyBorder="1" applyAlignment="1">
      <alignment wrapText="1"/>
    </xf>
    <xf numFmtId="14" fontId="11" fillId="0" borderId="0" xfId="0" applyNumberFormat="1" applyFont="1" applyAlignment="1">
      <alignment horizontal="center" wrapText="1"/>
    </xf>
    <xf numFmtId="4" fontId="4" fillId="0" borderId="0" xfId="0" applyNumberFormat="1" applyFont="1"/>
    <xf numFmtId="4" fontId="16" fillId="0" borderId="0" xfId="0" applyNumberFormat="1" applyFont="1" applyAlignment="1">
      <alignment horizontal="center"/>
    </xf>
    <xf numFmtId="4" fontId="16" fillId="0" borderId="0" xfId="0" applyNumberFormat="1" applyFont="1" applyAlignment="1">
      <alignment horizontal="center" wrapText="1"/>
    </xf>
    <xf numFmtId="4" fontId="11" fillId="0" borderId="0" xfId="0" applyNumberFormat="1" applyFont="1" applyAlignment="1">
      <alignment horizontal="center" wrapText="1"/>
    </xf>
    <xf numFmtId="4" fontId="11" fillId="0" borderId="5" xfId="0" applyNumberFormat="1" applyFont="1" applyBorder="1"/>
    <xf numFmtId="4" fontId="11" fillId="0" borderId="0" xfId="0" applyNumberFormat="1" applyFont="1"/>
    <xf numFmtId="4" fontId="11" fillId="0" borderId="0" xfId="2" applyNumberFormat="1" applyFont="1" applyAlignment="1">
      <alignment horizontal="center" wrapText="1"/>
    </xf>
    <xf numFmtId="4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center"/>
    </xf>
    <xf numFmtId="0" fontId="23" fillId="0" borderId="0" xfId="0" applyFont="1"/>
    <xf numFmtId="0" fontId="18" fillId="4" borderId="9" xfId="0" applyFont="1" applyFill="1" applyBorder="1" applyAlignment="1">
      <alignment horizontal="left"/>
    </xf>
    <xf numFmtId="0" fontId="4" fillId="4" borderId="18" xfId="0" applyFont="1" applyFill="1" applyBorder="1" applyAlignment="1">
      <alignment horizontal="left"/>
    </xf>
    <xf numFmtId="0" fontId="4" fillId="4" borderId="17" xfId="0" applyFont="1" applyFill="1" applyBorder="1" applyAlignment="1">
      <alignment horizontal="left"/>
    </xf>
    <xf numFmtId="0" fontId="18" fillId="9" borderId="9" xfId="0" applyFont="1" applyFill="1" applyBorder="1" applyAlignment="1">
      <alignment horizontal="left"/>
    </xf>
    <xf numFmtId="0" fontId="4" fillId="9" borderId="17" xfId="0" applyFont="1" applyFill="1" applyBorder="1" applyAlignment="1">
      <alignment horizontal="left"/>
    </xf>
    <xf numFmtId="0" fontId="18" fillId="8" borderId="9" xfId="0" applyFont="1" applyFill="1" applyBorder="1" applyAlignment="1">
      <alignment horizontal="left"/>
    </xf>
    <xf numFmtId="0" fontId="4" fillId="8" borderId="17" xfId="0" applyFont="1" applyFill="1" applyBorder="1" applyAlignment="1">
      <alignment horizontal="left"/>
    </xf>
    <xf numFmtId="49" fontId="6" fillId="14" borderId="0" xfId="0" applyNumberFormat="1" applyFont="1" applyFill="1"/>
    <xf numFmtId="0" fontId="10" fillId="14" borderId="0" xfId="0" applyFont="1" applyFill="1"/>
    <xf numFmtId="43" fontId="18" fillId="6" borderId="0" xfId="0" applyNumberFormat="1" applyFont="1" applyFill="1" applyAlignment="1">
      <alignment wrapText="1"/>
    </xf>
    <xf numFmtId="4" fontId="11" fillId="0" borderId="0" xfId="0" applyNumberFormat="1" applyFont="1" applyAlignment="1">
      <alignment horizontal="center"/>
    </xf>
    <xf numFmtId="0" fontId="11" fillId="0" borderId="0" xfId="0" applyFont="1"/>
    <xf numFmtId="0" fontId="16" fillId="0" borderId="0" xfId="0" applyFont="1"/>
    <xf numFmtId="0" fontId="0" fillId="15" borderId="0" xfId="0" applyFill="1" applyProtection="1">
      <protection locked="0"/>
    </xf>
    <xf numFmtId="0" fontId="0" fillId="0" borderId="0" xfId="0" applyProtection="1">
      <protection locked="0"/>
    </xf>
    <xf numFmtId="0" fontId="0" fillId="16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15" borderId="0" xfId="0" applyFont="1" applyFill="1" applyAlignment="1" applyProtection="1">
      <alignment wrapText="1"/>
      <protection locked="0"/>
    </xf>
    <xf numFmtId="0" fontId="2" fillId="16" borderId="0" xfId="0" applyFont="1" applyFill="1" applyAlignment="1" applyProtection="1">
      <alignment wrapText="1"/>
      <protection locked="0"/>
    </xf>
    <xf numFmtId="0" fontId="2" fillId="8" borderId="0" xfId="0" applyFont="1" applyFill="1" applyAlignment="1" applyProtection="1">
      <alignment wrapText="1"/>
      <protection locked="0"/>
    </xf>
    <xf numFmtId="0" fontId="0" fillId="0" borderId="0" xfId="0" applyAlignment="1" applyProtection="1">
      <alignment wrapText="1"/>
      <protection locked="0"/>
    </xf>
    <xf numFmtId="0" fontId="8" fillId="12" borderId="0" xfId="0" applyFont="1" applyFill="1" applyProtection="1">
      <protection locked="0"/>
    </xf>
    <xf numFmtId="0" fontId="11" fillId="0" borderId="0" xfId="0" applyFont="1" applyProtection="1">
      <protection locked="0"/>
    </xf>
    <xf numFmtId="0" fontId="0" fillId="0" borderId="0" xfId="0" applyFill="1" applyProtection="1">
      <protection locked="0"/>
    </xf>
    <xf numFmtId="0" fontId="11" fillId="0" borderId="0" xfId="0" applyFont="1" applyFill="1" applyProtection="1">
      <protection locked="0"/>
    </xf>
    <xf numFmtId="0" fontId="11" fillId="0" borderId="0" xfId="0" applyFont="1" applyProtection="1"/>
    <xf numFmtId="0" fontId="11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Protection="1"/>
    <xf numFmtId="9" fontId="28" fillId="0" borderId="0" xfId="4" applyFont="1" applyProtection="1"/>
    <xf numFmtId="0" fontId="2" fillId="0" borderId="0" xfId="0" applyFont="1" applyProtection="1"/>
    <xf numFmtId="4" fontId="0" fillId="0" borderId="0" xfId="0" applyNumberFormat="1" applyProtection="1"/>
    <xf numFmtId="0" fontId="0" fillId="15" borderId="0" xfId="0" applyFill="1" applyProtection="1"/>
    <xf numFmtId="0" fontId="0" fillId="16" borderId="0" xfId="0" applyFill="1" applyProtection="1"/>
    <xf numFmtId="0" fontId="0" fillId="8" borderId="0" xfId="0" applyFill="1" applyProtection="1"/>
    <xf numFmtId="0" fontId="0" fillId="0" borderId="0" xfId="0" applyNumberFormat="1"/>
    <xf numFmtId="0" fontId="11" fillId="0" borderId="0" xfId="0" applyFont="1" applyFill="1" applyProtection="1"/>
    <xf numFmtId="0" fontId="0" fillId="0" borderId="0" xfId="0"/>
    <xf numFmtId="0" fontId="0" fillId="0" borderId="0" xfId="0"/>
    <xf numFmtId="0" fontId="0" fillId="0" borderId="0" xfId="0"/>
    <xf numFmtId="49" fontId="6" fillId="0" borderId="0" xfId="0" applyNumberFormat="1" applyFont="1"/>
    <xf numFmtId="49" fontId="6" fillId="0" borderId="0" xfId="0" applyNumberFormat="1" applyFont="1"/>
    <xf numFmtId="0" fontId="0" fillId="0" borderId="0" xfId="0"/>
    <xf numFmtId="0" fontId="0" fillId="0" borderId="0" xfId="0"/>
    <xf numFmtId="49" fontId="6" fillId="0" borderId="0" xfId="0" applyNumberFormat="1" applyFont="1"/>
    <xf numFmtId="0" fontId="0" fillId="0" borderId="0" xfId="0"/>
    <xf numFmtId="49" fontId="6" fillId="0" borderId="0" xfId="0" applyNumberFormat="1" applyFont="1"/>
    <xf numFmtId="0" fontId="18" fillId="4" borderId="0" xfId="0" applyFont="1" applyFill="1" applyAlignment="1">
      <alignment horizontal="left"/>
    </xf>
    <xf numFmtId="0" fontId="4" fillId="4" borderId="0" xfId="0" applyFont="1" applyFill="1" applyAlignment="1">
      <alignment horizontal="left"/>
    </xf>
    <xf numFmtId="0" fontId="18" fillId="4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3" fontId="7" fillId="6" borderId="0" xfId="0" applyNumberFormat="1" applyFont="1" applyFill="1" applyAlignment="1"/>
    <xf numFmtId="0" fontId="7" fillId="6" borderId="0" xfId="0" applyFont="1" applyFill="1" applyAlignment="1"/>
    <xf numFmtId="0" fontId="13" fillId="6" borderId="0" xfId="0" applyFont="1" applyFill="1" applyAlignment="1"/>
    <xf numFmtId="0" fontId="13" fillId="0" borderId="0" xfId="0" applyFont="1" applyAlignment="1"/>
    <xf numFmtId="0" fontId="4" fillId="6" borderId="0" xfId="0" applyFont="1" applyFill="1" applyAlignment="1"/>
    <xf numFmtId="0" fontId="3" fillId="6" borderId="0" xfId="0" applyFont="1" applyFill="1" applyAlignment="1"/>
    <xf numFmtId="168" fontId="4" fillId="6" borderId="0" xfId="4" applyNumberFormat="1" applyFont="1" applyFill="1" applyAlignment="1"/>
    <xf numFmtId="0" fontId="4" fillId="0" borderId="0" xfId="0" applyFont="1" applyAlignment="1"/>
    <xf numFmtId="0" fontId="20" fillId="6" borderId="0" xfId="0" applyFont="1" applyFill="1" applyAlignment="1"/>
    <xf numFmtId="0" fontId="26" fillId="0" borderId="0" xfId="0" applyFont="1" applyAlignment="1"/>
    <xf numFmtId="0" fontId="19" fillId="6" borderId="0" xfId="0" applyFont="1" applyFill="1" applyAlignment="1"/>
    <xf numFmtId="0" fontId="4" fillId="6" borderId="3" xfId="0" applyFont="1" applyFill="1" applyBorder="1" applyAlignment="1"/>
    <xf numFmtId="4" fontId="4" fillId="0" borderId="0" xfId="0" applyNumberFormat="1" applyFont="1" applyAlignment="1"/>
    <xf numFmtId="4" fontId="16" fillId="0" borderId="0" xfId="0" applyNumberFormat="1" applyFont="1" applyAlignment="1">
      <alignment horizontal="center" vertical="center" wrapText="1"/>
    </xf>
    <xf numFmtId="0" fontId="3" fillId="0" borderId="0" xfId="0" applyFont="1"/>
    <xf numFmtId="9" fontId="7" fillId="0" borderId="0" xfId="4" applyFont="1"/>
    <xf numFmtId="171" fontId="7" fillId="0" borderId="0" xfId="1" applyNumberFormat="1" applyFont="1"/>
    <xf numFmtId="44" fontId="7" fillId="0" borderId="0" xfId="2" applyFont="1"/>
    <xf numFmtId="171" fontId="3" fillId="0" borderId="0" xfId="1" applyNumberFormat="1" applyFont="1"/>
    <xf numFmtId="171" fontId="0" fillId="0" borderId="0" xfId="1" applyNumberFormat="1" applyFont="1"/>
    <xf numFmtId="168" fontId="3" fillId="0" borderId="0" xfId="4" applyNumberFormat="1" applyFont="1"/>
    <xf numFmtId="49" fontId="36" fillId="0" borderId="0" xfId="0" applyNumberFormat="1" applyFont="1"/>
    <xf numFmtId="168" fontId="7" fillId="0" borderId="0" xfId="4" applyNumberFormat="1" applyFont="1"/>
    <xf numFmtId="49" fontId="37" fillId="0" borderId="0" xfId="0" applyNumberFormat="1" applyFont="1"/>
    <xf numFmtId="171" fontId="3" fillId="0" borderId="0" xfId="0" applyNumberFormat="1" applyFont="1"/>
    <xf numFmtId="171" fontId="7" fillId="0" borderId="17" xfId="1" applyNumberFormat="1" applyFont="1" applyBorder="1"/>
    <xf numFmtId="0" fontId="3" fillId="0" borderId="0" xfId="0" applyFont="1" applyAlignment="1">
      <alignment horizontal="center"/>
    </xf>
    <xf numFmtId="44" fontId="39" fillId="0" borderId="0" xfId="2" applyFont="1"/>
    <xf numFmtId="171" fontId="3" fillId="0" borderId="17" xfId="1" applyNumberFormat="1" applyFont="1" applyBorder="1" applyAlignment="1">
      <alignment horizontal="center" wrapText="1"/>
    </xf>
    <xf numFmtId="171" fontId="3" fillId="0" borderId="17" xfId="1" applyNumberFormat="1" applyFont="1" applyBorder="1"/>
    <xf numFmtId="171" fontId="3" fillId="0" borderId="17" xfId="1" applyNumberFormat="1" applyFont="1" applyBorder="1" applyAlignment="1">
      <alignment wrapText="1"/>
    </xf>
    <xf numFmtId="168" fontId="36" fillId="0" borderId="0" xfId="4" applyNumberFormat="1" applyFont="1"/>
    <xf numFmtId="0" fontId="3" fillId="0" borderId="0" xfId="0" applyFont="1" applyAlignment="1">
      <alignment horizontal="center" wrapText="1"/>
    </xf>
    <xf numFmtId="168" fontId="3" fillId="0" borderId="0" xfId="0" applyNumberFormat="1" applyFont="1"/>
    <xf numFmtId="168" fontId="7" fillId="0" borderId="17" xfId="4" applyNumberFormat="1" applyFont="1" applyBorder="1"/>
    <xf numFmtId="44" fontId="3" fillId="0" borderId="0" xfId="0" applyNumberFormat="1" applyFont="1"/>
    <xf numFmtId="44" fontId="7" fillId="0" borderId="17" xfId="2" applyFont="1" applyBorder="1"/>
    <xf numFmtId="43" fontId="7" fillId="0" borderId="17" xfId="1" applyFont="1" applyBorder="1"/>
    <xf numFmtId="43" fontId="3" fillId="0" borderId="17" xfId="1" applyFont="1" applyBorder="1"/>
    <xf numFmtId="0" fontId="3" fillId="0" borderId="17" xfId="0" applyFont="1" applyBorder="1" applyAlignment="1">
      <alignment horizontal="center"/>
    </xf>
    <xf numFmtId="0" fontId="41" fillId="0" borderId="0" xfId="0" applyFont="1" applyAlignment="1">
      <alignment horizontal="center"/>
    </xf>
    <xf numFmtId="0" fontId="41" fillId="0" borderId="0" xfId="0" applyFont="1" applyAlignment="1">
      <alignment horizontal="left"/>
    </xf>
    <xf numFmtId="0" fontId="4" fillId="6" borderId="0" xfId="0" applyFont="1" applyFill="1" applyAlignment="1">
      <alignment horizontal="center"/>
    </xf>
    <xf numFmtId="0" fontId="18" fillId="8" borderId="0" xfId="0" applyFont="1" applyFill="1" applyAlignment="1">
      <alignment horizontal="left"/>
    </xf>
    <xf numFmtId="0" fontId="18" fillId="8" borderId="18" xfId="0" applyFont="1" applyFill="1" applyBorder="1" applyAlignment="1">
      <alignment horizontal="left"/>
    </xf>
    <xf numFmtId="0" fontId="4" fillId="6" borderId="0" xfId="0" applyFont="1" applyFill="1" applyAlignment="1">
      <alignment horizontal="center"/>
    </xf>
    <xf numFmtId="49" fontId="5" fillId="8" borderId="0" xfId="0" applyNumberFormat="1" applyFont="1" applyFill="1" applyAlignment="1">
      <alignment horizontal="center"/>
    </xf>
    <xf numFmtId="0" fontId="0" fillId="24" borderId="0" xfId="0" applyFill="1"/>
    <xf numFmtId="170" fontId="0" fillId="8" borderId="0" xfId="0" applyNumberFormat="1" applyFill="1"/>
    <xf numFmtId="4" fontId="0" fillId="8" borderId="0" xfId="0" applyNumberFormat="1" applyFill="1"/>
    <xf numFmtId="49" fontId="6" fillId="8" borderId="0" xfId="0" applyNumberFormat="1" applyFont="1" applyFill="1"/>
    <xf numFmtId="49" fontId="5" fillId="9" borderId="0" xfId="0" applyNumberFormat="1" applyFont="1" applyFill="1" applyAlignment="1">
      <alignment horizontal="center"/>
    </xf>
    <xf numFmtId="0" fontId="0" fillId="25" borderId="0" xfId="0" applyFill="1"/>
    <xf numFmtId="170" fontId="0" fillId="9" borderId="0" xfId="0" applyNumberFormat="1" applyFill="1"/>
    <xf numFmtId="4" fontId="0" fillId="9" borderId="0" xfId="0" applyNumberFormat="1" applyFill="1"/>
    <xf numFmtId="49" fontId="6" fillId="9" borderId="0" xfId="0" applyNumberFormat="1" applyFont="1" applyFill="1"/>
    <xf numFmtId="49" fontId="5" fillId="4" borderId="0" xfId="0" applyNumberFormat="1" applyFont="1" applyFill="1" applyAlignment="1">
      <alignment horizontal="center"/>
    </xf>
    <xf numFmtId="0" fontId="0" fillId="26" borderId="0" xfId="0" applyFill="1"/>
    <xf numFmtId="170" fontId="0" fillId="4" borderId="0" xfId="0" applyNumberFormat="1" applyFill="1"/>
    <xf numFmtId="4" fontId="0" fillId="4" borderId="0" xfId="0" applyNumberFormat="1" applyFill="1"/>
    <xf numFmtId="49" fontId="6" fillId="4" borderId="0" xfId="0" applyNumberFormat="1" applyFont="1" applyFill="1"/>
    <xf numFmtId="0" fontId="20" fillId="6" borderId="0" xfId="0" applyFont="1" applyFill="1" applyBorder="1" applyAlignment="1">
      <alignment horizontal="left" wrapText="1"/>
    </xf>
    <xf numFmtId="0" fontId="20" fillId="6" borderId="9" xfId="0" applyFont="1" applyFill="1" applyBorder="1" applyAlignment="1">
      <alignment horizontal="left" wrapText="1"/>
    </xf>
    <xf numFmtId="0" fontId="4" fillId="7" borderId="4" xfId="0" applyFont="1" applyFill="1" applyBorder="1" applyAlignment="1">
      <alignment wrapText="1"/>
    </xf>
    <xf numFmtId="0" fontId="14" fillId="7" borderId="4" xfId="0" applyFont="1" applyFill="1" applyBorder="1"/>
    <xf numFmtId="0" fontId="14" fillId="7" borderId="12" xfId="0" applyFont="1" applyFill="1" applyBorder="1"/>
    <xf numFmtId="0" fontId="13" fillId="7" borderId="20" xfId="0" applyFont="1" applyFill="1" applyBorder="1"/>
    <xf numFmtId="0" fontId="13" fillId="7" borderId="4" xfId="0" applyFont="1" applyFill="1" applyBorder="1"/>
    <xf numFmtId="0" fontId="13" fillId="7" borderId="12" xfId="0" applyFont="1" applyFill="1" applyBorder="1"/>
    <xf numFmtId="0" fontId="13" fillId="4" borderId="0" xfId="0" applyFont="1" applyFill="1"/>
    <xf numFmtId="0" fontId="13" fillId="9" borderId="0" xfId="0" applyFont="1" applyFill="1"/>
    <xf numFmtId="0" fontId="13" fillId="8" borderId="0" xfId="0" applyFont="1" applyFill="1"/>
    <xf numFmtId="0" fontId="13" fillId="23" borderId="0" xfId="0" applyFont="1" applyFill="1"/>
    <xf numFmtId="0" fontId="13" fillId="7" borderId="20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12" xfId="0" applyFont="1" applyFill="1" applyBorder="1" applyAlignment="1">
      <alignment horizontal="center"/>
    </xf>
    <xf numFmtId="0" fontId="21" fillId="8" borderId="28" xfId="0" applyFont="1" applyFill="1" applyBorder="1" applyAlignment="1">
      <alignment horizontal="left"/>
    </xf>
    <xf numFmtId="0" fontId="18" fillId="8" borderId="29" xfId="0" applyFont="1" applyFill="1" applyBorder="1" applyAlignment="1">
      <alignment horizontal="left"/>
    </xf>
    <xf numFmtId="0" fontId="20" fillId="8" borderId="29" xfId="0" applyFont="1" applyFill="1" applyBorder="1" applyAlignment="1">
      <alignment horizontal="left"/>
    </xf>
    <xf numFmtId="0" fontId="21" fillId="9" borderId="28" xfId="0" applyFont="1" applyFill="1" applyBorder="1" applyAlignment="1">
      <alignment horizontal="left"/>
    </xf>
    <xf numFmtId="0" fontId="18" fillId="9" borderId="29" xfId="0" applyFont="1" applyFill="1" applyBorder="1" applyAlignment="1">
      <alignment horizontal="left"/>
    </xf>
    <xf numFmtId="0" fontId="20" fillId="9" borderId="29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18" fillId="3" borderId="4" xfId="0" applyFont="1" applyFill="1" applyBorder="1" applyAlignment="1">
      <alignment horizontal="left"/>
    </xf>
    <xf numFmtId="0" fontId="21" fillId="4" borderId="28" xfId="0" applyFont="1" applyFill="1" applyBorder="1" applyAlignment="1">
      <alignment horizontal="left"/>
    </xf>
    <xf numFmtId="0" fontId="21" fillId="4" borderId="29" xfId="0" applyFont="1" applyFill="1" applyBorder="1" applyAlignment="1">
      <alignment horizontal="left"/>
    </xf>
    <xf numFmtId="0" fontId="20" fillId="4" borderId="29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/>
    </xf>
    <xf numFmtId="0" fontId="13" fillId="3" borderId="4" xfId="0" applyFont="1" applyFill="1" applyBorder="1" applyAlignment="1">
      <alignment horizontal="left" wrapText="1"/>
    </xf>
    <xf numFmtId="0" fontId="13" fillId="3" borderId="4" xfId="0" applyFont="1" applyFill="1" applyBorder="1" applyAlignment="1">
      <alignment horizontal="left"/>
    </xf>
    <xf numFmtId="0" fontId="3" fillId="3" borderId="4" xfId="0" applyFont="1" applyFill="1" applyBorder="1" applyAlignment="1">
      <alignment horizontal="left" wrapText="1"/>
    </xf>
    <xf numFmtId="0" fontId="26" fillId="6" borderId="0" xfId="0" applyFont="1" applyFill="1" applyAlignment="1"/>
    <xf numFmtId="0" fontId="4" fillId="6" borderId="0" xfId="0" applyFont="1" applyFill="1"/>
    <xf numFmtId="4" fontId="4" fillId="6" borderId="0" xfId="0" applyNumberFormat="1" applyFont="1" applyFill="1" applyAlignment="1"/>
    <xf numFmtId="0" fontId="18" fillId="3" borderId="20" xfId="0" applyFont="1" applyFill="1" applyBorder="1" applyAlignment="1">
      <alignment horizontal="left"/>
    </xf>
    <xf numFmtId="0" fontId="0" fillId="29" borderId="0" xfId="0" applyFill="1"/>
    <xf numFmtId="49" fontId="5" fillId="29" borderId="0" xfId="0" applyNumberFormat="1" applyFont="1" applyFill="1" applyAlignment="1">
      <alignment horizontal="center"/>
    </xf>
    <xf numFmtId="49" fontId="6" fillId="29" borderId="0" xfId="0" applyNumberFormat="1" applyFont="1" applyFill="1"/>
    <xf numFmtId="0" fontId="0" fillId="30" borderId="0" xfId="0" applyFill="1"/>
    <xf numFmtId="2" fontId="0" fillId="29" borderId="0" xfId="0" applyNumberFormat="1" applyFill="1"/>
    <xf numFmtId="4" fontId="0" fillId="29" borderId="0" xfId="0" applyNumberFormat="1" applyFill="1"/>
    <xf numFmtId="0" fontId="31" fillId="18" borderId="24" xfId="6" applyNumberFormat="1"/>
    <xf numFmtId="3" fontId="0" fillId="4" borderId="0" xfId="0" applyNumberFormat="1" applyFill="1"/>
    <xf numFmtId="3" fontId="0" fillId="9" borderId="0" xfId="0" applyNumberFormat="1" applyFill="1"/>
    <xf numFmtId="3" fontId="0" fillId="8" borderId="0" xfId="0" applyNumberFormat="1" applyFill="1"/>
    <xf numFmtId="3" fontId="35" fillId="18" borderId="26" xfId="8" applyNumberFormat="1" applyFill="1"/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6" fontId="0" fillId="0" borderId="0" xfId="0" applyNumberFormat="1"/>
    <xf numFmtId="173" fontId="0" fillId="0" borderId="0" xfId="2" applyNumberFormat="1" applyFont="1" applyAlignment="1">
      <alignment horizontal="center"/>
    </xf>
    <xf numFmtId="173" fontId="0" fillId="0" borderId="0" xfId="2" applyNumberFormat="1" applyFont="1" applyAlignment="1">
      <alignment vertical="center" wrapText="1"/>
    </xf>
    <xf numFmtId="0" fontId="43" fillId="0" borderId="0" xfId="0" applyFont="1" applyAlignment="1">
      <alignment horizontal="center"/>
    </xf>
    <xf numFmtId="173" fontId="0" fillId="0" borderId="0" xfId="0" applyNumberFormat="1" applyAlignment="1">
      <alignment horizontal="center"/>
    </xf>
    <xf numFmtId="0" fontId="14" fillId="7" borderId="20" xfId="0" applyFont="1" applyFill="1" applyBorder="1"/>
    <xf numFmtId="164" fontId="17" fillId="7" borderId="4" xfId="1" applyNumberFormat="1" applyFont="1" applyFill="1" applyBorder="1" applyAlignment="1">
      <alignment horizontal="center"/>
    </xf>
    <xf numFmtId="0" fontId="45" fillId="0" borderId="0" xfId="14" applyAlignment="1">
      <alignment horizontal="center"/>
    </xf>
    <xf numFmtId="0" fontId="3" fillId="3" borderId="4" xfId="0" applyFont="1" applyFill="1" applyBorder="1" applyAlignment="1">
      <alignment horizontal="left"/>
    </xf>
    <xf numFmtId="49" fontId="36" fillId="0" borderId="0" xfId="0" applyNumberFormat="1" applyFont="1" applyAlignment="1">
      <alignment horizontal="right"/>
    </xf>
    <xf numFmtId="0" fontId="18" fillId="9" borderId="0" xfId="0" applyFont="1" applyFill="1" applyAlignment="1">
      <alignment horizontal="left"/>
    </xf>
    <xf numFmtId="0" fontId="18" fillId="9" borderId="18" xfId="0" applyFont="1" applyFill="1" applyBorder="1" applyAlignment="1">
      <alignment horizontal="left"/>
    </xf>
    <xf numFmtId="0" fontId="0" fillId="4" borderId="4" xfId="0" applyFill="1" applyBorder="1"/>
    <xf numFmtId="0" fontId="0" fillId="4" borderId="4" xfId="0" applyFill="1" applyBorder="1" applyAlignment="1">
      <alignment horizontal="center"/>
    </xf>
    <xf numFmtId="0" fontId="0" fillId="4" borderId="12" xfId="0" applyFill="1" applyBorder="1"/>
    <xf numFmtId="0" fontId="2" fillId="6" borderId="0" xfId="0" applyFont="1" applyFill="1"/>
    <xf numFmtId="0" fontId="0" fillId="0" borderId="0" xfId="0"/>
    <xf numFmtId="0" fontId="0" fillId="6" borderId="0" xfId="0" applyFill="1" applyAlignment="1"/>
    <xf numFmtId="4" fontId="0" fillId="4" borderId="20" xfId="0" applyNumberFormat="1" applyFill="1" applyBorder="1"/>
    <xf numFmtId="4" fontId="0" fillId="9" borderId="4" xfId="0" applyNumberFormat="1" applyFill="1" applyBorder="1"/>
    <xf numFmtId="4" fontId="0" fillId="8" borderId="4" xfId="0" applyNumberFormat="1" applyFill="1" applyBorder="1"/>
    <xf numFmtId="4" fontId="0" fillId="29" borderId="4" xfId="0" applyNumberFormat="1" applyFill="1" applyBorder="1"/>
    <xf numFmtId="0" fontId="0" fillId="0" borderId="4" xfId="0" applyBorder="1"/>
    <xf numFmtId="0" fontId="0" fillId="2" borderId="12" xfId="0" applyFill="1" applyBorder="1"/>
    <xf numFmtId="0" fontId="0" fillId="0" borderId="0" xfId="0"/>
    <xf numFmtId="171" fontId="3" fillId="0" borderId="0" xfId="1" applyNumberFormat="1" applyFont="1" applyFill="1" applyBorder="1"/>
    <xf numFmtId="173" fontId="38" fillId="0" borderId="0" xfId="2" applyNumberFormat="1" applyFont="1" applyFill="1" applyBorder="1"/>
    <xf numFmtId="0" fontId="0" fillId="0" borderId="0" xfId="0" applyFill="1" applyBorder="1"/>
    <xf numFmtId="168" fontId="7" fillId="0" borderId="0" xfId="4" applyNumberFormat="1" applyFont="1" applyAlignment="1">
      <alignment horizontal="right"/>
    </xf>
    <xf numFmtId="0" fontId="31" fillId="18" borderId="61" xfId="6" applyBorder="1"/>
    <xf numFmtId="43" fontId="31" fillId="18" borderId="24" xfId="6" applyNumberFormat="1"/>
    <xf numFmtId="170" fontId="31" fillId="18" borderId="24" xfId="6" applyNumberFormat="1"/>
    <xf numFmtId="2" fontId="31" fillId="18" borderId="24" xfId="6" applyNumberFormat="1"/>
    <xf numFmtId="4" fontId="31" fillId="18" borderId="24" xfId="6" applyNumberFormat="1"/>
    <xf numFmtId="0" fontId="6" fillId="8" borderId="0" xfId="0" applyNumberFormat="1" applyFont="1" applyFill="1"/>
    <xf numFmtId="0" fontId="6" fillId="29" borderId="0" xfId="0" applyNumberFormat="1" applyFont="1" applyFill="1"/>
    <xf numFmtId="0" fontId="31" fillId="29" borderId="24" xfId="6" applyNumberFormat="1" applyFill="1"/>
    <xf numFmtId="44" fontId="3" fillId="0" borderId="0" xfId="2" applyFont="1"/>
    <xf numFmtId="43" fontId="3" fillId="0" borderId="0" xfId="1" applyFont="1"/>
    <xf numFmtId="10" fontId="3" fillId="0" borderId="0" xfId="4" applyNumberFormat="1" applyFont="1"/>
    <xf numFmtId="10" fontId="3" fillId="0" borderId="17" xfId="4" applyNumberFormat="1" applyFont="1" applyBorder="1"/>
    <xf numFmtId="49" fontId="37" fillId="0" borderId="0" xfId="0" quotePrefix="1" applyNumberFormat="1" applyFont="1"/>
    <xf numFmtId="170" fontId="0" fillId="29" borderId="0" xfId="0" applyNumberFormat="1" applyFill="1"/>
    <xf numFmtId="1" fontId="0" fillId="29" borderId="0" xfId="0" applyNumberFormat="1" applyFill="1"/>
    <xf numFmtId="1" fontId="0" fillId="30" borderId="0" xfId="0" applyNumberFormat="1" applyFill="1"/>
    <xf numFmtId="3" fontId="0" fillId="29" borderId="0" xfId="0" applyNumberFormat="1" applyFill="1"/>
    <xf numFmtId="171" fontId="0" fillId="4" borderId="0" xfId="0" applyNumberFormat="1" applyFill="1"/>
    <xf numFmtId="171" fontId="0" fillId="9" borderId="0" xfId="0" applyNumberFormat="1" applyFill="1"/>
    <xf numFmtId="171" fontId="0" fillId="8" borderId="0" xfId="0" applyNumberFormat="1" applyFill="1"/>
    <xf numFmtId="171" fontId="0" fillId="29" borderId="0" xfId="0" applyNumberFormat="1" applyFill="1"/>
    <xf numFmtId="1" fontId="0" fillId="4" borderId="0" xfId="0" applyNumberFormat="1" applyFill="1"/>
    <xf numFmtId="1" fontId="0" fillId="9" borderId="0" xfId="0" applyNumberFormat="1" applyFill="1"/>
    <xf numFmtId="1" fontId="0" fillId="8" borderId="0" xfId="0" applyNumberFormat="1" applyFill="1"/>
    <xf numFmtId="37" fontId="0" fillId="4" borderId="0" xfId="2" applyNumberFormat="1" applyFont="1" applyFill="1"/>
    <xf numFmtId="37" fontId="0" fillId="9" borderId="0" xfId="2" applyNumberFormat="1" applyFont="1" applyFill="1"/>
    <xf numFmtId="37" fontId="0" fillId="8" borderId="0" xfId="2" applyNumberFormat="1" applyFont="1" applyFill="1"/>
    <xf numFmtId="37" fontId="0" fillId="29" borderId="0" xfId="2" applyNumberFormat="1" applyFont="1" applyFill="1"/>
    <xf numFmtId="49" fontId="0" fillId="0" borderId="0" xfId="0" applyNumberFormat="1"/>
    <xf numFmtId="0" fontId="0" fillId="0" borderId="0" xfId="0"/>
    <xf numFmtId="0" fontId="0" fillId="0" borderId="0" xfId="0"/>
    <xf numFmtId="0" fontId="51" fillId="15" borderId="0" xfId="0" applyNumberFormat="1" applyFont="1" applyFill="1" applyBorder="1"/>
    <xf numFmtId="0" fontId="9" fillId="15" borderId="0" xfId="0" applyNumberFormat="1" applyFont="1" applyFill="1" applyBorder="1" applyAlignment="1">
      <alignment horizontal="center"/>
    </xf>
    <xf numFmtId="0" fontId="9" fillId="15" borderId="0" xfId="0" applyNumberFormat="1" applyFont="1" applyFill="1" applyBorder="1"/>
    <xf numFmtId="0" fontId="51" fillId="15" borderId="0" xfId="6" applyNumberFormat="1" applyFont="1" applyFill="1" applyBorder="1"/>
    <xf numFmtId="49" fontId="9" fillId="15" borderId="0" xfId="0" applyNumberFormat="1" applyFont="1" applyFill="1" applyBorder="1"/>
    <xf numFmtId="0" fontId="27" fillId="9" borderId="0" xfId="0" applyFont="1" applyFill="1" applyBorder="1"/>
    <xf numFmtId="49" fontId="49" fillId="9" borderId="0" xfId="0" applyNumberFormat="1" applyFont="1" applyFill="1" applyBorder="1" applyAlignment="1">
      <alignment horizontal="center"/>
    </xf>
    <xf numFmtId="0" fontId="50" fillId="9" borderId="0" xfId="0" applyNumberFormat="1" applyFont="1" applyFill="1" applyBorder="1"/>
    <xf numFmtId="0" fontId="16" fillId="9" borderId="0" xfId="6" applyNumberFormat="1" applyFont="1" applyFill="1" applyBorder="1"/>
    <xf numFmtId="49" fontId="50" fillId="9" borderId="0" xfId="0" applyNumberFormat="1" applyFont="1" applyFill="1" applyBorder="1"/>
    <xf numFmtId="0" fontId="27" fillId="9" borderId="0" xfId="8" applyFont="1" applyFill="1" applyBorder="1"/>
    <xf numFmtId="0" fontId="27" fillId="4" borderId="0" xfId="8" applyFont="1" applyFill="1" applyBorder="1"/>
    <xf numFmtId="0" fontId="27" fillId="29" borderId="0" xfId="8" applyFont="1" applyFill="1" applyBorder="1"/>
    <xf numFmtId="0" fontId="27" fillId="8" borderId="0" xfId="8" applyFont="1" applyFill="1" applyBorder="1"/>
    <xf numFmtId="0" fontId="2" fillId="0" borderId="0" xfId="0" applyFont="1"/>
    <xf numFmtId="0" fontId="0" fillId="0" borderId="0" xfId="0"/>
    <xf numFmtId="0" fontId="13" fillId="7" borderId="60" xfId="0" applyFont="1" applyFill="1" applyBorder="1" applyAlignment="1">
      <alignment horizontal="center"/>
    </xf>
    <xf numFmtId="0" fontId="0" fillId="0" borderId="9" xfId="0" applyBorder="1"/>
    <xf numFmtId="171" fontId="3" fillId="0" borderId="0" xfId="1" quotePrefix="1" applyNumberFormat="1" applyFont="1" applyBorder="1"/>
    <xf numFmtId="0" fontId="0" fillId="0" borderId="0" xfId="0" applyBorder="1"/>
    <xf numFmtId="171" fontId="3" fillId="0" borderId="0" xfId="1" applyNumberFormat="1" applyFont="1" applyBorder="1"/>
    <xf numFmtId="0" fontId="0" fillId="0" borderId="11" xfId="0" applyBorder="1"/>
    <xf numFmtId="171" fontId="3" fillId="0" borderId="57" xfId="1" applyNumberFormat="1" applyFont="1" applyBorder="1" applyAlignment="1">
      <alignment horizontal="center" wrapText="1"/>
    </xf>
    <xf numFmtId="171" fontId="3" fillId="0" borderId="0" xfId="0" applyNumberFormat="1" applyFont="1" applyBorder="1"/>
    <xf numFmtId="173" fontId="39" fillId="0" borderId="0" xfId="2" applyNumberFormat="1" applyFont="1" applyBorder="1"/>
    <xf numFmtId="9" fontId="3" fillId="0" borderId="0" xfId="4" applyFont="1" applyBorder="1"/>
    <xf numFmtId="173" fontId="7" fillId="0" borderId="11" xfId="2" applyNumberFormat="1" applyFont="1" applyBorder="1"/>
    <xf numFmtId="171" fontId="39" fillId="0" borderId="0" xfId="0" applyNumberFormat="1" applyFont="1" applyBorder="1"/>
    <xf numFmtId="171" fontId="7" fillId="0" borderId="11" xfId="1" applyNumberFormat="1" applyFont="1" applyBorder="1"/>
    <xf numFmtId="0" fontId="0" fillId="0" borderId="13" xfId="0" applyBorder="1"/>
    <xf numFmtId="171" fontId="3" fillId="0" borderId="3" xfId="0" applyNumberFormat="1" applyFont="1" applyBorder="1"/>
    <xf numFmtId="171" fontId="39" fillId="0" borderId="3" xfId="0" applyNumberFormat="1" applyFont="1" applyBorder="1"/>
    <xf numFmtId="9" fontId="3" fillId="0" borderId="3" xfId="4" applyFont="1" applyBorder="1"/>
    <xf numFmtId="171" fontId="7" fillId="0" borderId="10" xfId="1" applyNumberFormat="1" applyFont="1" applyBorder="1"/>
    <xf numFmtId="0" fontId="3" fillId="0" borderId="3" xfId="0" applyFont="1" applyBorder="1"/>
    <xf numFmtId="0" fontId="3" fillId="0" borderId="0" xfId="0" applyFont="1" applyBorder="1"/>
    <xf numFmtId="0" fontId="0" fillId="0" borderId="7" xfId="0" applyBorder="1"/>
    <xf numFmtId="0" fontId="0" fillId="0" borderId="6" xfId="0" applyBorder="1"/>
    <xf numFmtId="0" fontId="4" fillId="0" borderId="6" xfId="0" applyFont="1" applyBorder="1"/>
    <xf numFmtId="171" fontId="3" fillId="5" borderId="32" xfId="1" applyNumberFormat="1" applyFont="1" applyFill="1" applyBorder="1" applyAlignment="1">
      <alignment horizontal="center"/>
    </xf>
    <xf numFmtId="0" fontId="0" fillId="0" borderId="8" xfId="0" applyBorder="1"/>
    <xf numFmtId="0" fontId="3" fillId="0" borderId="9" xfId="0" applyFont="1" applyBorder="1"/>
    <xf numFmtId="0" fontId="3" fillId="0" borderId="0" xfId="0" applyFont="1" applyBorder="1" applyAlignment="1">
      <alignment horizontal="center"/>
    </xf>
    <xf numFmtId="44" fontId="7" fillId="0" borderId="0" xfId="2" applyFont="1" applyBorder="1"/>
    <xf numFmtId="44" fontId="40" fillId="0" borderId="0" xfId="2" applyFont="1" applyBorder="1"/>
    <xf numFmtId="0" fontId="3" fillId="0" borderId="13" xfId="0" applyFont="1" applyBorder="1"/>
    <xf numFmtId="44" fontId="3" fillId="0" borderId="3" xfId="0" applyNumberFormat="1" applyFont="1" applyBorder="1"/>
    <xf numFmtId="0" fontId="0" fillId="0" borderId="10" xfId="0" applyBorder="1"/>
    <xf numFmtId="0" fontId="0" fillId="0" borderId="0" xfId="0" applyFill="1"/>
    <xf numFmtId="0" fontId="3" fillId="27" borderId="9" xfId="0" applyFont="1" applyFill="1" applyBorder="1"/>
    <xf numFmtId="171" fontId="7" fillId="0" borderId="0" xfId="1" applyNumberFormat="1" applyFont="1" applyBorder="1"/>
    <xf numFmtId="49" fontId="37" fillId="0" borderId="0" xfId="0" applyNumberFormat="1" applyFont="1" applyFill="1" applyAlignment="1">
      <alignment horizontal="right"/>
    </xf>
    <xf numFmtId="0" fontId="0" fillId="0" borderId="0" xfId="0" applyFill="1" applyAlignment="1">
      <alignment horizontal="right"/>
    </xf>
    <xf numFmtId="171" fontId="3" fillId="0" borderId="6" xfId="1" applyNumberFormat="1" applyFont="1" applyBorder="1"/>
    <xf numFmtId="0" fontId="4" fillId="0" borderId="0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73" fontId="38" fillId="0" borderId="0" xfId="2" applyNumberFormat="1" applyFont="1" applyBorder="1"/>
    <xf numFmtId="171" fontId="3" fillId="0" borderId="0" xfId="1" applyNumberFormat="1" applyFont="1" applyBorder="1" applyAlignment="1">
      <alignment horizontal="right"/>
    </xf>
    <xf numFmtId="171" fontId="47" fillId="0" borderId="26" xfId="8" applyNumberFormat="1" applyFont="1" applyBorder="1"/>
    <xf numFmtId="49" fontId="36" fillId="0" borderId="0" xfId="0" applyNumberFormat="1" applyFont="1" applyBorder="1" applyAlignment="1">
      <alignment horizontal="right"/>
    </xf>
    <xf numFmtId="9" fontId="7" fillId="0" borderId="9" xfId="4" applyFont="1" applyBorder="1" applyAlignment="1">
      <alignment horizontal="right"/>
    </xf>
    <xf numFmtId="49" fontId="37" fillId="0" borderId="0" xfId="0" applyNumberFormat="1" applyFont="1" applyBorder="1" applyAlignment="1">
      <alignment horizontal="right"/>
    </xf>
    <xf numFmtId="168" fontId="7" fillId="0" borderId="9" xfId="4" applyNumberFormat="1" applyFont="1" applyBorder="1" applyAlignment="1">
      <alignment horizontal="right"/>
    </xf>
    <xf numFmtId="168" fontId="38" fillId="0" borderId="0" xfId="4" applyNumberFormat="1" applyFont="1" applyBorder="1"/>
    <xf numFmtId="49" fontId="36" fillId="0" borderId="3" xfId="0" applyNumberFormat="1" applyFont="1" applyBorder="1"/>
    <xf numFmtId="171" fontId="3" fillId="0" borderId="3" xfId="1" applyNumberFormat="1" applyFont="1" applyBorder="1"/>
    <xf numFmtId="0" fontId="0" fillId="0" borderId="3" xfId="0" applyBorder="1"/>
    <xf numFmtId="171" fontId="3" fillId="27" borderId="71" xfId="1" applyNumberFormat="1" applyFont="1" applyFill="1" applyBorder="1"/>
    <xf numFmtId="171" fontId="3" fillId="27" borderId="9" xfId="1" applyNumberFormat="1" applyFont="1" applyFill="1" applyBorder="1"/>
    <xf numFmtId="171" fontId="7" fillId="27" borderId="9" xfId="1" applyNumberFormat="1" applyFont="1" applyFill="1" applyBorder="1"/>
    <xf numFmtId="44" fontId="17" fillId="27" borderId="9" xfId="2" applyFont="1" applyFill="1" applyBorder="1"/>
    <xf numFmtId="173" fontId="38" fillId="27" borderId="9" xfId="2" applyNumberFormat="1" applyFont="1" applyFill="1" applyBorder="1"/>
    <xf numFmtId="49" fontId="36" fillId="27" borderId="13" xfId="0" applyNumberFormat="1" applyFont="1" applyFill="1" applyBorder="1"/>
    <xf numFmtId="44" fontId="3" fillId="0" borderId="0" xfId="0" applyNumberFormat="1" applyFont="1" applyBorder="1"/>
    <xf numFmtId="0" fontId="3" fillId="4" borderId="0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9" borderId="0" xfId="0" applyFont="1" applyFill="1" applyBorder="1" applyAlignment="1">
      <alignment horizontal="center"/>
    </xf>
    <xf numFmtId="0" fontId="4" fillId="9" borderId="0" xfId="0" applyFont="1" applyFill="1" applyBorder="1" applyAlignment="1">
      <alignment horizontal="center"/>
    </xf>
    <xf numFmtId="0" fontId="3" fillId="8" borderId="0" xfId="0" applyFont="1" applyFill="1" applyBorder="1" applyAlignment="1">
      <alignment horizontal="center"/>
    </xf>
    <xf numFmtId="0" fontId="4" fillId="8" borderId="0" xfId="0" applyFont="1" applyFill="1" applyBorder="1" applyAlignment="1">
      <alignment horizontal="center"/>
    </xf>
    <xf numFmtId="0" fontId="3" fillId="23" borderId="0" xfId="0" applyFont="1" applyFill="1" applyBorder="1" applyAlignment="1">
      <alignment horizontal="center"/>
    </xf>
    <xf numFmtId="0" fontId="4" fillId="23" borderId="0" xfId="0" applyFont="1" applyFill="1" applyBorder="1" applyAlignment="1">
      <alignment horizontal="center"/>
    </xf>
    <xf numFmtId="0" fontId="18" fillId="29" borderId="0" xfId="0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0" fontId="18" fillId="29" borderId="9" xfId="0" applyFont="1" applyFill="1" applyBorder="1" applyAlignment="1">
      <alignment horizontal="left"/>
    </xf>
    <xf numFmtId="0" fontId="4" fillId="29" borderId="17" xfId="0" applyFont="1" applyFill="1" applyBorder="1" applyAlignment="1">
      <alignment horizontal="left"/>
    </xf>
    <xf numFmtId="0" fontId="21" fillId="29" borderId="36" xfId="0" applyFont="1" applyFill="1" applyBorder="1" applyAlignment="1">
      <alignment horizontal="left"/>
    </xf>
    <xf numFmtId="0" fontId="18" fillId="29" borderId="37" xfId="0" applyFont="1" applyFill="1" applyBorder="1" applyAlignment="1">
      <alignment horizontal="left"/>
    </xf>
    <xf numFmtId="0" fontId="20" fillId="29" borderId="37" xfId="0" applyFont="1" applyFill="1" applyBorder="1" applyAlignment="1">
      <alignment horizontal="left"/>
    </xf>
    <xf numFmtId="0" fontId="14" fillId="7" borderId="13" xfId="0" applyFont="1" applyFill="1" applyBorder="1"/>
    <xf numFmtId="0" fontId="4" fillId="7" borderId="3" xfId="0" applyFont="1" applyFill="1" applyBorder="1" applyAlignment="1">
      <alignment wrapText="1"/>
    </xf>
    <xf numFmtId="0" fontId="14" fillId="7" borderId="3" xfId="0" applyFont="1" applyFill="1" applyBorder="1"/>
    <xf numFmtId="0" fontId="14" fillId="7" borderId="10" xfId="0" applyFont="1" applyFill="1" applyBorder="1"/>
    <xf numFmtId="0" fontId="13" fillId="7" borderId="13" xfId="0" applyFont="1" applyFill="1" applyBorder="1"/>
    <xf numFmtId="0" fontId="13" fillId="7" borderId="3" xfId="0" applyFont="1" applyFill="1" applyBorder="1"/>
    <xf numFmtId="0" fontId="13" fillId="7" borderId="10" xfId="0" applyFont="1" applyFill="1" applyBorder="1"/>
    <xf numFmtId="0" fontId="4" fillId="7" borderId="3" xfId="0" applyFont="1" applyFill="1" applyBorder="1" applyAlignment="1">
      <alignment horizontal="center"/>
    </xf>
    <xf numFmtId="0" fontId="13" fillId="7" borderId="3" xfId="0" applyFont="1" applyFill="1" applyBorder="1" applyAlignment="1">
      <alignment horizontal="center"/>
    </xf>
    <xf numFmtId="169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horizontal="center"/>
      <protection locked="0"/>
    </xf>
    <xf numFmtId="3" fontId="30" fillId="23" borderId="68" xfId="5" applyNumberFormat="1" applyFill="1" applyBorder="1" applyProtection="1">
      <protection locked="0"/>
    </xf>
    <xf numFmtId="3" fontId="30" fillId="23" borderId="68" xfId="5" applyNumberFormat="1" applyFill="1" applyBorder="1" applyAlignment="1" applyProtection="1">
      <alignment wrapText="1"/>
      <protection locked="0"/>
    </xf>
    <xf numFmtId="4" fontId="30" fillId="23" borderId="68" xfId="5" applyNumberFormat="1" applyFill="1" applyBorder="1" applyProtection="1">
      <protection locked="0"/>
    </xf>
    <xf numFmtId="4" fontId="30" fillId="23" borderId="68" xfId="5" applyNumberFormat="1" applyFill="1" applyBorder="1" applyAlignment="1" applyProtection="1">
      <alignment wrapText="1"/>
      <protection locked="0"/>
    </xf>
    <xf numFmtId="0" fontId="8" fillId="23" borderId="68" xfId="0" applyFont="1" applyFill="1" applyBorder="1" applyProtection="1">
      <protection locked="0"/>
    </xf>
    <xf numFmtId="0" fontId="8" fillId="23" borderId="69" xfId="0" applyFont="1" applyFill="1" applyBorder="1" applyProtection="1">
      <protection locked="0"/>
    </xf>
    <xf numFmtId="0" fontId="11" fillId="0" borderId="18" xfId="0" applyFont="1" applyBorder="1"/>
    <xf numFmtId="4" fontId="11" fillId="0" borderId="18" xfId="0" applyNumberFormat="1" applyFont="1" applyBorder="1"/>
    <xf numFmtId="44" fontId="11" fillId="0" borderId="18" xfId="2" applyFont="1" applyBorder="1" applyAlignment="1">
      <alignment horizontal="center" wrapText="1"/>
    </xf>
    <xf numFmtId="0" fontId="30" fillId="23" borderId="68" xfId="5" applyFill="1" applyBorder="1" applyProtection="1">
      <protection locked="0"/>
    </xf>
    <xf numFmtId="43" fontId="30" fillId="23" borderId="68" xfId="5" applyNumberFormat="1" applyFill="1" applyBorder="1" applyProtection="1">
      <protection locked="0"/>
    </xf>
    <xf numFmtId="4" fontId="8" fillId="23" borderId="68" xfId="0" applyNumberFormat="1" applyFont="1" applyFill="1" applyBorder="1" applyProtection="1">
      <protection locked="0"/>
    </xf>
    <xf numFmtId="3" fontId="11" fillId="0" borderId="5" xfId="0" applyNumberFormat="1" applyFont="1" applyBorder="1" applyAlignment="1" applyProtection="1">
      <alignment horizontal="center" wrapText="1"/>
    </xf>
    <xf numFmtId="44" fontId="11" fillId="0" borderId="5" xfId="0" applyNumberFormat="1" applyFont="1" applyBorder="1" applyAlignment="1" applyProtection="1">
      <alignment horizontal="center" wrapText="1"/>
    </xf>
    <xf numFmtId="4" fontId="11" fillId="0" borderId="5" xfId="0" applyNumberFormat="1" applyFont="1" applyBorder="1" applyAlignment="1" applyProtection="1">
      <alignment horizontal="center" wrapText="1"/>
    </xf>
    <xf numFmtId="0" fontId="11" fillId="0" borderId="5" xfId="0" applyFont="1" applyBorder="1" applyProtection="1"/>
    <xf numFmtId="4" fontId="11" fillId="0" borderId="5" xfId="0" applyNumberFormat="1" applyFont="1" applyBorder="1" applyProtection="1"/>
    <xf numFmtId="44" fontId="17" fillId="38" borderId="0" xfId="2" applyFont="1" applyFill="1" applyBorder="1"/>
    <xf numFmtId="49" fontId="18" fillId="0" borderId="0" xfId="0" applyNumberFormat="1" applyFont="1" applyAlignment="1">
      <alignment horizontal="center"/>
    </xf>
    <xf numFmtId="0" fontId="4" fillId="0" borderId="0" xfId="0" applyFont="1" applyAlignment="1" applyProtection="1">
      <alignment horizontal="right"/>
    </xf>
    <xf numFmtId="0" fontId="3" fillId="0" borderId="0" xfId="0" applyFont="1" applyProtection="1"/>
    <xf numFmtId="0" fontId="4" fillId="0" borderId="0" xfId="0" applyFont="1" applyProtection="1"/>
    <xf numFmtId="0" fontId="4" fillId="28" borderId="7" xfId="0" applyFont="1" applyFill="1" applyBorder="1" applyProtection="1"/>
    <xf numFmtId="0" fontId="4" fillId="28" borderId="6" xfId="0" applyFont="1" applyFill="1" applyBorder="1" applyProtection="1"/>
    <xf numFmtId="0" fontId="4" fillId="28" borderId="8" xfId="0" applyFont="1" applyFill="1" applyBorder="1" applyProtection="1"/>
    <xf numFmtId="168" fontId="3" fillId="0" borderId="0" xfId="4" applyNumberFormat="1" applyFont="1" applyProtection="1"/>
    <xf numFmtId="0" fontId="4" fillId="27" borderId="9" xfId="0" applyFont="1" applyFill="1" applyBorder="1" applyProtection="1"/>
    <xf numFmtId="0" fontId="3" fillId="27" borderId="0" xfId="0" applyFont="1" applyFill="1" applyBorder="1" applyProtection="1"/>
    <xf numFmtId="0" fontId="3" fillId="27" borderId="11" xfId="0" applyFont="1" applyFill="1" applyBorder="1" applyProtection="1"/>
    <xf numFmtId="0" fontId="52" fillId="23" borderId="68" xfId="0" applyFont="1" applyFill="1" applyBorder="1" applyProtection="1"/>
    <xf numFmtId="0" fontId="3" fillId="27" borderId="9" xfId="0" applyFont="1" applyFill="1" applyBorder="1" applyProtection="1"/>
    <xf numFmtId="9" fontId="7" fillId="27" borderId="0" xfId="4" applyFont="1" applyFill="1" applyBorder="1" applyProtection="1"/>
    <xf numFmtId="9" fontId="7" fillId="27" borderId="11" xfId="4" applyFont="1" applyFill="1" applyBorder="1" applyProtection="1"/>
    <xf numFmtId="168" fontId="7" fillId="27" borderId="0" xfId="4" applyNumberFormat="1" applyFont="1" applyFill="1" applyBorder="1" applyProtection="1"/>
    <xf numFmtId="168" fontId="7" fillId="27" borderId="11" xfId="4" applyNumberFormat="1" applyFont="1" applyFill="1" applyBorder="1" applyProtection="1"/>
    <xf numFmtId="44" fontId="7" fillId="0" borderId="13" xfId="0" applyNumberFormat="1" applyFont="1" applyBorder="1" applyProtection="1"/>
    <xf numFmtId="0" fontId="3" fillId="0" borderId="3" xfId="0" applyFont="1" applyBorder="1" applyAlignment="1" applyProtection="1">
      <alignment horizontal="right"/>
    </xf>
    <xf numFmtId="0" fontId="2" fillId="28" borderId="7" xfId="0" applyFont="1" applyFill="1" applyBorder="1" applyProtection="1"/>
    <xf numFmtId="0" fontId="3" fillId="28" borderId="6" xfId="0" applyFont="1" applyFill="1" applyBorder="1" applyProtection="1"/>
    <xf numFmtId="0" fontId="3" fillId="0" borderId="8" xfId="0" applyFont="1" applyBorder="1" applyProtection="1"/>
    <xf numFmtId="0" fontId="4" fillId="28" borderId="9" xfId="0" applyFont="1" applyFill="1" applyBorder="1" applyProtection="1"/>
    <xf numFmtId="0" fontId="3" fillId="28" borderId="0" xfId="0" applyFont="1" applyFill="1" applyBorder="1" applyProtection="1"/>
    <xf numFmtId="0" fontId="3" fillId="0" borderId="11" xfId="0" applyFont="1" applyBorder="1" applyProtection="1"/>
    <xf numFmtId="0" fontId="4" fillId="0" borderId="0" xfId="0" applyFont="1" applyBorder="1" applyProtection="1"/>
    <xf numFmtId="0" fontId="3" fillId="0" borderId="0" xfId="0" applyFont="1" applyFill="1" applyBorder="1" applyProtection="1"/>
    <xf numFmtId="0" fontId="3" fillId="0" borderId="0" xfId="0" applyFont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right" wrapText="1"/>
    </xf>
    <xf numFmtId="0" fontId="3" fillId="0" borderId="11" xfId="0" applyFont="1" applyFill="1" applyBorder="1" applyAlignment="1" applyProtection="1">
      <alignment horizontal="center"/>
    </xf>
    <xf numFmtId="0" fontId="3" fillId="0" borderId="13" xfId="0" applyFont="1" applyFill="1" applyBorder="1" applyAlignment="1" applyProtection="1">
      <alignment horizontal="right" wrapText="1"/>
    </xf>
    <xf numFmtId="0" fontId="3" fillId="0" borderId="3" xfId="0" applyFont="1" applyFill="1" applyBorder="1" applyAlignment="1" applyProtection="1">
      <alignment horizontal="left"/>
    </xf>
    <xf numFmtId="0" fontId="3" fillId="0" borderId="10" xfId="0" applyFont="1" applyFill="1" applyBorder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3" fillId="0" borderId="0" xfId="0" applyFont="1" applyFill="1" applyBorder="1" applyAlignment="1" applyProtection="1">
      <alignment horizontal="center"/>
    </xf>
    <xf numFmtId="0" fontId="4" fillId="0" borderId="0" xfId="0" applyFont="1" applyFill="1" applyBorder="1" applyProtection="1"/>
    <xf numFmtId="0" fontId="4" fillId="34" borderId="0" xfId="0" applyFont="1" applyFill="1" applyProtection="1"/>
    <xf numFmtId="0" fontId="3" fillId="34" borderId="0" xfId="0" applyFont="1" applyFill="1" applyBorder="1" applyProtection="1"/>
    <xf numFmtId="0" fontId="3" fillId="34" borderId="0" xfId="0" applyFont="1" applyFill="1" applyProtection="1"/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Fill="1" applyProtection="1"/>
    <xf numFmtId="0" fontId="4" fillId="0" borderId="0" xfId="0" applyFont="1" applyFill="1" applyProtection="1"/>
    <xf numFmtId="171" fontId="40" fillId="0" borderId="0" xfId="8" applyNumberFormat="1" applyFont="1" applyFill="1" applyBorder="1" applyProtection="1"/>
    <xf numFmtId="171" fontId="40" fillId="0" borderId="2" xfId="8" applyNumberFormat="1" applyFont="1" applyFill="1" applyBorder="1" applyProtection="1"/>
    <xf numFmtId="171" fontId="40" fillId="0" borderId="62" xfId="1" applyNumberFormat="1" applyFont="1" applyFill="1" applyBorder="1" applyProtection="1"/>
    <xf numFmtId="171" fontId="40" fillId="0" borderId="0" xfId="1" applyNumberFormat="1" applyFont="1" applyFill="1" applyBorder="1" applyProtection="1"/>
    <xf numFmtId="0" fontId="0" fillId="0" borderId="0" xfId="0" applyFill="1" applyProtection="1"/>
    <xf numFmtId="171" fontId="40" fillId="0" borderId="29" xfId="8" applyNumberFormat="1" applyFont="1" applyFill="1" applyBorder="1" applyProtection="1"/>
    <xf numFmtId="171" fontId="40" fillId="0" borderId="64" xfId="8" applyNumberFormat="1" applyFont="1" applyFill="1" applyBorder="1" applyProtection="1"/>
    <xf numFmtId="171" fontId="40" fillId="0" borderId="65" xfId="1" applyNumberFormat="1" applyFont="1" applyFill="1" applyBorder="1" applyProtection="1"/>
    <xf numFmtId="171" fontId="40" fillId="0" borderId="66" xfId="6" applyNumberFormat="1" applyFont="1" applyFill="1" applyBorder="1" applyProtection="1"/>
    <xf numFmtId="171" fontId="40" fillId="0" borderId="67" xfId="6" applyNumberFormat="1" applyFont="1" applyFill="1" applyBorder="1" applyProtection="1"/>
    <xf numFmtId="171" fontId="40" fillId="0" borderId="63" xfId="1" applyNumberFormat="1" applyFont="1" applyFill="1" applyBorder="1" applyProtection="1"/>
    <xf numFmtId="0" fontId="3" fillId="0" borderId="62" xfId="0" applyFont="1" applyFill="1" applyBorder="1" applyProtection="1"/>
    <xf numFmtId="0" fontId="3" fillId="0" borderId="0" xfId="0" applyFont="1" applyBorder="1" applyProtection="1"/>
    <xf numFmtId="0" fontId="3" fillId="0" borderId="62" xfId="0" applyFont="1" applyBorder="1" applyProtection="1"/>
    <xf numFmtId="0" fontId="3" fillId="0" borderId="0" xfId="0" applyFont="1" applyAlignment="1" applyProtection="1">
      <alignment wrapText="1"/>
    </xf>
    <xf numFmtId="171" fontId="7" fillId="0" borderId="2" xfId="1" applyNumberFormat="1" applyFont="1" applyBorder="1" applyProtection="1"/>
    <xf numFmtId="171" fontId="7" fillId="0" borderId="0" xfId="1" applyNumberFormat="1" applyFont="1" applyBorder="1" applyProtection="1"/>
    <xf numFmtId="0" fontId="3" fillId="0" borderId="2" xfId="0" applyFont="1" applyBorder="1" applyProtection="1"/>
    <xf numFmtId="43" fontId="40" fillId="0" borderId="0" xfId="1" applyFont="1" applyProtection="1"/>
    <xf numFmtId="0" fontId="7" fillId="0" borderId="2" xfId="0" applyNumberFormat="1" applyFont="1" applyBorder="1" applyProtection="1"/>
    <xf numFmtId="0" fontId="7" fillId="0" borderId="0" xfId="0" applyNumberFormat="1" applyFont="1" applyBorder="1" applyProtection="1"/>
    <xf numFmtId="44" fontId="7" fillId="0" borderId="0" xfId="2" applyFont="1" applyProtection="1"/>
    <xf numFmtId="44" fontId="40" fillId="0" borderId="0" xfId="2" applyFont="1" applyBorder="1" applyProtection="1"/>
    <xf numFmtId="44" fontId="40" fillId="0" borderId="0" xfId="0" applyNumberFormat="1" applyFont="1" applyBorder="1" applyProtection="1"/>
    <xf numFmtId="44" fontId="40" fillId="0" borderId="2" xfId="0" applyNumberFormat="1" applyFont="1" applyBorder="1" applyProtection="1"/>
    <xf numFmtId="0" fontId="7" fillId="0" borderId="2" xfId="2" applyNumberFormat="1" applyFont="1" applyBorder="1" applyProtection="1"/>
    <xf numFmtId="0" fontId="7" fillId="0" borderId="0" xfId="2" applyNumberFormat="1" applyFont="1" applyBorder="1" applyProtection="1"/>
    <xf numFmtId="44" fontId="4" fillId="0" borderId="0" xfId="0" applyNumberFormat="1" applyFont="1" applyProtection="1"/>
    <xf numFmtId="43" fontId="40" fillId="0" borderId="0" xfId="0" applyNumberFormat="1" applyFont="1" applyProtection="1"/>
    <xf numFmtId="171" fontId="40" fillId="0" borderId="62" xfId="1" applyNumberFormat="1" applyFont="1" applyBorder="1" applyProtection="1"/>
    <xf numFmtId="171" fontId="40" fillId="0" borderId="0" xfId="1" applyNumberFormat="1" applyFont="1" applyBorder="1" applyProtection="1"/>
    <xf numFmtId="2" fontId="9" fillId="34" borderId="0" xfId="3" applyNumberFormat="1" applyFill="1" applyAlignment="1" applyProtection="1">
      <alignment horizontal="right"/>
    </xf>
    <xf numFmtId="43" fontId="40" fillId="34" borderId="62" xfId="1" applyNumberFormat="1" applyFont="1" applyFill="1" applyBorder="1" applyAlignment="1" applyProtection="1">
      <alignment horizontal="right"/>
    </xf>
    <xf numFmtId="43" fontId="40" fillId="34" borderId="0" xfId="1" applyNumberFormat="1" applyFont="1" applyFill="1" applyBorder="1" applyAlignment="1" applyProtection="1">
      <alignment horizontal="right"/>
    </xf>
    <xf numFmtId="43" fontId="3" fillId="0" borderId="0" xfId="0" applyNumberFormat="1" applyFont="1" applyProtection="1"/>
    <xf numFmtId="0" fontId="40" fillId="0" borderId="0" xfId="0" applyFont="1" applyProtection="1"/>
    <xf numFmtId="0" fontId="7" fillId="0" borderId="5" xfId="0" applyFont="1" applyBorder="1" applyProtection="1"/>
    <xf numFmtId="43" fontId="7" fillId="0" borderId="5" xfId="0" applyNumberFormat="1" applyFont="1" applyBorder="1" applyProtection="1"/>
    <xf numFmtId="171" fontId="7" fillId="0" borderId="63" xfId="1" applyNumberFormat="1" applyFont="1" applyBorder="1" applyProtection="1"/>
    <xf numFmtId="0" fontId="42" fillId="0" borderId="0" xfId="0" applyFont="1" applyAlignment="1" applyProtection="1">
      <alignment horizontal="center" vertical="center"/>
    </xf>
    <xf numFmtId="0" fontId="3" fillId="32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44" fillId="23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173" fontId="3" fillId="0" borderId="0" xfId="2" applyNumberFormat="1" applyFont="1" applyAlignment="1" applyProtection="1">
      <alignment horizontal="right"/>
    </xf>
    <xf numFmtId="171" fontId="3" fillId="0" borderId="0" xfId="0" applyNumberFormat="1" applyFont="1" applyBorder="1" applyAlignment="1" applyProtection="1">
      <alignment horizontal="right" vertical="center"/>
    </xf>
    <xf numFmtId="171" fontId="3" fillId="0" borderId="0" xfId="0" applyNumberFormat="1" applyFont="1" applyBorder="1" applyAlignment="1" applyProtection="1">
      <alignment horizontal="right"/>
    </xf>
    <xf numFmtId="171" fontId="3" fillId="0" borderId="0" xfId="2" applyNumberFormat="1" applyFont="1" applyAlignment="1" applyProtection="1">
      <alignment horizontal="right"/>
    </xf>
    <xf numFmtId="0" fontId="4" fillId="0" borderId="5" xfId="0" applyFont="1" applyBorder="1" applyProtection="1"/>
    <xf numFmtId="173" fontId="7" fillId="0" borderId="5" xfId="2" applyNumberFormat="1" applyFont="1" applyBorder="1" applyAlignment="1" applyProtection="1">
      <alignment horizontal="right"/>
    </xf>
    <xf numFmtId="173" fontId="3" fillId="0" borderId="0" xfId="0" applyNumberFormat="1" applyFont="1" applyFill="1" applyBorder="1" applyProtection="1"/>
    <xf numFmtId="0" fontId="40" fillId="0" borderId="0" xfId="0" applyFont="1" applyFill="1" applyAlignment="1" applyProtection="1">
      <alignment horizontal="right"/>
    </xf>
    <xf numFmtId="165" fontId="3" fillId="0" borderId="0" xfId="2" applyNumberFormat="1" applyFont="1" applyAlignment="1" applyProtection="1">
      <alignment horizontal="right"/>
    </xf>
    <xf numFmtId="44" fontId="7" fillId="0" borderId="5" xfId="2" applyFont="1" applyBorder="1" applyAlignment="1" applyProtection="1">
      <alignment horizontal="right"/>
    </xf>
    <xf numFmtId="44" fontId="7" fillId="0" borderId="0" xfId="2" applyFont="1" applyAlignment="1" applyProtection="1">
      <alignment horizontal="right"/>
    </xf>
    <xf numFmtId="0" fontId="3" fillId="0" borderId="0" xfId="0" applyFont="1" applyAlignment="1" applyProtection="1">
      <alignment horizontal="right"/>
    </xf>
    <xf numFmtId="0" fontId="4" fillId="0" borderId="17" xfId="0" applyFont="1" applyBorder="1" applyProtection="1"/>
    <xf numFmtId="171" fontId="3" fillId="0" borderId="17" xfId="0" applyNumberFormat="1" applyFont="1" applyBorder="1" applyAlignment="1" applyProtection="1">
      <alignment horizontal="right"/>
    </xf>
    <xf numFmtId="0" fontId="18" fillId="0" borderId="0" xfId="0" applyFont="1" applyProtection="1"/>
    <xf numFmtId="171" fontId="40" fillId="0" borderId="0" xfId="0" applyNumberFormat="1" applyFont="1" applyAlignment="1" applyProtection="1">
      <alignment horizontal="right"/>
    </xf>
    <xf numFmtId="0" fontId="40" fillId="0" borderId="0" xfId="0" applyFont="1" applyAlignment="1" applyProtection="1">
      <alignment horizontal="right"/>
    </xf>
    <xf numFmtId="43" fontId="7" fillId="0" borderId="5" xfId="0" applyNumberFormat="1" applyFont="1" applyBorder="1" applyAlignment="1" applyProtection="1">
      <alignment horizontal="right"/>
    </xf>
    <xf numFmtId="173" fontId="3" fillId="0" borderId="0" xfId="0" applyNumberFormat="1" applyFont="1" applyProtection="1"/>
    <xf numFmtId="0" fontId="3" fillId="0" borderId="0" xfId="0" applyFont="1" applyAlignment="1" applyProtection="1">
      <alignment horizontal="center"/>
    </xf>
    <xf numFmtId="0" fontId="3" fillId="23" borderId="68" xfId="0" applyFont="1" applyFill="1" applyBorder="1" applyProtection="1">
      <protection locked="0"/>
    </xf>
    <xf numFmtId="172" fontId="3" fillId="23" borderId="68" xfId="1" applyNumberFormat="1" applyFont="1" applyFill="1" applyBorder="1" applyProtection="1">
      <protection locked="0"/>
    </xf>
    <xf numFmtId="43" fontId="3" fillId="23" borderId="68" xfId="1" applyFont="1" applyFill="1" applyBorder="1" applyProtection="1">
      <protection locked="0"/>
    </xf>
    <xf numFmtId="43" fontId="40" fillId="23" borderId="68" xfId="1" applyFont="1" applyFill="1" applyBorder="1" applyProtection="1">
      <protection locked="0"/>
    </xf>
    <xf numFmtId="0" fontId="4" fillId="23" borderId="68" xfId="0" applyFont="1" applyFill="1" applyBorder="1" applyProtection="1">
      <protection locked="0"/>
    </xf>
    <xf numFmtId="0" fontId="3" fillId="23" borderId="68" xfId="0" applyFont="1" applyFill="1" applyBorder="1" applyAlignment="1" applyProtection="1">
      <alignment horizontal="right"/>
      <protection locked="0"/>
    </xf>
    <xf numFmtId="0" fontId="38" fillId="23" borderId="69" xfId="0" applyFont="1" applyFill="1" applyBorder="1" applyAlignment="1" applyProtection="1">
      <alignment horizontal="center" wrapText="1"/>
    </xf>
    <xf numFmtId="0" fontId="13" fillId="6" borderId="0" xfId="0" applyFont="1" applyFill="1" applyProtection="1"/>
    <xf numFmtId="0" fontId="13" fillId="6" borderId="0" xfId="0" applyFont="1" applyFill="1" applyAlignment="1" applyProtection="1">
      <alignment wrapText="1"/>
    </xf>
    <xf numFmtId="0" fontId="13" fillId="6" borderId="0" xfId="0" applyFont="1" applyFill="1" applyAlignment="1" applyProtection="1">
      <alignment horizontal="center"/>
    </xf>
    <xf numFmtId="0" fontId="53" fillId="23" borderId="68" xfId="0" applyFont="1" applyFill="1" applyBorder="1" applyAlignment="1" applyProtection="1">
      <alignment horizontal="center" wrapText="1"/>
    </xf>
    <xf numFmtId="0" fontId="13" fillId="6" borderId="6" xfId="0" applyFont="1" applyFill="1" applyBorder="1" applyProtection="1"/>
    <xf numFmtId="0" fontId="13" fillId="6" borderId="8" xfId="0" applyFont="1" applyFill="1" applyBorder="1" applyProtection="1"/>
    <xf numFmtId="14" fontId="15" fillId="6" borderId="0" xfId="0" applyNumberFormat="1" applyFont="1" applyFill="1" applyProtection="1"/>
    <xf numFmtId="0" fontId="15" fillId="6" borderId="0" xfId="0" applyFont="1" applyFill="1" applyProtection="1"/>
    <xf numFmtId="0" fontId="13" fillId="0" borderId="0" xfId="0" applyFont="1" applyProtection="1"/>
    <xf numFmtId="43" fontId="25" fillId="6" borderId="9" xfId="0" applyNumberFormat="1" applyFont="1" applyFill="1" applyBorder="1" applyAlignment="1" applyProtection="1">
      <alignment wrapText="1"/>
    </xf>
    <xf numFmtId="43" fontId="30" fillId="17" borderId="39" xfId="5" applyNumberFormat="1" applyBorder="1" applyAlignment="1" applyProtection="1">
      <alignment horizontal="center" wrapText="1"/>
    </xf>
    <xf numFmtId="44" fontId="24" fillId="6" borderId="0" xfId="2" applyFont="1" applyFill="1" applyBorder="1" applyAlignment="1" applyProtection="1">
      <alignment horizontal="right"/>
    </xf>
    <xf numFmtId="166" fontId="30" fillId="17" borderId="59" xfId="5" applyNumberFormat="1" applyBorder="1" applyAlignment="1" applyProtection="1">
      <alignment horizontal="center"/>
    </xf>
    <xf numFmtId="43" fontId="30" fillId="17" borderId="11" xfId="5" applyNumberFormat="1" applyBorder="1" applyAlignment="1" applyProtection="1">
      <alignment horizontal="center" wrapText="1"/>
    </xf>
    <xf numFmtId="0" fontId="23" fillId="19" borderId="9" xfId="9" applyFont="1" applyBorder="1" applyAlignment="1" applyProtection="1">
      <alignment vertical="center"/>
    </xf>
    <xf numFmtId="0" fontId="23" fillId="19" borderId="0" xfId="9" applyFont="1" applyBorder="1" applyAlignment="1" applyProtection="1">
      <alignment vertical="center"/>
    </xf>
    <xf numFmtId="0" fontId="23" fillId="19" borderId="11" xfId="9" applyFont="1" applyBorder="1" applyAlignment="1" applyProtection="1">
      <alignment vertical="center"/>
    </xf>
    <xf numFmtId="0" fontId="23" fillId="19" borderId="13" xfId="9" applyFont="1" applyBorder="1" applyAlignment="1" applyProtection="1">
      <alignment vertical="center"/>
    </xf>
    <xf numFmtId="0" fontId="23" fillId="19" borderId="3" xfId="9" applyFont="1" applyBorder="1" applyAlignment="1" applyProtection="1">
      <alignment vertical="center"/>
    </xf>
    <xf numFmtId="0" fontId="23" fillId="19" borderId="10" xfId="9" applyFont="1" applyBorder="1" applyAlignment="1" applyProtection="1">
      <alignment vertical="center"/>
    </xf>
    <xf numFmtId="0" fontId="13" fillId="6" borderId="7" xfId="0" applyFont="1" applyFill="1" applyBorder="1" applyProtection="1"/>
    <xf numFmtId="0" fontId="4" fillId="6" borderId="6" xfId="0" applyFont="1" applyFill="1" applyBorder="1" applyAlignment="1" applyProtection="1">
      <alignment wrapText="1"/>
    </xf>
    <xf numFmtId="0" fontId="13" fillId="6" borderId="35" xfId="0" applyFont="1" applyFill="1" applyBorder="1" applyProtection="1"/>
    <xf numFmtId="0" fontId="13" fillId="6" borderId="6" xfId="0" applyFont="1" applyFill="1" applyBorder="1" applyAlignment="1" applyProtection="1">
      <alignment wrapText="1"/>
    </xf>
    <xf numFmtId="0" fontId="42" fillId="6" borderId="13" xfId="0" applyFont="1" applyFill="1" applyBorder="1" applyAlignment="1" applyProtection="1">
      <alignment horizontal="center" wrapText="1"/>
    </xf>
    <xf numFmtId="0" fontId="4" fillId="6" borderId="73" xfId="0" applyFont="1" applyFill="1" applyBorder="1" applyAlignment="1" applyProtection="1">
      <alignment horizontal="center" vertical="center" wrapText="1"/>
    </xf>
    <xf numFmtId="0" fontId="4" fillId="6" borderId="0" xfId="0" applyFont="1" applyFill="1" applyBorder="1" applyAlignment="1" applyProtection="1">
      <alignment horizontal="center" vertical="center" wrapText="1"/>
    </xf>
    <xf numFmtId="0" fontId="4" fillId="0" borderId="38" xfId="0" applyFont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3" fontId="31" fillId="2" borderId="74" xfId="6" applyNumberFormat="1" applyFill="1" applyBorder="1" applyProtection="1"/>
    <xf numFmtId="3" fontId="31" fillId="2" borderId="52" xfId="6" applyNumberFormat="1" applyFill="1" applyBorder="1" applyAlignment="1" applyProtection="1">
      <alignment horizontal="center"/>
    </xf>
    <xf numFmtId="169" fontId="31" fillId="2" borderId="48" xfId="6" applyNumberFormat="1" applyFill="1" applyBorder="1" applyAlignment="1" applyProtection="1">
      <alignment horizontal="center"/>
    </xf>
    <xf numFmtId="3" fontId="31" fillId="2" borderId="48" xfId="6" applyNumberFormat="1" applyFill="1" applyBorder="1" applyProtection="1"/>
    <xf numFmtId="3" fontId="31" fillId="2" borderId="41" xfId="6" applyNumberFormat="1" applyFill="1" applyBorder="1" applyProtection="1"/>
    <xf numFmtId="3" fontId="31" fillId="2" borderId="75" xfId="6" applyNumberFormat="1" applyFill="1" applyBorder="1" applyProtection="1"/>
    <xf numFmtId="3" fontId="31" fillId="2" borderId="33" xfId="6" applyNumberFormat="1" applyFill="1" applyBorder="1" applyAlignment="1" applyProtection="1">
      <alignment horizontal="center"/>
    </xf>
    <xf numFmtId="169" fontId="31" fillId="2" borderId="34" xfId="6" applyNumberFormat="1" applyFill="1" applyBorder="1" applyAlignment="1" applyProtection="1">
      <alignment horizontal="center"/>
    </xf>
    <xf numFmtId="3" fontId="31" fillId="2" borderId="24" xfId="6" applyNumberFormat="1" applyFill="1" applyBorder="1" applyProtection="1"/>
    <xf numFmtId="3" fontId="31" fillId="2" borderId="34" xfId="6" applyNumberFormat="1" applyFill="1" applyBorder="1" applyProtection="1"/>
    <xf numFmtId="3" fontId="31" fillId="2" borderId="39" xfId="6" applyNumberFormat="1" applyFill="1" applyBorder="1" applyProtection="1"/>
    <xf numFmtId="3" fontId="31" fillId="2" borderId="43" xfId="6" applyNumberFormat="1" applyFill="1" applyBorder="1" applyProtection="1"/>
    <xf numFmtId="3" fontId="31" fillId="2" borderId="44" xfId="6" applyNumberFormat="1" applyFill="1" applyBorder="1" applyAlignment="1" applyProtection="1">
      <alignment horizontal="center"/>
    </xf>
    <xf numFmtId="169" fontId="31" fillId="2" borderId="49" xfId="6" applyNumberFormat="1" applyFill="1" applyBorder="1" applyAlignment="1" applyProtection="1">
      <alignment horizontal="center"/>
    </xf>
    <xf numFmtId="3" fontId="31" fillId="2" borderId="50" xfId="6" applyNumberFormat="1" applyFill="1" applyBorder="1" applyProtection="1"/>
    <xf numFmtId="3" fontId="31" fillId="2" borderId="49" xfId="6" applyNumberFormat="1" applyFill="1" applyBorder="1" applyProtection="1"/>
    <xf numFmtId="3" fontId="31" fillId="2" borderId="51" xfId="6" applyNumberFormat="1" applyFill="1" applyBorder="1" applyProtection="1"/>
    <xf numFmtId="0" fontId="0" fillId="4" borderId="0" xfId="0" applyFill="1" applyProtection="1"/>
    <xf numFmtId="4" fontId="31" fillId="18" borderId="24" xfId="6" applyNumberFormat="1" applyAlignment="1" applyProtection="1">
      <alignment horizontal="center"/>
    </xf>
    <xf numFmtId="4" fontId="31" fillId="18" borderId="24" xfId="6" applyNumberFormat="1" applyAlignment="1" applyProtection="1">
      <alignment horizontal="center" wrapText="1"/>
    </xf>
    <xf numFmtId="44" fontId="11" fillId="0" borderId="0" xfId="2" applyFont="1" applyAlignment="1" applyProtection="1">
      <alignment horizontal="center" wrapText="1"/>
    </xf>
    <xf numFmtId="44" fontId="11" fillId="0" borderId="0" xfId="0" applyNumberFormat="1" applyFont="1" applyAlignment="1" applyProtection="1">
      <alignment horizontal="center" wrapText="1"/>
    </xf>
    <xf numFmtId="4" fontId="11" fillId="0" borderId="0" xfId="0" applyNumberFormat="1" applyFont="1" applyProtection="1"/>
    <xf numFmtId="4" fontId="11" fillId="0" borderId="0" xfId="0" applyNumberFormat="1" applyFont="1" applyAlignment="1" applyProtection="1">
      <alignment horizontal="center" wrapText="1"/>
    </xf>
    <xf numFmtId="44" fontId="11" fillId="0" borderId="0" xfId="0" applyNumberFormat="1" applyFont="1" applyProtection="1"/>
    <xf numFmtId="169" fontId="31" fillId="18" borderId="24" xfId="6" applyNumberFormat="1" applyAlignment="1" applyProtection="1">
      <alignment horizontal="center" wrapText="1"/>
    </xf>
    <xf numFmtId="0" fontId="0" fillId="0" borderId="5" xfId="0" applyBorder="1" applyProtection="1"/>
    <xf numFmtId="0" fontId="0" fillId="0" borderId="18" xfId="0" applyBorder="1" applyProtection="1"/>
    <xf numFmtId="4" fontId="11" fillId="0" borderId="5" xfId="0" applyNumberFormat="1" applyFont="1" applyBorder="1" applyAlignment="1" applyProtection="1">
      <alignment horizontal="center"/>
    </xf>
    <xf numFmtId="44" fontId="11" fillId="0" borderId="5" xfId="2" applyFont="1" applyBorder="1" applyAlignment="1" applyProtection="1">
      <alignment horizontal="center" wrapText="1"/>
    </xf>
    <xf numFmtId="0" fontId="23" fillId="0" borderId="19" xfId="0" applyFont="1" applyBorder="1" applyAlignment="1" applyProtection="1">
      <alignment horizontal="center"/>
    </xf>
    <xf numFmtId="0" fontId="2" fillId="4" borderId="0" xfId="0" applyFont="1" applyFill="1" applyProtection="1"/>
    <xf numFmtId="4" fontId="2" fillId="0" borderId="0" xfId="0" applyNumberFormat="1" applyFont="1" applyAlignment="1" applyProtection="1">
      <alignment horizontal="center"/>
    </xf>
    <xf numFmtId="4" fontId="2" fillId="0" borderId="0" xfId="0" applyNumberFormat="1" applyFont="1" applyAlignment="1" applyProtection="1">
      <alignment horizontal="center" wrapText="1"/>
    </xf>
    <xf numFmtId="44" fontId="2" fillId="0" borderId="0" xfId="2" applyFont="1" applyAlignment="1" applyProtection="1">
      <alignment horizontal="center" wrapText="1"/>
    </xf>
    <xf numFmtId="0" fontId="2" fillId="0" borderId="0" xfId="0" applyFont="1" applyAlignment="1" applyProtection="1">
      <alignment horizontal="center" wrapText="1"/>
    </xf>
    <xf numFmtId="4" fontId="16" fillId="0" borderId="0" xfId="0" applyNumberFormat="1" applyFont="1" applyAlignment="1" applyProtection="1">
      <alignment horizontal="center" wrapText="1"/>
    </xf>
    <xf numFmtId="0" fontId="27" fillId="4" borderId="0" xfId="0" applyFont="1" applyFill="1" applyProtection="1"/>
    <xf numFmtId="4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 wrapText="1"/>
    </xf>
    <xf numFmtId="4" fontId="11" fillId="13" borderId="0" xfId="0" applyNumberFormat="1" applyFont="1" applyFill="1" applyAlignment="1" applyProtection="1">
      <alignment horizontal="center" wrapText="1"/>
    </xf>
    <xf numFmtId="4" fontId="0" fillId="0" borderId="5" xfId="0" applyNumberFormat="1" applyBorder="1" applyAlignment="1" applyProtection="1">
      <alignment horizontal="center"/>
    </xf>
    <xf numFmtId="44" fontId="0" fillId="0" borderId="5" xfId="2" applyFont="1" applyBorder="1" applyAlignment="1" applyProtection="1">
      <alignment horizontal="center" wrapText="1"/>
    </xf>
    <xf numFmtId="0" fontId="16" fillId="4" borderId="0" xfId="0" applyFont="1" applyFill="1" applyProtection="1"/>
    <xf numFmtId="0" fontId="16" fillId="0" borderId="0" xfId="0" applyFont="1" applyProtection="1"/>
    <xf numFmtId="44" fontId="16" fillId="0" borderId="0" xfId="2" applyFont="1" applyAlignment="1" applyProtection="1">
      <alignment horizontal="center" wrapText="1"/>
    </xf>
    <xf numFmtId="0" fontId="11" fillId="0" borderId="90" xfId="0" applyFont="1" applyBorder="1" applyProtection="1"/>
    <xf numFmtId="2" fontId="11" fillId="0" borderId="0" xfId="0" applyNumberFormat="1" applyFont="1" applyAlignment="1" applyProtection="1">
      <alignment horizontal="center"/>
    </xf>
    <xf numFmtId="0" fontId="11" fillId="0" borderId="89" xfId="0" applyFont="1" applyBorder="1" applyProtection="1"/>
    <xf numFmtId="0" fontId="11" fillId="0" borderId="17" xfId="0" applyFont="1" applyBorder="1" applyProtection="1"/>
    <xf numFmtId="4" fontId="0" fillId="0" borderId="5" xfId="0" applyNumberFormat="1" applyBorder="1" applyProtection="1"/>
    <xf numFmtId="4" fontId="16" fillId="0" borderId="0" xfId="0" applyNumberFormat="1" applyFont="1" applyAlignment="1" applyProtection="1">
      <alignment horizontal="center"/>
    </xf>
    <xf numFmtId="0" fontId="16" fillId="0" borderId="0" xfId="0" applyFont="1" applyAlignment="1" applyProtection="1">
      <alignment horizontal="center" wrapText="1"/>
    </xf>
    <xf numFmtId="0" fontId="0" fillId="13" borderId="0" xfId="0" applyFill="1" applyAlignment="1" applyProtection="1">
      <alignment horizontal="center"/>
    </xf>
    <xf numFmtId="3" fontId="11" fillId="0" borderId="0" xfId="0" applyNumberFormat="1" applyFont="1" applyAlignment="1" applyProtection="1">
      <alignment horizontal="center"/>
    </xf>
    <xf numFmtId="4" fontId="11" fillId="13" borderId="0" xfId="0" applyNumberFormat="1" applyFont="1" applyFill="1" applyProtection="1"/>
    <xf numFmtId="4" fontId="8" fillId="12" borderId="0" xfId="0" applyNumberFormat="1" applyFont="1" applyFill="1" applyAlignment="1" applyProtection="1">
      <alignment horizontal="center" wrapText="1"/>
    </xf>
    <xf numFmtId="0" fontId="11" fillId="13" borderId="0" xfId="0" applyFont="1" applyFill="1" applyProtection="1"/>
    <xf numFmtId="0" fontId="11" fillId="0" borderId="0" xfId="0" applyFont="1" applyAlignment="1" applyProtection="1">
      <alignment horizontal="center"/>
    </xf>
    <xf numFmtId="165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left"/>
    </xf>
    <xf numFmtId="0" fontId="11" fillId="0" borderId="17" xfId="0" applyFont="1" applyBorder="1" applyAlignment="1" applyProtection="1">
      <alignment horizontal="left"/>
    </xf>
    <xf numFmtId="3" fontId="11" fillId="0" borderId="17" xfId="0" applyNumberFormat="1" applyFont="1" applyBorder="1" applyAlignment="1" applyProtection="1">
      <alignment horizontal="center" wrapText="1"/>
    </xf>
    <xf numFmtId="165" fontId="11" fillId="0" borderId="17" xfId="2" applyNumberFormat="1" applyFont="1" applyBorder="1" applyAlignment="1" applyProtection="1">
      <alignment horizontal="center" wrapText="1"/>
    </xf>
    <xf numFmtId="44" fontId="11" fillId="0" borderId="17" xfId="0" applyNumberFormat="1" applyFont="1" applyBorder="1" applyAlignment="1" applyProtection="1">
      <alignment horizontal="center" wrapText="1"/>
    </xf>
    <xf numFmtId="0" fontId="11" fillId="13" borderId="17" xfId="0" applyFont="1" applyFill="1" applyBorder="1" applyProtection="1"/>
    <xf numFmtId="0" fontId="11" fillId="0" borderId="17" xfId="0" applyFont="1" applyBorder="1" applyAlignment="1" applyProtection="1">
      <alignment horizontal="center"/>
    </xf>
    <xf numFmtId="44" fontId="11" fillId="0" borderId="17" xfId="0" applyNumberFormat="1" applyFont="1" applyBorder="1" applyProtection="1"/>
    <xf numFmtId="0" fontId="0" fillId="36" borderId="0" xfId="0" applyFill="1" applyProtection="1"/>
    <xf numFmtId="0" fontId="11" fillId="36" borderId="0" xfId="0" applyFont="1" applyFill="1" applyBorder="1" applyProtection="1"/>
    <xf numFmtId="0" fontId="11" fillId="36" borderId="0" xfId="0" applyFont="1" applyFill="1" applyBorder="1" applyAlignment="1" applyProtection="1">
      <alignment horizontal="left"/>
    </xf>
    <xf numFmtId="3" fontId="11" fillId="36" borderId="0" xfId="0" applyNumberFormat="1" applyFont="1" applyFill="1" applyBorder="1" applyAlignment="1" applyProtection="1">
      <alignment horizontal="center" wrapText="1"/>
    </xf>
    <xf numFmtId="165" fontId="11" fillId="36" borderId="0" xfId="2" applyNumberFormat="1" applyFont="1" applyFill="1" applyBorder="1" applyAlignment="1" applyProtection="1">
      <alignment horizontal="center" wrapText="1"/>
    </xf>
    <xf numFmtId="44" fontId="11" fillId="36" borderId="0" xfId="0" applyNumberFormat="1" applyFont="1" applyFill="1" applyBorder="1" applyAlignment="1" applyProtection="1">
      <alignment horizontal="center" wrapText="1"/>
    </xf>
    <xf numFmtId="0" fontId="11" fillId="36" borderId="0" xfId="0" applyFont="1" applyFill="1" applyBorder="1" applyAlignment="1" applyProtection="1">
      <alignment horizontal="center"/>
    </xf>
    <xf numFmtId="44" fontId="11" fillId="36" borderId="0" xfId="0" applyNumberFormat="1" applyFont="1" applyFill="1" applyBorder="1" applyProtection="1"/>
    <xf numFmtId="3" fontId="11" fillId="0" borderId="0" xfId="0" applyNumberFormat="1" applyFont="1" applyFill="1" applyAlignment="1" applyProtection="1">
      <alignment horizontal="center" wrapText="1"/>
    </xf>
    <xf numFmtId="3" fontId="11" fillId="0" borderId="17" xfId="0" applyNumberFormat="1" applyFont="1" applyFill="1" applyBorder="1" applyAlignment="1" applyProtection="1">
      <alignment horizontal="center" wrapText="1"/>
    </xf>
    <xf numFmtId="0" fontId="11" fillId="0" borderId="29" xfId="0" applyFont="1" applyBorder="1" applyProtection="1"/>
    <xf numFmtId="0" fontId="11" fillId="0" borderId="17" xfId="0" applyFont="1" applyFill="1" applyBorder="1" applyProtection="1"/>
    <xf numFmtId="165" fontId="11" fillId="0" borderId="17" xfId="2" applyNumberFormat="1" applyFont="1" applyFill="1" applyBorder="1" applyAlignment="1" applyProtection="1">
      <alignment horizontal="center" wrapText="1"/>
    </xf>
    <xf numFmtId="44" fontId="11" fillId="0" borderId="17" xfId="0" applyNumberFormat="1" applyFont="1" applyFill="1" applyBorder="1" applyAlignment="1" applyProtection="1">
      <alignment horizontal="center" wrapText="1"/>
    </xf>
    <xf numFmtId="0" fontId="11" fillId="0" borderId="17" xfId="0" applyFont="1" applyFill="1" applyBorder="1" applyAlignment="1" applyProtection="1">
      <alignment horizontal="center"/>
    </xf>
    <xf numFmtId="44" fontId="11" fillId="0" borderId="17" xfId="0" applyNumberFormat="1" applyFont="1" applyFill="1" applyBorder="1" applyProtection="1"/>
    <xf numFmtId="0" fontId="11" fillId="0" borderId="0" xfId="0" applyFont="1" applyBorder="1" applyProtection="1"/>
    <xf numFmtId="3" fontId="11" fillId="0" borderId="0" xfId="0" applyNumberFormat="1" applyFont="1" applyBorder="1" applyAlignment="1" applyProtection="1">
      <alignment horizontal="center" wrapText="1"/>
    </xf>
    <xf numFmtId="165" fontId="11" fillId="0" borderId="0" xfId="2" applyNumberFormat="1" applyFont="1" applyBorder="1" applyAlignment="1" applyProtection="1">
      <alignment horizontal="center" wrapText="1"/>
    </xf>
    <xf numFmtId="44" fontId="11" fillId="0" borderId="0" xfId="0" applyNumberFormat="1" applyFont="1" applyBorder="1" applyAlignment="1" applyProtection="1">
      <alignment horizontal="center" wrapText="1"/>
    </xf>
    <xf numFmtId="0" fontId="11" fillId="13" borderId="0" xfId="0" applyFont="1" applyFill="1" applyBorder="1" applyProtection="1"/>
    <xf numFmtId="0" fontId="11" fillId="0" borderId="0" xfId="0" applyFont="1" applyBorder="1" applyAlignment="1" applyProtection="1">
      <alignment horizontal="center"/>
    </xf>
    <xf numFmtId="44" fontId="11" fillId="0" borderId="0" xfId="0" applyNumberFormat="1" applyFont="1" applyBorder="1" applyProtection="1"/>
    <xf numFmtId="3" fontId="11" fillId="0" borderId="29" xfId="0" applyNumberFormat="1" applyFont="1" applyBorder="1" applyAlignment="1" applyProtection="1">
      <alignment horizontal="center" wrapText="1"/>
    </xf>
    <xf numFmtId="165" fontId="11" fillId="0" borderId="29" xfId="2" applyNumberFormat="1" applyFont="1" applyBorder="1" applyAlignment="1" applyProtection="1">
      <alignment horizontal="center" wrapText="1"/>
    </xf>
    <xf numFmtId="44" fontId="11" fillId="0" borderId="29" xfId="0" applyNumberFormat="1" applyFont="1" applyBorder="1" applyAlignment="1" applyProtection="1">
      <alignment horizontal="center" wrapText="1"/>
    </xf>
    <xf numFmtId="0" fontId="11" fillId="13" borderId="29" xfId="0" applyFont="1" applyFill="1" applyBorder="1" applyProtection="1"/>
    <xf numFmtId="0" fontId="11" fillId="0" borderId="29" xfId="0" applyFont="1" applyBorder="1" applyAlignment="1" applyProtection="1">
      <alignment horizontal="center"/>
    </xf>
    <xf numFmtId="44" fontId="11" fillId="0" borderId="29" xfId="0" applyNumberFormat="1" applyFont="1" applyBorder="1" applyProtection="1"/>
    <xf numFmtId="0" fontId="11" fillId="36" borderId="0" xfId="0" applyFont="1" applyFill="1" applyProtection="1"/>
    <xf numFmtId="0" fontId="11" fillId="36" borderId="29" xfId="0" applyFont="1" applyFill="1" applyBorder="1" applyAlignment="1" applyProtection="1">
      <alignment horizontal="center"/>
    </xf>
    <xf numFmtId="3" fontId="11" fillId="36" borderId="0" xfId="0" applyNumberFormat="1" applyFont="1" applyFill="1" applyAlignment="1" applyProtection="1">
      <alignment horizontal="center" wrapText="1"/>
    </xf>
    <xf numFmtId="165" fontId="11" fillId="36" borderId="0" xfId="2" applyNumberFormat="1" applyFont="1" applyFill="1" applyAlignment="1" applyProtection="1">
      <alignment horizontal="center" wrapText="1"/>
    </xf>
    <xf numFmtId="44" fontId="11" fillId="36" borderId="0" xfId="0" applyNumberFormat="1" applyFont="1" applyFill="1" applyAlignment="1" applyProtection="1">
      <alignment horizontal="center" wrapText="1"/>
    </xf>
    <xf numFmtId="0" fontId="11" fillId="36" borderId="0" xfId="0" applyFont="1" applyFill="1" applyAlignment="1" applyProtection="1">
      <alignment horizontal="center"/>
    </xf>
    <xf numFmtId="44" fontId="11" fillId="36" borderId="0" xfId="0" applyNumberFormat="1" applyFont="1" applyFill="1" applyProtection="1"/>
    <xf numFmtId="0" fontId="0" fillId="4" borderId="17" xfId="0" applyFill="1" applyBorder="1" applyProtection="1"/>
    <xf numFmtId="0" fontId="11" fillId="36" borderId="29" xfId="0" applyFont="1" applyFill="1" applyBorder="1" applyProtection="1"/>
    <xf numFmtId="49" fontId="11" fillId="0" borderId="0" xfId="0" applyNumberFormat="1" applyFont="1" applyProtection="1"/>
    <xf numFmtId="0" fontId="11" fillId="0" borderId="93" xfId="0" applyFont="1" applyBorder="1" applyProtection="1"/>
    <xf numFmtId="0" fontId="11" fillId="0" borderId="91" xfId="0" applyFont="1" applyBorder="1" applyProtection="1"/>
    <xf numFmtId="0" fontId="11" fillId="0" borderId="92" xfId="0" applyFont="1" applyBorder="1" applyProtection="1"/>
    <xf numFmtId="4" fontId="30" fillId="17" borderId="24" xfId="5" applyNumberFormat="1" applyAlignment="1" applyProtection="1">
      <alignment horizontal="center"/>
      <protection locked="0"/>
    </xf>
    <xf numFmtId="0" fontId="0" fillId="37" borderId="4" xfId="0" applyFill="1" applyBorder="1" applyProtection="1"/>
    <xf numFmtId="0" fontId="0" fillId="37" borderId="4" xfId="0" applyFill="1" applyBorder="1" applyAlignment="1" applyProtection="1">
      <alignment horizontal="center"/>
    </xf>
    <xf numFmtId="0" fontId="0" fillId="37" borderId="12" xfId="0" applyFill="1" applyBorder="1" applyProtection="1"/>
    <xf numFmtId="0" fontId="0" fillId="6" borderId="0" xfId="0" applyFill="1" applyProtection="1"/>
    <xf numFmtId="14" fontId="11" fillId="0" borderId="0" xfId="0" applyNumberFormat="1" applyFont="1" applyAlignment="1" applyProtection="1">
      <alignment horizontal="center" wrapText="1"/>
    </xf>
    <xf numFmtId="0" fontId="2" fillId="37" borderId="0" xfId="0" applyFont="1" applyFill="1" applyProtection="1"/>
    <xf numFmtId="4" fontId="16" fillId="0" borderId="0" xfId="0" applyNumberFormat="1" applyFont="1" applyAlignment="1" applyProtection="1">
      <alignment horizontal="center" vertical="center" wrapText="1"/>
    </xf>
    <xf numFmtId="0" fontId="0" fillId="37" borderId="0" xfId="0" applyFill="1" applyProtection="1"/>
    <xf numFmtId="0" fontId="0" fillId="6" borderId="0" xfId="0" applyFill="1" applyBorder="1" applyProtection="1"/>
    <xf numFmtId="0" fontId="27" fillId="37" borderId="0" xfId="0" applyFont="1" applyFill="1" applyProtection="1"/>
    <xf numFmtId="0" fontId="16" fillId="37" borderId="0" xfId="0" applyFont="1" applyFill="1" applyProtection="1"/>
    <xf numFmtId="0" fontId="23" fillId="0" borderId="0" xfId="0" applyFont="1" applyProtection="1"/>
    <xf numFmtId="0" fontId="0" fillId="37" borderId="17" xfId="0" applyFill="1" applyBorder="1" applyProtection="1"/>
    <xf numFmtId="0" fontId="0" fillId="0" borderId="29" xfId="0" applyBorder="1" applyProtection="1"/>
    <xf numFmtId="4" fontId="11" fillId="0" borderId="0" xfId="0" applyNumberFormat="1" applyFont="1" applyBorder="1" applyProtection="1"/>
    <xf numFmtId="44" fontId="11" fillId="0" borderId="0" xfId="2" applyFont="1" applyBorder="1" applyAlignment="1" applyProtection="1">
      <alignment horizontal="center" wrapText="1"/>
    </xf>
    <xf numFmtId="44" fontId="11" fillId="0" borderId="29" xfId="2" applyFont="1" applyBorder="1" applyAlignment="1" applyProtection="1">
      <alignment horizontal="center" wrapText="1"/>
    </xf>
    <xf numFmtId="4" fontId="11" fillId="0" borderId="29" xfId="0" applyNumberFormat="1" applyFont="1" applyBorder="1" applyProtection="1"/>
    <xf numFmtId="4" fontId="11" fillId="0" borderId="0" xfId="2" applyNumberFormat="1" applyFont="1" applyAlignment="1" applyProtection="1">
      <alignment horizontal="center" wrapText="1"/>
    </xf>
    <xf numFmtId="0" fontId="11" fillId="0" borderId="0" xfId="0" applyFont="1" applyAlignment="1" applyProtection="1">
      <alignment horizontal="center" wrapText="1"/>
    </xf>
    <xf numFmtId="0" fontId="0" fillId="6" borderId="0" xfId="0" applyFill="1" applyAlignment="1" applyProtection="1">
      <alignment horizontal="center"/>
    </xf>
    <xf numFmtId="0" fontId="2" fillId="8" borderId="0" xfId="0" applyFont="1" applyFill="1" applyProtection="1"/>
    <xf numFmtId="0" fontId="27" fillId="8" borderId="0" xfId="0" applyFont="1" applyFill="1" applyProtection="1"/>
    <xf numFmtId="0" fontId="16" fillId="8" borderId="0" xfId="0" applyFont="1" applyFill="1" applyProtection="1"/>
    <xf numFmtId="0" fontId="0" fillId="8" borderId="17" xfId="0" applyFill="1" applyBorder="1" applyProtection="1"/>
    <xf numFmtId="0" fontId="11" fillId="0" borderId="18" xfId="0" applyFont="1" applyBorder="1" applyProtection="1"/>
    <xf numFmtId="4" fontId="11" fillId="0" borderId="18" xfId="0" applyNumberFormat="1" applyFont="1" applyBorder="1" applyProtection="1"/>
    <xf numFmtId="44" fontId="11" fillId="0" borderId="18" xfId="2" applyFont="1" applyBorder="1" applyAlignment="1" applyProtection="1">
      <alignment horizontal="center" wrapText="1"/>
    </xf>
    <xf numFmtId="0" fontId="4" fillId="4" borderId="6" xfId="0" applyFont="1" applyFill="1" applyBorder="1" applyAlignment="1" applyProtection="1">
      <alignment horizontal="center" wrapText="1"/>
    </xf>
    <xf numFmtId="0" fontId="4" fillId="9" borderId="0" xfId="0" applyFont="1" applyFill="1" applyBorder="1" applyAlignment="1" applyProtection="1">
      <alignment horizontal="center" wrapText="1"/>
    </xf>
    <xf numFmtId="0" fontId="4" fillId="8" borderId="0" xfId="0" applyFont="1" applyFill="1" applyBorder="1" applyAlignment="1" applyProtection="1">
      <alignment horizontal="center" wrapText="1"/>
    </xf>
    <xf numFmtId="0" fontId="4" fillId="29" borderId="3" xfId="0" applyFont="1" applyFill="1" applyBorder="1" applyAlignment="1" applyProtection="1">
      <alignment horizontal="center" wrapText="1"/>
    </xf>
    <xf numFmtId="0" fontId="2" fillId="29" borderId="0" xfId="0" applyFont="1" applyFill="1" applyProtection="1"/>
    <xf numFmtId="0" fontId="0" fillId="29" borderId="0" xfId="0" applyFill="1" applyProtection="1"/>
    <xf numFmtId="0" fontId="27" fillId="29" borderId="0" xfId="0" applyFont="1" applyFill="1" applyProtection="1"/>
    <xf numFmtId="0" fontId="16" fillId="29" borderId="0" xfId="0" applyFont="1" applyFill="1" applyProtection="1"/>
    <xf numFmtId="0" fontId="23" fillId="0" borderId="19" xfId="0" applyFont="1" applyBorder="1" applyAlignment="1" applyProtection="1"/>
    <xf numFmtId="0" fontId="0" fillId="29" borderId="17" xfId="0" applyFill="1" applyBorder="1" applyProtection="1"/>
    <xf numFmtId="0" fontId="0" fillId="0" borderId="0" xfId="0"/>
    <xf numFmtId="0" fontId="0" fillId="0" borderId="0" xfId="0"/>
    <xf numFmtId="0" fontId="0" fillId="4" borderId="0" xfId="0" applyFill="1" applyBorder="1" applyProtection="1"/>
    <xf numFmtId="9" fontId="0" fillId="0" borderId="0" xfId="0" applyNumberFormat="1" applyBorder="1"/>
    <xf numFmtId="0" fontId="2" fillId="0" borderId="0" xfId="0" applyFont="1" applyBorder="1"/>
    <xf numFmtId="44" fontId="0" fillId="0" borderId="0" xfId="2" applyFont="1" applyBorder="1"/>
    <xf numFmtId="0" fontId="2" fillId="0" borderId="0" xfId="0" applyFont="1" applyFill="1" applyBorder="1" applyAlignment="1">
      <alignment wrapText="1"/>
    </xf>
    <xf numFmtId="0" fontId="30" fillId="0" borderId="0" xfId="5" applyFill="1" applyBorder="1" applyAlignment="1" applyProtection="1">
      <alignment horizontal="center"/>
    </xf>
    <xf numFmtId="4" fontId="30" fillId="0" borderId="0" xfId="5" applyNumberFormat="1" applyFill="1" applyBorder="1" applyAlignment="1" applyProtection="1">
      <alignment horizontal="center"/>
    </xf>
    <xf numFmtId="0" fontId="23" fillId="4" borderId="0" xfId="0" applyFont="1" applyFill="1" applyBorder="1" applyAlignment="1" applyProtection="1">
      <alignment horizontal="center"/>
    </xf>
    <xf numFmtId="0" fontId="23" fillId="0" borderId="18" xfId="0" applyFont="1" applyBorder="1" applyAlignment="1" applyProtection="1">
      <alignment horizontal="center"/>
    </xf>
    <xf numFmtId="0" fontId="56" fillId="0" borderId="0" xfId="0" applyFont="1"/>
    <xf numFmtId="0" fontId="56" fillId="40" borderId="0" xfId="0" applyFont="1" applyFill="1"/>
    <xf numFmtId="39" fontId="56" fillId="39" borderId="0" xfId="2" applyNumberFormat="1" applyFont="1" applyFill="1"/>
    <xf numFmtId="0" fontId="56" fillId="39" borderId="0" xfId="0" applyFont="1" applyFill="1"/>
    <xf numFmtId="3" fontId="56" fillId="39" borderId="0" xfId="0" applyNumberFormat="1" applyFont="1" applyFill="1"/>
    <xf numFmtId="44" fontId="56" fillId="39" borderId="0" xfId="2" applyFont="1" applyFill="1"/>
    <xf numFmtId="0" fontId="51" fillId="39" borderId="0" xfId="0" applyFont="1" applyFill="1"/>
    <xf numFmtId="49" fontId="57" fillId="39" borderId="0" xfId="0" applyNumberFormat="1" applyFont="1" applyFill="1"/>
    <xf numFmtId="39" fontId="57" fillId="39" borderId="0" xfId="2" applyNumberFormat="1" applyFont="1" applyFill="1"/>
    <xf numFmtId="44" fontId="57" fillId="39" borderId="0" xfId="2" applyFont="1" applyFill="1"/>
    <xf numFmtId="49" fontId="51" fillId="39" borderId="0" xfId="0" applyNumberFormat="1" applyFont="1" applyFill="1"/>
    <xf numFmtId="44" fontId="56" fillId="0" borderId="0" xfId="2" applyFont="1"/>
    <xf numFmtId="44" fontId="56" fillId="40" borderId="0" xfId="2" applyFont="1" applyFill="1"/>
    <xf numFmtId="44" fontId="51" fillId="39" borderId="0" xfId="2" applyFont="1" applyFill="1"/>
    <xf numFmtId="0" fontId="58" fillId="0" borderId="0" xfId="0" applyFont="1" applyBorder="1" applyProtection="1"/>
    <xf numFmtId="0" fontId="58" fillId="0" borderId="0" xfId="0" applyFont="1" applyProtection="1"/>
    <xf numFmtId="0" fontId="58" fillId="0" borderId="0" xfId="0" applyFont="1" applyFill="1" applyBorder="1" applyProtection="1"/>
    <xf numFmtId="0" fontId="58" fillId="0" borderId="0" xfId="0" applyFont="1" applyAlignment="1" applyProtection="1">
      <alignment wrapText="1"/>
    </xf>
    <xf numFmtId="4" fontId="58" fillId="0" borderId="0" xfId="0" applyNumberFormat="1" applyFont="1" applyAlignment="1" applyProtection="1">
      <alignment horizontal="center" wrapText="1"/>
    </xf>
    <xf numFmtId="44" fontId="58" fillId="0" borderId="0" xfId="2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 wrapText="1"/>
    </xf>
    <xf numFmtId="4" fontId="58" fillId="0" borderId="0" xfId="0" applyNumberFormat="1" applyFont="1" applyProtection="1"/>
    <xf numFmtId="44" fontId="58" fillId="0" borderId="0" xfId="0" applyNumberFormat="1" applyFont="1" applyProtection="1"/>
    <xf numFmtId="44" fontId="58" fillId="0" borderId="5" xfId="0" applyNumberFormat="1" applyFont="1" applyBorder="1" applyAlignment="1" applyProtection="1">
      <alignment horizontal="center" wrapText="1"/>
    </xf>
    <xf numFmtId="4" fontId="58" fillId="0" borderId="0" xfId="0" applyNumberFormat="1" applyFont="1" applyFill="1" applyProtection="1"/>
    <xf numFmtId="4" fontId="58" fillId="0" borderId="0" xfId="0" applyNumberFormat="1" applyFont="1" applyFill="1" applyAlignment="1" applyProtection="1">
      <alignment horizontal="center" wrapText="1"/>
    </xf>
    <xf numFmtId="3" fontId="58" fillId="0" borderId="0" xfId="0" applyNumberFormat="1" applyFont="1" applyBorder="1" applyAlignment="1" applyProtection="1">
      <alignment horizontal="center" wrapText="1"/>
    </xf>
    <xf numFmtId="165" fontId="58" fillId="0" borderId="0" xfId="2" applyNumberFormat="1" applyFont="1" applyBorder="1" applyAlignment="1" applyProtection="1">
      <alignment horizontal="center" wrapText="1"/>
    </xf>
    <xf numFmtId="0" fontId="58" fillId="13" borderId="0" xfId="0" applyFont="1" applyFill="1" applyProtection="1"/>
    <xf numFmtId="44" fontId="58" fillId="0" borderId="0" xfId="2" applyFont="1" applyAlignment="1" applyProtection="1">
      <alignment horizontal="center"/>
    </xf>
    <xf numFmtId="0" fontId="58" fillId="13" borderId="17" xfId="0" applyFont="1" applyFill="1" applyBorder="1" applyProtection="1"/>
    <xf numFmtId="4" fontId="58" fillId="0" borderId="5" xfId="0" applyNumberFormat="1" applyFont="1" applyBorder="1" applyAlignment="1" applyProtection="1">
      <alignment horizontal="center" wrapText="1"/>
    </xf>
    <xf numFmtId="44" fontId="58" fillId="0" borderId="5" xfId="2" applyFont="1" applyBorder="1" applyAlignment="1" applyProtection="1">
      <alignment horizontal="center" wrapText="1"/>
    </xf>
    <xf numFmtId="3" fontId="58" fillId="0" borderId="0" xfId="0" applyNumberFormat="1" applyFont="1" applyAlignment="1" applyProtection="1">
      <alignment horizontal="center" wrapText="1"/>
    </xf>
    <xf numFmtId="165" fontId="58" fillId="0" borderId="0" xfId="2" applyNumberFormat="1" applyFont="1" applyAlignment="1" applyProtection="1">
      <alignment horizontal="center" wrapText="1"/>
    </xf>
    <xf numFmtId="44" fontId="58" fillId="0" borderId="0" xfId="0" applyNumberFormat="1" applyFont="1" applyAlignment="1" applyProtection="1">
      <alignment horizontal="center"/>
    </xf>
    <xf numFmtId="4" fontId="58" fillId="13" borderId="0" xfId="0" applyNumberFormat="1" applyFont="1" applyFill="1" applyAlignment="1" applyProtection="1">
      <alignment horizontal="center"/>
    </xf>
    <xf numFmtId="44" fontId="58" fillId="0" borderId="17" xfId="0" applyNumberFormat="1" applyFont="1" applyBorder="1" applyProtection="1"/>
    <xf numFmtId="0" fontId="58" fillId="0" borderId="5" xfId="0" applyFont="1" applyBorder="1" applyProtection="1"/>
    <xf numFmtId="4" fontId="58" fillId="0" borderId="5" xfId="0" applyNumberFormat="1" applyFont="1" applyBorder="1" applyProtection="1"/>
    <xf numFmtId="43" fontId="60" fillId="23" borderId="98" xfId="5" applyNumberFormat="1" applyFont="1" applyFill="1" applyBorder="1" applyAlignment="1" applyProtection="1">
      <alignment horizontal="right" vertical="center"/>
      <protection locked="0"/>
    </xf>
    <xf numFmtId="43" fontId="60" fillId="23" borderId="94" xfId="5" applyNumberFormat="1" applyFont="1" applyFill="1" applyBorder="1" applyAlignment="1" applyProtection="1">
      <alignment horizontal="right" vertical="center"/>
      <protection locked="0"/>
    </xf>
    <xf numFmtId="0" fontId="60" fillId="23" borderId="94" xfId="5" applyFont="1" applyFill="1" applyBorder="1" applyAlignment="1" applyProtection="1">
      <alignment horizontal="right" vertical="center"/>
      <protection locked="0"/>
    </xf>
    <xf numFmtId="9" fontId="60" fillId="23" borderId="99" xfId="5" applyNumberFormat="1" applyFont="1" applyFill="1" applyBorder="1" applyAlignment="1" applyProtection="1">
      <alignment horizontal="right" vertical="center"/>
      <protection locked="0"/>
    </xf>
    <xf numFmtId="0" fontId="2" fillId="4" borderId="0" xfId="0" applyFont="1" applyFill="1" applyAlignment="1" applyProtection="1">
      <alignment horizontal="center"/>
    </xf>
    <xf numFmtId="0" fontId="58" fillId="0" borderId="17" xfId="0" applyFont="1" applyBorder="1" applyProtection="1"/>
    <xf numFmtId="0" fontId="0" fillId="0" borderId="0" xfId="0"/>
    <xf numFmtId="4" fontId="11" fillId="0" borderId="18" xfId="0" applyNumberFormat="1" applyFont="1" applyBorder="1" applyAlignment="1" applyProtection="1">
      <alignment horizontal="center"/>
    </xf>
    <xf numFmtId="44" fontId="58" fillId="0" borderId="18" xfId="0" applyNumberFormat="1" applyFont="1" applyBorder="1" applyAlignment="1" applyProtection="1">
      <alignment horizontal="center" wrapText="1"/>
    </xf>
    <xf numFmtId="44" fontId="11" fillId="0" borderId="18" xfId="0" applyNumberFormat="1" applyFont="1" applyBorder="1" applyAlignment="1" applyProtection="1">
      <alignment horizontal="center" wrapText="1"/>
    </xf>
    <xf numFmtId="0" fontId="58" fillId="0" borderId="17" xfId="5" applyFont="1" applyFill="1" applyBorder="1" applyProtection="1"/>
    <xf numFmtId="44" fontId="58" fillId="0" borderId="17" xfId="2" applyFont="1" applyBorder="1" applyAlignment="1" applyProtection="1">
      <alignment horizontal="center" wrapText="1"/>
    </xf>
    <xf numFmtId="44" fontId="58" fillId="0" borderId="17" xfId="0" applyNumberFormat="1" applyFont="1" applyBorder="1" applyAlignment="1" applyProtection="1">
      <alignment horizontal="center" wrapText="1"/>
    </xf>
    <xf numFmtId="4" fontId="58" fillId="0" borderId="17" xfId="0" applyNumberFormat="1" applyFont="1" applyFill="1" applyBorder="1" applyProtection="1"/>
    <xf numFmtId="4" fontId="58" fillId="0" borderId="17" xfId="0" applyNumberFormat="1" applyFont="1" applyFill="1" applyBorder="1" applyAlignment="1" applyProtection="1">
      <alignment horizontal="center" wrapText="1"/>
    </xf>
    <xf numFmtId="43" fontId="58" fillId="0" borderId="0" xfId="0" applyNumberFormat="1" applyFont="1" applyFill="1" applyProtection="1"/>
    <xf numFmtId="4" fontId="59" fillId="0" borderId="0" xfId="6" applyNumberFormat="1" applyFont="1" applyFill="1" applyBorder="1" applyAlignment="1" applyProtection="1">
      <alignment horizontal="center"/>
    </xf>
    <xf numFmtId="4" fontId="59" fillId="0" borderId="0" xfId="6" applyNumberFormat="1" applyFont="1" applyFill="1" applyBorder="1" applyAlignment="1" applyProtection="1">
      <alignment horizontal="center" wrapText="1"/>
    </xf>
    <xf numFmtId="4" fontId="59" fillId="0" borderId="17" xfId="6" applyNumberFormat="1" applyFont="1" applyFill="1" applyBorder="1" applyAlignment="1" applyProtection="1">
      <alignment horizontal="center"/>
    </xf>
    <xf numFmtId="4" fontId="59" fillId="0" borderId="17" xfId="6" applyNumberFormat="1" applyFont="1" applyFill="1" applyBorder="1" applyAlignment="1" applyProtection="1">
      <alignment horizontal="center" wrapText="1"/>
    </xf>
    <xf numFmtId="4" fontId="58" fillId="0" borderId="0" xfId="0" applyNumberFormat="1" applyFont="1" applyFill="1" applyAlignment="1" applyProtection="1">
      <alignment horizontal="center"/>
    </xf>
    <xf numFmtId="3" fontId="58" fillId="0" borderId="17" xfId="0" applyNumberFormat="1" applyFont="1" applyFill="1" applyBorder="1" applyAlignment="1" applyProtection="1">
      <alignment horizontal="center" wrapText="1"/>
    </xf>
    <xf numFmtId="0" fontId="0" fillId="0" borderId="0" xfId="0"/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3" fillId="27" borderId="0" xfId="0" applyFont="1" applyFill="1" applyBorder="1" applyAlignment="1">
      <alignment horizontal="center"/>
    </xf>
    <xf numFmtId="0" fontId="3" fillId="11" borderId="0" xfId="0" applyFont="1" applyFill="1" applyBorder="1" applyAlignment="1" applyProtection="1">
      <alignment horizontal="center"/>
    </xf>
    <xf numFmtId="0" fontId="4" fillId="28" borderId="0" xfId="0" applyFont="1" applyFill="1" applyBorder="1" applyProtection="1"/>
    <xf numFmtId="0" fontId="1" fillId="27" borderId="0" xfId="11" applyFill="1" applyAlignment="1" applyProtection="1">
      <alignment horizontal="center" vertical="center" wrapText="1"/>
    </xf>
    <xf numFmtId="0" fontId="61" fillId="0" borderId="0" xfId="0" applyFont="1" applyProtection="1"/>
    <xf numFmtId="43" fontId="60" fillId="0" borderId="94" xfId="5" applyNumberFormat="1" applyFont="1" applyFill="1" applyBorder="1" applyAlignment="1" applyProtection="1">
      <alignment horizontal="right" vertical="center"/>
    </xf>
    <xf numFmtId="49" fontId="2" fillId="4" borderId="0" xfId="0" applyNumberFormat="1" applyFont="1" applyFill="1" applyAlignment="1" applyProtection="1">
      <alignment horizontal="center"/>
    </xf>
    <xf numFmtId="0" fontId="11" fillId="5" borderId="0" xfId="0" applyFont="1" applyFill="1" applyProtection="1"/>
    <xf numFmtId="0" fontId="0" fillId="5" borderId="0" xfId="0" applyFill="1" applyProtection="1"/>
    <xf numFmtId="0" fontId="4" fillId="0" borderId="17" xfId="0" applyFont="1" applyBorder="1" applyAlignment="1">
      <alignment horizontal="center"/>
    </xf>
    <xf numFmtId="174" fontId="7" fillId="0" borderId="0" xfId="0" applyNumberFormat="1" applyFont="1"/>
    <xf numFmtId="10" fontId="7" fillId="0" borderId="0" xfId="4" applyNumberFormat="1" applyFont="1" applyBorder="1"/>
    <xf numFmtId="0" fontId="4" fillId="0" borderId="0" xfId="0" applyFont="1" applyBorder="1"/>
    <xf numFmtId="49" fontId="37" fillId="0" borderId="17" xfId="0" applyNumberFormat="1" applyFont="1" applyBorder="1" applyAlignment="1">
      <alignment horizontal="center"/>
    </xf>
    <xf numFmtId="171" fontId="62" fillId="0" borderId="0" xfId="1" applyNumberFormat="1" applyFont="1" applyAlignment="1">
      <alignment horizontal="right"/>
    </xf>
    <xf numFmtId="0" fontId="63" fillId="41" borderId="100" xfId="0" applyFont="1" applyFill="1" applyBorder="1" applyAlignment="1">
      <alignment horizontal="center"/>
    </xf>
    <xf numFmtId="171" fontId="7" fillId="0" borderId="0" xfId="1" applyNumberFormat="1" applyFont="1" applyAlignment="1">
      <alignment horizontal="right"/>
    </xf>
    <xf numFmtId="49" fontId="7" fillId="0" borderId="0" xfId="0" applyNumberFormat="1" applyFont="1" applyFill="1" applyAlignment="1">
      <alignment horizontal="center"/>
    </xf>
    <xf numFmtId="0" fontId="0" fillId="0" borderId="0" xfId="0"/>
    <xf numFmtId="0" fontId="3" fillId="0" borderId="0" xfId="0" applyFont="1" applyBorder="1" applyAlignment="1" applyProtection="1">
      <alignment horizontal="left"/>
    </xf>
    <xf numFmtId="171" fontId="36" fillId="0" borderId="0" xfId="1" applyNumberFormat="1" applyFont="1" applyAlignment="1">
      <alignment horizontal="center"/>
    </xf>
    <xf numFmtId="10" fontId="62" fillId="0" borderId="0" xfId="4" applyNumberFormat="1" applyFont="1" applyAlignment="1">
      <alignment horizontal="right"/>
    </xf>
    <xf numFmtId="0" fontId="0" fillId="0" borderId="14" xfId="0" applyBorder="1"/>
    <xf numFmtId="0" fontId="2" fillId="0" borderId="2" xfId="0" applyFont="1" applyBorder="1" applyAlignment="1">
      <alignment horizontal="center"/>
    </xf>
    <xf numFmtId="0" fontId="0" fillId="0" borderId="2" xfId="0" applyBorder="1"/>
    <xf numFmtId="10" fontId="0" fillId="0" borderId="2" xfId="4" applyNumberFormat="1" applyFont="1" applyBorder="1"/>
    <xf numFmtId="0" fontId="0" fillId="0" borderId="101" xfId="0" applyBorder="1"/>
    <xf numFmtId="10" fontId="7" fillId="27" borderId="9" xfId="4" applyNumberFormat="1" applyFont="1" applyFill="1" applyBorder="1"/>
    <xf numFmtId="0" fontId="12" fillId="0" borderId="0" xfId="0" applyFont="1" applyBorder="1" applyAlignment="1" applyProtection="1">
      <alignment horizontal="center" vertical="center" wrapText="1"/>
    </xf>
    <xf numFmtId="173" fontId="3" fillId="0" borderId="0" xfId="2" applyNumberFormat="1" applyFont="1"/>
    <xf numFmtId="171" fontId="3" fillId="0" borderId="0" xfId="4" applyNumberFormat="1" applyFont="1"/>
    <xf numFmtId="173" fontId="3" fillId="0" borderId="0" xfId="2" applyNumberFormat="1" applyFont="1" applyBorder="1"/>
    <xf numFmtId="171" fontId="3" fillId="0" borderId="17" xfId="4" applyNumberFormat="1" applyFont="1" applyBorder="1"/>
    <xf numFmtId="173" fontId="3" fillId="0" borderId="0" xfId="4" applyNumberFormat="1" applyFont="1"/>
    <xf numFmtId="9" fontId="3" fillId="0" borderId="0" xfId="4" applyFont="1"/>
    <xf numFmtId="49" fontId="18" fillId="0" borderId="0" xfId="0" applyNumberFormat="1" applyFont="1"/>
    <xf numFmtId="0" fontId="38" fillId="0" borderId="0" xfId="0" applyFont="1" applyBorder="1" applyAlignment="1">
      <alignment horizontal="center"/>
    </xf>
    <xf numFmtId="0" fontId="0" fillId="0" borderId="0" xfId="0"/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3" fillId="42" borderId="0" xfId="0" applyFont="1" applyFill="1" applyBorder="1" applyAlignment="1">
      <alignment horizontal="center"/>
    </xf>
    <xf numFmtId="49" fontId="18" fillId="42" borderId="0" xfId="0" applyNumberFormat="1" applyFont="1" applyFill="1" applyAlignment="1">
      <alignment horizontal="center" wrapText="1"/>
    </xf>
    <xf numFmtId="49" fontId="18" fillId="41" borderId="0" xfId="0" applyNumberFormat="1" applyFont="1" applyFill="1" applyAlignment="1">
      <alignment horizontal="center" wrapText="1"/>
    </xf>
    <xf numFmtId="49" fontId="18" fillId="5" borderId="0" xfId="0" applyNumberFormat="1" applyFont="1" applyFill="1" applyAlignment="1">
      <alignment horizontal="center" wrapText="1"/>
    </xf>
    <xf numFmtId="49" fontId="18" fillId="43" borderId="0" xfId="0" applyNumberFormat="1" applyFont="1" applyFill="1" applyAlignment="1">
      <alignment horizontal="center" wrapText="1"/>
    </xf>
    <xf numFmtId="173" fontId="18" fillId="42" borderId="0" xfId="2" applyNumberFormat="1" applyFont="1" applyFill="1" applyAlignment="1">
      <alignment horizontal="center" wrapText="1"/>
    </xf>
    <xf numFmtId="173" fontId="18" fillId="5" borderId="0" xfId="2" applyNumberFormat="1" applyFont="1" applyFill="1" applyAlignment="1">
      <alignment horizontal="center" wrapText="1"/>
    </xf>
    <xf numFmtId="173" fontId="18" fillId="41" borderId="0" xfId="2" applyNumberFormat="1" applyFont="1" applyFill="1" applyAlignment="1">
      <alignment horizontal="center" wrapText="1"/>
    </xf>
    <xf numFmtId="173" fontId="18" fillId="43" borderId="0" xfId="2" applyNumberFormat="1" applyFont="1" applyFill="1" applyAlignment="1">
      <alignment horizontal="center" wrapText="1"/>
    </xf>
    <xf numFmtId="173" fontId="3" fillId="0" borderId="0" xfId="2" applyNumberFormat="1" applyFont="1" applyProtection="1"/>
    <xf numFmtId="171" fontId="3" fillId="0" borderId="0" xfId="1" applyNumberFormat="1" applyFont="1" applyProtection="1"/>
    <xf numFmtId="171" fontId="3" fillId="0" borderId="0" xfId="0" applyNumberFormat="1" applyFont="1" applyProtection="1"/>
    <xf numFmtId="0" fontId="3" fillId="22" borderId="0" xfId="12" applyFont="1" applyAlignment="1" applyProtection="1">
      <alignment horizontal="center" vertical="center" wrapText="1"/>
    </xf>
    <xf numFmtId="10" fontId="62" fillId="0" borderId="0" xfId="4" applyNumberFormat="1" applyFont="1" applyProtection="1"/>
    <xf numFmtId="0" fontId="12" fillId="0" borderId="4" xfId="0" applyFont="1" applyBorder="1" applyAlignment="1" applyProtection="1">
      <alignment vertical="center"/>
    </xf>
    <xf numFmtId="0" fontId="41" fillId="0" borderId="0" xfId="0" applyFont="1" applyProtection="1"/>
    <xf numFmtId="0" fontId="0" fillId="0" borderId="0" xfId="0"/>
    <xf numFmtId="0" fontId="0" fillId="0" borderId="0" xfId="0"/>
    <xf numFmtId="43" fontId="3" fillId="44" borderId="17" xfId="1" applyFont="1" applyFill="1" applyBorder="1" applyProtection="1"/>
    <xf numFmtId="173" fontId="62" fillId="0" borderId="0" xfId="2" applyNumberFormat="1" applyFont="1" applyProtection="1"/>
    <xf numFmtId="44" fontId="7" fillId="0" borderId="60" xfId="2" applyFont="1" applyBorder="1"/>
    <xf numFmtId="44" fontId="7" fillId="0" borderId="102" xfId="0" applyNumberFormat="1" applyFont="1" applyFill="1" applyBorder="1" applyProtection="1"/>
    <xf numFmtId="0" fontId="52" fillId="23" borderId="80" xfId="0" applyFont="1" applyFill="1" applyBorder="1" applyProtection="1"/>
    <xf numFmtId="49" fontId="48" fillId="23" borderId="0" xfId="15" applyNumberFormat="1" applyFont="1" applyFill="1" applyBorder="1" applyAlignment="1" applyProtection="1">
      <alignment horizontal="center"/>
      <protection locked="0"/>
    </xf>
    <xf numFmtId="44" fontId="48" fillId="35" borderId="9" xfId="2" applyFont="1" applyFill="1" applyBorder="1" applyProtection="1"/>
    <xf numFmtId="44" fontId="3" fillId="23" borderId="9" xfId="2" applyFont="1" applyFill="1" applyBorder="1" applyProtection="1">
      <protection locked="0"/>
    </xf>
    <xf numFmtId="44" fontId="7" fillId="0" borderId="9" xfId="0" applyNumberFormat="1" applyFont="1" applyBorder="1" applyProtection="1"/>
    <xf numFmtId="0" fontId="3" fillId="0" borderId="9" xfId="0" applyFont="1" applyBorder="1" applyProtection="1"/>
    <xf numFmtId="173" fontId="7" fillId="0" borderId="0" xfId="0" applyNumberFormat="1" applyFont="1" applyProtection="1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3" fillId="29" borderId="100" xfId="0" applyFont="1" applyFill="1" applyBorder="1" applyAlignment="1">
      <alignment horizontal="center"/>
    </xf>
    <xf numFmtId="10" fontId="7" fillId="0" borderId="9" xfId="4" applyNumberFormat="1" applyFont="1" applyBorder="1" applyAlignment="1">
      <alignment horizontal="right"/>
    </xf>
    <xf numFmtId="165" fontId="62" fillId="0" borderId="0" xfId="2" applyNumberFormat="1" applyFont="1" applyAlignment="1" applyProtection="1">
      <alignment horizontal="right"/>
    </xf>
    <xf numFmtId="0" fontId="20" fillId="0" borderId="0" xfId="0" applyFont="1" applyProtection="1"/>
    <xf numFmtId="43" fontId="3" fillId="0" borderId="0" xfId="1" applyFont="1" applyProtection="1"/>
    <xf numFmtId="44" fontId="62" fillId="0" borderId="17" xfId="2" applyFont="1" applyBorder="1" applyProtection="1"/>
    <xf numFmtId="44" fontId="7" fillId="0" borderId="17" xfId="2" applyFont="1" applyBorder="1" applyProtection="1"/>
    <xf numFmtId="10" fontId="7" fillId="0" borderId="0" xfId="4" applyNumberFormat="1" applyFont="1" applyAlignment="1">
      <alignment horizontal="right"/>
    </xf>
    <xf numFmtId="168" fontId="63" fillId="0" borderId="0" xfId="4" applyNumberFormat="1" applyFont="1"/>
    <xf numFmtId="10" fontId="38" fillId="0" borderId="0" xfId="4" applyNumberFormat="1" applyFont="1"/>
    <xf numFmtId="10" fontId="0" fillId="0" borderId="0" xfId="0" applyNumberFormat="1"/>
    <xf numFmtId="0" fontId="4" fillId="0" borderId="17" xfId="0" applyFont="1" applyBorder="1"/>
    <xf numFmtId="9" fontId="0" fillId="0" borderId="0" xfId="4" applyFont="1" applyBorder="1"/>
    <xf numFmtId="43" fontId="3" fillId="0" borderId="0" xfId="0" applyNumberFormat="1" applyFont="1"/>
    <xf numFmtId="44" fontId="8" fillId="0" borderId="0" xfId="2" applyFont="1" applyBorder="1"/>
    <xf numFmtId="0" fontId="8" fillId="0" borderId="0" xfId="0" applyFont="1" applyBorder="1"/>
    <xf numFmtId="0" fontId="8" fillId="0" borderId="0" xfId="0" applyFont="1" applyFill="1" applyBorder="1"/>
    <xf numFmtId="0" fontId="8" fillId="0" borderId="3" xfId="0" applyFont="1" applyBorder="1"/>
    <xf numFmtId="0" fontId="4" fillId="5" borderId="0" xfId="0" applyFont="1" applyFill="1" applyProtection="1"/>
    <xf numFmtId="10" fontId="63" fillId="0" borderId="0" xfId="4" applyNumberFormat="1" applyFont="1"/>
    <xf numFmtId="0" fontId="0" fillId="0" borderId="0" xfId="0" applyFont="1"/>
    <xf numFmtId="0" fontId="0" fillId="0" borderId="0" xfId="0" applyAlignment="1">
      <alignment wrapText="1"/>
    </xf>
    <xf numFmtId="44" fontId="0" fillId="0" borderId="0" xfId="0" applyNumberFormat="1"/>
    <xf numFmtId="0" fontId="0" fillId="0" borderId="0" xfId="0"/>
    <xf numFmtId="0" fontId="27" fillId="0" borderId="0" xfId="0" applyFont="1" applyFill="1"/>
    <xf numFmtId="0" fontId="65" fillId="5" borderId="0" xfId="0" applyFont="1" applyFill="1"/>
    <xf numFmtId="0" fontId="0" fillId="0" borderId="0" xfId="0"/>
    <xf numFmtId="49" fontId="37" fillId="41" borderId="6" xfId="0" quotePrefix="1" applyNumberFormat="1" applyFont="1" applyFill="1" applyBorder="1" applyAlignment="1">
      <alignment horizontal="center"/>
    </xf>
    <xf numFmtId="49" fontId="37" fillId="5" borderId="6" xfId="0" quotePrefix="1" applyNumberFormat="1" applyFont="1" applyFill="1" applyBorder="1" applyAlignment="1">
      <alignment horizontal="center"/>
    </xf>
    <xf numFmtId="49" fontId="37" fillId="42" borderId="6" xfId="0" quotePrefix="1" applyNumberFormat="1" applyFont="1" applyFill="1" applyBorder="1" applyAlignment="1">
      <alignment horizontal="center"/>
    </xf>
    <xf numFmtId="0" fontId="64" fillId="2" borderId="0" xfId="5" applyFont="1" applyFill="1" applyBorder="1" applyAlignment="1" applyProtection="1">
      <alignment horizontal="center" vertical="center"/>
    </xf>
    <xf numFmtId="0" fontId="12" fillId="0" borderId="4" xfId="0" applyFont="1" applyBorder="1" applyAlignment="1" applyProtection="1">
      <alignment horizontal="center" vertical="center" wrapText="1"/>
    </xf>
    <xf numFmtId="0" fontId="12" fillId="0" borderId="4" xfId="0" applyFont="1" applyBorder="1" applyAlignment="1" applyProtection="1">
      <alignment horizontal="center" vertical="center"/>
    </xf>
    <xf numFmtId="0" fontId="33" fillId="2" borderId="0" xfId="5" applyFont="1" applyFill="1" applyBorder="1" applyAlignment="1" applyProtection="1">
      <alignment horizontal="center" vertical="center"/>
    </xf>
    <xf numFmtId="49" fontId="37" fillId="43" borderId="6" xfId="0" quotePrefix="1" applyNumberFormat="1" applyFont="1" applyFill="1" applyBorder="1" applyAlignment="1">
      <alignment horizontal="center"/>
    </xf>
    <xf numFmtId="4" fontId="18" fillId="8" borderId="0" xfId="0" applyNumberFormat="1" applyFont="1" applyFill="1" applyAlignment="1">
      <alignment horizontal="left"/>
    </xf>
    <xf numFmtId="4" fontId="21" fillId="4" borderId="29" xfId="0" applyNumberFormat="1" applyFont="1" applyFill="1" applyBorder="1" applyAlignment="1">
      <alignment horizontal="left"/>
    </xf>
    <xf numFmtId="4" fontId="18" fillId="3" borderId="4" xfId="0" applyNumberFormat="1" applyFont="1" applyFill="1" applyBorder="1" applyAlignment="1">
      <alignment horizontal="left"/>
    </xf>
    <xf numFmtId="4" fontId="18" fillId="9" borderId="6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/>
    </xf>
    <xf numFmtId="0" fontId="18" fillId="9" borderId="0" xfId="0" applyFont="1" applyFill="1" applyAlignment="1">
      <alignment horizontal="left"/>
    </xf>
    <xf numFmtId="9" fontId="18" fillId="8" borderId="22" xfId="0" applyNumberFormat="1" applyFont="1" applyFill="1" applyBorder="1" applyAlignment="1">
      <alignment horizontal="left"/>
    </xf>
    <xf numFmtId="44" fontId="18" fillId="9" borderId="0" xfId="0" applyNumberFormat="1" applyFont="1" applyFill="1" applyAlignment="1">
      <alignment horizontal="left"/>
    </xf>
    <xf numFmtId="44" fontId="18" fillId="9" borderId="18" xfId="2" applyFont="1" applyFill="1" applyBorder="1" applyAlignment="1">
      <alignment horizontal="left"/>
    </xf>
    <xf numFmtId="44" fontId="18" fillId="8" borderId="22" xfId="2" applyFont="1" applyFill="1" applyBorder="1" applyAlignment="1">
      <alignment horizontal="left"/>
    </xf>
    <xf numFmtId="4" fontId="18" fillId="4" borderId="0" xfId="0" applyNumberFormat="1" applyFont="1" applyFill="1" applyAlignment="1">
      <alignment horizontal="left"/>
    </xf>
    <xf numFmtId="44" fontId="18" fillId="8" borderId="0" xfId="0" applyNumberFormat="1" applyFont="1" applyFill="1" applyAlignment="1">
      <alignment horizontal="left"/>
    </xf>
    <xf numFmtId="4" fontId="18" fillId="4" borderId="0" xfId="0" applyNumberFormat="1" applyFont="1" applyFill="1" applyAlignment="1">
      <alignment horizontal="left" shrinkToFit="1"/>
    </xf>
    <xf numFmtId="4" fontId="18" fillId="4" borderId="17" xfId="0" applyNumberFormat="1" applyFont="1" applyFill="1" applyBorder="1" applyAlignment="1">
      <alignment horizontal="left"/>
    </xf>
    <xf numFmtId="0" fontId="18" fillId="8" borderId="0" xfId="0" applyFont="1" applyFill="1" applyAlignment="1">
      <alignment horizontal="left" wrapText="1"/>
    </xf>
    <xf numFmtId="0" fontId="18" fillId="3" borderId="4" xfId="0" applyFont="1" applyFill="1" applyBorder="1" applyAlignment="1">
      <alignment horizontal="left"/>
    </xf>
    <xf numFmtId="9" fontId="18" fillId="9" borderId="22" xfId="0" applyNumberFormat="1" applyFont="1" applyFill="1" applyBorder="1" applyAlignment="1">
      <alignment horizontal="left"/>
    </xf>
    <xf numFmtId="9" fontId="21" fillId="9" borderId="37" xfId="0" applyNumberFormat="1" applyFont="1" applyFill="1" applyBorder="1" applyAlignment="1">
      <alignment horizontal="left"/>
    </xf>
    <xf numFmtId="0" fontId="18" fillId="29" borderId="9" xfId="0" applyFont="1" applyFill="1" applyBorder="1" applyAlignment="1">
      <alignment horizontal="center" vertical="center" textRotation="255"/>
    </xf>
    <xf numFmtId="0" fontId="18" fillId="29" borderId="21" xfId="0" applyFont="1" applyFill="1" applyBorder="1" applyAlignment="1">
      <alignment horizontal="center" vertical="center" textRotation="255"/>
    </xf>
    <xf numFmtId="44" fontId="18" fillId="29" borderId="0" xfId="0" applyNumberFormat="1" applyFont="1" applyFill="1" applyAlignment="1">
      <alignment horizontal="left"/>
    </xf>
    <xf numFmtId="0" fontId="18" fillId="29" borderId="0" xfId="0" applyFont="1" applyFill="1" applyAlignment="1">
      <alignment horizontal="left"/>
    </xf>
    <xf numFmtId="0" fontId="18" fillId="29" borderId="0" xfId="0" applyFont="1" applyFill="1" applyAlignment="1">
      <alignment horizontal="left" wrapText="1"/>
    </xf>
    <xf numFmtId="4" fontId="18" fillId="29" borderId="0" xfId="0" applyNumberFormat="1" applyFont="1" applyFill="1" applyAlignment="1">
      <alignment horizontal="left"/>
    </xf>
    <xf numFmtId="0" fontId="4" fillId="29" borderId="80" xfId="0" applyFont="1" applyFill="1" applyBorder="1" applyAlignment="1" applyProtection="1">
      <alignment horizontal="center" wrapText="1"/>
      <protection locked="0"/>
    </xf>
    <xf numFmtId="0" fontId="4" fillId="29" borderId="81" xfId="0" applyFont="1" applyFill="1" applyBorder="1" applyAlignment="1" applyProtection="1">
      <alignment horizontal="center" wrapText="1"/>
      <protection locked="0"/>
    </xf>
    <xf numFmtId="0" fontId="4" fillId="29" borderId="82" xfId="0" applyFont="1" applyFill="1" applyBorder="1" applyAlignment="1" applyProtection="1">
      <alignment horizontal="center" wrapText="1"/>
      <protection locked="0"/>
    </xf>
    <xf numFmtId="4" fontId="18" fillId="29" borderId="22" xfId="0" applyNumberFormat="1" applyFont="1" applyFill="1" applyBorder="1" applyAlignment="1">
      <alignment horizontal="left"/>
    </xf>
    <xf numFmtId="44" fontId="18" fillId="29" borderId="22" xfId="2" applyFont="1" applyFill="1" applyBorder="1" applyAlignment="1">
      <alignment horizontal="left"/>
    </xf>
    <xf numFmtId="44" fontId="4" fillId="29" borderId="22" xfId="0" applyNumberFormat="1" applyFont="1" applyFill="1" applyBorder="1" applyAlignment="1">
      <alignment horizontal="left"/>
    </xf>
    <xf numFmtId="44" fontId="18" fillId="29" borderId="0" xfId="2" applyFont="1" applyFill="1" applyAlignment="1">
      <alignment horizontal="left"/>
    </xf>
    <xf numFmtId="44" fontId="4" fillId="29" borderId="0" xfId="0" applyNumberFormat="1" applyFont="1" applyFill="1" applyAlignment="1">
      <alignment horizontal="left"/>
    </xf>
    <xf numFmtId="0" fontId="18" fillId="29" borderId="18" xfId="0" applyFont="1" applyFill="1" applyBorder="1" applyAlignment="1">
      <alignment horizontal="left"/>
    </xf>
    <xf numFmtId="4" fontId="18" fillId="29" borderId="18" xfId="0" applyNumberFormat="1" applyFont="1" applyFill="1" applyBorder="1" applyAlignment="1">
      <alignment horizontal="left"/>
    </xf>
    <xf numFmtId="44" fontId="18" fillId="29" borderId="18" xfId="2" applyFont="1" applyFill="1" applyBorder="1" applyAlignment="1">
      <alignment horizontal="left"/>
    </xf>
    <xf numFmtId="9" fontId="21" fillId="29" borderId="37" xfId="0" applyNumberFormat="1" applyFont="1" applyFill="1" applyBorder="1" applyAlignment="1">
      <alignment horizontal="left"/>
    </xf>
    <xf numFmtId="4" fontId="18" fillId="29" borderId="37" xfId="0" applyNumberFormat="1" applyFont="1" applyFill="1" applyBorder="1" applyAlignment="1">
      <alignment horizontal="left"/>
    </xf>
    <xf numFmtId="44" fontId="21" fillId="29" borderId="37" xfId="2" applyFont="1" applyFill="1" applyBorder="1" applyAlignment="1">
      <alignment horizontal="left"/>
    </xf>
    <xf numFmtId="0" fontId="18" fillId="29" borderId="22" xfId="0" applyFont="1" applyFill="1" applyBorder="1" applyAlignment="1">
      <alignment horizontal="left"/>
    </xf>
    <xf numFmtId="9" fontId="18" fillId="29" borderId="22" xfId="0" applyNumberFormat="1" applyFont="1" applyFill="1" applyBorder="1" applyAlignment="1">
      <alignment horizontal="left"/>
    </xf>
    <xf numFmtId="171" fontId="14" fillId="2" borderId="4" xfId="0" applyNumberFormat="1" applyFont="1" applyFill="1" applyBorder="1" applyAlignment="1" applyProtection="1">
      <alignment horizontal="center" vertical="center"/>
    </xf>
    <xf numFmtId="171" fontId="14" fillId="2" borderId="12" xfId="0" applyNumberFormat="1" applyFont="1" applyFill="1" applyBorder="1" applyAlignment="1" applyProtection="1">
      <alignment horizontal="center" vertical="center"/>
    </xf>
    <xf numFmtId="0" fontId="31" fillId="2" borderId="86" xfId="6" applyFill="1" applyBorder="1" applyAlignment="1" applyProtection="1">
      <alignment horizontal="center" vertical="center"/>
    </xf>
    <xf numFmtId="0" fontId="12" fillId="2" borderId="9" xfId="0" applyFont="1" applyFill="1" applyBorder="1" applyAlignment="1" applyProtection="1">
      <alignment horizontal="left" vertical="center" wrapText="1"/>
    </xf>
    <xf numFmtId="0" fontId="12" fillId="2" borderId="11" xfId="0" applyFont="1" applyFill="1" applyBorder="1" applyAlignment="1" applyProtection="1">
      <alignment horizontal="left" vertical="center" wrapText="1"/>
    </xf>
    <xf numFmtId="0" fontId="31" fillId="2" borderId="87" xfId="6" applyFill="1" applyBorder="1" applyAlignment="1" applyProtection="1">
      <alignment horizontal="center" vertical="center"/>
    </xf>
    <xf numFmtId="0" fontId="31" fillId="2" borderId="88" xfId="6" applyFill="1" applyBorder="1" applyAlignment="1" applyProtection="1">
      <alignment horizontal="center" vertical="center"/>
    </xf>
    <xf numFmtId="44" fontId="14" fillId="6" borderId="7" xfId="2" applyFont="1" applyFill="1" applyBorder="1" applyAlignment="1" applyProtection="1">
      <alignment horizontal="center" vertical="center"/>
    </xf>
    <xf numFmtId="44" fontId="14" fillId="6" borderId="8" xfId="2" applyFont="1" applyFill="1" applyBorder="1" applyAlignment="1" applyProtection="1">
      <alignment horizontal="center" vertical="center"/>
    </xf>
    <xf numFmtId="43" fontId="4" fillId="2" borderId="0" xfId="0" applyNumberFormat="1" applyFont="1" applyFill="1" applyBorder="1" applyAlignment="1" applyProtection="1">
      <alignment horizontal="left" vertical="center" wrapText="1"/>
    </xf>
    <xf numFmtId="0" fontId="3" fillId="3" borderId="4" xfId="0" applyFont="1" applyFill="1" applyBorder="1" applyAlignment="1">
      <alignment horizontal="left"/>
    </xf>
    <xf numFmtId="44" fontId="18" fillId="4" borderId="0" xfId="0" applyNumberFormat="1" applyFont="1" applyFill="1" applyAlignment="1">
      <alignment horizontal="left"/>
    </xf>
    <xf numFmtId="44" fontId="18" fillId="4" borderId="0" xfId="2" applyFont="1" applyFill="1" applyAlignment="1">
      <alignment horizontal="left"/>
    </xf>
    <xf numFmtId="44" fontId="18" fillId="4" borderId="18" xfId="2" applyFont="1" applyFill="1" applyBorder="1" applyAlignment="1">
      <alignment horizontal="left"/>
    </xf>
    <xf numFmtId="43" fontId="4" fillId="2" borderId="9" xfId="0" applyNumberFormat="1" applyFont="1" applyFill="1" applyBorder="1" applyAlignment="1" applyProtection="1">
      <alignment horizontal="left" vertical="center" wrapText="1"/>
    </xf>
    <xf numFmtId="43" fontId="4" fillId="2" borderId="11" xfId="0" applyNumberFormat="1" applyFont="1" applyFill="1" applyBorder="1" applyAlignment="1" applyProtection="1">
      <alignment horizontal="left" vertical="center" wrapText="1"/>
    </xf>
    <xf numFmtId="0" fontId="12" fillId="2" borderId="0" xfId="0" applyFont="1" applyFill="1" applyBorder="1" applyAlignment="1" applyProtection="1">
      <alignment horizontal="left" vertical="center" wrapText="1"/>
    </xf>
    <xf numFmtId="0" fontId="33" fillId="23" borderId="77" xfId="5" applyFont="1" applyFill="1" applyBorder="1" applyAlignment="1" applyProtection="1">
      <alignment horizontal="center" vertical="center"/>
      <protection locked="0"/>
    </xf>
    <xf numFmtId="0" fontId="33" fillId="23" borderId="79" xfId="5" applyFont="1" applyFill="1" applyBorder="1" applyAlignment="1" applyProtection="1">
      <alignment horizontal="center" vertical="center"/>
      <protection locked="0"/>
    </xf>
    <xf numFmtId="2" fontId="12" fillId="2" borderId="9" xfId="0" applyNumberFormat="1" applyFont="1" applyFill="1" applyBorder="1" applyAlignment="1" applyProtection="1">
      <alignment horizontal="left" vertical="center" wrapText="1"/>
    </xf>
    <xf numFmtId="2" fontId="12" fillId="2" borderId="11" xfId="0" applyNumberFormat="1" applyFont="1" applyFill="1" applyBorder="1" applyAlignment="1" applyProtection="1">
      <alignment horizontal="left" vertical="center" wrapText="1"/>
    </xf>
    <xf numFmtId="2" fontId="14" fillId="2" borderId="13" xfId="0" applyNumberFormat="1" applyFont="1" applyFill="1" applyBorder="1" applyAlignment="1" applyProtection="1">
      <alignment horizontal="center" vertical="center"/>
    </xf>
    <xf numFmtId="2" fontId="14" fillId="2" borderId="10" xfId="0" applyNumberFormat="1" applyFont="1" applyFill="1" applyBorder="1" applyAlignment="1" applyProtection="1">
      <alignment horizontal="center" vertical="center"/>
    </xf>
    <xf numFmtId="43" fontId="12" fillId="2" borderId="9" xfId="0" applyNumberFormat="1" applyFont="1" applyFill="1" applyBorder="1" applyAlignment="1" applyProtection="1">
      <alignment horizontal="left" vertical="center" wrapText="1"/>
    </xf>
    <xf numFmtId="43" fontId="12" fillId="2" borderId="11" xfId="0" applyNumberFormat="1" applyFont="1" applyFill="1" applyBorder="1" applyAlignment="1" applyProtection="1">
      <alignment horizontal="left" vertical="center" wrapText="1"/>
    </xf>
    <xf numFmtId="43" fontId="14" fillId="2" borderId="20" xfId="0" applyNumberFormat="1" applyFont="1" applyFill="1" applyBorder="1" applyAlignment="1" applyProtection="1">
      <alignment horizontal="center" vertical="center"/>
    </xf>
    <xf numFmtId="43" fontId="14" fillId="2" borderId="12" xfId="0" applyNumberFormat="1" applyFont="1" applyFill="1" applyBorder="1" applyAlignment="1" applyProtection="1">
      <alignment horizontal="center" vertical="center"/>
    </xf>
    <xf numFmtId="9" fontId="27" fillId="23" borderId="77" xfId="5" applyNumberFormat="1" applyFont="1" applyFill="1" applyBorder="1" applyAlignment="1" applyProtection="1">
      <alignment horizontal="center" vertical="center"/>
      <protection locked="0"/>
    </xf>
    <xf numFmtId="9" fontId="27" fillId="23" borderId="79" xfId="5" applyNumberFormat="1" applyFont="1" applyFill="1" applyBorder="1" applyAlignment="1" applyProtection="1">
      <alignment horizontal="center" vertical="center"/>
      <protection locked="0"/>
    </xf>
    <xf numFmtId="171" fontId="14" fillId="2" borderId="20" xfId="0" applyNumberFormat="1" applyFont="1" applyFill="1" applyBorder="1" applyAlignment="1" applyProtection="1">
      <alignment horizontal="center" vertical="center"/>
    </xf>
    <xf numFmtId="0" fontId="33" fillId="17" borderId="83" xfId="5" applyFont="1" applyBorder="1" applyAlignment="1" applyProtection="1">
      <alignment horizontal="center" vertical="center"/>
    </xf>
    <xf numFmtId="0" fontId="33" fillId="17" borderId="84" xfId="5" applyFont="1" applyBorder="1" applyAlignment="1" applyProtection="1">
      <alignment horizontal="center" vertical="center"/>
    </xf>
    <xf numFmtId="14" fontId="33" fillId="23" borderId="77" xfId="5" applyNumberFormat="1" applyFont="1" applyFill="1" applyBorder="1" applyAlignment="1" applyProtection="1">
      <alignment horizontal="center" vertical="center"/>
      <protection locked="0"/>
    </xf>
    <xf numFmtId="14" fontId="33" fillId="23" borderId="78" xfId="5" applyNumberFormat="1" applyFont="1" applyFill="1" applyBorder="1" applyAlignment="1" applyProtection="1">
      <alignment horizontal="center" vertical="center"/>
      <protection locked="0"/>
    </xf>
    <xf numFmtId="14" fontId="33" fillId="23" borderId="79" xfId="5" applyNumberFormat="1" applyFont="1" applyFill="1" applyBorder="1" applyAlignment="1" applyProtection="1">
      <alignment horizontal="center" vertical="center"/>
      <protection locked="0"/>
    </xf>
    <xf numFmtId="44" fontId="4" fillId="9" borderId="0" xfId="0" applyNumberFormat="1" applyFont="1" applyFill="1" applyAlignment="1">
      <alignment horizontal="left"/>
    </xf>
    <xf numFmtId="44" fontId="4" fillId="4" borderId="0" xfId="0" applyNumberFormat="1" applyFont="1" applyFill="1" applyAlignment="1">
      <alignment horizontal="left"/>
    </xf>
    <xf numFmtId="0" fontId="4" fillId="4" borderId="0" xfId="0" applyFont="1" applyFill="1" applyAlignment="1">
      <alignment horizontal="left"/>
    </xf>
    <xf numFmtId="43" fontId="14" fillId="2" borderId="7" xfId="0" applyNumberFormat="1" applyFont="1" applyFill="1" applyBorder="1" applyAlignment="1" applyProtection="1">
      <alignment horizontal="center" vertical="center"/>
    </xf>
    <xf numFmtId="43" fontId="14" fillId="2" borderId="8" xfId="0" applyNumberFormat="1" applyFont="1" applyFill="1" applyBorder="1" applyAlignment="1" applyProtection="1">
      <alignment horizontal="center" vertical="center"/>
    </xf>
    <xf numFmtId="44" fontId="14" fillId="6" borderId="6" xfId="2" applyFont="1" applyFill="1" applyBorder="1" applyAlignment="1" applyProtection="1">
      <alignment horizontal="center" vertical="center"/>
    </xf>
    <xf numFmtId="0" fontId="33" fillId="23" borderId="78" xfId="5" applyFont="1" applyFill="1" applyBorder="1" applyAlignment="1" applyProtection="1">
      <alignment horizontal="center" vertical="center"/>
      <protection locked="0"/>
    </xf>
    <xf numFmtId="0" fontId="34" fillId="18" borderId="56" xfId="7" applyBorder="1" applyAlignment="1" applyProtection="1">
      <alignment horizontal="center" vertical="center"/>
    </xf>
    <xf numFmtId="0" fontId="34" fillId="18" borderId="40" xfId="7" applyBorder="1" applyAlignment="1" applyProtection="1">
      <alignment horizontal="center" vertical="center"/>
    </xf>
    <xf numFmtId="0" fontId="12" fillId="8" borderId="13" xfId="0" applyFont="1" applyFill="1" applyBorder="1" applyAlignment="1" applyProtection="1">
      <alignment horizontal="center"/>
    </xf>
    <xf numFmtId="0" fontId="12" fillId="8" borderId="3" xfId="0" applyFont="1" applyFill="1" applyBorder="1" applyAlignment="1" applyProtection="1">
      <alignment horizontal="center"/>
    </xf>
    <xf numFmtId="0" fontId="12" fillId="8" borderId="4" xfId="0" applyFont="1" applyFill="1" applyBorder="1" applyAlignment="1" applyProtection="1">
      <alignment horizontal="center"/>
    </xf>
    <xf numFmtId="0" fontId="33" fillId="17" borderId="52" xfId="5" applyFont="1" applyBorder="1" applyAlignment="1" applyProtection="1">
      <alignment horizontal="center" vertical="center"/>
    </xf>
    <xf numFmtId="0" fontId="33" fillId="17" borderId="41" xfId="5" applyFont="1" applyBorder="1" applyAlignment="1" applyProtection="1">
      <alignment horizontal="center" vertical="center"/>
    </xf>
    <xf numFmtId="0" fontId="12" fillId="9" borderId="9" xfId="0" applyFont="1" applyFill="1" applyBorder="1" applyAlignment="1" applyProtection="1">
      <alignment horizontal="center"/>
    </xf>
    <xf numFmtId="0" fontId="12" fillId="9" borderId="6" xfId="0" applyFont="1" applyFill="1" applyBorder="1" applyAlignment="1" applyProtection="1">
      <alignment horizontal="center"/>
    </xf>
    <xf numFmtId="0" fontId="12" fillId="9" borderId="11" xfId="0" applyFont="1" applyFill="1" applyBorder="1" applyAlignment="1" applyProtection="1">
      <alignment horizontal="center"/>
    </xf>
    <xf numFmtId="0" fontId="12" fillId="4" borderId="20" xfId="0" applyFont="1" applyFill="1" applyBorder="1" applyAlignment="1" applyProtection="1">
      <alignment horizontal="center"/>
    </xf>
    <xf numFmtId="0" fontId="12" fillId="4" borderId="4" xfId="0" applyFont="1" applyFill="1" applyBorder="1" applyAlignment="1" applyProtection="1">
      <alignment horizontal="center"/>
    </xf>
    <xf numFmtId="0" fontId="12" fillId="4" borderId="3" xfId="0" applyFont="1" applyFill="1" applyBorder="1" applyAlignment="1" applyProtection="1">
      <alignment horizontal="center"/>
    </xf>
    <xf numFmtId="0" fontId="12" fillId="4" borderId="10" xfId="0" applyFont="1" applyFill="1" applyBorder="1" applyAlignment="1" applyProtection="1">
      <alignment horizontal="center"/>
    </xf>
    <xf numFmtId="0" fontId="12" fillId="2" borderId="7" xfId="0" applyFont="1" applyFill="1" applyBorder="1" applyAlignment="1" applyProtection="1">
      <alignment horizontal="left" vertical="center" wrapText="1"/>
    </xf>
    <xf numFmtId="0" fontId="12" fillId="2" borderId="8" xfId="0" applyFont="1" applyFill="1" applyBorder="1" applyAlignment="1" applyProtection="1">
      <alignment horizontal="left" vertical="center" wrapText="1"/>
    </xf>
    <xf numFmtId="0" fontId="33" fillId="17" borderId="47" xfId="5" applyFont="1" applyBorder="1" applyAlignment="1" applyProtection="1">
      <alignment horizontal="center" vertical="center"/>
    </xf>
    <xf numFmtId="0" fontId="34" fillId="18" borderId="58" xfId="7" applyBorder="1" applyAlignment="1" applyProtection="1">
      <alignment horizontal="center" vertical="center"/>
    </xf>
    <xf numFmtId="14" fontId="33" fillId="23" borderId="80" xfId="5" applyNumberFormat="1" applyFont="1" applyFill="1" applyBorder="1" applyAlignment="1" applyProtection="1">
      <alignment horizontal="center" vertical="center"/>
      <protection locked="0"/>
    </xf>
    <xf numFmtId="14" fontId="33" fillId="23" borderId="81" xfId="5" applyNumberFormat="1" applyFont="1" applyFill="1" applyBorder="1" applyAlignment="1" applyProtection="1">
      <alignment horizontal="center" vertical="center"/>
      <protection locked="0"/>
    </xf>
    <xf numFmtId="14" fontId="33" fillId="23" borderId="82" xfId="5" applyNumberFormat="1" applyFont="1" applyFill="1" applyBorder="1" applyAlignment="1" applyProtection="1">
      <alignment horizontal="center" vertical="center"/>
      <protection locked="0"/>
    </xf>
    <xf numFmtId="9" fontId="4" fillId="6" borderId="0" xfId="4" applyFont="1" applyFill="1" applyAlignment="1">
      <alignment horizontal="center"/>
    </xf>
    <xf numFmtId="0" fontId="12" fillId="0" borderId="20" xfId="0" applyFont="1" applyBorder="1" applyAlignment="1" applyProtection="1">
      <alignment horizontal="center"/>
    </xf>
    <xf numFmtId="0" fontId="12" fillId="0" borderId="3" xfId="0" applyFont="1" applyBorder="1" applyAlignment="1" applyProtection="1">
      <alignment horizontal="center"/>
    </xf>
    <xf numFmtId="0" fontId="12" fillId="0" borderId="4" xfId="0" applyFont="1" applyBorder="1" applyAlignment="1" applyProtection="1">
      <alignment horizontal="center"/>
    </xf>
    <xf numFmtId="0" fontId="12" fillId="0" borderId="12" xfId="0" applyFont="1" applyBorder="1" applyAlignment="1" applyProtection="1">
      <alignment horizontal="center"/>
    </xf>
    <xf numFmtId="4" fontId="18" fillId="9" borderId="0" xfId="0" applyNumberFormat="1" applyFont="1" applyFill="1" applyAlignment="1">
      <alignment horizontal="left"/>
    </xf>
    <xf numFmtId="0" fontId="12" fillId="29" borderId="13" xfId="0" applyFont="1" applyFill="1" applyBorder="1" applyAlignment="1" applyProtection="1">
      <alignment horizontal="center"/>
    </xf>
    <xf numFmtId="0" fontId="12" fillId="29" borderId="3" xfId="0" applyFont="1" applyFill="1" applyBorder="1" applyAlignment="1" applyProtection="1">
      <alignment horizontal="center"/>
    </xf>
    <xf numFmtId="0" fontId="12" fillId="29" borderId="12" xfId="0" applyFont="1" applyFill="1" applyBorder="1" applyAlignment="1" applyProtection="1">
      <alignment horizontal="center"/>
    </xf>
    <xf numFmtId="0" fontId="4" fillId="6" borderId="23" xfId="0" applyFont="1" applyFill="1" applyBorder="1" applyAlignment="1">
      <alignment horizontal="center"/>
    </xf>
    <xf numFmtId="0" fontId="4" fillId="6" borderId="0" xfId="0" applyFont="1" applyFill="1" applyAlignment="1">
      <alignment horizontal="center"/>
    </xf>
    <xf numFmtId="0" fontId="4" fillId="6" borderId="3" xfId="0" applyFont="1" applyFill="1" applyBorder="1" applyAlignment="1">
      <alignment horizontal="center"/>
    </xf>
    <xf numFmtId="44" fontId="4" fillId="8" borderId="0" xfId="0" applyNumberFormat="1" applyFont="1" applyFill="1" applyAlignment="1">
      <alignment horizontal="left"/>
    </xf>
    <xf numFmtId="44" fontId="19" fillId="6" borderId="18" xfId="0" applyNumberFormat="1" applyFont="1" applyFill="1" applyBorder="1" applyAlignment="1">
      <alignment horizontal="center"/>
    </xf>
    <xf numFmtId="44" fontId="18" fillId="8" borderId="18" xfId="2" applyFont="1" applyFill="1" applyBorder="1" applyAlignment="1">
      <alignment horizontal="left"/>
    </xf>
    <xf numFmtId="44" fontId="4" fillId="8" borderId="22" xfId="0" applyNumberFormat="1" applyFont="1" applyFill="1" applyBorder="1" applyAlignment="1">
      <alignment horizontal="left"/>
    </xf>
    <xf numFmtId="44" fontId="21" fillId="8" borderId="37" xfId="2" applyFont="1" applyFill="1" applyBorder="1" applyAlignment="1">
      <alignment horizontal="left"/>
    </xf>
    <xf numFmtId="4" fontId="18" fillId="8" borderId="18" xfId="0" applyNumberFormat="1" applyFont="1" applyFill="1" applyBorder="1" applyAlignment="1">
      <alignment horizontal="left"/>
    </xf>
    <xf numFmtId="44" fontId="4" fillId="8" borderId="6" xfId="0" applyNumberFormat="1" applyFont="1" applyFill="1" applyBorder="1" applyAlignment="1">
      <alignment horizontal="left"/>
    </xf>
    <xf numFmtId="4" fontId="18" fillId="9" borderId="18" xfId="0" applyNumberFormat="1" applyFont="1" applyFill="1" applyBorder="1" applyAlignment="1">
      <alignment horizontal="left"/>
    </xf>
    <xf numFmtId="44" fontId="4" fillId="9" borderId="22" xfId="0" applyNumberFormat="1" applyFont="1" applyFill="1" applyBorder="1" applyAlignment="1">
      <alignment horizontal="left"/>
    </xf>
    <xf numFmtId="44" fontId="21" fillId="9" borderId="37" xfId="2" applyFont="1" applyFill="1" applyBorder="1" applyAlignment="1">
      <alignment horizontal="left"/>
    </xf>
    <xf numFmtId="44" fontId="21" fillId="8" borderId="29" xfId="2" applyFont="1" applyFill="1" applyBorder="1" applyAlignment="1">
      <alignment horizontal="left"/>
    </xf>
    <xf numFmtId="44" fontId="18" fillId="4" borderId="17" xfId="2" applyFont="1" applyFill="1" applyBorder="1" applyAlignment="1">
      <alignment horizontal="left"/>
    </xf>
    <xf numFmtId="44" fontId="21" fillId="4" borderId="29" xfId="2" applyFont="1" applyFill="1" applyBorder="1" applyAlignment="1">
      <alignment horizontal="left"/>
    </xf>
    <xf numFmtId="4" fontId="18" fillId="9" borderId="22" xfId="0" applyNumberFormat="1" applyFont="1" applyFill="1" applyBorder="1" applyAlignment="1">
      <alignment horizontal="left"/>
    </xf>
    <xf numFmtId="4" fontId="18" fillId="9" borderId="37" xfId="0" applyNumberFormat="1" applyFont="1" applyFill="1" applyBorder="1" applyAlignment="1">
      <alignment horizontal="left"/>
    </xf>
    <xf numFmtId="4" fontId="18" fillId="8" borderId="29" xfId="0" applyNumberFormat="1" applyFont="1" applyFill="1" applyBorder="1" applyAlignment="1">
      <alignment horizontal="left"/>
    </xf>
    <xf numFmtId="44" fontId="18" fillId="9" borderId="22" xfId="2" applyFont="1" applyFill="1" applyBorder="1" applyAlignment="1">
      <alignment horizontal="left"/>
    </xf>
    <xf numFmtId="44" fontId="18" fillId="8" borderId="0" xfId="2" applyFont="1" applyFill="1" applyAlignment="1">
      <alignment horizontal="left"/>
    </xf>
    <xf numFmtId="9" fontId="21" fillId="8" borderId="29" xfId="0" applyNumberFormat="1" applyFont="1" applyFill="1" applyBorder="1" applyAlignment="1">
      <alignment horizontal="left"/>
    </xf>
    <xf numFmtId="4" fontId="18" fillId="8" borderId="22" xfId="0" applyNumberFormat="1" applyFont="1" applyFill="1" applyBorder="1" applyAlignment="1">
      <alignment horizontal="left"/>
    </xf>
    <xf numFmtId="0" fontId="18" fillId="8" borderId="18" xfId="0" applyFont="1" applyFill="1" applyBorder="1" applyAlignment="1">
      <alignment horizontal="left"/>
    </xf>
    <xf numFmtId="4" fontId="4" fillId="6" borderId="3" xfId="0" applyNumberFormat="1" applyFont="1" applyFill="1" applyBorder="1" applyAlignment="1">
      <alignment horizontal="right"/>
    </xf>
    <xf numFmtId="0" fontId="21" fillId="6" borderId="0" xfId="0" applyFont="1" applyFill="1" applyAlignment="1">
      <alignment horizontal="left"/>
    </xf>
    <xf numFmtId="0" fontId="21" fillId="6" borderId="0" xfId="0" applyFont="1" applyFill="1" applyBorder="1" applyAlignment="1">
      <alignment horizontal="left"/>
    </xf>
    <xf numFmtId="4" fontId="19" fillId="6" borderId="0" xfId="0" applyNumberFormat="1" applyFont="1" applyFill="1" applyAlignment="1">
      <alignment horizontal="right"/>
    </xf>
    <xf numFmtId="0" fontId="18" fillId="8" borderId="9" xfId="0" applyFont="1" applyFill="1" applyBorder="1" applyAlignment="1">
      <alignment horizontal="center" vertical="center" textRotation="255"/>
    </xf>
    <xf numFmtId="0" fontId="18" fillId="8" borderId="21" xfId="0" applyFont="1" applyFill="1" applyBorder="1" applyAlignment="1">
      <alignment horizontal="center" vertical="center" textRotation="255"/>
    </xf>
    <xf numFmtId="171" fontId="11" fillId="2" borderId="20" xfId="10" applyNumberFormat="1" applyFont="1" applyFill="1" applyBorder="1" applyAlignment="1" applyProtection="1">
      <alignment horizontal="center" vertical="center"/>
    </xf>
    <xf numFmtId="171" fontId="11" fillId="2" borderId="12" xfId="10" applyNumberFormat="1" applyFont="1" applyFill="1" applyBorder="1" applyAlignment="1" applyProtection="1">
      <alignment horizontal="center" vertical="center"/>
    </xf>
    <xf numFmtId="4" fontId="18" fillId="4" borderId="18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/>
    </xf>
    <xf numFmtId="0" fontId="18" fillId="9" borderId="6" xfId="0" applyFont="1" applyFill="1" applyBorder="1" applyAlignment="1">
      <alignment horizontal="left"/>
    </xf>
    <xf numFmtId="43" fontId="4" fillId="2" borderId="17" xfId="0" applyNumberFormat="1" applyFont="1" applyFill="1" applyBorder="1" applyAlignment="1" applyProtection="1">
      <alignment horizontal="left" vertical="center" wrapText="1"/>
    </xf>
    <xf numFmtId="43" fontId="33" fillId="23" borderId="77" xfId="5" applyNumberFormat="1" applyFont="1" applyFill="1" applyBorder="1" applyAlignment="1" applyProtection="1">
      <alignment horizontal="center" vertical="center"/>
      <protection locked="0"/>
    </xf>
    <xf numFmtId="167" fontId="14" fillId="6" borderId="0" xfId="2" applyNumberFormat="1" applyFont="1" applyFill="1" applyBorder="1" applyAlignment="1" applyProtection="1">
      <alignment horizontal="right"/>
    </xf>
    <xf numFmtId="167" fontId="14" fillId="6" borderId="11" xfId="2" applyNumberFormat="1" applyFont="1" applyFill="1" applyBorder="1" applyAlignment="1" applyProtection="1">
      <alignment horizontal="right"/>
    </xf>
    <xf numFmtId="43" fontId="14" fillId="2" borderId="4" xfId="0" applyNumberFormat="1" applyFont="1" applyFill="1" applyBorder="1" applyAlignment="1" applyProtection="1">
      <alignment horizontal="center" vertical="center"/>
    </xf>
    <xf numFmtId="2" fontId="14" fillId="2" borderId="3" xfId="0" applyNumberFormat="1" applyFont="1" applyFill="1" applyBorder="1" applyAlignment="1" applyProtection="1">
      <alignment horizontal="center" vertical="center"/>
    </xf>
    <xf numFmtId="43" fontId="14" fillId="2" borderId="6" xfId="0" applyNumberFormat="1" applyFont="1" applyFill="1" applyBorder="1" applyAlignment="1" applyProtection="1">
      <alignment horizontal="center" vertical="center"/>
    </xf>
    <xf numFmtId="43" fontId="14" fillId="2" borderId="13" xfId="0" applyNumberFormat="1" applyFont="1" applyFill="1" applyBorder="1" applyAlignment="1" applyProtection="1">
      <alignment horizontal="center" vertical="center"/>
    </xf>
    <xf numFmtId="0" fontId="14" fillId="2" borderId="10" xfId="0" applyFont="1" applyFill="1" applyBorder="1" applyAlignment="1" applyProtection="1">
      <alignment horizontal="center" vertical="center"/>
    </xf>
    <xf numFmtId="0" fontId="4" fillId="8" borderId="80" xfId="0" applyFont="1" applyFill="1" applyBorder="1" applyAlignment="1" applyProtection="1">
      <alignment horizontal="center" wrapText="1"/>
      <protection locked="0"/>
    </xf>
    <xf numFmtId="0" fontId="4" fillId="8" borderId="81" xfId="0" applyFont="1" applyFill="1" applyBorder="1" applyAlignment="1" applyProtection="1">
      <alignment horizontal="center" wrapText="1"/>
      <protection locked="0"/>
    </xf>
    <xf numFmtId="0" fontId="4" fillId="8" borderId="82" xfId="0" applyFont="1" applyFill="1" applyBorder="1" applyAlignment="1" applyProtection="1">
      <alignment horizontal="center" wrapText="1"/>
      <protection locked="0"/>
    </xf>
    <xf numFmtId="44" fontId="14" fillId="12" borderId="6" xfId="2" applyFont="1" applyFill="1" applyBorder="1" applyAlignment="1" applyProtection="1">
      <alignment horizontal="center" vertical="center"/>
    </xf>
    <xf numFmtId="44" fontId="14" fillId="12" borderId="8" xfId="2" applyFont="1" applyFill="1" applyBorder="1" applyAlignment="1" applyProtection="1">
      <alignment horizontal="center" vertical="center"/>
    </xf>
    <xf numFmtId="0" fontId="21" fillId="4" borderId="29" xfId="0" applyFont="1" applyFill="1" applyBorder="1" applyAlignment="1">
      <alignment horizontal="left"/>
    </xf>
    <xf numFmtId="0" fontId="19" fillId="6" borderId="0" xfId="0" applyFont="1" applyFill="1" applyAlignment="1"/>
    <xf numFmtId="0" fontId="18" fillId="8" borderId="22" xfId="0" applyFont="1" applyFill="1" applyBorder="1" applyAlignment="1">
      <alignment horizontal="left"/>
    </xf>
    <xf numFmtId="0" fontId="21" fillId="8" borderId="29" xfId="0" applyFont="1" applyFill="1" applyBorder="1" applyAlignment="1">
      <alignment horizontal="left"/>
    </xf>
    <xf numFmtId="0" fontId="21" fillId="29" borderId="37" xfId="0" applyFont="1" applyFill="1" applyBorder="1" applyAlignment="1">
      <alignment horizontal="left"/>
    </xf>
    <xf numFmtId="0" fontId="18" fillId="9" borderId="22" xfId="0" applyFont="1" applyFill="1" applyBorder="1" applyAlignment="1">
      <alignment horizontal="left"/>
    </xf>
    <xf numFmtId="0" fontId="21" fillId="9" borderId="37" xfId="0" applyFont="1" applyFill="1" applyBorder="1" applyAlignment="1">
      <alignment horizontal="left"/>
    </xf>
    <xf numFmtId="0" fontId="21" fillId="6" borderId="0" xfId="0" applyFont="1" applyFill="1" applyBorder="1" applyAlignment="1">
      <alignment horizontal="center" vertical="center" wrapText="1"/>
    </xf>
    <xf numFmtId="44" fontId="4" fillId="9" borderId="6" xfId="0" applyNumberFormat="1" applyFont="1" applyFill="1" applyBorder="1" applyAlignment="1">
      <alignment horizontal="left"/>
    </xf>
    <xf numFmtId="44" fontId="12" fillId="4" borderId="0" xfId="0" applyNumberFormat="1" applyFont="1" applyFill="1" applyAlignment="1">
      <alignment horizontal="left"/>
    </xf>
    <xf numFmtId="0" fontId="12" fillId="4" borderId="0" xfId="0" applyFont="1" applyFill="1" applyAlignment="1">
      <alignment horizontal="left"/>
    </xf>
    <xf numFmtId="0" fontId="18" fillId="9" borderId="7" xfId="0" applyFont="1" applyFill="1" applyBorder="1" applyAlignment="1">
      <alignment horizontal="center" vertical="center" textRotation="255"/>
    </xf>
    <xf numFmtId="0" fontId="18" fillId="9" borderId="9" xfId="0" applyFont="1" applyFill="1" applyBorder="1" applyAlignment="1">
      <alignment horizontal="center" vertical="center" textRotation="255"/>
    </xf>
    <xf numFmtId="0" fontId="18" fillId="9" borderId="21" xfId="0" applyFont="1" applyFill="1" applyBorder="1" applyAlignment="1">
      <alignment horizontal="center" vertical="center" textRotation="255"/>
    </xf>
    <xf numFmtId="0" fontId="18" fillId="4" borderId="18" xfId="0" applyFont="1" applyFill="1" applyBorder="1" applyAlignment="1">
      <alignment horizontal="left"/>
    </xf>
    <xf numFmtId="0" fontId="20" fillId="6" borderId="0" xfId="0" applyFont="1" applyFill="1" applyBorder="1" applyAlignment="1">
      <alignment horizontal="left" wrapText="1"/>
    </xf>
    <xf numFmtId="0" fontId="18" fillId="9" borderId="18" xfId="0" applyFont="1" applyFill="1" applyBorder="1" applyAlignment="1">
      <alignment horizontal="left"/>
    </xf>
    <xf numFmtId="0" fontId="18" fillId="9" borderId="0" xfId="0" applyFont="1" applyFill="1" applyAlignment="1">
      <alignment horizontal="left" wrapText="1"/>
    </xf>
    <xf numFmtId="9" fontId="18" fillId="4" borderId="17" xfId="0" applyNumberFormat="1" applyFont="1" applyFill="1" applyBorder="1" applyAlignment="1">
      <alignment horizontal="left"/>
    </xf>
    <xf numFmtId="0" fontId="18" fillId="4" borderId="0" xfId="0" applyFont="1" applyFill="1" applyAlignment="1">
      <alignment horizontal="left" wrapText="1"/>
    </xf>
    <xf numFmtId="9" fontId="21" fillId="4" borderId="29" xfId="0" applyNumberFormat="1" applyFont="1" applyFill="1" applyBorder="1" applyAlignment="1">
      <alignment horizontal="left"/>
    </xf>
    <xf numFmtId="44" fontId="18" fillId="9" borderId="0" xfId="2" applyFont="1" applyFill="1" applyAlignment="1">
      <alignment horizontal="left"/>
    </xf>
    <xf numFmtId="44" fontId="18" fillId="9" borderId="6" xfId="0" applyNumberFormat="1" applyFont="1" applyFill="1" applyBorder="1" applyAlignment="1">
      <alignment horizontal="left"/>
    </xf>
    <xf numFmtId="0" fontId="18" fillId="4" borderId="9" xfId="0" applyFont="1" applyFill="1" applyBorder="1" applyAlignment="1">
      <alignment horizontal="center" vertical="center" textRotation="255"/>
    </xf>
    <xf numFmtId="0" fontId="18" fillId="4" borderId="21" xfId="0" applyFont="1" applyFill="1" applyBorder="1" applyAlignment="1">
      <alignment horizontal="center" vertical="center" textRotation="255"/>
    </xf>
    <xf numFmtId="0" fontId="42" fillId="6" borderId="0" xfId="0" applyFont="1" applyFill="1" applyBorder="1" applyAlignment="1" applyProtection="1">
      <alignment horizontal="center" wrapText="1"/>
    </xf>
    <xf numFmtId="0" fontId="4" fillId="13" borderId="6" xfId="0" quotePrefix="1" applyFont="1" applyFill="1" applyBorder="1" applyAlignment="1" applyProtection="1">
      <alignment horizontal="center"/>
    </xf>
    <xf numFmtId="0" fontId="4" fillId="0" borderId="15" xfId="0" applyFont="1" applyBorder="1" applyAlignment="1" applyProtection="1">
      <alignment horizontal="center" wrapText="1"/>
    </xf>
    <xf numFmtId="0" fontId="4" fillId="0" borderId="45" xfId="0" applyFont="1" applyBorder="1" applyAlignment="1" applyProtection="1">
      <alignment horizontal="center" wrapText="1"/>
    </xf>
    <xf numFmtId="0" fontId="4" fillId="0" borderId="14" xfId="0" applyFont="1" applyBorder="1" applyAlignment="1" applyProtection="1">
      <alignment horizontal="center" wrapText="1"/>
    </xf>
    <xf numFmtId="0" fontId="4" fillId="0" borderId="2" xfId="0" applyFont="1" applyBorder="1" applyAlignment="1" applyProtection="1">
      <alignment horizontal="center" wrapText="1"/>
    </xf>
    <xf numFmtId="0" fontId="4" fillId="0" borderId="42" xfId="0" applyFont="1" applyBorder="1" applyAlignment="1" applyProtection="1">
      <alignment horizontal="center" wrapText="1"/>
    </xf>
    <xf numFmtId="0" fontId="4" fillId="0" borderId="76" xfId="0" applyFont="1" applyBorder="1" applyAlignment="1" applyProtection="1">
      <alignment horizontal="center" wrapText="1"/>
    </xf>
    <xf numFmtId="0" fontId="4" fillId="0" borderId="46" xfId="0" applyFont="1" applyBorder="1" applyAlignment="1" applyProtection="1">
      <alignment horizontal="center" wrapText="1"/>
    </xf>
    <xf numFmtId="0" fontId="4" fillId="0" borderId="30" xfId="0" applyFont="1" applyBorder="1" applyAlignment="1" applyProtection="1">
      <alignment horizontal="center" wrapText="1"/>
    </xf>
    <xf numFmtId="43" fontId="4" fillId="6" borderId="13" xfId="0" applyNumberFormat="1" applyFont="1" applyFill="1" applyBorder="1" applyAlignment="1" applyProtection="1">
      <alignment horizontal="left" wrapText="1"/>
    </xf>
    <xf numFmtId="43" fontId="4" fillId="6" borderId="10" xfId="0" applyNumberFormat="1" applyFont="1" applyFill="1" applyBorder="1" applyAlignment="1" applyProtection="1">
      <alignment horizontal="left" wrapText="1"/>
    </xf>
    <xf numFmtId="0" fontId="53" fillId="23" borderId="69" xfId="0" applyFont="1" applyFill="1" applyBorder="1" applyAlignment="1" applyProtection="1">
      <alignment horizontal="center" vertical="center" wrapText="1"/>
    </xf>
    <xf numFmtId="0" fontId="53" fillId="23" borderId="72" xfId="0" applyFont="1" applyFill="1" applyBorder="1" applyAlignment="1" applyProtection="1">
      <alignment horizontal="center" vertical="center" wrapText="1"/>
    </xf>
    <xf numFmtId="0" fontId="53" fillId="23" borderId="70" xfId="0" applyFont="1" applyFill="1" applyBorder="1" applyAlignment="1" applyProtection="1">
      <alignment horizontal="center" vertical="center" wrapText="1"/>
    </xf>
    <xf numFmtId="0" fontId="53" fillId="23" borderId="85" xfId="0" applyFont="1" applyFill="1" applyBorder="1" applyAlignment="1" applyProtection="1">
      <alignment horizontal="center" wrapText="1"/>
    </xf>
    <xf numFmtId="0" fontId="53" fillId="23" borderId="11" xfId="0" applyFont="1" applyFill="1" applyBorder="1" applyAlignment="1" applyProtection="1">
      <alignment horizontal="center" wrapText="1"/>
    </xf>
    <xf numFmtId="0" fontId="53" fillId="23" borderId="85" xfId="0" applyFont="1" applyFill="1" applyBorder="1" applyAlignment="1" applyProtection="1">
      <alignment horizontal="center" vertical="center" wrapText="1"/>
    </xf>
    <xf numFmtId="0" fontId="53" fillId="23" borderId="11" xfId="0" applyFont="1" applyFill="1" applyBorder="1" applyAlignment="1" applyProtection="1">
      <alignment horizontal="center" vertical="center" wrapText="1"/>
    </xf>
    <xf numFmtId="164" fontId="3" fillId="6" borderId="6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8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0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1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17" xfId="1" applyNumberFormat="1" applyFont="1" applyFill="1" applyBorder="1" applyAlignment="1" applyProtection="1">
      <alignment horizontal="center" vertical="top" wrapText="1"/>
      <protection locked="0"/>
    </xf>
    <xf numFmtId="164" fontId="3" fillId="6" borderId="57" xfId="1" applyNumberFormat="1" applyFont="1" applyFill="1" applyBorder="1" applyAlignment="1" applyProtection="1">
      <alignment horizontal="center" vertical="top" wrapText="1"/>
      <protection locked="0"/>
    </xf>
    <xf numFmtId="0" fontId="4" fillId="0" borderId="16" xfId="0" applyFont="1" applyBorder="1" applyAlignment="1" applyProtection="1">
      <alignment horizontal="center" wrapText="1"/>
    </xf>
    <xf numFmtId="0" fontId="4" fillId="0" borderId="31" xfId="0" applyFont="1" applyBorder="1" applyAlignment="1" applyProtection="1">
      <alignment horizontal="center" wrapText="1"/>
    </xf>
    <xf numFmtId="43" fontId="4" fillId="6" borderId="9" xfId="0" applyNumberFormat="1" applyFont="1" applyFill="1" applyBorder="1" applyAlignment="1" applyProtection="1">
      <alignment horizontal="left" wrapText="1"/>
    </xf>
    <xf numFmtId="43" fontId="4" fillId="6" borderId="11" xfId="0" applyNumberFormat="1" applyFont="1" applyFill="1" applyBorder="1" applyAlignment="1" applyProtection="1">
      <alignment horizontal="left" wrapText="1"/>
    </xf>
    <xf numFmtId="167" fontId="14" fillId="6" borderId="3" xfId="2" applyNumberFormat="1" applyFont="1" applyFill="1" applyBorder="1" applyAlignment="1" applyProtection="1">
      <alignment horizontal="right"/>
    </xf>
    <xf numFmtId="167" fontId="14" fillId="6" borderId="10" xfId="2" applyNumberFormat="1" applyFont="1" applyFill="1" applyBorder="1" applyAlignment="1" applyProtection="1">
      <alignment horizontal="right"/>
    </xf>
    <xf numFmtId="0" fontId="4" fillId="13" borderId="20" xfId="0" quotePrefix="1" applyFont="1" applyFill="1" applyBorder="1" applyAlignment="1" applyProtection="1">
      <alignment horizontal="center"/>
    </xf>
    <xf numFmtId="0" fontId="4" fillId="13" borderId="4" xfId="0" quotePrefix="1" applyFont="1" applyFill="1" applyBorder="1" applyAlignment="1" applyProtection="1">
      <alignment horizontal="center"/>
    </xf>
    <xf numFmtId="0" fontId="4" fillId="13" borderId="12" xfId="0" quotePrefix="1" applyFont="1" applyFill="1" applyBorder="1" applyAlignment="1" applyProtection="1">
      <alignment horizontal="center"/>
    </xf>
    <xf numFmtId="0" fontId="4" fillId="4" borderId="80" xfId="0" applyFont="1" applyFill="1" applyBorder="1" applyAlignment="1" applyProtection="1">
      <alignment horizontal="center" wrapText="1"/>
      <protection locked="0"/>
    </xf>
    <xf numFmtId="0" fontId="4" fillId="4" borderId="81" xfId="0" applyFont="1" applyFill="1" applyBorder="1" applyAlignment="1" applyProtection="1">
      <alignment horizontal="center" wrapText="1"/>
      <protection locked="0"/>
    </xf>
    <xf numFmtId="0" fontId="4" fillId="4" borderId="82" xfId="0" applyFont="1" applyFill="1" applyBorder="1" applyAlignment="1" applyProtection="1">
      <alignment horizontal="center" wrapText="1"/>
      <protection locked="0"/>
    </xf>
    <xf numFmtId="0" fontId="4" fillId="9" borderId="80" xfId="0" applyFont="1" applyFill="1" applyBorder="1" applyAlignment="1" applyProtection="1">
      <alignment horizontal="center" wrapText="1"/>
      <protection locked="0"/>
    </xf>
    <xf numFmtId="0" fontId="4" fillId="9" borderId="81" xfId="0" applyFont="1" applyFill="1" applyBorder="1" applyAlignment="1" applyProtection="1">
      <alignment horizontal="center" wrapText="1"/>
      <protection locked="0"/>
    </xf>
    <xf numFmtId="0" fontId="4" fillId="9" borderId="82" xfId="0" applyFont="1" applyFill="1" applyBorder="1" applyAlignment="1" applyProtection="1">
      <alignment horizontal="center" wrapText="1"/>
      <protection locked="0"/>
    </xf>
    <xf numFmtId="0" fontId="0" fillId="6" borderId="0" xfId="0" applyFill="1" applyAlignment="1">
      <alignment horizontal="center"/>
    </xf>
    <xf numFmtId="0" fontId="2" fillId="6" borderId="0" xfId="0" applyFont="1" applyFill="1" applyAlignment="1">
      <alignment horizontal="center" wrapText="1"/>
    </xf>
    <xf numFmtId="0" fontId="2" fillId="4" borderId="20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4" fontId="11" fillId="0" borderId="0" xfId="0" applyNumberFormat="1" applyFont="1" applyAlignment="1">
      <alignment horizontal="center"/>
    </xf>
    <xf numFmtId="0" fontId="30" fillId="17" borderId="0" xfId="5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30" fillId="17" borderId="0" xfId="5" applyBorder="1" applyAlignment="1" applyProtection="1">
      <alignment horizontal="center"/>
    </xf>
    <xf numFmtId="0" fontId="2" fillId="37" borderId="20" xfId="0" applyFont="1" applyFill="1" applyBorder="1" applyAlignment="1" applyProtection="1">
      <alignment horizontal="center"/>
    </xf>
    <xf numFmtId="0" fontId="2" fillId="37" borderId="4" xfId="0" applyFont="1" applyFill="1" applyBorder="1" applyAlignment="1" applyProtection="1">
      <alignment horizontal="center"/>
    </xf>
    <xf numFmtId="4" fontId="11" fillId="0" borderId="0" xfId="0" applyNumberFormat="1" applyFont="1" applyAlignment="1" applyProtection="1">
      <alignment horizontal="center"/>
    </xf>
    <xf numFmtId="0" fontId="0" fillId="0" borderId="0" xfId="0" applyAlignment="1" applyProtection="1">
      <alignment horizontal="center"/>
    </xf>
    <xf numFmtId="0" fontId="23" fillId="0" borderId="0" xfId="0" applyFont="1" applyAlignment="1" applyProtection="1">
      <alignment horizontal="center"/>
    </xf>
    <xf numFmtId="0" fontId="2" fillId="6" borderId="0" xfId="0" applyFont="1" applyFill="1" applyAlignment="1" applyProtection="1">
      <alignment horizontal="center" wrapText="1"/>
    </xf>
    <xf numFmtId="0" fontId="2" fillId="8" borderId="20" xfId="0" applyFont="1" applyFill="1" applyBorder="1" applyAlignment="1" applyProtection="1">
      <alignment horizontal="center"/>
    </xf>
    <xf numFmtId="0" fontId="2" fillId="8" borderId="4" xfId="0" applyFont="1" applyFill="1" applyBorder="1" applyAlignment="1" applyProtection="1">
      <alignment horizontal="center"/>
    </xf>
    <xf numFmtId="0" fontId="2" fillId="8" borderId="12" xfId="0" applyFont="1" applyFill="1" applyBorder="1" applyAlignment="1" applyProtection="1">
      <alignment horizontal="center"/>
    </xf>
    <xf numFmtId="0" fontId="2" fillId="29" borderId="20" xfId="0" applyFont="1" applyFill="1" applyBorder="1" applyAlignment="1" applyProtection="1">
      <alignment horizontal="center"/>
    </xf>
    <xf numFmtId="0" fontId="2" fillId="29" borderId="4" xfId="0" applyFont="1" applyFill="1" applyBorder="1" applyAlignment="1" applyProtection="1">
      <alignment horizontal="center"/>
    </xf>
    <xf numFmtId="0" fontId="2" fillId="29" borderId="12" xfId="0" applyFont="1" applyFill="1" applyBorder="1" applyAlignment="1" applyProtection="1">
      <alignment horizontal="center"/>
    </xf>
    <xf numFmtId="0" fontId="20" fillId="2" borderId="95" xfId="0" applyFont="1" applyFill="1" applyBorder="1" applyAlignment="1" applyProtection="1">
      <alignment horizontal="right" vertical="center" wrapText="1"/>
    </xf>
    <xf numFmtId="0" fontId="20" fillId="2" borderId="96" xfId="0" applyFont="1" applyFill="1" applyBorder="1" applyAlignment="1" applyProtection="1">
      <alignment horizontal="right" vertical="center" wrapText="1"/>
    </xf>
    <xf numFmtId="0" fontId="20" fillId="2" borderId="97" xfId="0" applyFont="1" applyFill="1" applyBorder="1" applyAlignment="1" applyProtection="1">
      <alignment horizontal="right" vertical="center" wrapText="1"/>
    </xf>
    <xf numFmtId="0" fontId="28" fillId="22" borderId="0" xfId="12" applyFont="1" applyAlignment="1" applyProtection="1">
      <alignment horizontal="center" vertical="center" wrapText="1"/>
    </xf>
    <xf numFmtId="0" fontId="28" fillId="21" borderId="0" xfId="11" applyFont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horizontal="center" vertical="center"/>
    </xf>
    <xf numFmtId="0" fontId="4" fillId="28" borderId="7" xfId="0" applyFont="1" applyFill="1" applyBorder="1" applyAlignment="1" applyProtection="1">
      <alignment horizontal="center"/>
    </xf>
    <xf numFmtId="0" fontId="4" fillId="28" borderId="6" xfId="0" applyFont="1" applyFill="1" applyBorder="1" applyAlignment="1" applyProtection="1">
      <alignment horizontal="center"/>
    </xf>
    <xf numFmtId="0" fontId="4" fillId="28" borderId="8" xfId="0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left"/>
    </xf>
    <xf numFmtId="0" fontId="3" fillId="0" borderId="11" xfId="0" applyFont="1" applyBorder="1" applyAlignment="1" applyProtection="1">
      <alignment horizontal="left"/>
    </xf>
    <xf numFmtId="0" fontId="0" fillId="33" borderId="0" xfId="0" applyFill="1" applyAlignment="1" applyProtection="1">
      <alignment horizontal="center"/>
    </xf>
    <xf numFmtId="0" fontId="4" fillId="34" borderId="0" xfId="0" applyFont="1" applyFill="1" applyAlignment="1" applyProtection="1">
      <alignment horizontal="center"/>
    </xf>
    <xf numFmtId="0" fontId="29" fillId="31" borderId="54" xfId="13" applyBorder="1" applyAlignment="1" applyProtection="1">
      <alignment horizontal="center"/>
    </xf>
    <xf numFmtId="0" fontId="29" fillId="31" borderId="55" xfId="13" applyBorder="1" applyAlignment="1" applyProtection="1">
      <alignment horizontal="center"/>
    </xf>
    <xf numFmtId="0" fontId="44" fillId="34" borderId="0" xfId="0" applyFont="1" applyFill="1" applyAlignment="1" applyProtection="1">
      <alignment horizontal="center"/>
    </xf>
    <xf numFmtId="0" fontId="3" fillId="33" borderId="0" xfId="0" applyFont="1" applyFill="1" applyAlignment="1" applyProtection="1">
      <alignment horizontal="center"/>
    </xf>
    <xf numFmtId="0" fontId="3" fillId="0" borderId="0" xfId="0" applyFont="1" applyFill="1" applyBorder="1" applyAlignment="1" applyProtection="1">
      <alignment horizontal="left"/>
    </xf>
    <xf numFmtId="0" fontId="4" fillId="28" borderId="7" xfId="0" applyFont="1" applyFill="1" applyBorder="1" applyAlignment="1" applyProtection="1">
      <alignment horizontal="left"/>
    </xf>
    <xf numFmtId="0" fontId="4" fillId="28" borderId="6" xfId="0" applyFont="1" applyFill="1" applyBorder="1" applyAlignment="1" applyProtection="1">
      <alignment horizontal="left"/>
    </xf>
    <xf numFmtId="0" fontId="4" fillId="28" borderId="8" xfId="0" applyFont="1" applyFill="1" applyBorder="1" applyAlignment="1" applyProtection="1">
      <alignment horizontal="left"/>
    </xf>
    <xf numFmtId="0" fontId="1" fillId="21" borderId="0" xfId="11" applyAlignment="1" applyProtection="1">
      <alignment horizontal="center" vertical="center" wrapText="1"/>
    </xf>
    <xf numFmtId="49" fontId="36" fillId="0" borderId="0" xfId="0" applyNumberFormat="1" applyFont="1" applyBorder="1" applyAlignment="1" applyProtection="1">
      <alignment horizontal="left" wrapText="1"/>
    </xf>
    <xf numFmtId="49" fontId="36" fillId="0" borderId="11" xfId="0" applyNumberFormat="1" applyFont="1" applyBorder="1" applyAlignment="1" applyProtection="1">
      <alignment horizontal="left" wrapText="1"/>
    </xf>
    <xf numFmtId="0" fontId="3" fillId="0" borderId="3" xfId="0" applyFont="1" applyBorder="1" applyAlignment="1" applyProtection="1">
      <alignment horizontal="left"/>
    </xf>
    <xf numFmtId="0" fontId="3" fillId="0" borderId="10" xfId="0" applyFont="1" applyBorder="1" applyAlignment="1" applyProtection="1">
      <alignment horizontal="left"/>
    </xf>
    <xf numFmtId="0" fontId="1" fillId="22" borderId="0" xfId="12" applyAlignment="1" applyProtection="1">
      <alignment horizontal="center" vertical="center" wrapText="1"/>
    </xf>
    <xf numFmtId="0" fontId="4" fillId="0" borderId="0" xfId="0" applyFont="1" applyAlignment="1" applyProtection="1">
      <alignment horizontal="center"/>
    </xf>
    <xf numFmtId="0" fontId="3" fillId="11" borderId="17" xfId="0" applyFont="1" applyFill="1" applyBorder="1" applyAlignment="1" applyProtection="1">
      <alignment horizontal="center"/>
    </xf>
    <xf numFmtId="0" fontId="38" fillId="23" borderId="69" xfId="0" applyFont="1" applyFill="1" applyBorder="1" applyAlignment="1" applyProtection="1">
      <alignment horizontal="center" wrapText="1"/>
    </xf>
    <xf numFmtId="0" fontId="38" fillId="23" borderId="70" xfId="0" applyFont="1" applyFill="1" applyBorder="1" applyAlignment="1" applyProtection="1">
      <alignment horizontal="center" wrapText="1"/>
    </xf>
    <xf numFmtId="0" fontId="4" fillId="0" borderId="62" xfId="0" applyFont="1" applyBorder="1" applyAlignment="1" applyProtection="1">
      <alignment horizontal="center" vertical="center"/>
    </xf>
    <xf numFmtId="0" fontId="4" fillId="0" borderId="0" xfId="0" applyFont="1" applyAlignment="1" applyProtection="1">
      <alignment horizontal="right"/>
    </xf>
    <xf numFmtId="0" fontId="2" fillId="4" borderId="0" xfId="0" applyFont="1" applyFill="1" applyAlignment="1">
      <alignment horizontal="center"/>
    </xf>
    <xf numFmtId="0" fontId="2" fillId="9" borderId="0" xfId="0" applyFont="1" applyFill="1" applyAlignment="1">
      <alignment horizontal="center"/>
    </xf>
    <xf numFmtId="0" fontId="2" fillId="8" borderId="0" xfId="0" applyFont="1" applyFill="1" applyAlignment="1">
      <alignment horizontal="center"/>
    </xf>
    <xf numFmtId="0" fontId="2" fillId="23" borderId="0" xfId="0" applyFont="1" applyFill="1" applyAlignment="1">
      <alignment horizontal="center"/>
    </xf>
    <xf numFmtId="0" fontId="2" fillId="13" borderId="0" xfId="0" applyFont="1" applyFill="1" applyAlignment="1" applyProtection="1">
      <alignment horizontal="right"/>
      <protection locked="0"/>
    </xf>
    <xf numFmtId="0" fontId="2" fillId="13" borderId="0" xfId="0" applyFont="1" applyFill="1" applyAlignment="1" applyProtection="1">
      <alignment horizontal="right"/>
    </xf>
    <xf numFmtId="0" fontId="2" fillId="0" borderId="7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</cellXfs>
  <cellStyles count="17">
    <cellStyle name="20% - Accent4" xfId="10" builtinId="42"/>
    <cellStyle name="40% - Accent5" xfId="11" builtinId="47"/>
    <cellStyle name="60% - Accent5" xfId="12" builtinId="48"/>
    <cellStyle name="Bad" xfId="15" builtinId="27"/>
    <cellStyle name="Calculation" xfId="6" builtinId="22"/>
    <cellStyle name="Check Cell" xfId="13" builtinId="23"/>
    <cellStyle name="Comma" xfId="1" builtinId="3"/>
    <cellStyle name="Currency" xfId="2" builtinId="4"/>
    <cellStyle name="Hyperlink" xfId="14" builtinId="8"/>
    <cellStyle name="Input" xfId="5" builtinId="20"/>
    <cellStyle name="Linked Cell" xfId="8" builtinId="24"/>
    <cellStyle name="Normal" xfId="0" builtinId="0"/>
    <cellStyle name="Normal 2" xfId="3" xr:uid="{00000000-0005-0000-0000-00002F000000}"/>
    <cellStyle name="Normal 2 2" xfId="16" xr:uid="{6AC223D2-42E0-4A31-9D74-9713BB896DE5}"/>
    <cellStyle name="Note" xfId="9" builtinId="10"/>
    <cellStyle name="Output" xfId="7" builtinId="21"/>
    <cellStyle name="Percent" xfId="4" builtinId="5"/>
  </cellStyles>
  <dxfs count="129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39997558519241921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8" tint="0.59999389629810485"/>
        </patternFill>
      </fill>
      <protection locked="1" hidden="0"/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7" tint="0.39997558519241921"/>
        </patternFill>
      </fill>
      <protection locked="1" hidden="0"/>
    </dxf>
    <dxf>
      <border outline="0">
        <bottom style="double">
          <color indexed="64"/>
        </bottom>
      </border>
    </dxf>
    <dxf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(&quot;$&quot;* #,##0.00_);_(&quot;$&quot;* \(#,##0.00\);_(&quot;$&quot;* &quot;-&quot;??_);_(@_)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bottom" textRotation="0" wrapText="1" indent="0" justifyLastLine="0" shrinkToFit="0" readingOrder="0"/>
      <protection locked="1" hidden="0"/>
    </dxf>
    <dxf>
      <numFmt numFmtId="35" formatCode="_(* #,##0.00_);_(* \(#,##0.00\);_(* &quot;-&quot;??_);_(@_)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numFmt numFmtId="4" formatCode="#,##0.00"/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6" tint="0.59999389629810485"/>
        </patternFill>
      </fill>
      <border diagonalUp="0" diagonalDown="0">
        <left style="dashed">
          <color rgb="FFFF0000"/>
        </left>
        <right style="dashed">
          <color rgb="FFFF0000"/>
        </right>
        <top style="dashed">
          <color rgb="FFFF0000"/>
        </top>
        <bottom style="dashed">
          <color rgb="FFFF0000"/>
        </bottom>
        <vertical/>
        <horizontal/>
      </border>
      <protection locked="1" hidden="0"/>
    </dxf>
    <dxf>
      <fill>
        <patternFill patternType="solid">
          <fgColor indexed="64"/>
          <bgColor theme="5" tint="0.59999389629810485"/>
        </patternFill>
      </fill>
      <protection locked="1" hidden="0"/>
    </dxf>
    <dxf>
      <protection locked="1" hidden="0"/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0000FF"/>
      <color rgb="FFFCFCC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2B675B42-B91C-4448-8FBC-5E56172B7908}" autoFormatId="16" applyNumberFormats="0" applyBorderFormats="0" applyFontFormats="0" applyPatternFormats="0" applyAlignmentFormats="0" applyWidthHeightFormats="0">
  <queryTableRefresh nextId="9">
    <queryTableFields count="5">
      <queryTableField id="1" name="Item" tableColumnId="1"/>
      <queryTableField id="3" name="Qty (Feet)" tableColumnId="3"/>
      <queryTableField id="4" name="Unit Count" tableColumnId="4"/>
      <queryTableField id="5" name="Coushion Qty" tableColumnId="5"/>
      <queryTableField id="6" name="Coushion Unit Count" tableColumnId="6"/>
    </queryTableFields>
    <queryTableDeletedFields count="1">
      <deletedField name="Description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3DEC57E-EC6E-4D39-844D-B819BE1B2D5D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8EC596FF-6914-4B6E-8FFD-168FE67E1218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509A01DE-69C9-4ACE-A728-84129BFB444A}" autoFormatId="16" applyNumberFormats="0" applyBorderFormats="0" applyFontFormats="0" applyPatternFormats="0" applyAlignmentFormats="0" applyWidthHeightFormats="0">
  <queryTableRefresh nextId="6">
    <queryTableFields count="5">
      <queryTableField id="1" name="Item" tableColumnId="1"/>
      <queryTableField id="2" name="Qty (Feet)" tableColumnId="2"/>
      <queryTableField id="3" name="Unit Count" tableColumnId="3"/>
      <queryTableField id="4" name="Coushion Qty" tableColumnId="4"/>
      <queryTableField id="5" name="Coushion Unit Count" tableColumnId="5"/>
    </queryTableFields>
  </queryTableRefresh>
</queryTable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DE5E22C-E63F-498C-8C99-A9CAF9855A4D}" name="Table11" displayName="Table11" ref="A4:J265" totalsRowShown="0" dataDxfId="115">
  <autoFilter ref="A4:J265" xr:uid="{5F772D47-5C35-4BCA-9964-17BAF0D78F4C}"/>
  <tableColumns count="10">
    <tableColumn id="1" xr3:uid="{9CE6401A-4153-4E3F-989C-6A2E329824F2}" name="Area A" dataDxfId="114"/>
    <tableColumn id="2" xr3:uid="{2FDE69FA-DD3E-48BC-8C73-32237AC28E58}" name="Item" dataDxfId="113" dataCellStyle="Input"/>
    <tableColumn id="3" xr3:uid="{73CF198C-4585-4AD2-B478-32B6C1EEEE95}" name="Description" dataDxfId="112" dataCellStyle="Input"/>
    <tableColumn id="4" xr3:uid="{E99A6780-77EC-4B68-B471-60A7CFE5227C}" name="Qty (Feet)" dataDxfId="111" dataCellStyle="Input"/>
    <tableColumn id="5" xr3:uid="{DC29B026-B9E6-4A47-B1BF-569FD92111DF}" name="Unit Count" dataDxfId="110" dataCellStyle="Input"/>
    <tableColumn id="6" xr3:uid="{C34998F0-A6E7-4C04-ABB6-3EDCBA094052}" name="Unit Cost" dataDxfId="109" dataCellStyle="Input"/>
    <tableColumn id="7" xr3:uid="{20D1B0A4-6EBA-401E-841E-2BD4311C8605}" name="Extended Cost" dataDxfId="108" dataCellStyle="Currency">
      <calculatedColumnFormula>F5*E5</calculatedColumnFormula>
    </tableColumn>
    <tableColumn id="8" xr3:uid="{1FDA457F-AE71-48A8-8675-D294256F3254}" name="Coushion Qty" dataDxfId="107"/>
    <tableColumn id="9" xr3:uid="{5C847B2D-6814-4B6F-AB26-BC359C49A31D}" name="Coushion Unit Count" dataDxfId="106">
      <calculatedColumnFormula>ROUNDUP((E5*'Project Materials'!$D$18),0)</calculatedColumnFormula>
    </tableColumn>
    <tableColumn id="10" xr3:uid="{56EB806B-9514-41A0-9C8F-B5029F04BE3B}" name="Adjusted Cost" dataDxfId="105">
      <calculatedColumnFormula>G5+(I5*F5)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542E233-4659-4476-93E6-8C4729F404B8}" name="Table13" displayName="Table13" ref="A4:J266" totalsRowShown="0" headerRowDxfId="91" dataDxfId="90" tableBorderDxfId="89">
  <autoFilter ref="A4:J266" xr:uid="{CB91838A-E22C-47FF-A566-FF3D95FD178F}"/>
  <tableColumns count="10">
    <tableColumn id="1" xr3:uid="{F25F0B7F-8BEB-4882-A05B-196F96D68B46}" name="Area B" dataDxfId="88"/>
    <tableColumn id="2" xr3:uid="{2AD1E214-A6CD-4999-8D41-4A304657B471}" name="Item" dataDxfId="87" dataCellStyle="Input"/>
    <tableColumn id="3" xr3:uid="{CC94CD99-A685-4265-9978-048AC13AD203}" name="Description" dataDxfId="86" dataCellStyle="Input"/>
    <tableColumn id="4" xr3:uid="{6BC8D5F1-D4A8-4D4D-9F31-701B3D105E4A}" name="Qty (Feet)" dataDxfId="85" dataCellStyle="Input"/>
    <tableColumn id="5" xr3:uid="{E1D389FA-48AD-46C3-A9D8-A1210BF0F12C}" name="Unit Count" dataDxfId="84" dataCellStyle="Input"/>
    <tableColumn id="6" xr3:uid="{80CE5A85-C8D3-4517-B278-154C60B349E1}" name="Unit Cost" dataDxfId="83" dataCellStyle="Input"/>
    <tableColumn id="7" xr3:uid="{1F6046B9-04A1-4D68-994C-A71916BA7123}" name="Extended Cost" dataDxfId="82" dataCellStyle="Currency"/>
    <tableColumn id="8" xr3:uid="{11A2C954-55CB-4A9F-8102-35C3F01D95B3}" name="Coushion Qty" dataDxfId="81"/>
    <tableColumn id="9" xr3:uid="{0DC92442-E4D5-4750-ABFF-796234C50444}" name="Coushion Unit Count" dataDxfId="80"/>
    <tableColumn id="10" xr3:uid="{AFADB858-A369-4AF0-AF72-1B4EDFAFE49A}" name="Adjusted Cost" dataDxfId="79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B7EDB0B1-41F0-4BFE-8655-14B92A7402E0}" name="Table16" displayName="Table16" ref="A4:J265" totalsRowShown="0" headerRowDxfId="65" dataDxfId="64">
  <autoFilter ref="A4:J265" xr:uid="{DC859209-2B74-4825-8302-4BECF9B783F8}"/>
  <tableColumns count="10">
    <tableColumn id="1" xr3:uid="{4D58F2C9-DA07-471C-AA21-5F6B85969551}" name="Area B" dataDxfId="63"/>
    <tableColumn id="2" xr3:uid="{A1EC4D1B-5D72-4F34-A060-7449D713D9EB}" name="Item" dataDxfId="62" dataCellStyle="Input"/>
    <tableColumn id="3" xr3:uid="{35260459-BAD9-4E3A-A4F0-29D524C941CC}" name="Description" dataDxfId="61" dataCellStyle="Input"/>
    <tableColumn id="4" xr3:uid="{A55C3E2C-DFF4-4634-8A93-ADA1F7219F72}" name="Qty (Feet)" dataDxfId="60" dataCellStyle="Input"/>
    <tableColumn id="5" xr3:uid="{E30AE70A-F815-4518-8C01-7E81B0988470}" name="Unit Count" dataDxfId="59" dataCellStyle="Input"/>
    <tableColumn id="6" xr3:uid="{BB36A3D1-0C04-45EC-9ADC-ABF63442355B}" name="Unit Cost" dataDxfId="58" dataCellStyle="Input"/>
    <tableColumn id="7" xr3:uid="{A86F2396-EC43-4D83-850E-A1E53D5220D2}" name="Extended Cost" dataDxfId="57" dataCellStyle="Currency">
      <calculatedColumnFormula>F5*E5</calculatedColumnFormula>
    </tableColumn>
    <tableColumn id="8" xr3:uid="{759830BB-7402-48E5-8FEA-479659D10ADD}" name="Coushion Qty" dataDxfId="56"/>
    <tableColumn id="9" xr3:uid="{EADBA2FA-14EE-4A24-8CEB-FF7D61945EE5}" name="Coushion Unit Count" dataDxfId="55">
      <calculatedColumnFormula>ROUNDUP((E5*'Project Materials'!$L$18),0)</calculatedColumnFormula>
    </tableColumn>
    <tableColumn id="10" xr3:uid="{83D2B6D7-2AA3-4BCA-9940-F215F4FA328B}" name="Adjusted Cost" dataDxfId="54">
      <calculatedColumnFormula>G5+(I5*F5)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06EFC11-7442-476A-8F5C-F857DFB51F12}" name="Table18" displayName="Table18" ref="A4:J265" totalsRowShown="0" headerRowDxfId="40" dataDxfId="39">
  <autoFilter ref="A4:J265" xr:uid="{DFB4D55D-8B52-40C6-87DC-FBDCF0806021}"/>
  <tableColumns count="10">
    <tableColumn id="1" xr3:uid="{604BDE15-D7E5-4608-A5AE-B487606FC52A}" name="Area B" dataDxfId="38"/>
    <tableColumn id="2" xr3:uid="{F40E6EDC-D010-4664-B6E7-D40E8B1FEF29}" name="Item" dataDxfId="37" dataCellStyle="Input"/>
    <tableColumn id="3" xr3:uid="{70059973-9823-4A40-837B-33D90FA6F30A}" name="Description" dataDxfId="36" dataCellStyle="Input"/>
    <tableColumn id="4" xr3:uid="{1249BAD9-F3E8-4F09-BB8F-C6D5A3C63D2E}" name="Qty (Feet)" dataDxfId="35" dataCellStyle="Input"/>
    <tableColumn id="5" xr3:uid="{F6C4F3AC-F4D4-429C-8877-7A077DBC6815}" name="Unit Count" dataDxfId="34" dataCellStyle="Input"/>
    <tableColumn id="6" xr3:uid="{BC80C850-82FC-4A72-85D3-0F1F4DB84896}" name="Unit Cost" dataDxfId="33" dataCellStyle="Input"/>
    <tableColumn id="7" xr3:uid="{6509251D-1436-4B48-A690-EE7DFB0F056F}" name="Extended Cost" dataDxfId="32" dataCellStyle="Currency">
      <calculatedColumnFormula>F5*E5</calculatedColumnFormula>
    </tableColumn>
    <tableColumn id="8" xr3:uid="{BDFCF400-6676-47C3-8084-D142B986B4A1}" name="Coushion Qty" dataDxfId="31"/>
    <tableColumn id="9" xr3:uid="{97019B94-4372-4EB7-A889-6AC52E52E6E9}" name="Coushion Unit Count" dataDxfId="30">
      <calculatedColumnFormula>ROUNDUP((E5*'Project Materials'!$L$18),0)</calculatedColumnFormula>
    </tableColumn>
    <tableColumn id="10" xr3:uid="{05CF7E31-D1CC-4110-8B91-F8D4F799127F}" name="Adjusted Cost" dataDxfId="29">
      <calculatedColumnFormula>G5+(I5*F5)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BC249DB-45A3-440D-B346-5A418A7B55C4}" name="Table113" displayName="Table113" ref="A17:J42" totalsRowShown="0" headerRowDxfId="15" dataDxfId="14">
  <tableColumns count="10">
    <tableColumn id="1" xr3:uid="{D73B33A6-9375-4FF1-98E5-68E23FF50D87}" name="Grab Rail" dataDxfId="13"/>
    <tableColumn id="2" xr3:uid="{69BD9D66-1CB3-4BA8-A52F-669A48E2D8DA}" name="Item" dataDxfId="12" dataCellStyle="Input"/>
    <tableColumn id="3" xr3:uid="{5FF0CD49-89CD-4A7D-811A-6FBC433B331C}" name="Description" dataDxfId="11" dataCellStyle="Input"/>
    <tableColumn id="4" xr3:uid="{A7BE43F7-F02E-4343-8FBD-7D005BC64EC3}" name="Qty (Feet)" dataDxfId="10" dataCellStyle="Input"/>
    <tableColumn id="5" xr3:uid="{757E4C53-E2CE-4F29-BC56-D7EE2AF82C1C}" name="Unit Count" dataDxfId="9" dataCellStyle="Input"/>
    <tableColumn id="6" xr3:uid="{3459F3DA-B22B-40D5-A2BD-0B8DCEFC17A1}" name="Unit Cost" dataDxfId="8" dataCellStyle="Input"/>
    <tableColumn id="7" xr3:uid="{A6206802-C484-41EF-B1A4-1E7139ABF9A6}" name="Extended Cost" dataDxfId="7" dataCellStyle="Currency">
      <calculatedColumnFormula>F18*E18</calculatedColumnFormula>
    </tableColumn>
    <tableColumn id="8" xr3:uid="{1696A0B1-11A9-4A2B-9C42-5EB45E04FDCC}" name="Coushion Qty LF" dataDxfId="6"/>
    <tableColumn id="9" xr3:uid="{4E5CBF6B-BF74-4CC6-A159-C627E8E9A3A4}" name="Coushion Unit Count" dataDxfId="5">
      <calculatedColumnFormula>ROUNDUP((E18*'Project Materials'!$D$18),0)</calculatedColumnFormula>
    </tableColumn>
    <tableColumn id="10" xr3:uid="{A91C76AC-A20C-4D03-A22E-DF2F30FA61D2}" name="Adjusted Cost" dataDxfId="4">
      <calculatedColumnFormula>G18+(I18*F18)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0F86B38-1F7E-4EAD-8B8B-1037394F3695}" name="Table11_2" displayName="Table11_2" ref="A2:E3" tableType="queryTable" insertRow="1" totalsRowShown="0">
  <autoFilter ref="A2:E3" xr:uid="{A14D62C9-4749-49A9-89D7-A6646CD23372}"/>
  <tableColumns count="5">
    <tableColumn id="1" xr3:uid="{56AED07C-E818-469A-A3F1-9E60109EF01F}" uniqueName="1" name="Item" queryTableFieldId="1" dataDxfId="3"/>
    <tableColumn id="3" xr3:uid="{2E269BB2-9C69-48B6-95E8-704698664872}" uniqueName="3" name="Qty (Feet)" queryTableFieldId="3"/>
    <tableColumn id="4" xr3:uid="{563D31EF-70A5-49C0-9AD3-5ECDDB9F3934}" uniqueName="4" name="Unit Count" queryTableFieldId="4"/>
    <tableColumn id="5" xr3:uid="{49F516E3-4D2E-4A04-BE6B-9CF4F412711F}" uniqueName="5" name="Coushion Qty" queryTableFieldId="5"/>
    <tableColumn id="6" xr3:uid="{C26009A6-687E-4609-8E69-44C97DABEEDF}" uniqueName="6" name="Coushion Unit Count" queryTableFieldId="6"/>
  </tableColumns>
  <tableStyleInfo name="TableStyleMedium10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6640882-E425-4AD2-939B-97B12D506CFB}" name="Table13_2" displayName="Table13_2" ref="G2:K3" tableType="queryTable" insertRow="1" totalsRowShown="0">
  <autoFilter ref="G2:K3" xr:uid="{0874F2B2-6059-4663-9986-0B2364843DF2}"/>
  <tableColumns count="5">
    <tableColumn id="1" xr3:uid="{9FB15799-6348-4AAA-9B96-66FA20D44516}" uniqueName="1" name="Item" queryTableFieldId="1" dataDxfId="2"/>
    <tableColumn id="2" xr3:uid="{7ABA6987-DE7D-49BE-A25E-C8EC1A79CBE6}" uniqueName="2" name="Qty (Feet)" queryTableFieldId="2"/>
    <tableColumn id="3" xr3:uid="{CD4B1DEB-A628-4DFF-870C-E801954B7283}" uniqueName="3" name="Unit Count" queryTableFieldId="3"/>
    <tableColumn id="4" xr3:uid="{17FAFA73-8265-4456-B038-266A665D4573}" uniqueName="4" name="Coushion Qty" queryTableFieldId="4"/>
    <tableColumn id="5" xr3:uid="{8B98BE44-B9AF-4F1D-9D21-DA0029A6306A}" uniqueName="5" name="Coushion Unit Count" queryTableFieldId="5"/>
  </tableColumns>
  <tableStyleInfo name="TableStyleMedium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290AA933-2B35-442E-BC9E-1503DA663FF3}" name="Table16_2" displayName="Table16_2" ref="M2:Q3" tableType="queryTable" insertRow="1" totalsRowShown="0">
  <autoFilter ref="M2:Q3" xr:uid="{9BA87127-10EE-42BD-BA09-466FB777C33D}"/>
  <tableColumns count="5">
    <tableColumn id="1" xr3:uid="{B41387C4-3D5D-4B50-B97D-D4D9BE79EBCB}" uniqueName="1" name="Item" queryTableFieldId="1" dataDxfId="1"/>
    <tableColumn id="2" xr3:uid="{A95AA3B1-19C0-420A-B410-35C0479A35EF}" uniqueName="2" name="Qty (Feet)" queryTableFieldId="2"/>
    <tableColumn id="3" xr3:uid="{8BC960DF-A38B-4559-9BB9-B008EA6606C1}" uniqueName="3" name="Unit Count" queryTableFieldId="3"/>
    <tableColumn id="4" xr3:uid="{77900CD4-CF92-47F2-B39E-3F6C8E68418C}" uniqueName="4" name="Coushion Qty" queryTableFieldId="4"/>
    <tableColumn id="5" xr3:uid="{ED6936C5-5DC4-48C9-9C3D-D835E5CB9966}" uniqueName="5" name="Coushion Unit Count" queryTableFieldId="5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9DA34B7-BCA5-40E4-9AA5-153DC1155547}" name="Table18_2" displayName="Table18_2" ref="S2:W3" tableType="queryTable" insertRow="1" totalsRowShown="0">
  <autoFilter ref="S2:W3" xr:uid="{926EBF87-C06E-40A0-8987-3A1B6F489CC6}"/>
  <tableColumns count="5">
    <tableColumn id="1" xr3:uid="{0D27FB4B-42C2-4EB7-81E9-6448AA5B542E}" uniqueName="1" name="Item" queryTableFieldId="1" dataDxfId="0"/>
    <tableColumn id="2" xr3:uid="{ECA8A107-9A8B-49D6-B637-1A741C18132D}" uniqueName="2" name="Qty (Feet)" queryTableFieldId="2"/>
    <tableColumn id="3" xr3:uid="{D9276660-FAC2-4DFC-9073-3320348CC6A2}" uniqueName="3" name="Unit Count" queryTableFieldId="3"/>
    <tableColumn id="4" xr3:uid="{906479FC-F6F2-4319-AEFB-6DCE8DA42775}" uniqueName="4" name="Coushion Qty" queryTableFieldId="4"/>
    <tableColumn id="5" xr3:uid="{03594514-EEA2-4241-890B-3EEBA22D50D7}" uniqueName="5" name="Coushion Unit Count" queryTableFieldId="5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Relationship Id="rId4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gsa.gov/travel/plan-book/per-diem-rat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E4AD1-D4C4-42E9-90FA-5F9ED96C3629}">
  <sheetPr>
    <tabColor rgb="FFC00000"/>
    <pageSetUpPr fitToPage="1"/>
  </sheetPr>
  <dimension ref="A1:AZ51"/>
  <sheetViews>
    <sheetView zoomScaleNormal="100" workbookViewId="0">
      <pane xSplit="2" ySplit="3" topLeftCell="C7" activePane="bottomRight" state="frozen"/>
      <selection activeCell="C5" sqref="C5"/>
      <selection pane="topRight" activeCell="C5" sqref="C5"/>
      <selection pane="bottomLeft" activeCell="C5" sqref="C5"/>
      <selection pane="bottomRight" activeCell="O6" sqref="O6"/>
    </sheetView>
  </sheetViews>
  <sheetFormatPr defaultColWidth="8.84375" defaultRowHeight="14.6" x14ac:dyDescent="0.4"/>
  <cols>
    <col min="1" max="1" width="8.84375" style="288"/>
    <col min="2" max="2" width="31.84375" style="288" customWidth="1"/>
    <col min="3" max="3" width="11.53515625" style="288" bestFit="1" customWidth="1"/>
    <col min="4" max="6" width="11.3046875" style="288" customWidth="1"/>
    <col min="7" max="9" width="11.3046875" style="784" customWidth="1"/>
    <col min="10" max="10" width="13.69140625" style="784" bestFit="1" customWidth="1"/>
    <col min="11" max="11" width="11.84375" style="123" customWidth="1"/>
    <col min="12" max="12" width="9.84375" style="123" customWidth="1"/>
    <col min="13" max="13" width="8.84375" style="288"/>
    <col min="14" max="14" width="41.15234375" style="288" bestFit="1" customWidth="1"/>
    <col min="15" max="18" width="11.53515625" style="288" customWidth="1"/>
    <col min="19" max="19" width="11.53515625" style="758" customWidth="1"/>
    <col min="20" max="20" width="13.84375" style="288" customWidth="1"/>
    <col min="21" max="21" width="8" style="288" bestFit="1" customWidth="1"/>
    <col min="22" max="25" width="11.53515625" style="288" customWidth="1"/>
    <col min="26" max="26" width="11.53515625" style="758" customWidth="1"/>
    <col min="27" max="27" width="9.84375" style="288" bestFit="1" customWidth="1"/>
    <col min="28" max="28" width="5.53515625" style="288" customWidth="1"/>
    <col min="29" max="32" width="11.53515625" style="288" customWidth="1"/>
    <col min="33" max="33" width="11.53515625" style="758" customWidth="1"/>
    <col min="34" max="34" width="9.84375" style="288" bestFit="1" customWidth="1"/>
    <col min="35" max="35" width="12.3046875" style="288" bestFit="1" customWidth="1"/>
    <col min="36" max="37" width="9.84375" style="288" bestFit="1" customWidth="1"/>
    <col min="38" max="42" width="8.84375" style="288"/>
    <col min="43" max="43" width="4" style="288" customWidth="1"/>
    <col min="44" max="44" width="9.84375" style="288" customWidth="1"/>
    <col min="45" max="45" width="9.53515625" style="288" bestFit="1" customWidth="1"/>
    <col min="46" max="46" width="14.15234375" style="288" bestFit="1" customWidth="1"/>
    <col min="47" max="47" width="12.3046875" style="288" bestFit="1" customWidth="1"/>
    <col min="48" max="49" width="9.84375" style="288" bestFit="1" customWidth="1"/>
    <col min="50" max="16384" width="8.84375" style="288"/>
  </cols>
  <sheetData>
    <row r="1" spans="1:52" s="685" customFormat="1" ht="16.3" thickBot="1" x14ac:dyDescent="0.45">
      <c r="A1" s="118"/>
      <c r="B1" s="822" t="s">
        <v>491</v>
      </c>
      <c r="C1" s="870" t="str">
        <f>IF('Project Materials'!D2="","",'Project Materials'!D2)</f>
        <v/>
      </c>
      <c r="D1" s="870"/>
      <c r="E1" s="870"/>
      <c r="F1" s="871" t="s">
        <v>490</v>
      </c>
      <c r="G1" s="871"/>
      <c r="H1" s="871"/>
      <c r="I1" s="871"/>
      <c r="J1" s="871"/>
      <c r="K1" s="871"/>
      <c r="L1" s="794"/>
      <c r="M1" s="870" t="str">
        <f>IF('Project Materials'!I2="","",'Project Materials'!I2)</f>
        <v/>
      </c>
      <c r="N1" s="870"/>
      <c r="O1" s="870"/>
      <c r="P1" s="872" t="s">
        <v>492</v>
      </c>
      <c r="Q1" s="872"/>
      <c r="R1" s="873" t="str">
        <f>IF('Project Materials'!N2="","",'Project Materials'!N2)</f>
        <v/>
      </c>
      <c r="S1" s="873"/>
      <c r="T1" s="873"/>
      <c r="U1" s="873"/>
      <c r="Z1" s="758"/>
      <c r="AG1" s="758"/>
    </row>
    <row r="2" spans="1:52" ht="15.9" thickBot="1" x14ac:dyDescent="0.45">
      <c r="A2" s="118"/>
      <c r="B2" s="118"/>
      <c r="C2" s="118"/>
      <c r="D2" s="254" t="s">
        <v>1091</v>
      </c>
      <c r="E2" s="122"/>
      <c r="F2" s="122"/>
      <c r="G2" s="122"/>
      <c r="H2" s="254" t="s">
        <v>1101</v>
      </c>
      <c r="I2" s="122"/>
      <c r="J2" s="122"/>
      <c r="K2" s="122"/>
      <c r="L2" s="122"/>
      <c r="M2" s="122"/>
      <c r="N2" s="118"/>
      <c r="O2" s="122"/>
      <c r="P2" s="122"/>
      <c r="Q2" s="122"/>
      <c r="R2" s="122"/>
      <c r="S2" s="122"/>
      <c r="T2" s="122" t="s">
        <v>9</v>
      </c>
      <c r="U2" s="122"/>
      <c r="V2" s="122"/>
      <c r="W2" s="122"/>
      <c r="X2" s="122"/>
      <c r="Y2" s="122"/>
      <c r="Z2" s="122"/>
    </row>
    <row r="3" spans="1:52" ht="75.75" customHeight="1" x14ac:dyDescent="0.4">
      <c r="A3" s="118"/>
      <c r="B3" s="118"/>
      <c r="C3" s="391" t="s">
        <v>874</v>
      </c>
      <c r="D3" s="809" t="s">
        <v>1093</v>
      </c>
      <c r="E3" s="811" t="s">
        <v>1095</v>
      </c>
      <c r="F3" s="810" t="s">
        <v>1100</v>
      </c>
      <c r="G3" s="812" t="s">
        <v>1094</v>
      </c>
      <c r="H3" s="809" t="s">
        <v>1093</v>
      </c>
      <c r="I3" s="811" t="s">
        <v>1095</v>
      </c>
      <c r="J3" s="810" t="s">
        <v>1100</v>
      </c>
      <c r="K3" s="812" t="s">
        <v>1144</v>
      </c>
      <c r="L3" s="391"/>
      <c r="M3" s="340"/>
      <c r="N3" s="326"/>
      <c r="O3" s="869" t="s">
        <v>1090</v>
      </c>
      <c r="P3" s="869"/>
      <c r="Q3" s="869"/>
      <c r="R3" s="869"/>
      <c r="S3" s="869"/>
      <c r="T3" s="869"/>
      <c r="U3" s="326"/>
      <c r="V3" s="868" t="s">
        <v>1083</v>
      </c>
      <c r="W3" s="868"/>
      <c r="X3" s="868"/>
      <c r="Y3" s="868"/>
      <c r="Z3" s="868"/>
      <c r="AA3" s="868"/>
      <c r="AB3" s="788"/>
      <c r="AI3" s="122"/>
      <c r="AJ3" s="122"/>
      <c r="AK3" s="122"/>
      <c r="AL3" s="122"/>
      <c r="AM3" s="122"/>
      <c r="AN3" s="122"/>
      <c r="AS3" s="122"/>
      <c r="AT3" s="122"/>
      <c r="AU3" s="122"/>
      <c r="AV3" s="122"/>
      <c r="AW3" s="122"/>
      <c r="AX3" s="122"/>
      <c r="AY3" s="122"/>
      <c r="AZ3" s="122"/>
    </row>
    <row r="4" spans="1:52" ht="15.45" x14ac:dyDescent="0.4">
      <c r="A4" s="118"/>
      <c r="B4" s="127" t="s">
        <v>737</v>
      </c>
      <c r="C4" s="128"/>
      <c r="D4" s="118"/>
      <c r="E4" s="238"/>
      <c r="F4" s="238"/>
      <c r="G4" s="238"/>
      <c r="H4" s="238"/>
      <c r="I4" s="238"/>
      <c r="J4" s="238"/>
      <c r="K4" s="238"/>
      <c r="L4" s="122"/>
      <c r="M4" s="341"/>
      <c r="N4" s="293"/>
      <c r="O4" s="347" t="str">
        <f>+'Project Labor'!$C$19</f>
        <v/>
      </c>
      <c r="P4" s="349" t="str">
        <f>+'Project Labor'!$D$19</f>
        <v/>
      </c>
      <c r="Q4" s="351" t="str">
        <f>+'Project Labor'!$E$19</f>
        <v/>
      </c>
      <c r="R4" s="353" t="str">
        <f>+'Project Labor'!$F$19</f>
        <v/>
      </c>
      <c r="S4" s="766" t="s">
        <v>952</v>
      </c>
      <c r="T4" s="327" t="str">
        <f>+'Project Labor'!H19</f>
        <v>Total</v>
      </c>
      <c r="U4" s="328"/>
      <c r="V4" s="348" t="str">
        <f>+'Project Labor'!$C$19</f>
        <v/>
      </c>
      <c r="W4" s="350" t="str">
        <f>+'Project Labor'!$D$19</f>
        <v/>
      </c>
      <c r="X4" s="352" t="str">
        <f>+'Project Labor'!$E$19</f>
        <v/>
      </c>
      <c r="Y4" s="354" t="str">
        <f>+'Project Labor'!$F$19</f>
        <v/>
      </c>
      <c r="Z4" s="766" t="s">
        <v>952</v>
      </c>
      <c r="AA4" s="327" t="str">
        <f>+'Project Labor'!H19</f>
        <v>Total</v>
      </c>
      <c r="AB4" s="789"/>
    </row>
    <row r="5" spans="1:52" ht="15.45" x14ac:dyDescent="0.4">
      <c r="A5" s="118"/>
      <c r="B5" s="127" t="s">
        <v>752</v>
      </c>
      <c r="C5" s="128"/>
      <c r="D5" s="118"/>
      <c r="E5" s="239"/>
      <c r="F5" s="239"/>
      <c r="G5" s="239"/>
      <c r="H5" s="813">
        <f>+T5</f>
        <v>0</v>
      </c>
      <c r="I5" s="814">
        <f>+AA5</f>
        <v>0</v>
      </c>
      <c r="J5" s="815">
        <f>+T27</f>
        <v>0</v>
      </c>
      <c r="K5" s="816">
        <f>+AA27</f>
        <v>0</v>
      </c>
      <c r="L5" s="800" t="s">
        <v>9</v>
      </c>
      <c r="M5" s="341"/>
      <c r="N5" s="127" t="s">
        <v>752</v>
      </c>
      <c r="O5" s="329">
        <f>+(O9+O10+O11+O12+O14+O15+O18)/(1-'Work Area'!$R$19)</f>
        <v>0</v>
      </c>
      <c r="P5" s="329">
        <f>+(P9+P10+P11+P12+P14+P15+P18)/(1-'Work Area'!$R$19)</f>
        <v>0</v>
      </c>
      <c r="Q5" s="329">
        <f>+(Q9+Q10+Q11+Q12+Q14+Q15+Q18)/(1-'Work Area'!$R$19)</f>
        <v>0</v>
      </c>
      <c r="R5" s="329">
        <f>+(R9+R10+R11+R12+R14+R15+R18)/(1-'Work Area'!$R$19)</f>
        <v>0</v>
      </c>
      <c r="S5" s="329">
        <f>+(S9+S10+S11+S12+S14+S15+S18)/(1-'Work Area'!$R$19)</f>
        <v>0</v>
      </c>
      <c r="T5" s="296">
        <f>SUM(O5:S5)</f>
        <v>0</v>
      </c>
      <c r="U5" s="292"/>
      <c r="V5" s="329">
        <f>+(V9+V10+V11+V12+V14+V15+V18)/(1-'Work Area'!$R$20)</f>
        <v>0</v>
      </c>
      <c r="W5" s="329">
        <f>+(W9+W10+W11+W12+W14+W15+W18)/(1-'Work Area'!$R$20)</f>
        <v>0</v>
      </c>
      <c r="X5" s="329">
        <f>+(X9+X10+X11+X12+X14+X15+X18)/(1-'Work Area'!$R$20)</f>
        <v>0</v>
      </c>
      <c r="Y5" s="329">
        <f>+(Y9+Y10+Y11+Y12+Y14+Y15+Y18)/(1-'Work Area'!$R$20)</f>
        <v>0</v>
      </c>
      <c r="Z5" s="329">
        <f>+(Z9+Z10+Z11+Z12+Z14+Z15+Z18)/(1-'Work Area'!$R$20)</f>
        <v>0</v>
      </c>
      <c r="AA5" s="296">
        <f>SUM(V5:Z5)</f>
        <v>0</v>
      </c>
      <c r="AB5" s="790" t="s">
        <v>9</v>
      </c>
    </row>
    <row r="6" spans="1:52" ht="15.9" thickBot="1" x14ac:dyDescent="0.45">
      <c r="A6" s="118"/>
      <c r="B6" s="127" t="s">
        <v>424</v>
      </c>
      <c r="C6" s="128">
        <f>+T6</f>
        <v>0</v>
      </c>
      <c r="D6" s="128">
        <f>+C6</f>
        <v>0</v>
      </c>
      <c r="E6" s="128">
        <f t="shared" ref="E6:G6" si="0">+D6</f>
        <v>0</v>
      </c>
      <c r="F6" s="128">
        <f t="shared" si="0"/>
        <v>0</v>
      </c>
      <c r="G6" s="128">
        <f t="shared" si="0"/>
        <v>0</v>
      </c>
      <c r="H6" s="128">
        <f>+C6</f>
        <v>0</v>
      </c>
      <c r="I6" s="128">
        <f>+H6</f>
        <v>0</v>
      </c>
      <c r="J6" s="128">
        <f t="shared" ref="J6:K6" si="1">+I6</f>
        <v>0</v>
      </c>
      <c r="K6" s="128">
        <f t="shared" si="1"/>
        <v>0</v>
      </c>
      <c r="L6" s="122"/>
      <c r="M6" s="342"/>
      <c r="N6" s="330" t="s">
        <v>751</v>
      </c>
      <c r="O6" s="331">
        <f>'Project Labor'!C23</f>
        <v>0</v>
      </c>
      <c r="P6" s="331">
        <f>'Project Labor'!D23</f>
        <v>0</v>
      </c>
      <c r="Q6" s="331">
        <f>'Project Labor'!E23</f>
        <v>0</v>
      </c>
      <c r="R6" s="331">
        <f>'Project Labor'!F23</f>
        <v>0</v>
      </c>
      <c r="S6" s="331">
        <f>'Project Labor'!G23</f>
        <v>0</v>
      </c>
      <c r="T6" s="296">
        <f>SUM(O6:S6)</f>
        <v>0</v>
      </c>
      <c r="U6" s="292"/>
      <c r="V6" s="331">
        <f>'Project Labor'!C23</f>
        <v>0</v>
      </c>
      <c r="W6" s="331">
        <f>'Project Labor'!D23</f>
        <v>0</v>
      </c>
      <c r="X6" s="331">
        <f>'Project Labor'!E23</f>
        <v>0</v>
      </c>
      <c r="Y6" s="331">
        <f>'Project Labor'!F23</f>
        <v>0</v>
      </c>
      <c r="Z6" s="331">
        <f>'Project Labor'!G23</f>
        <v>0</v>
      </c>
      <c r="AA6" s="296">
        <f t="shared" ref="AA6:AA21" si="2">SUM(V6:Z6)</f>
        <v>0</v>
      </c>
      <c r="AB6" s="791" t="s">
        <v>9</v>
      </c>
    </row>
    <row r="7" spans="1:52" ht="15.9" thickTop="1" x14ac:dyDescent="0.4">
      <c r="A7" s="118"/>
      <c r="B7" s="801" t="s">
        <v>1092</v>
      </c>
      <c r="C7" s="118"/>
      <c r="D7" s="250">
        <f>+T7</f>
        <v>0</v>
      </c>
      <c r="E7" s="250">
        <f>+AA7</f>
        <v>0</v>
      </c>
      <c r="F7" s="250">
        <f>+T29</f>
        <v>0</v>
      </c>
      <c r="G7" s="250">
        <f>+AA29</f>
        <v>0</v>
      </c>
      <c r="H7" s="250">
        <f>+D7</f>
        <v>0</v>
      </c>
      <c r="I7" s="250">
        <f t="shared" ref="I7:K7" si="3">+E7</f>
        <v>0</v>
      </c>
      <c r="J7" s="250">
        <f t="shared" si="3"/>
        <v>0</v>
      </c>
      <c r="K7" s="250">
        <f t="shared" si="3"/>
        <v>0</v>
      </c>
      <c r="L7" s="122"/>
      <c r="M7" s="343"/>
      <c r="N7" s="222" t="s">
        <v>911</v>
      </c>
      <c r="O7" s="390">
        <f t="shared" ref="O7:T7" si="4">IF(O6=0,0,O5/O6)</f>
        <v>0</v>
      </c>
      <c r="P7" s="390">
        <f t="shared" si="4"/>
        <v>0</v>
      </c>
      <c r="Q7" s="390">
        <f t="shared" si="4"/>
        <v>0</v>
      </c>
      <c r="R7" s="390">
        <f t="shared" si="4"/>
        <v>0</v>
      </c>
      <c r="S7" s="390">
        <f t="shared" si="4"/>
        <v>0</v>
      </c>
      <c r="T7" s="390">
        <f t="shared" si="4"/>
        <v>0</v>
      </c>
      <c r="U7" s="292"/>
      <c r="V7" s="390">
        <f t="shared" ref="V7:AA7" si="5">IF(V6=0,0,V5/V6)</f>
        <v>0</v>
      </c>
      <c r="W7" s="390">
        <f t="shared" si="5"/>
        <v>0</v>
      </c>
      <c r="X7" s="390">
        <f t="shared" si="5"/>
        <v>0</v>
      </c>
      <c r="Y7" s="390">
        <f t="shared" si="5"/>
        <v>0</v>
      </c>
      <c r="Z7" s="390">
        <f t="shared" si="5"/>
        <v>0</v>
      </c>
      <c r="AA7" s="390">
        <f t="shared" si="5"/>
        <v>0</v>
      </c>
      <c r="AB7" s="790"/>
    </row>
    <row r="8" spans="1:52" ht="15.45" x14ac:dyDescent="0.4">
      <c r="A8" s="118"/>
      <c r="B8" s="118"/>
      <c r="C8" s="128" t="s">
        <v>9</v>
      </c>
      <c r="D8" s="118"/>
      <c r="E8" s="118"/>
      <c r="F8" s="118"/>
      <c r="G8" s="118"/>
      <c r="H8" s="118"/>
      <c r="I8" s="118"/>
      <c r="J8" s="118"/>
      <c r="K8" s="122"/>
      <c r="L8" s="122"/>
      <c r="M8" s="341"/>
      <c r="N8" s="293"/>
      <c r="O8" s="293"/>
      <c r="P8" s="293"/>
      <c r="Q8" s="293"/>
      <c r="R8" s="293"/>
      <c r="S8" s="293"/>
      <c r="T8" s="296">
        <f>SUM(O8:S8)</f>
        <v>0</v>
      </c>
      <c r="U8" s="292"/>
      <c r="V8" s="293"/>
      <c r="W8" s="293"/>
      <c r="X8" s="293"/>
      <c r="Y8" s="293"/>
      <c r="Z8" s="293"/>
      <c r="AA8" s="296">
        <f t="shared" si="2"/>
        <v>0</v>
      </c>
      <c r="AB8" s="790"/>
    </row>
    <row r="9" spans="1:52" ht="15.45" x14ac:dyDescent="0.4">
      <c r="A9" s="118"/>
      <c r="B9" s="125" t="s">
        <v>1129</v>
      </c>
      <c r="C9" s="250">
        <f t="shared" ref="C9:C16" si="6">IF($C$6=0,0,+T9/$C$6)</f>
        <v>0</v>
      </c>
      <c r="D9" s="252">
        <f>IF($T$5=0,0,+T9/$T$5)</f>
        <v>0</v>
      </c>
      <c r="E9" s="252">
        <f t="shared" ref="E9:E16" si="7">IF($AA$5=0,0,+AA9/$AA$5)</f>
        <v>0</v>
      </c>
      <c r="F9" s="252">
        <f t="shared" ref="F9:F16" si="8">IF($T$27=0,0,+T32/$T$27)</f>
        <v>0</v>
      </c>
      <c r="G9" s="252">
        <f t="shared" ref="G9:G16" si="9">IF($AA$27=0,0,+AA32/$AA$27)</f>
        <v>0</v>
      </c>
      <c r="H9" s="796">
        <f>+T9</f>
        <v>0</v>
      </c>
      <c r="I9" s="796">
        <f>+AA9</f>
        <v>0</v>
      </c>
      <c r="J9" s="796">
        <f>+T32</f>
        <v>0</v>
      </c>
      <c r="K9" s="122">
        <f>+AA32</f>
        <v>0</v>
      </c>
      <c r="L9" s="122"/>
      <c r="M9" s="342"/>
      <c r="N9" s="332" t="s">
        <v>1129</v>
      </c>
      <c r="O9" s="323">
        <f>IF($C$35=1,'Project Labor'!K36,+'Project Labor'!C39)</f>
        <v>0</v>
      </c>
      <c r="P9" s="323">
        <f>IF($C$35=1,'Project Labor'!L36,+'Project Labor'!D39)</f>
        <v>0</v>
      </c>
      <c r="Q9" s="323">
        <f>IF($C$35=1,'Project Labor'!M36,+'Project Labor'!E39)</f>
        <v>0</v>
      </c>
      <c r="R9" s="323">
        <f>IF($C$35=1,'Project Labor'!N36,+'Project Labor'!F39)</f>
        <v>0</v>
      </c>
      <c r="S9" s="323">
        <f>IF($C$35=1,'Project Labor'!O36,+'Project Labor'!G39)</f>
        <v>0</v>
      </c>
      <c r="T9" s="296">
        <f>SUM(O9:S9)</f>
        <v>0</v>
      </c>
      <c r="U9" s="852" t="s">
        <v>9</v>
      </c>
      <c r="V9" s="323">
        <f>IF($C$35=1,'Project Labor'!K36,+'Project Labor'!C39)</f>
        <v>0</v>
      </c>
      <c r="W9" s="323">
        <f>IF($C$35=1,'Project Labor'!L36,+'Project Labor'!D39)</f>
        <v>0</v>
      </c>
      <c r="X9" s="323">
        <f>IF($C$35=1,'Project Labor'!M36,+'Project Labor'!E39)</f>
        <v>0</v>
      </c>
      <c r="Y9" s="323">
        <f>IF($C$35=1,'Project Labor'!N36,+'Project Labor'!F39)</f>
        <v>0</v>
      </c>
      <c r="Z9" s="323">
        <f>IF($C$35=1,'Project Labor'!O36,+'Project Labor'!G39)</f>
        <v>0</v>
      </c>
      <c r="AA9" s="296">
        <f>SUM(V9:Z9)</f>
        <v>0</v>
      </c>
      <c r="AB9" s="790"/>
    </row>
    <row r="10" spans="1:52" ht="15.45" x14ac:dyDescent="0.4">
      <c r="A10" s="118"/>
      <c r="B10" s="125" t="s">
        <v>895</v>
      </c>
      <c r="C10" s="250">
        <f t="shared" si="6"/>
        <v>0</v>
      </c>
      <c r="D10" s="252">
        <f t="shared" ref="D10:D16" si="10">IF($T$5=0,0,+T10/$T$5)</f>
        <v>0</v>
      </c>
      <c r="E10" s="252">
        <f t="shared" si="7"/>
        <v>0</v>
      </c>
      <c r="F10" s="252">
        <f t="shared" si="8"/>
        <v>0</v>
      </c>
      <c r="G10" s="252">
        <f t="shared" si="9"/>
        <v>0</v>
      </c>
      <c r="H10" s="796">
        <f t="shared" ref="H10:H15" si="11">+T10</f>
        <v>0</v>
      </c>
      <c r="I10" s="796">
        <f t="shared" ref="I10:I15" si="12">+AA10</f>
        <v>0</v>
      </c>
      <c r="J10" s="796">
        <f t="shared" ref="J10:J15" si="13">+T33</f>
        <v>0</v>
      </c>
      <c r="K10" s="122">
        <f t="shared" ref="K10:K15" si="14">+AA33</f>
        <v>0</v>
      </c>
      <c r="L10" s="122"/>
      <c r="M10" s="342"/>
      <c r="N10" s="332" t="s">
        <v>909</v>
      </c>
      <c r="O10" s="323">
        <f>IFERROR(SUM('Project Labor'!C49+'Project Labor'!C55),0)</f>
        <v>0</v>
      </c>
      <c r="P10" s="323">
        <f>IFERROR(SUM('Project Labor'!D49+'Project Labor'!D55),0)</f>
        <v>0</v>
      </c>
      <c r="Q10" s="323">
        <f>IFERROR(SUM('Project Labor'!E49+'Project Labor'!E55),0)</f>
        <v>0</v>
      </c>
      <c r="R10" s="323">
        <f>IFERROR(SUM('Project Labor'!F49+'Project Labor'!F55),0)</f>
        <v>0</v>
      </c>
      <c r="S10" s="323">
        <f>IFERROR(SUM('Project Labor'!G49+'Project Labor'!G55),0)</f>
        <v>0</v>
      </c>
      <c r="T10" s="296">
        <f t="shared" ref="T10:T21" si="15">SUM(O10:S10)</f>
        <v>0</v>
      </c>
      <c r="U10" s="292"/>
      <c r="V10" s="323">
        <f>IFERROR(SUM('Project Labor'!C49+'Project Labor'!C55),0)</f>
        <v>0</v>
      </c>
      <c r="W10" s="323">
        <f>IFERROR(SUM('Project Labor'!D49+'Project Labor'!D55),0)</f>
        <v>0</v>
      </c>
      <c r="X10" s="323">
        <f>IFERROR(SUM('Project Labor'!E49+'Project Labor'!E55),0)</f>
        <v>0</v>
      </c>
      <c r="Y10" s="323">
        <f>IFERROR(SUM('Project Labor'!F49+'Project Labor'!F55),0)</f>
        <v>0</v>
      </c>
      <c r="Z10" s="323">
        <f>IFERROR(SUM('Project Labor'!G49+'Project Labor'!G55),0)</f>
        <v>0</v>
      </c>
      <c r="AA10" s="296">
        <f t="shared" si="2"/>
        <v>0</v>
      </c>
      <c r="AB10" s="790"/>
    </row>
    <row r="11" spans="1:52" ht="15.45" x14ac:dyDescent="0.4">
      <c r="A11" s="118"/>
      <c r="B11" s="125" t="s">
        <v>750</v>
      </c>
      <c r="C11" s="251">
        <f t="shared" si="6"/>
        <v>0</v>
      </c>
      <c r="D11" s="252">
        <f t="shared" si="10"/>
        <v>0</v>
      </c>
      <c r="E11" s="252">
        <f t="shared" si="7"/>
        <v>0</v>
      </c>
      <c r="F11" s="252">
        <f t="shared" si="8"/>
        <v>0</v>
      </c>
      <c r="G11" s="252">
        <f t="shared" si="9"/>
        <v>0</v>
      </c>
      <c r="H11" s="796">
        <f t="shared" si="11"/>
        <v>0</v>
      </c>
      <c r="I11" s="796">
        <f t="shared" si="12"/>
        <v>0</v>
      </c>
      <c r="J11" s="796">
        <f t="shared" si="13"/>
        <v>0</v>
      </c>
      <c r="K11" s="122">
        <f t="shared" si="14"/>
        <v>0</v>
      </c>
      <c r="L11" s="122"/>
      <c r="M11" s="342"/>
      <c r="N11" s="330" t="s">
        <v>1131</v>
      </c>
      <c r="O11" s="323">
        <f>'Project Materials'!O43</f>
        <v>0</v>
      </c>
      <c r="P11" s="323">
        <f>'Project Materials'!O56</f>
        <v>0</v>
      </c>
      <c r="Q11" s="323">
        <f>'Project Materials'!O69</f>
        <v>0</v>
      </c>
      <c r="R11" s="323">
        <f>'Project Materials'!O82</f>
        <v>0</v>
      </c>
      <c r="S11" s="323">
        <f>'Grab Rail'!J54</f>
        <v>0</v>
      </c>
      <c r="T11" s="296">
        <f t="shared" si="15"/>
        <v>0</v>
      </c>
      <c r="U11" s="292"/>
      <c r="V11" s="323">
        <f>'Project Materials'!O43</f>
        <v>0</v>
      </c>
      <c r="W11" s="323">
        <f>'Project Materials'!O56</f>
        <v>0</v>
      </c>
      <c r="X11" s="323">
        <f>'Project Materials'!O69</f>
        <v>0</v>
      </c>
      <c r="Y11" s="323">
        <f>'Project Materials'!O82</f>
        <v>0</v>
      </c>
      <c r="Z11" s="323">
        <f>'Grab Rail'!J54</f>
        <v>0</v>
      </c>
      <c r="AA11" s="296">
        <f t="shared" si="2"/>
        <v>0</v>
      </c>
      <c r="AB11" s="790"/>
    </row>
    <row r="12" spans="1:52" ht="15.45" x14ac:dyDescent="0.4">
      <c r="A12" s="118"/>
      <c r="B12" s="125" t="s">
        <v>749</v>
      </c>
      <c r="C12" s="251">
        <f t="shared" si="6"/>
        <v>0</v>
      </c>
      <c r="D12" s="252">
        <f t="shared" si="10"/>
        <v>0</v>
      </c>
      <c r="E12" s="252">
        <f t="shared" si="7"/>
        <v>0</v>
      </c>
      <c r="F12" s="252">
        <f t="shared" si="8"/>
        <v>0</v>
      </c>
      <c r="G12" s="252">
        <f t="shared" si="9"/>
        <v>0</v>
      </c>
      <c r="H12" s="796">
        <f t="shared" si="11"/>
        <v>0</v>
      </c>
      <c r="I12" s="796">
        <f t="shared" si="12"/>
        <v>0</v>
      </c>
      <c r="J12" s="796">
        <f t="shared" si="13"/>
        <v>0</v>
      </c>
      <c r="K12" s="122">
        <f t="shared" si="14"/>
        <v>0</v>
      </c>
      <c r="L12" s="122"/>
      <c r="M12" s="335">
        <f>HLOOKUP($C$32,'Work Area'!$L$17:$Q$25,'Work Area'!$S$24)</f>
        <v>4.3999999999999997E-2</v>
      </c>
      <c r="N12" s="330" t="s">
        <v>748</v>
      </c>
      <c r="O12" s="323">
        <f>+$M$12*O11</f>
        <v>0</v>
      </c>
      <c r="P12" s="323">
        <f t="shared" ref="P12:S12" si="16">+$M$12*P11</f>
        <v>0</v>
      </c>
      <c r="Q12" s="323">
        <f t="shared" si="16"/>
        <v>0</v>
      </c>
      <c r="R12" s="323">
        <f t="shared" si="16"/>
        <v>0</v>
      </c>
      <c r="S12" s="323">
        <f t="shared" si="16"/>
        <v>0</v>
      </c>
      <c r="T12" s="296">
        <f t="shared" si="15"/>
        <v>0</v>
      </c>
      <c r="U12" s="240"/>
      <c r="V12" s="323">
        <f>+$M$12*V11</f>
        <v>0</v>
      </c>
      <c r="W12" s="323">
        <f t="shared" ref="W12" si="17">+$M$12*W11</f>
        <v>0</v>
      </c>
      <c r="X12" s="323">
        <f t="shared" ref="X12" si="18">+$M$12*X11</f>
        <v>0</v>
      </c>
      <c r="Y12" s="323">
        <f t="shared" ref="Y12" si="19">+$M$12*Y11</f>
        <v>0</v>
      </c>
      <c r="Z12" s="323">
        <f t="shared" ref="Z12" si="20">+$M$12*Z11</f>
        <v>0</v>
      </c>
      <c r="AA12" s="296">
        <f t="shared" si="2"/>
        <v>0</v>
      </c>
      <c r="AB12" s="790"/>
    </row>
    <row r="13" spans="1:52" ht="15.45" x14ac:dyDescent="0.4">
      <c r="A13" s="118"/>
      <c r="B13" s="125" t="s">
        <v>747</v>
      </c>
      <c r="C13" s="251">
        <f t="shared" si="6"/>
        <v>0</v>
      </c>
      <c r="D13" s="252">
        <f t="shared" si="10"/>
        <v>0</v>
      </c>
      <c r="E13" s="252">
        <f t="shared" si="7"/>
        <v>0</v>
      </c>
      <c r="F13" s="252">
        <f t="shared" si="8"/>
        <v>0</v>
      </c>
      <c r="G13" s="252">
        <f t="shared" si="9"/>
        <v>0</v>
      </c>
      <c r="H13" s="796">
        <f t="shared" si="11"/>
        <v>0</v>
      </c>
      <c r="I13" s="796">
        <f t="shared" si="12"/>
        <v>0</v>
      </c>
      <c r="J13" s="796">
        <f t="shared" si="13"/>
        <v>0</v>
      </c>
      <c r="K13" s="122">
        <f t="shared" si="14"/>
        <v>0</v>
      </c>
      <c r="L13" s="122"/>
      <c r="M13" s="333">
        <v>0</v>
      </c>
      <c r="N13" s="330" t="s">
        <v>746</v>
      </c>
      <c r="O13" s="323">
        <f>+$M$13*O5</f>
        <v>0</v>
      </c>
      <c r="P13" s="323">
        <f>+$M$13*P5</f>
        <v>0</v>
      </c>
      <c r="Q13" s="323">
        <f>+$M$13*Q5</f>
        <v>0</v>
      </c>
      <c r="R13" s="323">
        <f>+$M$13*R5</f>
        <v>0</v>
      </c>
      <c r="S13" s="323">
        <f>+$M$13*S5</f>
        <v>0</v>
      </c>
      <c r="T13" s="296">
        <f t="shared" si="15"/>
        <v>0</v>
      </c>
      <c r="U13" s="292"/>
      <c r="V13" s="323">
        <f>+$M$13*V5</f>
        <v>0</v>
      </c>
      <c r="W13" s="323">
        <f>+$M$13*W5</f>
        <v>0</v>
      </c>
      <c r="X13" s="323">
        <f>+$M$13*X5</f>
        <v>0</v>
      </c>
      <c r="Y13" s="323">
        <f>+$M$13*Y5</f>
        <v>0</v>
      </c>
      <c r="Z13" s="323">
        <f>+$M$13*Z5</f>
        <v>0</v>
      </c>
      <c r="AA13" s="296">
        <f t="shared" si="2"/>
        <v>0</v>
      </c>
      <c r="AB13" s="790"/>
    </row>
    <row r="14" spans="1:52" ht="15.45" x14ac:dyDescent="0.4">
      <c r="A14" s="120"/>
      <c r="B14" s="125" t="s">
        <v>1120</v>
      </c>
      <c r="C14" s="251">
        <f t="shared" si="6"/>
        <v>0</v>
      </c>
      <c r="D14" s="252">
        <f t="shared" si="10"/>
        <v>0</v>
      </c>
      <c r="E14" s="252">
        <f t="shared" si="7"/>
        <v>0</v>
      </c>
      <c r="F14" s="252">
        <f t="shared" si="8"/>
        <v>0</v>
      </c>
      <c r="G14" s="252">
        <f t="shared" si="9"/>
        <v>0</v>
      </c>
      <c r="H14" s="796">
        <f t="shared" si="11"/>
        <v>0</v>
      </c>
      <c r="I14" s="796">
        <f t="shared" si="12"/>
        <v>0</v>
      </c>
      <c r="J14" s="796">
        <f t="shared" si="13"/>
        <v>0</v>
      </c>
      <c r="K14" s="122">
        <f t="shared" si="14"/>
        <v>0</v>
      </c>
      <c r="L14" s="122"/>
      <c r="M14" s="342"/>
      <c r="N14" s="222" t="s">
        <v>1120</v>
      </c>
      <c r="O14" s="323">
        <f>IF($T$11=0,0,+ROUND(O11/$T$11*'Project Labor'!$J$8,0))</f>
        <v>0</v>
      </c>
      <c r="P14" s="323">
        <f>IF($T$11=0,0,+ROUND(P11/$T$11*'Project Labor'!$J$8,0))</f>
        <v>0</v>
      </c>
      <c r="Q14" s="323">
        <f>IF($T$11=0,0,+ROUND(Q11/$T$11*'Project Labor'!$J$8,0))</f>
        <v>0</v>
      </c>
      <c r="R14" s="323">
        <f>IF($T$11=0,0,+ROUND(R11/$T$11*'Project Labor'!$J$8,0))</f>
        <v>0</v>
      </c>
      <c r="S14" s="323">
        <f>IF($T$11=0,0,+ROUND(S11/$T$11*'Project Labor'!$J$8,0))</f>
        <v>0</v>
      </c>
      <c r="T14" s="296">
        <f t="shared" si="15"/>
        <v>0</v>
      </c>
      <c r="U14" s="292"/>
      <c r="V14" s="323">
        <f>IF($AA$11=0,0,+ROUND(V11/$AA$11*'Project Labor'!$J$8,0))</f>
        <v>0</v>
      </c>
      <c r="W14" s="323">
        <f>IF($AA$11=0,0,+ROUND(W11/$AA$11*'Project Labor'!$J$8,0))</f>
        <v>0</v>
      </c>
      <c r="X14" s="323">
        <f>IF($AA$11=0,0,+ROUND(X11/$AA$11*'Project Labor'!$J$8,0))</f>
        <v>0</v>
      </c>
      <c r="Y14" s="323">
        <f>IF($AA$11=0,0,+ROUND(Y11/$AA$11*'Project Labor'!$J$8,0))</f>
        <v>0</v>
      </c>
      <c r="Z14" s="323">
        <f>IF($AA$11=0,0,+ROUND(Z11/$AA$11*'Project Labor'!$J$8,0))</f>
        <v>0</v>
      </c>
      <c r="AA14" s="296">
        <f t="shared" si="2"/>
        <v>0</v>
      </c>
      <c r="AB14" s="790"/>
    </row>
    <row r="15" spans="1:52" ht="15.45" x14ac:dyDescent="0.4">
      <c r="A15" s="118"/>
      <c r="B15" s="125" t="s">
        <v>745</v>
      </c>
      <c r="C15" s="142">
        <f t="shared" si="6"/>
        <v>0</v>
      </c>
      <c r="D15" s="253">
        <f t="shared" si="10"/>
        <v>0</v>
      </c>
      <c r="E15" s="253">
        <f t="shared" si="7"/>
        <v>0</v>
      </c>
      <c r="F15" s="253">
        <f t="shared" si="8"/>
        <v>0</v>
      </c>
      <c r="G15" s="253">
        <f t="shared" si="9"/>
        <v>0</v>
      </c>
      <c r="H15" s="798">
        <f t="shared" si="11"/>
        <v>0</v>
      </c>
      <c r="I15" s="798">
        <f t="shared" si="12"/>
        <v>0</v>
      </c>
      <c r="J15" s="798">
        <f t="shared" si="13"/>
        <v>0</v>
      </c>
      <c r="K15" s="133">
        <f t="shared" si="14"/>
        <v>0</v>
      </c>
      <c r="L15" s="122"/>
      <c r="M15" s="841">
        <v>0.16</v>
      </c>
      <c r="N15" s="332" t="s">
        <v>1132</v>
      </c>
      <c r="O15" s="129">
        <f>+$M15*O9</f>
        <v>0</v>
      </c>
      <c r="P15" s="129">
        <f>+$M15*P9</f>
        <v>0</v>
      </c>
      <c r="Q15" s="129">
        <f>+$M15*Q9</f>
        <v>0</v>
      </c>
      <c r="R15" s="129">
        <f>+$M15*R9</f>
        <v>0</v>
      </c>
      <c r="S15" s="129">
        <f>+$M15*S9</f>
        <v>0</v>
      </c>
      <c r="T15" s="296">
        <f t="shared" si="15"/>
        <v>0</v>
      </c>
      <c r="U15" s="292"/>
      <c r="V15" s="129">
        <f>+$M15*V9</f>
        <v>0</v>
      </c>
      <c r="W15" s="129">
        <f>+$M15*W9</f>
        <v>0</v>
      </c>
      <c r="X15" s="129">
        <f>+$M15*X9</f>
        <v>0</v>
      </c>
      <c r="Y15" s="129">
        <f>+$M15*Y9</f>
        <v>0</v>
      </c>
      <c r="Z15" s="129">
        <f>+$M15*Z9</f>
        <v>0</v>
      </c>
      <c r="AA15" s="296">
        <f t="shared" si="2"/>
        <v>0</v>
      </c>
      <c r="AB15" s="790"/>
    </row>
    <row r="16" spans="1:52" ht="15.45" x14ac:dyDescent="0.4">
      <c r="A16" s="118"/>
      <c r="B16" s="127" t="s">
        <v>744</v>
      </c>
      <c r="C16" s="250">
        <f t="shared" si="6"/>
        <v>0</v>
      </c>
      <c r="D16" s="252">
        <f t="shared" si="10"/>
        <v>0</v>
      </c>
      <c r="E16" s="252">
        <f t="shared" si="7"/>
        <v>0</v>
      </c>
      <c r="F16" s="252">
        <f t="shared" si="8"/>
        <v>0</v>
      </c>
      <c r="G16" s="252">
        <f t="shared" si="9"/>
        <v>0</v>
      </c>
      <c r="H16" s="797">
        <f>SUM(H9:H15)</f>
        <v>0</v>
      </c>
      <c r="I16" s="797">
        <f t="shared" ref="I16:K16" si="21">SUM(I9:I15)</f>
        <v>0</v>
      </c>
      <c r="J16" s="797">
        <f t="shared" si="21"/>
        <v>0</v>
      </c>
      <c r="K16" s="797">
        <f t="shared" si="21"/>
        <v>0</v>
      </c>
      <c r="L16" s="122"/>
      <c r="M16" s="344"/>
      <c r="N16" s="334" t="s">
        <v>875</v>
      </c>
      <c r="O16" s="329">
        <f>SUM(O9:O15)</f>
        <v>0</v>
      </c>
      <c r="P16" s="329">
        <f>SUM(P9:P15)</f>
        <v>0</v>
      </c>
      <c r="Q16" s="329">
        <f>SUM(Q9:Q15)</f>
        <v>0</v>
      </c>
      <c r="R16" s="329">
        <f>SUM(R9:R15)</f>
        <v>0</v>
      </c>
      <c r="S16" s="329">
        <f>SUM(S9:S15)</f>
        <v>0</v>
      </c>
      <c r="T16" s="296">
        <f>SUM(O16:S16)</f>
        <v>0</v>
      </c>
      <c r="U16" s="292"/>
      <c r="V16" s="329">
        <f>SUM(V9:V15)</f>
        <v>0</v>
      </c>
      <c r="W16" s="329">
        <f>SUM(W9:W15)</f>
        <v>0</v>
      </c>
      <c r="X16" s="329">
        <f>SUM(X9:X15)</f>
        <v>0</v>
      </c>
      <c r="Y16" s="329">
        <f>SUM(Y9:Y15)</f>
        <v>0</v>
      </c>
      <c r="Z16" s="329">
        <f>SUM(Z9:Z15)</f>
        <v>0</v>
      </c>
      <c r="AA16" s="296">
        <f t="shared" si="2"/>
        <v>0</v>
      </c>
      <c r="AB16" s="790"/>
    </row>
    <row r="17" spans="1:29" ht="15.45" x14ac:dyDescent="0.4">
      <c r="A17" s="118"/>
      <c r="B17" s="118"/>
      <c r="C17" s="128"/>
      <c r="D17" s="118"/>
      <c r="E17" s="118"/>
      <c r="F17" s="118"/>
      <c r="G17" s="118"/>
      <c r="H17" s="118"/>
      <c r="I17" s="118"/>
      <c r="J17" s="118"/>
      <c r="K17" s="122"/>
      <c r="L17" s="122"/>
      <c r="M17" s="322"/>
      <c r="N17" s="330"/>
      <c r="O17" s="293"/>
      <c r="P17" s="293"/>
      <c r="Q17" s="293"/>
      <c r="R17" s="293"/>
      <c r="S17" s="293"/>
      <c r="T17" s="296">
        <f t="shared" si="15"/>
        <v>0</v>
      </c>
      <c r="U17" s="292"/>
      <c r="V17" s="293"/>
      <c r="W17" s="293"/>
      <c r="X17" s="293"/>
      <c r="Y17" s="293"/>
      <c r="Z17" s="293"/>
      <c r="AA17" s="296">
        <f t="shared" si="2"/>
        <v>0</v>
      </c>
      <c r="AB17" s="790"/>
    </row>
    <row r="18" spans="1:29" ht="15.45" x14ac:dyDescent="0.4">
      <c r="A18" s="128" t="s">
        <v>9</v>
      </c>
      <c r="B18" s="127" t="s">
        <v>743</v>
      </c>
      <c r="C18" s="250">
        <f>IF($C$6=0,0,+T18/$C$6)</f>
        <v>0</v>
      </c>
      <c r="D18" s="252">
        <f>IF($T$5=0,0,+T18/$T$5)</f>
        <v>0</v>
      </c>
      <c r="E18" s="252">
        <f>IF($AA$5=0,0,+AA18/$AA$5)</f>
        <v>0</v>
      </c>
      <c r="F18" s="252">
        <f>IF($T$27=0,0,+T41/$T$27)</f>
        <v>0</v>
      </c>
      <c r="G18" s="252">
        <f>IF($AA$27=0,0,+AA41/$AA$27)</f>
        <v>0</v>
      </c>
      <c r="H18" s="795">
        <f>+T18</f>
        <v>0</v>
      </c>
      <c r="I18" s="795">
        <f>+AA18</f>
        <v>0</v>
      </c>
      <c r="J18" s="795">
        <f>+T41</f>
        <v>0</v>
      </c>
      <c r="K18" s="795">
        <f>+AA41</f>
        <v>0</v>
      </c>
      <c r="L18" s="122"/>
      <c r="M18" s="335">
        <f>+'Work Area'!$Q$19</f>
        <v>0.78129999999999999</v>
      </c>
      <c r="N18" s="330" t="s">
        <v>910</v>
      </c>
      <c r="O18" s="329">
        <f>+(O15+O14+O12+O11+O9)*$M$18</f>
        <v>0</v>
      </c>
      <c r="P18" s="329">
        <f>+(P15+P14+P12+P11+P9)*$M$18</f>
        <v>0</v>
      </c>
      <c r="Q18" s="329">
        <f>+(Q15+Q14+Q12+Q11+Q9)*$M$18</f>
        <v>0</v>
      </c>
      <c r="R18" s="329">
        <f>+(R15+R14+R12+R11+R9)*$M$18</f>
        <v>0</v>
      </c>
      <c r="S18" s="329">
        <f>+(S15+S14+S12+S11+S9)*$M$18</f>
        <v>0</v>
      </c>
      <c r="T18" s="296">
        <f t="shared" si="15"/>
        <v>0</v>
      </c>
      <c r="U18" s="777">
        <f>+'Work Area'!$Q$20</f>
        <v>0.62329999999999997</v>
      </c>
      <c r="V18" s="329">
        <f>+(V15+V14+V12+V11+V9)*$U$18</f>
        <v>0</v>
      </c>
      <c r="W18" s="329">
        <f t="shared" ref="W18:Z18" si="22">+(W15+W14+W12+W11+W9)*$U$18</f>
        <v>0</v>
      </c>
      <c r="X18" s="329">
        <f t="shared" si="22"/>
        <v>0</v>
      </c>
      <c r="Y18" s="329">
        <f t="shared" si="22"/>
        <v>0</v>
      </c>
      <c r="Z18" s="329">
        <f t="shared" si="22"/>
        <v>0</v>
      </c>
      <c r="AA18" s="296">
        <f t="shared" si="2"/>
        <v>0</v>
      </c>
      <c r="AB18" s="790"/>
    </row>
    <row r="19" spans="1:29" ht="15.45" x14ac:dyDescent="0.4">
      <c r="A19" s="128" t="s">
        <v>9</v>
      </c>
      <c r="B19" s="118"/>
      <c r="C19" s="128"/>
      <c r="D19" s="118"/>
      <c r="E19" s="118"/>
      <c r="F19" s="118"/>
      <c r="G19" s="118"/>
      <c r="H19" s="800" t="s">
        <v>9</v>
      </c>
      <c r="I19" s="799" t="s">
        <v>9</v>
      </c>
      <c r="J19" s="799" t="s">
        <v>9</v>
      </c>
      <c r="K19" s="118"/>
      <c r="L19" s="122"/>
      <c r="M19" s="342"/>
      <c r="N19" s="293"/>
      <c r="O19" s="346" t="s">
        <v>9</v>
      </c>
      <c r="P19" s="293"/>
      <c r="Q19" s="293"/>
      <c r="R19" s="293"/>
      <c r="S19" s="293"/>
      <c r="T19" s="296">
        <f t="shared" si="15"/>
        <v>0</v>
      </c>
      <c r="U19" s="292"/>
      <c r="V19" s="292"/>
      <c r="W19" s="293"/>
      <c r="X19" s="293"/>
      <c r="Y19" s="293"/>
      <c r="Z19" s="293"/>
      <c r="AA19" s="296">
        <f t="shared" si="2"/>
        <v>0</v>
      </c>
      <c r="AB19" s="790"/>
    </row>
    <row r="20" spans="1:29" ht="15.45" x14ac:dyDescent="0.4">
      <c r="A20" s="118"/>
      <c r="B20" s="127" t="s">
        <v>742</v>
      </c>
      <c r="C20" s="250">
        <f>IF($C$6=0,0,+T20/$C$6)</f>
        <v>0</v>
      </c>
      <c r="D20" s="252">
        <f>IF($T$5=0,0,+T20/$T$5)</f>
        <v>0</v>
      </c>
      <c r="E20" s="252">
        <f>IF($AA$5=0,0,+AA20/$AA$5)</f>
        <v>0</v>
      </c>
      <c r="F20" s="252">
        <f>IF($T$27=0,0,+T43/$T$27)</f>
        <v>0</v>
      </c>
      <c r="G20" s="252">
        <f>IF($AA$27=0,0,+AA43/$AA$27)</f>
        <v>0</v>
      </c>
      <c r="H20" s="799">
        <f>+H16+H18</f>
        <v>0</v>
      </c>
      <c r="I20" s="799">
        <f t="shared" ref="I20:K20" si="23">+I16+I18</f>
        <v>0</v>
      </c>
      <c r="J20" s="799">
        <f t="shared" si="23"/>
        <v>0</v>
      </c>
      <c r="K20" s="799">
        <f t="shared" si="23"/>
        <v>0</v>
      </c>
      <c r="L20" s="122"/>
      <c r="M20" s="342"/>
      <c r="N20" s="293"/>
      <c r="O20" s="329">
        <f>+O18+O16</f>
        <v>0</v>
      </c>
      <c r="P20" s="329">
        <f>+P18+P16</f>
        <v>0</v>
      </c>
      <c r="Q20" s="329">
        <f>+Q18+Q16</f>
        <v>0</v>
      </c>
      <c r="R20" s="329">
        <f>+R18+R16</f>
        <v>0</v>
      </c>
      <c r="S20" s="329">
        <f>+S18+S16</f>
        <v>0</v>
      </c>
      <c r="T20" s="296">
        <f t="shared" si="15"/>
        <v>0</v>
      </c>
      <c r="U20" s="292"/>
      <c r="V20" s="329">
        <f>+V18+V16</f>
        <v>0</v>
      </c>
      <c r="W20" s="329">
        <f>+W18+W16</f>
        <v>0</v>
      </c>
      <c r="X20" s="329">
        <f>+X18+X16</f>
        <v>0</v>
      </c>
      <c r="Y20" s="329">
        <f>+Y18+Y16</f>
        <v>0</v>
      </c>
      <c r="Z20" s="329">
        <f>+Z18+Z16</f>
        <v>0</v>
      </c>
      <c r="AA20" s="296">
        <f t="shared" si="2"/>
        <v>0</v>
      </c>
      <c r="AB20" s="790"/>
    </row>
    <row r="21" spans="1:29" ht="15.45" x14ac:dyDescent="0.4">
      <c r="A21" s="118"/>
      <c r="B21" s="127" t="s">
        <v>741</v>
      </c>
      <c r="C21" s="128"/>
      <c r="D21" s="128"/>
      <c r="E21" s="128"/>
      <c r="F21" s="128"/>
      <c r="G21" s="128"/>
      <c r="H21" s="795">
        <f>+H5-H20</f>
        <v>0</v>
      </c>
      <c r="I21" s="795">
        <f t="shared" ref="I21:K21" si="24">+I5-I20</f>
        <v>0</v>
      </c>
      <c r="J21" s="795">
        <f t="shared" si="24"/>
        <v>0</v>
      </c>
      <c r="K21" s="795">
        <f t="shared" si="24"/>
        <v>0</v>
      </c>
      <c r="L21" s="122"/>
      <c r="M21" s="341"/>
      <c r="N21" s="293"/>
      <c r="O21" s="329">
        <f>+O5-O20</f>
        <v>0</v>
      </c>
      <c r="P21" s="329">
        <f>+P5-P20</f>
        <v>0</v>
      </c>
      <c r="Q21" s="329">
        <f>+Q5-Q20</f>
        <v>0</v>
      </c>
      <c r="R21" s="329">
        <f>+R5-R20</f>
        <v>0</v>
      </c>
      <c r="S21" s="329">
        <f>+S5-S20</f>
        <v>0</v>
      </c>
      <c r="T21" s="296">
        <f t="shared" si="15"/>
        <v>0</v>
      </c>
      <c r="U21" s="292"/>
      <c r="V21" s="329">
        <f>+V5-V20</f>
        <v>0</v>
      </c>
      <c r="W21" s="329">
        <f>+W5-W20</f>
        <v>0</v>
      </c>
      <c r="X21" s="329">
        <f>+X5-X20</f>
        <v>0</v>
      </c>
      <c r="Y21" s="329">
        <f>+Y5-Y20</f>
        <v>0</v>
      </c>
      <c r="Z21" s="329">
        <f>+Z5-Z20</f>
        <v>0</v>
      </c>
      <c r="AA21" s="296">
        <f t="shared" si="2"/>
        <v>0</v>
      </c>
      <c r="AB21" s="790"/>
    </row>
    <row r="22" spans="1:29" ht="15.45" x14ac:dyDescent="0.4">
      <c r="A22" s="118"/>
      <c r="B22" s="127" t="s">
        <v>740</v>
      </c>
      <c r="C22" s="128"/>
      <c r="D22" s="252" t="str">
        <f>+T22</f>
        <v xml:space="preserve"> </v>
      </c>
      <c r="E22" s="252" t="str">
        <f>+AA22</f>
        <v xml:space="preserve"> </v>
      </c>
      <c r="F22" s="252" t="str">
        <f>+T45</f>
        <v xml:space="preserve"> </v>
      </c>
      <c r="G22" s="122"/>
      <c r="H22" s="800">
        <f>IF(H5=0,0,+H21/H5)</f>
        <v>0</v>
      </c>
      <c r="I22" s="800">
        <f t="shared" ref="I22:K22" si="25">IF(I5=0,0,+I21/I5)</f>
        <v>0</v>
      </c>
      <c r="J22" s="800">
        <f t="shared" si="25"/>
        <v>0</v>
      </c>
      <c r="K22" s="800">
        <f t="shared" si="25"/>
        <v>0</v>
      </c>
      <c r="L22" s="122"/>
      <c r="M22" s="341"/>
      <c r="N22" s="293"/>
      <c r="O22" s="336">
        <f>IF(+O5=0,0,+O21/O5)</f>
        <v>0</v>
      </c>
      <c r="P22" s="336">
        <f>IF(+P5=0,0,+P21/P5)</f>
        <v>0</v>
      </c>
      <c r="Q22" s="336">
        <f>IF(+Q5=0,0,+Q21/Q5)</f>
        <v>0</v>
      </c>
      <c r="R22" s="336">
        <f>IF(+R5=0,0,+R21/R5)</f>
        <v>0</v>
      </c>
      <c r="S22" s="336">
        <f>IF(+S5=0,0,+S21/S5)</f>
        <v>0</v>
      </c>
      <c r="T22" s="296" t="s">
        <v>9</v>
      </c>
      <c r="U22" s="292"/>
      <c r="V22" s="336">
        <f>IF(+V5=0,0,+V21/V5)</f>
        <v>0</v>
      </c>
      <c r="W22" s="336">
        <f>IF(+W5=0,0,+W21/W5)</f>
        <v>0</v>
      </c>
      <c r="X22" s="336">
        <f>IF(+X5=0,0,+X21/X5)</f>
        <v>0</v>
      </c>
      <c r="Y22" s="336">
        <f>IF(+Y5=0,0,+Y21/Y5)</f>
        <v>0</v>
      </c>
      <c r="Z22" s="336">
        <f>IF(+Z5=0,0,+Z21/Z5)</f>
        <v>0</v>
      </c>
      <c r="AA22" s="296" t="s">
        <v>9</v>
      </c>
      <c r="AB22" s="790"/>
    </row>
    <row r="23" spans="1:29" ht="15.9" thickBot="1" x14ac:dyDescent="0.45">
      <c r="A23" s="118"/>
      <c r="B23" s="127" t="s">
        <v>877</v>
      </c>
      <c r="C23" s="125"/>
      <c r="D23" s="800">
        <f>100%-D16</f>
        <v>1</v>
      </c>
      <c r="E23" s="800">
        <f>100%-E16</f>
        <v>1</v>
      </c>
      <c r="F23" s="800">
        <f>100%-F16</f>
        <v>1</v>
      </c>
      <c r="G23" s="800">
        <f>100%-G16</f>
        <v>1</v>
      </c>
      <c r="H23" s="800">
        <f>+D23</f>
        <v>1</v>
      </c>
      <c r="I23" s="800">
        <f t="shared" ref="I23:K23" si="26">+E23</f>
        <v>1</v>
      </c>
      <c r="J23" s="800">
        <f t="shared" si="26"/>
        <v>1</v>
      </c>
      <c r="K23" s="800">
        <f t="shared" si="26"/>
        <v>1</v>
      </c>
      <c r="L23" s="125"/>
      <c r="M23" s="345"/>
      <c r="N23" s="337"/>
      <c r="O23" s="337"/>
      <c r="P23" s="337"/>
      <c r="Q23" s="337"/>
      <c r="R23" s="337"/>
      <c r="S23" s="337"/>
      <c r="T23" s="338"/>
      <c r="U23" s="338"/>
      <c r="V23" s="338"/>
      <c r="W23" s="338"/>
      <c r="X23" s="338"/>
      <c r="Y23" s="338"/>
      <c r="Z23" s="338"/>
      <c r="AA23" s="339"/>
      <c r="AB23" s="792"/>
    </row>
    <row r="24" spans="1:29" ht="15.9" thickBot="1" x14ac:dyDescent="0.45">
      <c r="B24" s="125"/>
      <c r="C24" s="125"/>
      <c r="D24" s="125"/>
      <c r="E24" s="125"/>
      <c r="F24" s="125"/>
      <c r="G24" s="125"/>
      <c r="H24" s="125"/>
      <c r="I24" s="125"/>
      <c r="J24" s="125"/>
      <c r="K24" s="125"/>
      <c r="L24" s="125"/>
      <c r="M24" s="339"/>
      <c r="N24" s="339"/>
      <c r="O24" s="125"/>
      <c r="P24" s="125"/>
      <c r="Q24" s="125"/>
      <c r="R24" s="125"/>
      <c r="S24" s="125"/>
      <c r="T24" s="122"/>
      <c r="U24" s="339"/>
      <c r="V24" s="122"/>
      <c r="W24" s="122"/>
      <c r="X24" s="122"/>
      <c r="Y24" s="122"/>
      <c r="Z24" s="122"/>
    </row>
    <row r="25" spans="1:29" ht="15.45" x14ac:dyDescent="0.4">
      <c r="B25" s="127"/>
      <c r="C25" s="125" t="s">
        <v>9</v>
      </c>
      <c r="D25" s="125"/>
      <c r="E25" s="125"/>
      <c r="F25" s="125"/>
      <c r="G25" s="125"/>
      <c r="H25" s="125"/>
      <c r="I25" s="125"/>
      <c r="J25" s="125"/>
      <c r="K25" s="125"/>
      <c r="L25" s="125"/>
      <c r="M25" s="341"/>
      <c r="N25" s="125"/>
      <c r="O25" s="867" t="s">
        <v>1088</v>
      </c>
      <c r="P25" s="867"/>
      <c r="Q25" s="867"/>
      <c r="R25" s="867"/>
      <c r="S25" s="867"/>
      <c r="T25" s="867"/>
      <c r="U25" s="125"/>
      <c r="V25" s="874" t="s">
        <v>1145</v>
      </c>
      <c r="W25" s="874"/>
      <c r="X25" s="874"/>
      <c r="Y25" s="874"/>
      <c r="Z25" s="874"/>
      <c r="AA25" s="874"/>
      <c r="AB25" s="788"/>
    </row>
    <row r="26" spans="1:29" ht="15.45" x14ac:dyDescent="0.4">
      <c r="B26" s="779" t="s">
        <v>1071</v>
      </c>
      <c r="C26" s="775" t="s">
        <v>1077</v>
      </c>
      <c r="D26" s="125" t="s">
        <v>9</v>
      </c>
      <c r="E26" s="125"/>
      <c r="F26" s="125"/>
      <c r="G26" s="125"/>
      <c r="H26" s="125"/>
      <c r="I26" s="125"/>
      <c r="J26" s="125"/>
      <c r="K26" s="125"/>
      <c r="L26" s="125"/>
      <c r="M26" s="341"/>
      <c r="N26" s="783"/>
      <c r="O26" s="348" t="str">
        <f>+'Project Labor'!$C$19</f>
        <v/>
      </c>
      <c r="P26" s="350" t="str">
        <f>+'Project Labor'!$D$19</f>
        <v/>
      </c>
      <c r="Q26" s="352" t="str">
        <f>+'Project Labor'!$E$19</f>
        <v/>
      </c>
      <c r="R26" s="354" t="str">
        <f>+'Project Labor'!$F$19</f>
        <v/>
      </c>
      <c r="S26" s="766" t="s">
        <v>952</v>
      </c>
      <c r="T26" s="327" t="str">
        <f>+'Project Labor'!$H$19</f>
        <v>Total</v>
      </c>
      <c r="U26" s="292"/>
      <c r="V26" s="348" t="str">
        <f>+'Project Labor'!$C$19</f>
        <v/>
      </c>
      <c r="W26" s="350" t="str">
        <f>+'Project Labor'!$D$19</f>
        <v/>
      </c>
      <c r="X26" s="352" t="str">
        <f>+'Project Labor'!$E$19</f>
        <v/>
      </c>
      <c r="Y26" s="354" t="str">
        <f>+'Project Labor'!$F$19</f>
        <v/>
      </c>
      <c r="Z26" s="766" t="s">
        <v>952</v>
      </c>
      <c r="AA26" s="327" t="str">
        <f>+'Project Labor'!$H$19</f>
        <v>Total</v>
      </c>
      <c r="AB26" s="789"/>
    </row>
    <row r="27" spans="1:29" ht="15.45" x14ac:dyDescent="0.4">
      <c r="B27" s="315" t="s">
        <v>1074</v>
      </c>
      <c r="C27" s="802">
        <v>1</v>
      </c>
      <c r="D27" s="764"/>
      <c r="E27" s="288" t="s">
        <v>9</v>
      </c>
      <c r="H27" s="825"/>
      <c r="I27" s="825"/>
      <c r="J27" s="825"/>
      <c r="K27" s="825"/>
      <c r="L27" s="124"/>
      <c r="M27" s="341"/>
      <c r="N27" s="127" t="s">
        <v>752</v>
      </c>
      <c r="O27" s="329">
        <f>+(O32+O33+O34+O35+O37+O38+O41)/(1-'Work Area'!$R$21)</f>
        <v>0</v>
      </c>
      <c r="P27" s="329">
        <f>+(P32+P33+P34+P35+P37+P38+P41)/(1-'Work Area'!$R$21)</f>
        <v>0</v>
      </c>
      <c r="Q27" s="329">
        <f>+(Q32+Q33+Q34+Q35+Q37+Q38+Q41)/(1-'Work Area'!$R$21)</f>
        <v>0</v>
      </c>
      <c r="R27" s="329">
        <f>+(R32+R33+R34+R35+R37+R38+R41)/(1-'Work Area'!$R$21)</f>
        <v>0</v>
      </c>
      <c r="S27" s="329">
        <f>+(S32+S33+S34+S35+S37+S38+S41)/(1-'Work Area'!$R$21)</f>
        <v>0</v>
      </c>
      <c r="T27" s="296">
        <f>SUM(O27:S27)</f>
        <v>0</v>
      </c>
      <c r="U27" s="240"/>
      <c r="V27" s="329">
        <f>+(V32+V33+V34+V35+V37+V38+V41)/(1-'Work Area'!$R$22)</f>
        <v>0</v>
      </c>
      <c r="W27" s="329">
        <f>+(W32+W33+W34+W35+W37+W38+W41)/(1-'Work Area'!$R$22)</f>
        <v>0</v>
      </c>
      <c r="X27" s="329">
        <f>+(X32+X33+X34+X35+X37+X38+X41)/(1-'Work Area'!$R$22)</f>
        <v>0</v>
      </c>
      <c r="Y27" s="329">
        <f>+(Y32+Y33+Y34+Y35+Y37+Y38+Y41)/(1-'Work Area'!$R$22)</f>
        <v>0</v>
      </c>
      <c r="Z27" s="329">
        <f>+(Z32+Z33+Z34+Z35+Z37+Z38+Z41)/(1-'Work Area'!$R$22)</f>
        <v>0</v>
      </c>
      <c r="AA27" s="296">
        <f>SUM(V27:Z27)</f>
        <v>0</v>
      </c>
      <c r="AB27" s="790" t="s">
        <v>9</v>
      </c>
    </row>
    <row r="28" spans="1:29" ht="15.9" thickBot="1" x14ac:dyDescent="0.45">
      <c r="B28" s="315" t="s">
        <v>1072</v>
      </c>
      <c r="C28" s="802">
        <v>2</v>
      </c>
      <c r="D28" s="764"/>
      <c r="F28" s="288" t="s">
        <v>9</v>
      </c>
      <c r="G28" s="825"/>
      <c r="H28" s="825"/>
      <c r="I28" s="825"/>
      <c r="J28" s="825"/>
      <c r="K28" s="825"/>
      <c r="L28" s="124"/>
      <c r="M28" s="341"/>
      <c r="O28" s="331">
        <f>'Project Labor'!C23</f>
        <v>0</v>
      </c>
      <c r="P28" s="331">
        <f>'Project Labor'!D23</f>
        <v>0</v>
      </c>
      <c r="Q28" s="331">
        <f>'Project Labor'!E23</f>
        <v>0</v>
      </c>
      <c r="R28" s="331">
        <f>'Project Labor'!F23</f>
        <v>0</v>
      </c>
      <c r="S28" s="331">
        <f>'Project Labor'!G23</f>
        <v>0</v>
      </c>
      <c r="T28" s="296">
        <f t="shared" ref="T28:T30" si="27">SUM(O28:S28)</f>
        <v>0</v>
      </c>
      <c r="U28" s="240"/>
      <c r="V28" s="331">
        <f>'Project Labor'!C23</f>
        <v>0</v>
      </c>
      <c r="W28" s="331">
        <f>'Project Labor'!D23</f>
        <v>0</v>
      </c>
      <c r="X28" s="331">
        <f>'Project Labor'!E23</f>
        <v>0</v>
      </c>
      <c r="Y28" s="331">
        <f>'Project Labor'!F23</f>
        <v>0</v>
      </c>
      <c r="Z28" s="331">
        <f>'Project Labor'!G23</f>
        <v>0</v>
      </c>
      <c r="AA28" s="296">
        <f t="shared" ref="AA28:AA30" si="28">SUM(V28:Z28)</f>
        <v>0</v>
      </c>
      <c r="AB28" s="791" t="s">
        <v>9</v>
      </c>
    </row>
    <row r="29" spans="1:29" ht="15.9" thickTop="1" x14ac:dyDescent="0.4">
      <c r="B29" s="315" t="s">
        <v>1073</v>
      </c>
      <c r="C29" s="802">
        <v>3</v>
      </c>
      <c r="D29" s="764"/>
      <c r="K29" s="124"/>
      <c r="L29" s="124"/>
      <c r="M29" s="341"/>
      <c r="N29" s="330" t="s">
        <v>751</v>
      </c>
      <c r="O29" s="390">
        <f t="shared" ref="O29:T29" si="29">IF(O28=0,0,O27/O28)</f>
        <v>0</v>
      </c>
      <c r="P29" s="390">
        <f t="shared" si="29"/>
        <v>0</v>
      </c>
      <c r="Q29" s="390">
        <f t="shared" si="29"/>
        <v>0</v>
      </c>
      <c r="R29" s="390">
        <f t="shared" si="29"/>
        <v>0</v>
      </c>
      <c r="S29" s="390">
        <f t="shared" si="29"/>
        <v>0</v>
      </c>
      <c r="T29" s="390">
        <f t="shared" si="29"/>
        <v>0</v>
      </c>
      <c r="U29" s="240"/>
      <c r="V29" s="390">
        <f t="shared" ref="V29:AA29" si="30">IF(V28=0,0,V27/V28)</f>
        <v>0</v>
      </c>
      <c r="W29" s="390">
        <f t="shared" si="30"/>
        <v>0</v>
      </c>
      <c r="X29" s="390">
        <f t="shared" si="30"/>
        <v>0</v>
      </c>
      <c r="Y29" s="390">
        <f t="shared" si="30"/>
        <v>0</v>
      </c>
      <c r="Z29" s="390">
        <f t="shared" si="30"/>
        <v>0</v>
      </c>
      <c r="AA29" s="390">
        <f t="shared" si="30"/>
        <v>0</v>
      </c>
      <c r="AB29" s="790"/>
    </row>
    <row r="30" spans="1:29" ht="15.45" x14ac:dyDescent="0.4">
      <c r="B30" s="315" t="s">
        <v>1080</v>
      </c>
      <c r="C30" s="802">
        <v>4</v>
      </c>
      <c r="D30" s="764"/>
      <c r="K30" s="124"/>
      <c r="L30" s="124"/>
      <c r="M30" s="341"/>
      <c r="N30" s="222" t="s">
        <v>911</v>
      </c>
      <c r="O30" s="293"/>
      <c r="P30" s="293"/>
      <c r="Q30" s="293"/>
      <c r="R30" s="293"/>
      <c r="S30" s="293"/>
      <c r="T30" s="296">
        <f t="shared" si="27"/>
        <v>0</v>
      </c>
      <c r="U30" s="240"/>
      <c r="V30" s="293"/>
      <c r="W30" s="293"/>
      <c r="X30" s="293"/>
      <c r="Y30" s="293"/>
      <c r="Z30" s="293"/>
      <c r="AA30" s="296">
        <f t="shared" si="28"/>
        <v>0</v>
      </c>
      <c r="AB30" s="790"/>
    </row>
    <row r="31" spans="1:29" ht="15.45" x14ac:dyDescent="0.4">
      <c r="B31" s="807" t="s">
        <v>1099</v>
      </c>
      <c r="C31" s="802">
        <v>5</v>
      </c>
      <c r="D31" s="778"/>
      <c r="E31" s="18"/>
      <c r="F31" s="18"/>
      <c r="G31" s="18"/>
      <c r="H31" s="18"/>
      <c r="I31" s="18"/>
      <c r="J31" s="18"/>
      <c r="K31" s="124"/>
      <c r="L31" s="124"/>
      <c r="M31" s="341"/>
      <c r="N31" s="784"/>
      <c r="T31" s="296" t="s">
        <v>9</v>
      </c>
      <c r="U31" s="240"/>
      <c r="AB31" s="790"/>
      <c r="AC31" s="784"/>
    </row>
    <row r="32" spans="1:29" ht="15.45" x14ac:dyDescent="0.4">
      <c r="B32" s="808" t="s">
        <v>1076</v>
      </c>
      <c r="C32" s="781">
        <v>2</v>
      </c>
      <c r="D32" s="308"/>
      <c r="E32" s="118"/>
      <c r="F32" s="118"/>
      <c r="G32" s="118"/>
      <c r="H32" s="118"/>
      <c r="I32" s="118"/>
      <c r="J32" s="118"/>
      <c r="K32" s="124"/>
      <c r="L32" s="124"/>
      <c r="M32" s="342"/>
      <c r="N32" s="332" t="s">
        <v>1129</v>
      </c>
      <c r="O32" s="323">
        <f>IF($C$35=1,'Project Labor'!K36,+'Project Labor'!C39)</f>
        <v>0</v>
      </c>
      <c r="P32" s="323">
        <f>IF($C$35=1,'Project Labor'!L36,+'Project Labor'!D39)</f>
        <v>0</v>
      </c>
      <c r="Q32" s="323">
        <f>IF($C$35=1,'Project Labor'!M36,+'Project Labor'!E39)</f>
        <v>0</v>
      </c>
      <c r="R32" s="323">
        <f>IF($C$35=1,'Project Labor'!N36,+'Project Labor'!F39)</f>
        <v>0</v>
      </c>
      <c r="S32" s="323">
        <f>IF($C$35=1,'Project Labor'!O36,+'Project Labor'!G39)</f>
        <v>0</v>
      </c>
      <c r="T32" s="296">
        <f t="shared" ref="T32:T44" si="31">SUM(O32:S32)</f>
        <v>0</v>
      </c>
      <c r="U32" s="240"/>
      <c r="V32" s="323">
        <f>IF($C$35=1,'Project Labor'!K36,+'Project Labor'!C39)</f>
        <v>0</v>
      </c>
      <c r="W32" s="323">
        <f>IF($C$35=1,'Project Labor'!L36,+'Project Labor'!D39)</f>
        <v>0</v>
      </c>
      <c r="X32" s="323">
        <f>IF($C$35=1,'Project Labor'!M36,+'Project Labor'!E39)</f>
        <v>0</v>
      </c>
      <c r="Y32" s="323">
        <f>IF($C$35=1,'Project Labor'!N36,+'Project Labor'!F39)</f>
        <v>0</v>
      </c>
      <c r="Z32" s="323">
        <f>IF($C$35=1,'Project Labor'!O36,+'Project Labor'!G39)</f>
        <v>0</v>
      </c>
      <c r="AA32" s="296">
        <f t="shared" ref="AA32:AA44" si="32">SUM(V32:Z32)</f>
        <v>0</v>
      </c>
      <c r="AB32" s="790"/>
    </row>
    <row r="33" spans="2:28" ht="15.45" x14ac:dyDescent="0.4">
      <c r="B33" s="125"/>
      <c r="C33" s="119"/>
      <c r="D33" s="119"/>
      <c r="E33" s="126"/>
      <c r="F33" s="119"/>
      <c r="G33" s="119"/>
      <c r="H33" s="119"/>
      <c r="I33" s="119"/>
      <c r="J33" s="119"/>
      <c r="K33" s="124"/>
      <c r="L33" s="124"/>
      <c r="M33" s="342"/>
      <c r="N33" s="332" t="s">
        <v>909</v>
      </c>
      <c r="O33" s="323">
        <f>IFERROR(SUM('Project Labor'!C49+'Project Labor'!C55),0)</f>
        <v>0</v>
      </c>
      <c r="P33" s="323">
        <f>IFERROR(SUM('Project Labor'!D49+'Project Labor'!D55),0)</f>
        <v>0</v>
      </c>
      <c r="Q33" s="323">
        <f>IFERROR(SUM('Project Labor'!E49+'Project Labor'!E55),0)</f>
        <v>0</v>
      </c>
      <c r="R33" s="323">
        <f>IFERROR(SUM('Project Labor'!F49+'Project Labor'!F55),0)</f>
        <v>0</v>
      </c>
      <c r="S33" s="323">
        <f>IFERROR(SUM('Project Labor'!G49+'Project Labor'!G55),0)</f>
        <v>0</v>
      </c>
      <c r="T33" s="296">
        <f t="shared" si="31"/>
        <v>0</v>
      </c>
      <c r="U33" s="240"/>
      <c r="V33" s="323">
        <f>IFERROR(SUM('Project Labor'!C49+'Project Labor'!C55),0)</f>
        <v>0</v>
      </c>
      <c r="W33" s="323">
        <f>IFERROR(SUM('Project Labor'!D49+'Project Labor'!D55),0)</f>
        <v>0</v>
      </c>
      <c r="X33" s="323">
        <f>IFERROR(SUM('Project Labor'!E49+'Project Labor'!E55),0)</f>
        <v>0</v>
      </c>
      <c r="Y33" s="323">
        <f>IFERROR(SUM('Project Labor'!F49+'Project Labor'!F55),0)</f>
        <v>0</v>
      </c>
      <c r="Z33" s="323">
        <f>IFERROR(SUM('Project Labor'!G49+'Project Labor'!G55),0)</f>
        <v>0</v>
      </c>
      <c r="AA33" s="296">
        <f t="shared" si="32"/>
        <v>0</v>
      </c>
      <c r="AB33" s="790"/>
    </row>
    <row r="34" spans="2:28" ht="15.45" x14ac:dyDescent="0.4">
      <c r="C34" s="775" t="s">
        <v>1122</v>
      </c>
      <c r="K34" s="124"/>
      <c r="L34" s="124"/>
      <c r="M34" s="342"/>
      <c r="N34" s="330" t="s">
        <v>1131</v>
      </c>
      <c r="O34" s="323">
        <f>'Project Materials'!O43</f>
        <v>0</v>
      </c>
      <c r="P34" s="323">
        <f>'Project Materials'!O56</f>
        <v>0</v>
      </c>
      <c r="Q34" s="323">
        <f>'Project Materials'!O69</f>
        <v>0</v>
      </c>
      <c r="R34" s="323">
        <f>'Project Materials'!O82</f>
        <v>0</v>
      </c>
      <c r="S34" s="323">
        <f>'Grab Rail'!J54</f>
        <v>0</v>
      </c>
      <c r="T34" s="296">
        <f t="shared" si="31"/>
        <v>0</v>
      </c>
      <c r="U34" s="240"/>
      <c r="V34" s="323">
        <f>'Project Materials'!O43</f>
        <v>0</v>
      </c>
      <c r="W34" s="323">
        <f>'Project Materials'!O56</f>
        <v>0</v>
      </c>
      <c r="X34" s="323">
        <f>'Project Materials'!O69</f>
        <v>0</v>
      </c>
      <c r="Y34" s="323">
        <f>'Project Materials'!O82</f>
        <v>0</v>
      </c>
      <c r="Z34" s="323">
        <f>'Grab Rail'!J54</f>
        <v>0</v>
      </c>
      <c r="AA34" s="296">
        <f t="shared" si="32"/>
        <v>0</v>
      </c>
      <c r="AB34" s="790"/>
    </row>
    <row r="35" spans="2:28" ht="15.45" x14ac:dyDescent="0.4">
      <c r="B35" s="127" t="s">
        <v>1121</v>
      </c>
      <c r="C35" s="840">
        <v>0</v>
      </c>
      <c r="K35" s="124"/>
      <c r="L35" s="124"/>
      <c r="M35" s="344"/>
      <c r="N35" s="330" t="s">
        <v>748</v>
      </c>
      <c r="O35" s="323">
        <f>+$M$12*O34</f>
        <v>0</v>
      </c>
      <c r="P35" s="323">
        <f t="shared" ref="P35" si="33">+$M$12*P34</f>
        <v>0</v>
      </c>
      <c r="Q35" s="323">
        <f t="shared" ref="Q35" si="34">+$M$12*Q34</f>
        <v>0</v>
      </c>
      <c r="R35" s="323">
        <f t="shared" ref="R35" si="35">+$M$12*R34</f>
        <v>0</v>
      </c>
      <c r="S35" s="323">
        <f t="shared" ref="S35" si="36">+$M$12*S34</f>
        <v>0</v>
      </c>
      <c r="T35" s="296">
        <f t="shared" si="31"/>
        <v>0</v>
      </c>
      <c r="U35" s="240"/>
      <c r="V35" s="323">
        <f>+$M$12*V34</f>
        <v>0</v>
      </c>
      <c r="W35" s="323">
        <f t="shared" ref="W35" si="37">+$M$12*W34</f>
        <v>0</v>
      </c>
      <c r="X35" s="323">
        <f t="shared" ref="X35" si="38">+$M$12*X34</f>
        <v>0</v>
      </c>
      <c r="Y35" s="323">
        <f t="shared" ref="Y35" si="39">+$M$12*Y34</f>
        <v>0</v>
      </c>
      <c r="Z35" s="323">
        <f t="shared" ref="Z35" si="40">+$M$12*Z34</f>
        <v>0</v>
      </c>
      <c r="AA35" s="296">
        <f t="shared" si="32"/>
        <v>0</v>
      </c>
      <c r="AB35" s="790"/>
    </row>
    <row r="36" spans="2:28" ht="15.45" x14ac:dyDescent="0.4">
      <c r="B36" s="125" t="s">
        <v>1123</v>
      </c>
      <c r="K36" s="124"/>
      <c r="L36" s="124"/>
      <c r="M36" s="333">
        <f>+M13</f>
        <v>0</v>
      </c>
      <c r="N36" s="330" t="s">
        <v>746</v>
      </c>
      <c r="O36" s="323">
        <f>+$M$13*O27</f>
        <v>0</v>
      </c>
      <c r="P36" s="323">
        <f>+$M$13*P27</f>
        <v>0</v>
      </c>
      <c r="Q36" s="323">
        <f>+$M$13*Q27</f>
        <v>0</v>
      </c>
      <c r="R36" s="323">
        <f>+$M$13*R27</f>
        <v>0</v>
      </c>
      <c r="S36" s="323">
        <f>+$M$13*S27</f>
        <v>0</v>
      </c>
      <c r="T36" s="296">
        <f t="shared" si="31"/>
        <v>0</v>
      </c>
      <c r="U36" s="240"/>
      <c r="V36" s="323">
        <f>+$M$13*V27</f>
        <v>0</v>
      </c>
      <c r="W36" s="323">
        <f>+$M$13*W27</f>
        <v>0</v>
      </c>
      <c r="X36" s="323">
        <f>+$M$13*X27</f>
        <v>0</v>
      </c>
      <c r="Y36" s="323">
        <f>+$M$13*Y27</f>
        <v>0</v>
      </c>
      <c r="Z36" s="323">
        <f>+$M$13*Z27</f>
        <v>0</v>
      </c>
      <c r="AA36" s="296">
        <f t="shared" si="32"/>
        <v>0</v>
      </c>
      <c r="AB36" s="790"/>
    </row>
    <row r="37" spans="2:28" ht="15.45" x14ac:dyDescent="0.4">
      <c r="B37" s="125" t="s">
        <v>1124</v>
      </c>
      <c r="K37" s="124"/>
      <c r="L37" s="124"/>
      <c r="M37" s="342"/>
      <c r="N37" s="222" t="s">
        <v>1120</v>
      </c>
      <c r="O37" s="323">
        <f>IF($T$34=0,0,+ROUND(O34/$T$34*'Project Labor'!$J$8,0))</f>
        <v>0</v>
      </c>
      <c r="P37" s="323">
        <f>IF($T$34=0,0,+ROUND(P34/$T$34*'Project Labor'!$J$8,0))</f>
        <v>0</v>
      </c>
      <c r="Q37" s="323">
        <f>IF($T$34=0,0,+ROUND(Q34/$T$34*'Project Labor'!$J$8,0))</f>
        <v>0</v>
      </c>
      <c r="R37" s="323">
        <f>IF($T$34=0,0,+ROUND(R34/$T$34*'Project Labor'!$J$8,0))</f>
        <v>0</v>
      </c>
      <c r="S37" s="323">
        <f>IF($T$34=0,0,+ROUND(S34/$T$34*'Project Labor'!$J$8,0))</f>
        <v>0</v>
      </c>
      <c r="T37" s="296">
        <f t="shared" si="31"/>
        <v>0</v>
      </c>
      <c r="U37" s="240"/>
      <c r="V37" s="323">
        <f>+IF($AA$34=0,0,ROUND(V34/$AA$34*'Project Labor'!$J$8,0))</f>
        <v>0</v>
      </c>
      <c r="W37" s="323">
        <f>+IF($AA$34=0,0,ROUND(W34/$AA$34*'Project Labor'!$J$8,0))</f>
        <v>0</v>
      </c>
      <c r="X37" s="323">
        <f>+IF($AA$34=0,0,ROUND(X34/$AA$34*'Project Labor'!$J$8,0))</f>
        <v>0</v>
      </c>
      <c r="Y37" s="323">
        <f>+IF($AA$34=0,0,ROUND(Y34/$AA$34*'Project Labor'!$J$8,0))</f>
        <v>0</v>
      </c>
      <c r="Z37" s="323">
        <f>+IF($AA$34=0,0,ROUND(Z34/$AA$34*'Project Labor'!$J$8,0))</f>
        <v>0</v>
      </c>
      <c r="AA37" s="296">
        <f t="shared" si="32"/>
        <v>0</v>
      </c>
      <c r="AB37" s="790"/>
    </row>
    <row r="38" spans="2:28" ht="15.45" x14ac:dyDescent="0.4">
      <c r="B38" s="125"/>
      <c r="K38" s="124"/>
      <c r="L38" s="124"/>
      <c r="M38" s="335">
        <f>+M15</f>
        <v>0.16</v>
      </c>
      <c r="N38" s="332" t="s">
        <v>1132</v>
      </c>
      <c r="O38" s="129">
        <f>+$M15*O32</f>
        <v>0</v>
      </c>
      <c r="P38" s="129">
        <f>+$M15*P32</f>
        <v>0</v>
      </c>
      <c r="Q38" s="129">
        <f>+$M15*Q32</f>
        <v>0</v>
      </c>
      <c r="R38" s="129">
        <f>+$M15*R32</f>
        <v>0</v>
      </c>
      <c r="S38" s="129">
        <f>+$M15*S32</f>
        <v>0</v>
      </c>
      <c r="T38" s="296">
        <f t="shared" si="31"/>
        <v>0</v>
      </c>
      <c r="U38" s="240"/>
      <c r="V38" s="129">
        <f>+$M15*V32</f>
        <v>0</v>
      </c>
      <c r="W38" s="129">
        <f>+$M15*W32</f>
        <v>0</v>
      </c>
      <c r="X38" s="129">
        <f>+$M15*X32</f>
        <v>0</v>
      </c>
      <c r="Y38" s="129">
        <f>+$M15*Y32</f>
        <v>0</v>
      </c>
      <c r="Z38" s="129">
        <f>+$M15*Z32</f>
        <v>0</v>
      </c>
      <c r="AA38" s="296">
        <f t="shared" si="32"/>
        <v>0</v>
      </c>
      <c r="AB38" s="790"/>
    </row>
    <row r="39" spans="2:28" ht="15.45" x14ac:dyDescent="0.4">
      <c r="M39" s="344"/>
      <c r="N39" s="334" t="s">
        <v>875</v>
      </c>
      <c r="O39" s="329">
        <f>SUM(O32:O38)</f>
        <v>0</v>
      </c>
      <c r="P39" s="329">
        <f>SUM(P32:P38)</f>
        <v>0</v>
      </c>
      <c r="Q39" s="329">
        <f>SUM(Q32:Q38)</f>
        <v>0</v>
      </c>
      <c r="R39" s="329">
        <f>SUM(R32:R38)</f>
        <v>0</v>
      </c>
      <c r="S39" s="329">
        <f>SUM(S32:S38)</f>
        <v>0</v>
      </c>
      <c r="T39" s="296">
        <f t="shared" si="31"/>
        <v>0</v>
      </c>
      <c r="U39" s="240"/>
      <c r="V39" s="329">
        <f>SUM(V32:V38)</f>
        <v>0</v>
      </c>
      <c r="W39" s="329">
        <f>SUM(W32:W38)</f>
        <v>0</v>
      </c>
      <c r="X39" s="329">
        <f>SUM(X32:X38)</f>
        <v>0</v>
      </c>
      <c r="Y39" s="329">
        <f>SUM(Y32:Y38)</f>
        <v>0</v>
      </c>
      <c r="Z39" s="329">
        <f>SUM(Z32:Z38)</f>
        <v>0</v>
      </c>
      <c r="AA39" s="296">
        <f t="shared" si="32"/>
        <v>0</v>
      </c>
      <c r="AB39" s="790"/>
    </row>
    <row r="40" spans="2:28" ht="15.45" x14ac:dyDescent="0.4">
      <c r="M40" s="322"/>
      <c r="N40" s="330"/>
      <c r="O40" s="293"/>
      <c r="P40" s="293"/>
      <c r="Q40" s="293"/>
      <c r="R40" s="293"/>
      <c r="S40" s="293"/>
      <c r="T40" s="296">
        <f t="shared" si="31"/>
        <v>0</v>
      </c>
      <c r="U40" s="240"/>
      <c r="V40" s="293"/>
      <c r="W40" s="293"/>
      <c r="X40" s="293"/>
      <c r="Y40" s="293"/>
      <c r="Z40" s="293"/>
      <c r="AA40" s="296">
        <f t="shared" si="32"/>
        <v>0</v>
      </c>
      <c r="AB40" s="790"/>
    </row>
    <row r="41" spans="2:28" ht="15.45" x14ac:dyDescent="0.4">
      <c r="M41" s="793">
        <f>+'Work Area'!$Q$21</f>
        <v>0.44500000000000001</v>
      </c>
      <c r="N41" s="330" t="s">
        <v>910</v>
      </c>
      <c r="O41" s="329">
        <f>+(O38+O37+O35+O34+O32)*$M$41</f>
        <v>0</v>
      </c>
      <c r="P41" s="329">
        <f t="shared" ref="P41:S41" si="41">+(P38+P37+P35+P34+P32)*$M$41</f>
        <v>0</v>
      </c>
      <c r="Q41" s="329">
        <f t="shared" si="41"/>
        <v>0</v>
      </c>
      <c r="R41" s="329">
        <f t="shared" si="41"/>
        <v>0</v>
      </c>
      <c r="S41" s="329">
        <f t="shared" si="41"/>
        <v>0</v>
      </c>
      <c r="T41" s="296">
        <f t="shared" si="31"/>
        <v>0</v>
      </c>
      <c r="U41" s="777">
        <f>+'Work Area'!$Q$22</f>
        <v>0.1</v>
      </c>
      <c r="V41" s="329">
        <f>+(V38+V37+V35+V34+V32)*$U$41</f>
        <v>0</v>
      </c>
      <c r="W41" s="329">
        <f t="shared" ref="W41:Y41" si="42">+(W38+W37+W35+W34+W32)*$U$41</f>
        <v>0</v>
      </c>
      <c r="X41" s="329">
        <f t="shared" si="42"/>
        <v>0</v>
      </c>
      <c r="Y41" s="329">
        <f t="shared" si="42"/>
        <v>0</v>
      </c>
      <c r="Z41" s="329">
        <f>+(Z38+Z37+Z35+Z34+Z32)*$U$18</f>
        <v>0</v>
      </c>
      <c r="AA41" s="296">
        <f t="shared" si="32"/>
        <v>0</v>
      </c>
      <c r="AB41" s="790"/>
    </row>
    <row r="42" spans="2:28" ht="15.45" x14ac:dyDescent="0.4">
      <c r="M42" s="342"/>
      <c r="N42" s="784"/>
      <c r="O42" s="292"/>
      <c r="P42" s="293"/>
      <c r="Q42" s="293"/>
      <c r="R42" s="293"/>
      <c r="S42" s="293"/>
      <c r="T42" s="296">
        <f t="shared" si="31"/>
        <v>0</v>
      </c>
      <c r="U42" s="240"/>
      <c r="V42" s="292"/>
      <c r="W42" s="293"/>
      <c r="X42" s="293"/>
      <c r="Y42" s="293"/>
      <c r="Z42" s="293"/>
      <c r="AA42" s="296">
        <f t="shared" si="32"/>
        <v>0</v>
      </c>
      <c r="AB42" s="790"/>
    </row>
    <row r="43" spans="2:28" ht="15.45" x14ac:dyDescent="0.4">
      <c r="M43" s="342"/>
      <c r="N43" s="325"/>
      <c r="O43" s="329">
        <f>+O41+O39</f>
        <v>0</v>
      </c>
      <c r="P43" s="329">
        <f>+P41+P39</f>
        <v>0</v>
      </c>
      <c r="Q43" s="329">
        <f>+Q41+Q39</f>
        <v>0</v>
      </c>
      <c r="R43" s="329">
        <f>+R41+R39</f>
        <v>0</v>
      </c>
      <c r="S43" s="329">
        <f>+S41+S39</f>
        <v>0</v>
      </c>
      <c r="T43" s="296">
        <f t="shared" si="31"/>
        <v>0</v>
      </c>
      <c r="U43" s="240"/>
      <c r="V43" s="329">
        <f>+V41+V39</f>
        <v>0</v>
      </c>
      <c r="W43" s="329">
        <f>+W41+W39</f>
        <v>0</v>
      </c>
      <c r="X43" s="329">
        <f>+X41+X39</f>
        <v>0</v>
      </c>
      <c r="Y43" s="329">
        <f>+Y41+Y39</f>
        <v>0</v>
      </c>
      <c r="Z43" s="329">
        <f>+Z41+Z39</f>
        <v>0</v>
      </c>
      <c r="AA43" s="296">
        <f t="shared" si="32"/>
        <v>0</v>
      </c>
      <c r="AB43" s="790"/>
    </row>
    <row r="44" spans="2:28" ht="15.45" x14ac:dyDescent="0.4">
      <c r="M44" s="341"/>
      <c r="N44" s="324"/>
      <c r="O44" s="329">
        <f>+O27-O43</f>
        <v>0</v>
      </c>
      <c r="P44" s="329">
        <f>+P27-P43</f>
        <v>0</v>
      </c>
      <c r="Q44" s="329">
        <f>+Q27-Q43</f>
        <v>0</v>
      </c>
      <c r="R44" s="329">
        <f>+R27-R43</f>
        <v>0</v>
      </c>
      <c r="S44" s="329">
        <f>+S27-S43</f>
        <v>0</v>
      </c>
      <c r="T44" s="296">
        <f t="shared" si="31"/>
        <v>0</v>
      </c>
      <c r="U44" s="240"/>
      <c r="V44" s="329">
        <f>+V27-V43</f>
        <v>0</v>
      </c>
      <c r="W44" s="329">
        <f>+W27-W43</f>
        <v>0</v>
      </c>
      <c r="X44" s="329">
        <f>+X27-X43</f>
        <v>0</v>
      </c>
      <c r="Y44" s="329">
        <f>+Y27-Y43</f>
        <v>0</v>
      </c>
      <c r="Z44" s="329">
        <f>+Z27-Z43</f>
        <v>0</v>
      </c>
      <c r="AA44" s="296">
        <f t="shared" si="32"/>
        <v>0</v>
      </c>
      <c r="AB44" s="790"/>
    </row>
    <row r="45" spans="2:28" ht="15.45" x14ac:dyDescent="0.4">
      <c r="M45" s="341"/>
      <c r="N45" s="325"/>
      <c r="O45" s="336">
        <f>IF(+O27=0,0,+O44/O27)</f>
        <v>0</v>
      </c>
      <c r="P45" s="336">
        <f>IF(+P27=0,0,+P44/P27)</f>
        <v>0</v>
      </c>
      <c r="Q45" s="336">
        <f>IF(+Q27=0,0,+Q44/Q27)</f>
        <v>0</v>
      </c>
      <c r="R45" s="336">
        <f>IF(+R27=0,0,+R44/R27)</f>
        <v>0</v>
      </c>
      <c r="S45" s="336">
        <f>IF(+S27=0,0,+S44/S27)</f>
        <v>0</v>
      </c>
      <c r="T45" s="296" t="s">
        <v>9</v>
      </c>
      <c r="U45" s="240"/>
      <c r="V45" s="336">
        <f>IF(+V27=0,0,+V44/V27)</f>
        <v>0</v>
      </c>
      <c r="W45" s="336">
        <f>IF(+W27=0,0,+W44/W27)</f>
        <v>0</v>
      </c>
      <c r="X45" s="336">
        <f>IF(+X27=0,0,+X44/X27)</f>
        <v>0</v>
      </c>
      <c r="Y45" s="336">
        <f>IF(+Y27=0,0,+Y44/Y27)</f>
        <v>0</v>
      </c>
      <c r="Z45" s="336">
        <f>IF(+Z27=0,0,+Z44/Z27)</f>
        <v>0</v>
      </c>
      <c r="AA45" s="296" t="s">
        <v>9</v>
      </c>
      <c r="AB45" s="790"/>
    </row>
    <row r="46" spans="2:28" ht="15.9" thickBot="1" x14ac:dyDescent="0.45">
      <c r="M46" s="345"/>
      <c r="N46" s="339"/>
      <c r="O46" s="339"/>
      <c r="P46" s="339"/>
      <c r="Q46" s="339"/>
      <c r="R46" s="339"/>
      <c r="S46" s="339"/>
      <c r="T46" s="339"/>
      <c r="U46" s="339"/>
      <c r="V46" s="338"/>
      <c r="W46" s="338"/>
      <c r="X46" s="338"/>
      <c r="Y46" s="338"/>
      <c r="Z46" s="338"/>
      <c r="AA46" s="339"/>
      <c r="AB46" s="792"/>
    </row>
    <row r="47" spans="2:28" x14ac:dyDescent="0.4">
      <c r="N47" s="321"/>
      <c r="O47" s="321"/>
      <c r="P47" s="321"/>
      <c r="Q47" s="321"/>
      <c r="R47" s="321"/>
      <c r="S47" s="321"/>
      <c r="T47" s="321"/>
      <c r="U47" s="321"/>
      <c r="V47" s="321"/>
    </row>
    <row r="48" spans="2:28" x14ac:dyDescent="0.4">
      <c r="N48" s="321"/>
      <c r="O48" s="321"/>
      <c r="P48" s="321"/>
      <c r="Q48" s="321"/>
      <c r="R48" s="321"/>
      <c r="S48" s="321"/>
      <c r="T48" s="321"/>
      <c r="U48" s="321"/>
      <c r="V48" s="321"/>
    </row>
    <row r="49" spans="14:22" x14ac:dyDescent="0.4">
      <c r="N49" s="321"/>
      <c r="O49" s="321"/>
      <c r="P49" s="321"/>
      <c r="Q49" s="321"/>
      <c r="R49" s="321"/>
      <c r="S49" s="321"/>
      <c r="T49" s="321"/>
      <c r="U49" s="321"/>
      <c r="V49" s="321"/>
    </row>
    <row r="50" spans="14:22" x14ac:dyDescent="0.4">
      <c r="N50" s="321"/>
      <c r="O50" s="321"/>
      <c r="P50" s="321"/>
      <c r="Q50" s="321"/>
      <c r="R50" s="321"/>
      <c r="S50" s="321"/>
      <c r="T50" s="321"/>
      <c r="U50" s="321"/>
      <c r="V50" s="321"/>
    </row>
    <row r="51" spans="14:22" x14ac:dyDescent="0.4">
      <c r="N51" s="321"/>
      <c r="O51" s="321"/>
      <c r="P51" s="321"/>
      <c r="Q51" s="321"/>
      <c r="R51" s="321"/>
      <c r="S51" s="321"/>
      <c r="T51" s="321"/>
      <c r="U51" s="321"/>
      <c r="V51" s="321"/>
    </row>
  </sheetData>
  <sheetProtection selectLockedCells="1"/>
  <mergeCells count="9">
    <mergeCell ref="O25:T25"/>
    <mergeCell ref="V3:AA3"/>
    <mergeCell ref="O3:T3"/>
    <mergeCell ref="C1:E1"/>
    <mergeCell ref="F1:K1"/>
    <mergeCell ref="M1:O1"/>
    <mergeCell ref="P1:Q1"/>
    <mergeCell ref="R1:U1"/>
    <mergeCell ref="V25:AA25"/>
  </mergeCells>
  <pageMargins left="0.7" right="0.7" top="0.75" bottom="0.75" header="0.3" footer="0.3"/>
  <pageSetup scale="67" orientation="portrait" r:id="rId1"/>
  <colBreaks count="3" manualBreakCount="3">
    <brk id="12" max="1048575" man="1"/>
    <brk id="20" max="1048575" man="1"/>
    <brk id="28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F5A-6DD9-4E4E-985C-3D6D67624C6C}">
  <sheetPr codeName="Sheet1"/>
  <dimension ref="A1:AL200"/>
  <sheetViews>
    <sheetView zoomScale="90" zoomScaleNormal="90" workbookViewId="0">
      <selection activeCell="P27" sqref="P27"/>
    </sheetView>
  </sheetViews>
  <sheetFormatPr defaultColWidth="9.15234375" defaultRowHeight="14.15" x14ac:dyDescent="0.35"/>
  <cols>
    <col min="1" max="1" width="17.84375" style="17" customWidth="1"/>
    <col min="2" max="2" width="12.53515625" style="17" customWidth="1"/>
    <col min="3" max="3" width="12.53515625" style="21" customWidth="1"/>
    <col min="4" max="4" width="12.53515625" style="17" customWidth="1"/>
    <col min="5" max="5" width="12.53515625" style="21" customWidth="1"/>
    <col min="6" max="6" width="12.53515625" style="17" customWidth="1"/>
    <col min="7" max="7" width="12.53515625" style="21" customWidth="1"/>
    <col min="8" max="14" width="12.53515625" style="17" customWidth="1"/>
    <col min="15" max="17" width="12.53515625" style="19" customWidth="1"/>
    <col min="18" max="19" width="11.3046875" style="19" customWidth="1"/>
    <col min="20" max="21" width="11.3046875" style="17" customWidth="1"/>
    <col min="22" max="22" width="13" style="17" customWidth="1"/>
    <col min="23" max="23" width="10.84375" style="17" customWidth="1"/>
    <col min="24" max="24" width="22.53515625" style="17" customWidth="1"/>
    <col min="25" max="25" width="42.3828125" style="17" customWidth="1"/>
    <col min="26" max="26" width="9.15234375" style="17"/>
    <col min="27" max="27" width="10.15234375" style="17" bestFit="1" customWidth="1"/>
    <col min="28" max="16384" width="9.15234375" style="17"/>
  </cols>
  <sheetData>
    <row r="1" spans="1:38" ht="15.45" thickBot="1" x14ac:dyDescent="0.4">
      <c r="A1" s="503" t="s">
        <v>908</v>
      </c>
      <c r="B1" s="504"/>
      <c r="C1" s="505"/>
      <c r="D1" s="504"/>
      <c r="E1" s="505"/>
      <c r="F1" s="504"/>
      <c r="G1" s="505"/>
      <c r="H1" s="504"/>
      <c r="I1" s="504"/>
      <c r="J1" s="504"/>
      <c r="K1" s="504"/>
      <c r="L1" s="504"/>
      <c r="M1" s="504"/>
      <c r="N1" s="504"/>
      <c r="O1" s="506"/>
      <c r="P1" s="506"/>
      <c r="Q1" s="506"/>
      <c r="R1" s="506"/>
      <c r="S1" s="506"/>
      <c r="T1" s="504"/>
      <c r="U1" s="504"/>
      <c r="V1" s="504"/>
      <c r="W1" s="504"/>
      <c r="X1" s="504"/>
      <c r="Y1" s="504"/>
      <c r="Z1" s="504"/>
      <c r="AA1" s="504"/>
      <c r="AB1" s="504"/>
      <c r="AC1" s="26"/>
      <c r="AD1" s="26"/>
      <c r="AE1" s="26"/>
    </row>
    <row r="2" spans="1:38" ht="23.7" customHeight="1" thickBot="1" x14ac:dyDescent="0.5">
      <c r="A2" s="507" t="s">
        <v>912</v>
      </c>
      <c r="B2" s="872" t="s">
        <v>491</v>
      </c>
      <c r="C2" s="872"/>
      <c r="D2" s="932"/>
      <c r="E2" s="956"/>
      <c r="F2" s="933"/>
      <c r="G2" s="871" t="s">
        <v>490</v>
      </c>
      <c r="H2" s="871"/>
      <c r="I2" s="932"/>
      <c r="J2" s="956"/>
      <c r="K2" s="933"/>
      <c r="L2" s="872" t="s">
        <v>492</v>
      </c>
      <c r="M2" s="872"/>
      <c r="N2" s="947"/>
      <c r="O2" s="948"/>
      <c r="P2" s="949"/>
      <c r="Q2" s="872" t="s">
        <v>714</v>
      </c>
      <c r="R2" s="872"/>
      <c r="S2" s="975"/>
      <c r="T2" s="976"/>
      <c r="U2" s="977"/>
      <c r="V2" s="508"/>
      <c r="W2" s="508"/>
      <c r="X2" s="508"/>
      <c r="Y2" s="509"/>
      <c r="Z2" s="504"/>
      <c r="AA2" s="504"/>
      <c r="AB2" s="504"/>
      <c r="AC2" s="26"/>
      <c r="AD2" s="26"/>
      <c r="AE2" s="26"/>
      <c r="AF2" s="26"/>
      <c r="AG2" s="26"/>
      <c r="AH2" s="26"/>
      <c r="AI2" s="26"/>
      <c r="AJ2" s="26"/>
    </row>
    <row r="3" spans="1:38" ht="15.75" customHeight="1" thickBot="1" x14ac:dyDescent="0.4">
      <c r="A3" s="504"/>
      <c r="B3" s="967" t="str">
        <f>IF(C25="","Area A",C25)</f>
        <v>Area A</v>
      </c>
      <c r="C3" s="968"/>
      <c r="D3" s="969"/>
      <c r="E3" s="970"/>
      <c r="F3" s="964" t="str">
        <f>IF(C26="","Area B",C26)</f>
        <v>Area B</v>
      </c>
      <c r="G3" s="965"/>
      <c r="H3" s="965"/>
      <c r="I3" s="966"/>
      <c r="J3" s="959" t="str">
        <f>IF(C27="","Area C",C27)</f>
        <v>Area C</v>
      </c>
      <c r="K3" s="960"/>
      <c r="L3" s="961"/>
      <c r="M3" s="961"/>
      <c r="N3" s="984" t="str">
        <f>IF(C28="","Area D",C28)</f>
        <v>Area D</v>
      </c>
      <c r="O3" s="985"/>
      <c r="P3" s="985"/>
      <c r="Q3" s="986"/>
      <c r="R3" s="979" t="s">
        <v>468</v>
      </c>
      <c r="S3" s="980"/>
      <c r="T3" s="980"/>
      <c r="U3" s="980"/>
      <c r="V3" s="981"/>
      <c r="W3" s="981"/>
      <c r="X3" s="981"/>
      <c r="Y3" s="982"/>
      <c r="Z3" s="510">
        <f ca="1">TODAY()</f>
        <v>44278</v>
      </c>
      <c r="AA3" s="511"/>
      <c r="AB3" s="511"/>
      <c r="AC3" s="26"/>
      <c r="AD3" s="26"/>
      <c r="AE3" s="26"/>
      <c r="AF3" s="26"/>
      <c r="AG3" s="26"/>
      <c r="AH3" s="26"/>
      <c r="AI3" s="26"/>
      <c r="AJ3" s="26"/>
      <c r="AK3" s="26"/>
      <c r="AL3" s="26"/>
    </row>
    <row r="4" spans="1:38" ht="15.75" customHeight="1" x14ac:dyDescent="0.35">
      <c r="A4" s="504"/>
      <c r="B4" s="971" t="s">
        <v>463</v>
      </c>
      <c r="C4" s="972"/>
      <c r="D4" s="973" t="s">
        <v>420</v>
      </c>
      <c r="E4" s="963"/>
      <c r="F4" s="971" t="s">
        <v>463</v>
      </c>
      <c r="G4" s="972"/>
      <c r="H4" s="962" t="s">
        <v>420</v>
      </c>
      <c r="I4" s="963"/>
      <c r="J4" s="971" t="s">
        <v>463</v>
      </c>
      <c r="K4" s="972"/>
      <c r="L4" s="962" t="s">
        <v>420</v>
      </c>
      <c r="M4" s="963"/>
      <c r="N4" s="971" t="s">
        <v>463</v>
      </c>
      <c r="O4" s="972"/>
      <c r="P4" s="973" t="s">
        <v>420</v>
      </c>
      <c r="Q4" s="963"/>
      <c r="R4" s="1080"/>
      <c r="S4" s="1080"/>
      <c r="T4" s="1080"/>
      <c r="U4" s="1080"/>
      <c r="V4" s="1080"/>
      <c r="W4" s="1080"/>
      <c r="X4" s="1080"/>
      <c r="Y4" s="1081"/>
      <c r="Z4" s="510" t="e">
        <f>DATE(E20,C20,1)</f>
        <v>#NUM!</v>
      </c>
      <c r="AA4" s="510" t="e">
        <f>DATE(I20,G20,1)</f>
        <v>#NUM!</v>
      </c>
      <c r="AB4" s="510" t="e">
        <f>DATE(M20,K20,1)</f>
        <v>#NUM!</v>
      </c>
      <c r="AC4" s="26"/>
      <c r="AD4" s="26"/>
      <c r="AE4" s="26"/>
      <c r="AF4" s="26"/>
      <c r="AG4" s="26"/>
      <c r="AH4" s="26"/>
      <c r="AI4" s="26"/>
      <c r="AJ4" s="26"/>
      <c r="AK4" s="26"/>
      <c r="AL4" s="26"/>
    </row>
    <row r="5" spans="1:38" ht="15.75" customHeight="1" x14ac:dyDescent="0.35">
      <c r="A5" s="504"/>
      <c r="B5" s="918" t="s">
        <v>483</v>
      </c>
      <c r="C5" s="919"/>
      <c r="D5" s="974">
        <f>IF('Area A'!B29&lt;&gt;"none",14.16,8.25)</f>
        <v>8.25</v>
      </c>
      <c r="E5" s="958"/>
      <c r="F5" s="918" t="s">
        <v>483</v>
      </c>
      <c r="G5" s="919"/>
      <c r="H5" s="957">
        <f>IF('Area B'!B29&lt;&gt;"none",14.16,8.25)</f>
        <v>8.25</v>
      </c>
      <c r="I5" s="958"/>
      <c r="J5" s="918" t="s">
        <v>483</v>
      </c>
      <c r="K5" s="919"/>
      <c r="L5" s="957">
        <f>IF('Area C'!B29&lt;&gt;"none",14.16,8.25)</f>
        <v>8.25</v>
      </c>
      <c r="M5" s="958"/>
      <c r="N5" s="918" t="s">
        <v>483</v>
      </c>
      <c r="O5" s="919"/>
      <c r="P5" s="974">
        <f>IF('Area D'!B29&lt;&gt;"none",14.16,8.25)</f>
        <v>8.25</v>
      </c>
      <c r="Q5" s="958"/>
      <c r="R5" s="1082"/>
      <c r="S5" s="1082"/>
      <c r="T5" s="1082"/>
      <c r="U5" s="1082"/>
      <c r="V5" s="1082"/>
      <c r="W5" s="1082"/>
      <c r="X5" s="1082"/>
      <c r="Y5" s="1083"/>
      <c r="Z5" s="504"/>
      <c r="AA5" s="504"/>
      <c r="AB5" s="504"/>
      <c r="AC5" s="26"/>
      <c r="AD5" s="26"/>
      <c r="AE5" s="26"/>
      <c r="AF5" s="26"/>
      <c r="AG5" s="26"/>
      <c r="AH5" s="26"/>
      <c r="AI5" s="26"/>
      <c r="AJ5" s="26"/>
      <c r="AK5" s="26"/>
      <c r="AL5" s="26"/>
    </row>
    <row r="6" spans="1:38" ht="21" customHeight="1" x14ac:dyDescent="0.35">
      <c r="A6" s="504"/>
      <c r="B6" s="918" t="s">
        <v>804</v>
      </c>
      <c r="C6" s="919"/>
      <c r="D6" s="945" t="s">
        <v>446</v>
      </c>
      <c r="E6" s="946"/>
      <c r="F6" s="918" t="s">
        <v>712</v>
      </c>
      <c r="G6" s="919"/>
      <c r="H6" s="945" t="s">
        <v>446</v>
      </c>
      <c r="I6" s="946"/>
      <c r="J6" s="918" t="s">
        <v>712</v>
      </c>
      <c r="K6" s="919"/>
      <c r="L6" s="945" t="s">
        <v>446</v>
      </c>
      <c r="M6" s="946"/>
      <c r="N6" s="918" t="s">
        <v>712</v>
      </c>
      <c r="O6" s="919"/>
      <c r="P6" s="945" t="s">
        <v>446</v>
      </c>
      <c r="Q6" s="946"/>
      <c r="R6" s="1082"/>
      <c r="S6" s="1082"/>
      <c r="T6" s="1082"/>
      <c r="U6" s="1082"/>
      <c r="V6" s="1082"/>
      <c r="W6" s="1082"/>
      <c r="X6" s="1082"/>
      <c r="Y6" s="1083"/>
      <c r="Z6" s="504"/>
      <c r="AA6" s="504"/>
      <c r="AB6" s="504"/>
      <c r="AC6" s="26"/>
      <c r="AD6" s="26"/>
      <c r="AE6" s="26"/>
      <c r="AF6" s="26"/>
      <c r="AG6" s="26"/>
      <c r="AH6" s="26"/>
      <c r="AI6" s="26"/>
      <c r="AJ6" s="26"/>
      <c r="AK6" s="26"/>
      <c r="AL6" s="26"/>
    </row>
    <row r="7" spans="1:38" ht="21" customHeight="1" x14ac:dyDescent="0.35">
      <c r="A7" s="1076" t="s">
        <v>913</v>
      </c>
      <c r="B7" s="918" t="s">
        <v>808</v>
      </c>
      <c r="C7" s="931"/>
      <c r="D7" s="1023"/>
      <c r="E7" s="933"/>
      <c r="F7" s="931" t="s">
        <v>808</v>
      </c>
      <c r="G7" s="931"/>
      <c r="H7" s="932"/>
      <c r="I7" s="933"/>
      <c r="J7" s="931" t="s">
        <v>808</v>
      </c>
      <c r="K7" s="931"/>
      <c r="L7" s="932"/>
      <c r="M7" s="933"/>
      <c r="N7" s="931" t="s">
        <v>808</v>
      </c>
      <c r="O7" s="931"/>
      <c r="P7" s="932"/>
      <c r="Q7" s="933"/>
      <c r="R7" s="1082"/>
      <c r="S7" s="1082"/>
      <c r="T7" s="1082"/>
      <c r="U7" s="1082"/>
      <c r="V7" s="1082"/>
      <c r="W7" s="1082"/>
      <c r="X7" s="1082"/>
      <c r="Y7" s="1083"/>
      <c r="Z7" s="504"/>
      <c r="AA7" s="511" t="s">
        <v>419</v>
      </c>
      <c r="AB7" s="504"/>
      <c r="AC7" s="26"/>
      <c r="AD7" s="26"/>
      <c r="AE7" s="26"/>
      <c r="AF7" s="26"/>
      <c r="AG7" s="26"/>
      <c r="AH7" s="26"/>
      <c r="AI7" s="26"/>
      <c r="AJ7" s="26"/>
      <c r="AK7" s="26"/>
      <c r="AL7" s="26"/>
    </row>
    <row r="8" spans="1:38" ht="21" customHeight="1" x14ac:dyDescent="0.35">
      <c r="A8" s="1077"/>
      <c r="B8" s="918" t="s">
        <v>719</v>
      </c>
      <c r="C8" s="931"/>
      <c r="D8" s="932"/>
      <c r="E8" s="933"/>
      <c r="F8" s="931" t="s">
        <v>719</v>
      </c>
      <c r="G8" s="931"/>
      <c r="H8" s="932"/>
      <c r="I8" s="933"/>
      <c r="J8" s="931" t="s">
        <v>719</v>
      </c>
      <c r="K8" s="931"/>
      <c r="L8" s="932"/>
      <c r="M8" s="933"/>
      <c r="N8" s="931" t="s">
        <v>719</v>
      </c>
      <c r="O8" s="931"/>
      <c r="P8" s="932"/>
      <c r="Q8" s="933"/>
      <c r="R8" s="1082"/>
      <c r="S8" s="1082"/>
      <c r="T8" s="1082"/>
      <c r="U8" s="1082"/>
      <c r="V8" s="1082"/>
      <c r="W8" s="1082"/>
      <c r="X8" s="1082"/>
      <c r="Y8" s="1083"/>
      <c r="Z8" s="504"/>
      <c r="AA8" s="511" t="s">
        <v>420</v>
      </c>
      <c r="AB8" s="504"/>
      <c r="AC8" s="26"/>
      <c r="AD8" s="26"/>
      <c r="AE8" s="26"/>
      <c r="AF8" s="26"/>
      <c r="AG8" s="26"/>
      <c r="AH8" s="26"/>
      <c r="AI8" s="26"/>
      <c r="AJ8" s="26"/>
      <c r="AK8" s="26"/>
      <c r="AL8" s="26"/>
    </row>
    <row r="9" spans="1:38" ht="21" customHeight="1" x14ac:dyDescent="0.35">
      <c r="A9" s="512"/>
      <c r="B9" s="918" t="s">
        <v>694</v>
      </c>
      <c r="C9" s="919"/>
      <c r="D9" s="917" t="str">
        <f>IFERROR(ROUNDUP(O25/D7,0),"-")</f>
        <v>-</v>
      </c>
      <c r="E9" s="917"/>
      <c r="F9" s="918" t="s">
        <v>694</v>
      </c>
      <c r="G9" s="919"/>
      <c r="H9" s="917" t="str">
        <f>IFERROR(ROUNDUP(O26/H7,0),"-")</f>
        <v>-</v>
      </c>
      <c r="I9" s="917"/>
      <c r="J9" s="918" t="s">
        <v>694</v>
      </c>
      <c r="K9" s="919"/>
      <c r="L9" s="917" t="str">
        <f>IFERROR(ROUNDUP(O27/L7,0),"-")</f>
        <v>-</v>
      </c>
      <c r="M9" s="917"/>
      <c r="N9" s="918" t="s">
        <v>694</v>
      </c>
      <c r="O9" s="919"/>
      <c r="P9" s="920" t="str">
        <f>IFERROR(ROUNDUP(O28/P7,0),"-")</f>
        <v>-</v>
      </c>
      <c r="Q9" s="921"/>
      <c r="R9" s="1082"/>
      <c r="S9" s="1082"/>
      <c r="T9" s="1082"/>
      <c r="U9" s="1082"/>
      <c r="V9" s="1082"/>
      <c r="W9" s="1082"/>
      <c r="X9" s="1082"/>
      <c r="Y9" s="1083"/>
      <c r="Z9" s="504"/>
      <c r="AA9" s="504"/>
      <c r="AB9" s="504"/>
      <c r="AC9" s="26"/>
      <c r="AD9" s="26"/>
      <c r="AE9" s="26"/>
      <c r="AF9" s="26"/>
      <c r="AG9" s="26"/>
      <c r="AH9" s="26"/>
      <c r="AI9" s="26"/>
      <c r="AJ9" s="26"/>
    </row>
    <row r="10" spans="1:38" ht="39.450000000000003" x14ac:dyDescent="0.45">
      <c r="A10" s="507" t="s">
        <v>914</v>
      </c>
      <c r="B10" s="918" t="s">
        <v>462</v>
      </c>
      <c r="C10" s="931"/>
      <c r="D10" s="932">
        <v>42</v>
      </c>
      <c r="E10" s="933"/>
      <c r="F10" s="931" t="s">
        <v>462</v>
      </c>
      <c r="G10" s="931"/>
      <c r="H10" s="932">
        <v>42</v>
      </c>
      <c r="I10" s="933"/>
      <c r="J10" s="931" t="s">
        <v>462</v>
      </c>
      <c r="K10" s="931"/>
      <c r="L10" s="932">
        <v>42</v>
      </c>
      <c r="M10" s="933"/>
      <c r="N10" s="931" t="s">
        <v>462</v>
      </c>
      <c r="O10" s="931"/>
      <c r="P10" s="932">
        <v>42</v>
      </c>
      <c r="Q10" s="933"/>
      <c r="R10" s="1082"/>
      <c r="S10" s="1082"/>
      <c r="T10" s="1082"/>
      <c r="U10" s="1082"/>
      <c r="V10" s="1082"/>
      <c r="W10" s="1082"/>
      <c r="X10" s="1082"/>
      <c r="Y10" s="1083"/>
      <c r="Z10" s="504"/>
      <c r="AA10" s="504"/>
      <c r="AB10" s="504"/>
      <c r="AC10" s="26"/>
      <c r="AD10" s="26"/>
      <c r="AE10" s="26"/>
      <c r="AF10" s="26"/>
      <c r="AG10" s="26"/>
      <c r="AH10" s="26"/>
      <c r="AI10" s="26"/>
      <c r="AJ10" s="26"/>
    </row>
    <row r="11" spans="1:38" ht="16.5" customHeight="1" thickBot="1" x14ac:dyDescent="0.4">
      <c r="A11" s="504"/>
      <c r="B11" s="918" t="s">
        <v>461</v>
      </c>
      <c r="C11" s="919"/>
      <c r="D11" s="1029">
        <f>R25</f>
        <v>0</v>
      </c>
      <c r="E11" s="1030"/>
      <c r="F11" s="918" t="s">
        <v>461</v>
      </c>
      <c r="G11" s="919"/>
      <c r="H11" s="1027">
        <f>R26</f>
        <v>0</v>
      </c>
      <c r="I11" s="937"/>
      <c r="J11" s="934" t="s">
        <v>461</v>
      </c>
      <c r="K11" s="935"/>
      <c r="L11" s="1027">
        <f>R27</f>
        <v>0</v>
      </c>
      <c r="M11" s="937"/>
      <c r="N11" s="934" t="s">
        <v>461</v>
      </c>
      <c r="O11" s="935"/>
      <c r="P11" s="936">
        <f>R28</f>
        <v>0</v>
      </c>
      <c r="Q11" s="937"/>
      <c r="R11" s="1082"/>
      <c r="S11" s="1082"/>
      <c r="T11" s="1082"/>
      <c r="U11" s="1082"/>
      <c r="V11" s="1082"/>
      <c r="W11" s="1082"/>
      <c r="X11" s="1082"/>
      <c r="Y11" s="1083"/>
      <c r="Z11" s="504"/>
      <c r="AA11" s="504"/>
      <c r="AB11" s="504"/>
      <c r="AC11" s="26"/>
      <c r="AD11" s="26"/>
      <c r="AE11" s="26"/>
      <c r="AF11" s="26"/>
      <c r="AG11" s="26"/>
      <c r="AH11" s="26"/>
      <c r="AI11" s="26"/>
      <c r="AJ11" s="26"/>
    </row>
    <row r="12" spans="1:38" ht="16.5" customHeight="1" thickBot="1" x14ac:dyDescent="0.4">
      <c r="A12" s="504"/>
      <c r="B12" s="938" t="s">
        <v>441</v>
      </c>
      <c r="C12" s="939"/>
      <c r="D12" s="940">
        <f>IFERROR(IF(Q25=0,((D11/D13)*D10)/144,(R25*D10)/144),0)</f>
        <v>0</v>
      </c>
      <c r="E12" s="941"/>
      <c r="F12" s="938" t="s">
        <v>441</v>
      </c>
      <c r="G12" s="939"/>
      <c r="H12" s="940">
        <f>IFERROR(IF(Q26=0,((H11/H13)*H10)/144,(R26*H10)/144),0)</f>
        <v>0</v>
      </c>
      <c r="I12" s="941"/>
      <c r="J12" s="938" t="s">
        <v>441</v>
      </c>
      <c r="K12" s="939"/>
      <c r="L12" s="1026">
        <f>IFERROR(IF(Q27=0,((L11/L13)*L10)/144,(R27*L10)/144),0)</f>
        <v>0</v>
      </c>
      <c r="M12" s="941"/>
      <c r="N12" s="938" t="s">
        <v>441</v>
      </c>
      <c r="O12" s="939"/>
      <c r="P12" s="940">
        <f>IFERROR(IF(Q28=0,((P11/P13)*P10)/144,(R28*P10)/144),0)</f>
        <v>0</v>
      </c>
      <c r="Q12" s="941"/>
      <c r="R12" s="1082"/>
      <c r="S12" s="1082"/>
      <c r="T12" s="1082"/>
      <c r="U12" s="1082"/>
      <c r="V12" s="1082"/>
      <c r="W12" s="1082"/>
      <c r="X12" s="1082"/>
      <c r="Y12" s="1083"/>
      <c r="Z12" s="504"/>
      <c r="AA12" s="504"/>
      <c r="AB12" s="504"/>
      <c r="AC12" s="26"/>
      <c r="AD12" s="26"/>
      <c r="AE12" s="26"/>
      <c r="AF12" s="26"/>
      <c r="AG12" s="26"/>
      <c r="AH12" s="26"/>
      <c r="AI12" s="26"/>
      <c r="AJ12" s="26"/>
    </row>
    <row r="13" spans="1:38" ht="16.5" customHeight="1" thickBot="1" x14ac:dyDescent="0.4">
      <c r="A13" s="504"/>
      <c r="B13" s="938" t="s">
        <v>504</v>
      </c>
      <c r="C13" s="939"/>
      <c r="D13" s="944">
        <f>IF(Q25=0,ROUNDUP(O25/4,0)*P25,($N$25-1)*$P$25)</f>
        <v>0</v>
      </c>
      <c r="E13" s="916"/>
      <c r="F13" s="938" t="s">
        <v>504</v>
      </c>
      <c r="G13" s="939"/>
      <c r="H13" s="1017">
        <f>IF(Q26=0,ROUNDUP(O26/4,0)*P26,($N$26-1)*$P$26)</f>
        <v>0</v>
      </c>
      <c r="I13" s="1018"/>
      <c r="J13" s="938" t="s">
        <v>504</v>
      </c>
      <c r="K13" s="939"/>
      <c r="L13" s="915">
        <f>IF(Q27=0,ROUNDUP(O27/4,0)*P27,($N$27-1)*$P$27)</f>
        <v>0</v>
      </c>
      <c r="M13" s="916"/>
      <c r="N13" s="938" t="s">
        <v>504</v>
      </c>
      <c r="O13" s="939"/>
      <c r="P13" s="944">
        <f>IF(Q28=0,ROUNDUP(O28/4,0)*P28,($N$28-1)*$P$28)</f>
        <v>0</v>
      </c>
      <c r="Q13" s="916"/>
      <c r="R13" s="1082"/>
      <c r="S13" s="1082"/>
      <c r="T13" s="1082"/>
      <c r="U13" s="1082"/>
      <c r="V13" s="1082"/>
      <c r="W13" s="1082"/>
      <c r="X13" s="1082"/>
      <c r="Y13" s="1083"/>
      <c r="Z13" s="504"/>
      <c r="AA13" s="504"/>
      <c r="AB13" s="504"/>
      <c r="AC13" s="26"/>
      <c r="AD13" s="26"/>
      <c r="AE13" s="26"/>
      <c r="AF13" s="26"/>
      <c r="AG13" s="26"/>
      <c r="AH13" s="26"/>
      <c r="AI13" s="26"/>
      <c r="AJ13" s="26"/>
    </row>
    <row r="14" spans="1:38" ht="15" x14ac:dyDescent="0.35">
      <c r="A14" s="504"/>
      <c r="B14" s="929" t="s">
        <v>424</v>
      </c>
      <c r="C14" s="930"/>
      <c r="D14" s="953">
        <f>O25*P25</f>
        <v>0</v>
      </c>
      <c r="E14" s="954"/>
      <c r="F14" s="929" t="s">
        <v>424</v>
      </c>
      <c r="G14" s="930"/>
      <c r="H14" s="1028">
        <f>O26*P26</f>
        <v>0</v>
      </c>
      <c r="I14" s="954"/>
      <c r="J14" s="929" t="s">
        <v>424</v>
      </c>
      <c r="K14" s="930"/>
      <c r="L14" s="1028">
        <f>O27*P27</f>
        <v>0</v>
      </c>
      <c r="M14" s="954"/>
      <c r="N14" s="929" t="s">
        <v>424</v>
      </c>
      <c r="O14" s="930"/>
      <c r="P14" s="953">
        <f>O28*P28</f>
        <v>0</v>
      </c>
      <c r="Q14" s="954"/>
      <c r="R14" s="1082"/>
      <c r="S14" s="1082"/>
      <c r="T14" s="1082"/>
      <c r="U14" s="1082"/>
      <c r="V14" s="1082"/>
      <c r="W14" s="1082"/>
      <c r="X14" s="1082"/>
      <c r="Y14" s="1083"/>
      <c r="Z14" s="504"/>
      <c r="AA14" s="504"/>
      <c r="AB14" s="504"/>
      <c r="AC14" s="26"/>
      <c r="AD14" s="26"/>
      <c r="AE14" s="26"/>
      <c r="AF14" s="26"/>
      <c r="AG14" s="26"/>
      <c r="AH14" s="26"/>
      <c r="AI14" s="26"/>
      <c r="AJ14" s="26"/>
    </row>
    <row r="15" spans="1:38" ht="21" hidden="1" customHeight="1" thickBot="1" x14ac:dyDescent="0.4">
      <c r="A15" s="512"/>
      <c r="B15" s="929" t="s">
        <v>477</v>
      </c>
      <c r="C15" s="930"/>
      <c r="D15" s="922" t="str">
        <f>IFERROR(K43/D14,"")</f>
        <v/>
      </c>
      <c r="E15" s="923"/>
      <c r="F15" s="929" t="s">
        <v>477</v>
      </c>
      <c r="G15" s="930"/>
      <c r="H15" s="1034" t="str">
        <f>IFERROR(K56/H14,"")</f>
        <v/>
      </c>
      <c r="I15" s="1035"/>
      <c r="J15" s="929" t="s">
        <v>477</v>
      </c>
      <c r="K15" s="930"/>
      <c r="L15" s="955" t="str">
        <f>IFERROR(K69/L14,"")</f>
        <v/>
      </c>
      <c r="M15" s="923"/>
      <c r="N15" s="929" t="s">
        <v>477</v>
      </c>
      <c r="O15" s="930"/>
      <c r="P15" s="922" t="str">
        <f>IFERROR(O69/P14,"")</f>
        <v/>
      </c>
      <c r="Q15" s="923"/>
      <c r="R15" s="1082"/>
      <c r="S15" s="1082"/>
      <c r="T15" s="1082"/>
      <c r="U15" s="1082"/>
      <c r="V15" s="1082"/>
      <c r="W15" s="1082"/>
      <c r="X15" s="1082"/>
      <c r="Y15" s="1083"/>
      <c r="Z15" s="504"/>
      <c r="AA15" s="504"/>
      <c r="AB15" s="504"/>
      <c r="AC15" s="26"/>
      <c r="AD15" s="26"/>
      <c r="AE15" s="26"/>
      <c r="AF15" s="26"/>
      <c r="AG15" s="26"/>
      <c r="AH15" s="26"/>
      <c r="AI15" s="26"/>
      <c r="AJ15" s="26"/>
    </row>
    <row r="16" spans="1:38" ht="33" customHeight="1" x14ac:dyDescent="0.35">
      <c r="A16" s="1078" t="s">
        <v>915</v>
      </c>
      <c r="B16" s="929" t="s">
        <v>651</v>
      </c>
      <c r="C16" s="924"/>
      <c r="D16" s="942"/>
      <c r="E16" s="943"/>
      <c r="F16" s="924" t="s">
        <v>651</v>
      </c>
      <c r="G16" s="924"/>
      <c r="H16" s="942"/>
      <c r="I16" s="943"/>
      <c r="J16" s="924" t="s">
        <v>651</v>
      </c>
      <c r="K16" s="924"/>
      <c r="L16" s="942"/>
      <c r="M16" s="943"/>
      <c r="N16" s="924" t="s">
        <v>651</v>
      </c>
      <c r="O16" s="924"/>
      <c r="P16" s="942"/>
      <c r="Q16" s="943"/>
      <c r="R16" s="1082"/>
      <c r="S16" s="1082"/>
      <c r="T16" s="1082"/>
      <c r="U16" s="1082"/>
      <c r="V16" s="1082"/>
      <c r="W16" s="1082"/>
      <c r="X16" s="1082"/>
      <c r="Y16" s="1083"/>
      <c r="Z16" s="504"/>
      <c r="AA16" s="504"/>
      <c r="AB16" s="504"/>
      <c r="AC16" s="26"/>
      <c r="AD16" s="26"/>
      <c r="AE16" s="26"/>
      <c r="AF16" s="26"/>
      <c r="AG16" s="26"/>
      <c r="AH16" s="26"/>
      <c r="AI16" s="26"/>
      <c r="AJ16" s="26"/>
    </row>
    <row r="17" spans="1:37" ht="15" x14ac:dyDescent="0.35">
      <c r="A17" s="1079"/>
      <c r="B17" s="929" t="s">
        <v>652</v>
      </c>
      <c r="C17" s="924"/>
      <c r="D17" s="942"/>
      <c r="E17" s="943"/>
      <c r="F17" s="924" t="s">
        <v>805</v>
      </c>
      <c r="G17" s="924"/>
      <c r="H17" s="942"/>
      <c r="I17" s="943"/>
      <c r="J17" s="924" t="s">
        <v>805</v>
      </c>
      <c r="K17" s="924"/>
      <c r="L17" s="942"/>
      <c r="M17" s="943"/>
      <c r="N17" s="924" t="s">
        <v>805</v>
      </c>
      <c r="O17" s="924"/>
      <c r="P17" s="942"/>
      <c r="Q17" s="943"/>
      <c r="R17" s="1082"/>
      <c r="S17" s="1082"/>
      <c r="T17" s="1082"/>
      <c r="U17" s="1082"/>
      <c r="V17" s="1082"/>
      <c r="W17" s="1082"/>
      <c r="X17" s="1082"/>
      <c r="Y17" s="1083"/>
      <c r="Z17" s="504"/>
      <c r="AA17" s="504"/>
      <c r="AB17" s="504"/>
      <c r="AC17" s="26"/>
      <c r="AD17" s="26"/>
      <c r="AE17" s="26"/>
      <c r="AF17" s="26"/>
      <c r="AG17" s="26"/>
      <c r="AH17" s="26"/>
      <c r="AI17" s="26"/>
      <c r="AJ17" s="26"/>
    </row>
    <row r="18" spans="1:37" ht="15" x14ac:dyDescent="0.35">
      <c r="A18" s="1079"/>
      <c r="B18" s="929" t="s">
        <v>493</v>
      </c>
      <c r="C18" s="924"/>
      <c r="D18" s="942"/>
      <c r="E18" s="943"/>
      <c r="F18" s="924" t="s">
        <v>493</v>
      </c>
      <c r="G18" s="924"/>
      <c r="H18" s="942"/>
      <c r="I18" s="943"/>
      <c r="J18" s="924" t="s">
        <v>493</v>
      </c>
      <c r="K18" s="924"/>
      <c r="L18" s="942"/>
      <c r="M18" s="943"/>
      <c r="N18" s="924" t="s">
        <v>493</v>
      </c>
      <c r="O18" s="924"/>
      <c r="P18" s="942"/>
      <c r="Q18" s="943"/>
      <c r="R18" s="1082"/>
      <c r="S18" s="1082"/>
      <c r="T18" s="1082"/>
      <c r="U18" s="1082"/>
      <c r="V18" s="1082"/>
      <c r="W18" s="1082"/>
      <c r="X18" s="1082"/>
      <c r="Y18" s="1083"/>
      <c r="Z18" s="504"/>
      <c r="AA18" s="504"/>
      <c r="AB18" s="504"/>
      <c r="AC18" s="26"/>
      <c r="AD18" s="26"/>
      <c r="AE18" s="26"/>
      <c r="AF18" s="26"/>
      <c r="AG18" s="26"/>
      <c r="AH18" s="26"/>
      <c r="AI18" s="26"/>
      <c r="AJ18" s="26"/>
    </row>
    <row r="19" spans="1:37" ht="15.45" thickBot="1" x14ac:dyDescent="0.4">
      <c r="A19" s="1079"/>
      <c r="B19" s="929" t="s">
        <v>487</v>
      </c>
      <c r="C19" s="924"/>
      <c r="D19" s="942">
        <v>0.04</v>
      </c>
      <c r="E19" s="943"/>
      <c r="F19" s="1022" t="s">
        <v>487</v>
      </c>
      <c r="G19" s="1022"/>
      <c r="H19" s="942">
        <v>0.04</v>
      </c>
      <c r="I19" s="943"/>
      <c r="J19" s="924" t="s">
        <v>487</v>
      </c>
      <c r="K19" s="924"/>
      <c r="L19" s="942">
        <v>0.04</v>
      </c>
      <c r="M19" s="943"/>
      <c r="N19" s="924" t="s">
        <v>487</v>
      </c>
      <c r="O19" s="924"/>
      <c r="P19" s="942">
        <v>0.04</v>
      </c>
      <c r="Q19" s="943"/>
      <c r="R19" s="1084"/>
      <c r="S19" s="1084"/>
      <c r="T19" s="1084"/>
      <c r="U19" s="1084"/>
      <c r="V19" s="1084"/>
      <c r="W19" s="1084"/>
      <c r="X19" s="1084"/>
      <c r="Y19" s="1085"/>
      <c r="Z19" s="504"/>
      <c r="AA19" s="504"/>
      <c r="AB19" s="504"/>
      <c r="AC19" s="26"/>
      <c r="AD19" s="26"/>
      <c r="AE19" s="26"/>
      <c r="AF19" s="26"/>
      <c r="AG19" s="26"/>
      <c r="AH19" s="26"/>
      <c r="AI19" s="26"/>
      <c r="AJ19" s="26"/>
    </row>
    <row r="20" spans="1:37" ht="25.5" hidden="1" customHeight="1" thickBot="1" x14ac:dyDescent="0.45">
      <c r="A20" s="512"/>
      <c r="B20" s="513" t="s">
        <v>496</v>
      </c>
      <c r="C20" s="514"/>
      <c r="D20" s="515" t="s">
        <v>486</v>
      </c>
      <c r="E20" s="516"/>
      <c r="F20" s="513" t="s">
        <v>496</v>
      </c>
      <c r="G20" s="517"/>
      <c r="H20" s="515" t="s">
        <v>486</v>
      </c>
      <c r="I20" s="516"/>
      <c r="J20" s="513" t="s">
        <v>496</v>
      </c>
      <c r="K20" s="514"/>
      <c r="L20" s="515" t="s">
        <v>486</v>
      </c>
      <c r="M20" s="516"/>
      <c r="N20" s="513" t="s">
        <v>496</v>
      </c>
      <c r="O20" s="514"/>
      <c r="P20" s="515" t="s">
        <v>486</v>
      </c>
      <c r="Q20" s="516"/>
      <c r="R20" s="518"/>
      <c r="S20" s="519"/>
      <c r="T20" s="519"/>
      <c r="U20" s="519"/>
      <c r="V20" s="519"/>
      <c r="W20" s="519"/>
      <c r="X20" s="519"/>
      <c r="Y20" s="520"/>
      <c r="Z20" s="504"/>
      <c r="AA20" s="504"/>
      <c r="AB20" s="504"/>
      <c r="AC20" s="26"/>
      <c r="AD20" s="26"/>
      <c r="AE20" s="26"/>
      <c r="AF20" s="26"/>
      <c r="AG20" s="26"/>
      <c r="AH20" s="26"/>
      <c r="AI20" s="26"/>
      <c r="AJ20" s="26"/>
    </row>
    <row r="21" spans="1:37" ht="19.5" hidden="1" customHeight="1" thickBot="1" x14ac:dyDescent="0.4">
      <c r="A21" s="512"/>
      <c r="B21" s="1088" t="s">
        <v>488</v>
      </c>
      <c r="C21" s="1089"/>
      <c r="D21" s="1024" t="str">
        <f ca="1">IFERROR(ROUNDUP((Z4-Z3)/30,0),"")</f>
        <v/>
      </c>
      <c r="E21" s="1025"/>
      <c r="F21" s="1088" t="s">
        <v>488</v>
      </c>
      <c r="G21" s="1089"/>
      <c r="H21" s="1024" t="str">
        <f ca="1">IFERROR(ROUNDUP((AA4-Z3)/30,0),"")</f>
        <v/>
      </c>
      <c r="I21" s="1025"/>
      <c r="J21" s="1088" t="s">
        <v>488</v>
      </c>
      <c r="K21" s="1089"/>
      <c r="L21" s="1024" t="str">
        <f ca="1">IFERROR(ROUNDUP((AB4-Z3)/30,0),"")</f>
        <v/>
      </c>
      <c r="M21" s="1025"/>
      <c r="N21" s="1071" t="s">
        <v>488</v>
      </c>
      <c r="O21" s="1072"/>
      <c r="P21" s="1090">
        <f>IFERROR(ROUNDUP((AF4-AD3)/30,0),"")</f>
        <v>0</v>
      </c>
      <c r="Q21" s="1091"/>
      <c r="R21" s="521"/>
      <c r="S21" s="522"/>
      <c r="T21" s="522"/>
      <c r="U21" s="522"/>
      <c r="V21" s="522"/>
      <c r="W21" s="522"/>
      <c r="X21" s="522"/>
      <c r="Y21" s="523"/>
      <c r="Z21" s="504"/>
      <c r="AA21" s="504"/>
      <c r="AB21" s="504"/>
      <c r="AC21" s="26"/>
      <c r="AD21" s="26"/>
      <c r="AE21" s="26"/>
      <c r="AF21" s="26"/>
      <c r="AG21" s="26"/>
      <c r="AH21" s="26"/>
      <c r="AI21" s="26"/>
      <c r="AJ21" s="26"/>
    </row>
    <row r="22" spans="1:37" ht="6.75" customHeight="1" thickBot="1" x14ac:dyDescent="0.45">
      <c r="A22" s="26"/>
      <c r="B22" s="170"/>
      <c r="C22" s="167"/>
      <c r="D22" s="168"/>
      <c r="E22" s="167"/>
      <c r="F22" s="218"/>
      <c r="G22" s="167"/>
      <c r="H22" s="168"/>
      <c r="I22" s="169"/>
      <c r="J22" s="170"/>
      <c r="K22" s="171"/>
      <c r="L22" s="171"/>
      <c r="M22" s="172"/>
      <c r="N22" s="177"/>
      <c r="O22" s="178"/>
      <c r="P22" s="179"/>
      <c r="Q22" s="180"/>
      <c r="R22" s="180"/>
      <c r="S22" s="171"/>
      <c r="T22" s="171"/>
      <c r="U22" s="171"/>
      <c r="V22" s="219"/>
      <c r="W22" s="171"/>
      <c r="X22" s="171"/>
      <c r="Y22" s="172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</row>
    <row r="23" spans="1:37" ht="15.75" customHeight="1" thickBot="1" x14ac:dyDescent="0.4">
      <c r="A23" s="504"/>
      <c r="B23" s="524"/>
      <c r="C23" s="525"/>
      <c r="D23" s="525"/>
      <c r="E23" s="525"/>
      <c r="F23" s="526"/>
      <c r="G23" s="527"/>
      <c r="H23" s="526"/>
      <c r="I23" s="526"/>
      <c r="J23" s="1092" t="s">
        <v>799</v>
      </c>
      <c r="K23" s="1093"/>
      <c r="L23" s="1093"/>
      <c r="M23" s="1093"/>
      <c r="N23" s="1094"/>
      <c r="O23" s="1065" t="s">
        <v>427</v>
      </c>
      <c r="P23" s="1067" t="s">
        <v>428</v>
      </c>
      <c r="Q23" s="1069" t="s">
        <v>366</v>
      </c>
      <c r="R23" s="1063" t="s">
        <v>716</v>
      </c>
      <c r="S23" s="1062" t="s">
        <v>426</v>
      </c>
      <c r="T23" s="1062"/>
      <c r="U23" s="1062"/>
      <c r="V23" s="1063" t="s">
        <v>447</v>
      </c>
      <c r="W23" s="1063" t="s">
        <v>466</v>
      </c>
      <c r="X23" s="1086" t="s">
        <v>467</v>
      </c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</row>
    <row r="24" spans="1:37" s="21" customFormat="1" ht="63" customHeight="1" thickBot="1" x14ac:dyDescent="0.5">
      <c r="A24" s="505"/>
      <c r="B24" s="528" t="s">
        <v>362</v>
      </c>
      <c r="C24" s="1061" t="s">
        <v>800</v>
      </c>
      <c r="D24" s="1061"/>
      <c r="E24" s="1061"/>
      <c r="F24" s="529" t="s">
        <v>464</v>
      </c>
      <c r="G24" s="530" t="s">
        <v>465</v>
      </c>
      <c r="H24" s="529" t="s">
        <v>717</v>
      </c>
      <c r="I24" s="529" t="s">
        <v>718</v>
      </c>
      <c r="J24" s="531" t="s">
        <v>364</v>
      </c>
      <c r="K24" s="532" t="s">
        <v>365</v>
      </c>
      <c r="L24" s="532" t="s">
        <v>709</v>
      </c>
      <c r="M24" s="532" t="s">
        <v>708</v>
      </c>
      <c r="N24" s="533" t="s">
        <v>367</v>
      </c>
      <c r="O24" s="1066"/>
      <c r="P24" s="1068"/>
      <c r="Q24" s="1070"/>
      <c r="R24" s="1064"/>
      <c r="S24" s="534" t="s">
        <v>364</v>
      </c>
      <c r="T24" s="534" t="s">
        <v>365</v>
      </c>
      <c r="U24" s="534" t="s">
        <v>809</v>
      </c>
      <c r="V24" s="1064"/>
      <c r="W24" s="1064"/>
      <c r="X24" s="1087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</row>
    <row r="25" spans="1:37" ht="17.149999999999999" customHeight="1" x14ac:dyDescent="0.4">
      <c r="A25" s="1073" t="s">
        <v>916</v>
      </c>
      <c r="B25" s="675" t="s">
        <v>1</v>
      </c>
      <c r="C25" s="1095"/>
      <c r="D25" s="1096"/>
      <c r="E25" s="1097"/>
      <c r="F25" s="373"/>
      <c r="G25" s="374"/>
      <c r="H25" s="375"/>
      <c r="I25" s="375"/>
      <c r="J25" s="373"/>
      <c r="K25" s="373"/>
      <c r="L25" s="373"/>
      <c r="M25" s="373"/>
      <c r="N25" s="535">
        <f>SUM(J25:M25)</f>
        <v>0</v>
      </c>
      <c r="O25" s="371"/>
      <c r="P25" s="372"/>
      <c r="Q25" s="536">
        <f>+P25*N25</f>
        <v>0</v>
      </c>
      <c r="R25" s="537">
        <f>IF(Q25=0,O25*12,IF(O25=0,0,O25/(N25-1))*12)</f>
        <v>0</v>
      </c>
      <c r="S25" s="538">
        <f t="shared" ref="S25:T27" si="0">+$P25*J25</f>
        <v>0</v>
      </c>
      <c r="T25" s="538">
        <f t="shared" si="0"/>
        <v>0</v>
      </c>
      <c r="U25" s="538">
        <f>+$P25*(M25+L25)</f>
        <v>0</v>
      </c>
      <c r="V25" s="538">
        <f>(O25*3)*P25</f>
        <v>0</v>
      </c>
      <c r="W25" s="538">
        <f t="shared" ref="W25:X27" si="1">+F25*$P25</f>
        <v>0</v>
      </c>
      <c r="X25" s="539">
        <f t="shared" si="1"/>
        <v>0</v>
      </c>
      <c r="Y25" s="173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</row>
    <row r="26" spans="1:37" ht="17.149999999999999" customHeight="1" x14ac:dyDescent="0.4">
      <c r="A26" s="1074"/>
      <c r="B26" s="676" t="s">
        <v>2</v>
      </c>
      <c r="C26" s="1098"/>
      <c r="D26" s="1099"/>
      <c r="E26" s="1100"/>
      <c r="F26" s="373"/>
      <c r="G26" s="374"/>
      <c r="H26" s="375"/>
      <c r="I26" s="375"/>
      <c r="J26" s="373"/>
      <c r="K26" s="373"/>
      <c r="L26" s="373"/>
      <c r="M26" s="373"/>
      <c r="N26" s="540">
        <f>SUM(J26:M26)</f>
        <v>0</v>
      </c>
      <c r="O26" s="371"/>
      <c r="P26" s="372"/>
      <c r="Q26" s="541">
        <f>+P26*N26</f>
        <v>0</v>
      </c>
      <c r="R26" s="542">
        <f>IF(Q26=0,O26*12,IF(O26=0,0,O26/(N26-1))*12)</f>
        <v>0</v>
      </c>
      <c r="S26" s="543">
        <f t="shared" si="0"/>
        <v>0</v>
      </c>
      <c r="T26" s="543">
        <f t="shared" si="0"/>
        <v>0</v>
      </c>
      <c r="U26" s="543">
        <f>+$P26*M26</f>
        <v>0</v>
      </c>
      <c r="V26" s="544">
        <f>(O26*3)*P26</f>
        <v>0</v>
      </c>
      <c r="W26" s="543">
        <f t="shared" si="1"/>
        <v>0</v>
      </c>
      <c r="X26" s="545">
        <f t="shared" si="1"/>
        <v>0</v>
      </c>
      <c r="Y26" s="174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</row>
    <row r="27" spans="1:37" ht="17.149999999999999" customHeight="1" x14ac:dyDescent="0.4">
      <c r="A27" s="1074"/>
      <c r="B27" s="677" t="s">
        <v>3</v>
      </c>
      <c r="C27" s="1031"/>
      <c r="D27" s="1032"/>
      <c r="E27" s="1033"/>
      <c r="F27" s="373"/>
      <c r="G27" s="374"/>
      <c r="H27" s="375"/>
      <c r="I27" s="375"/>
      <c r="J27" s="373"/>
      <c r="K27" s="373"/>
      <c r="L27" s="373"/>
      <c r="M27" s="373"/>
      <c r="N27" s="540">
        <f>SUM(J27:M27)</f>
        <v>0</v>
      </c>
      <c r="O27" s="371"/>
      <c r="P27" s="372"/>
      <c r="Q27" s="541">
        <f>+P27*N27</f>
        <v>0</v>
      </c>
      <c r="R27" s="542">
        <f>IF(Q27=0,O27*12,IF(O27=0,0,O27/(N27-1))*12)</f>
        <v>0</v>
      </c>
      <c r="S27" s="543">
        <f t="shared" si="0"/>
        <v>0</v>
      </c>
      <c r="T27" s="543">
        <f t="shared" si="0"/>
        <v>0</v>
      </c>
      <c r="U27" s="543">
        <f>+$P27*M27</f>
        <v>0</v>
      </c>
      <c r="V27" s="544">
        <f>(O27*3)*P27</f>
        <v>0</v>
      </c>
      <c r="W27" s="543">
        <f t="shared" si="1"/>
        <v>0</v>
      </c>
      <c r="X27" s="545">
        <f t="shared" si="1"/>
        <v>0</v>
      </c>
      <c r="Y27" s="175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</row>
    <row r="28" spans="1:37" ht="17.149999999999999" customHeight="1" thickBot="1" x14ac:dyDescent="0.45">
      <c r="A28" s="1075"/>
      <c r="B28" s="678" t="s">
        <v>798</v>
      </c>
      <c r="C28" s="899"/>
      <c r="D28" s="900"/>
      <c r="E28" s="901"/>
      <c r="F28" s="373"/>
      <c r="G28" s="376"/>
      <c r="H28" s="375"/>
      <c r="I28" s="375"/>
      <c r="J28" s="373"/>
      <c r="K28" s="373"/>
      <c r="L28" s="373"/>
      <c r="M28" s="373"/>
      <c r="N28" s="546">
        <f>SUM(J28:M28)</f>
        <v>0</v>
      </c>
      <c r="O28" s="371"/>
      <c r="P28" s="372"/>
      <c r="Q28" s="547">
        <f>+P28*N28</f>
        <v>0</v>
      </c>
      <c r="R28" s="548">
        <f>IF(Q28=0,O28*12,IF(O28=0,0,O28/(N28-1))*12)</f>
        <v>0</v>
      </c>
      <c r="S28" s="549">
        <f>+$P28*J28</f>
        <v>0</v>
      </c>
      <c r="T28" s="549">
        <f>+$P28*K28</f>
        <v>0</v>
      </c>
      <c r="U28" s="549">
        <f>+$P28*M28</f>
        <v>0</v>
      </c>
      <c r="V28" s="550">
        <f>(O28*3)*P28</f>
        <v>0</v>
      </c>
      <c r="W28" s="549">
        <f>+F28*$P28</f>
        <v>0</v>
      </c>
      <c r="X28" s="551">
        <f>+G28*$P28</f>
        <v>0</v>
      </c>
      <c r="Y28" s="17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</row>
    <row r="29" spans="1:37" ht="5.7" customHeight="1" thickBot="1" x14ac:dyDescent="0.45">
      <c r="B29" s="170"/>
      <c r="C29" s="363"/>
      <c r="D29" s="364"/>
      <c r="E29" s="363"/>
      <c r="F29" s="362"/>
      <c r="G29" s="363"/>
      <c r="H29" s="364"/>
      <c r="I29" s="365"/>
      <c r="J29" s="366"/>
      <c r="K29" s="367"/>
      <c r="L29" s="367"/>
      <c r="M29" s="368"/>
      <c r="N29" s="289"/>
      <c r="O29" s="369"/>
      <c r="P29" s="370"/>
      <c r="Q29" s="180"/>
      <c r="R29" s="180"/>
      <c r="S29" s="171"/>
      <c r="T29" s="171"/>
      <c r="U29" s="171"/>
      <c r="V29" s="219"/>
      <c r="W29" s="171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</row>
    <row r="30" spans="1:37" s="107" customFormat="1" ht="33" customHeight="1" thickBot="1" x14ac:dyDescent="0.45">
      <c r="A30" s="106"/>
      <c r="B30" s="166" t="s">
        <v>362</v>
      </c>
      <c r="C30" s="1051" t="s">
        <v>416</v>
      </c>
      <c r="D30" s="1051"/>
      <c r="E30" s="1051" t="s">
        <v>475</v>
      </c>
      <c r="F30" s="1051"/>
      <c r="G30" s="1051"/>
      <c r="H30" s="165" t="s">
        <v>480</v>
      </c>
      <c r="I30" s="1013" t="s">
        <v>485</v>
      </c>
      <c r="J30" s="1013"/>
      <c r="K30" s="1012" t="s">
        <v>476</v>
      </c>
      <c r="L30" s="1012"/>
      <c r="M30" s="1013" t="s">
        <v>499</v>
      </c>
      <c r="N30" s="1013"/>
      <c r="O30" s="1043" t="s">
        <v>503</v>
      </c>
      <c r="P30" s="1043"/>
      <c r="Q30" s="62" t="s">
        <v>661</v>
      </c>
      <c r="R30" s="104"/>
      <c r="S30" s="104"/>
      <c r="T30" s="105"/>
      <c r="U30" s="105"/>
      <c r="V30" s="106"/>
      <c r="W30" s="106"/>
      <c r="X30" s="106"/>
      <c r="Y30" s="106"/>
      <c r="Z30" s="106"/>
      <c r="AA30" s="106"/>
      <c r="AB30" s="106"/>
      <c r="AC30" s="106"/>
      <c r="AD30" s="106"/>
      <c r="AE30" s="106"/>
      <c r="AF30" s="106"/>
      <c r="AG30" s="106"/>
      <c r="AH30" s="106"/>
      <c r="AI30" s="106"/>
      <c r="AJ30" s="106"/>
    </row>
    <row r="31" spans="1:37" s="107" customFormat="1" ht="6.75" customHeight="1" thickBot="1" x14ac:dyDescent="0.45">
      <c r="A31" s="106"/>
      <c r="B31" s="192"/>
      <c r="C31" s="193"/>
      <c r="D31" s="194"/>
      <c r="E31" s="195" t="s">
        <v>9</v>
      </c>
      <c r="F31" s="192"/>
      <c r="G31" s="195"/>
      <c r="H31" s="192"/>
      <c r="I31" s="192"/>
      <c r="J31" s="192"/>
      <c r="K31" s="925"/>
      <c r="L31" s="925"/>
      <c r="M31" s="925"/>
      <c r="N31" s="925"/>
      <c r="O31" s="925"/>
      <c r="P31" s="925"/>
      <c r="Q31" s="925"/>
      <c r="R31" s="925"/>
      <c r="S31" s="925"/>
      <c r="T31" s="925"/>
      <c r="U31" s="925"/>
      <c r="V31" s="925"/>
      <c r="W31" s="221"/>
      <c r="X31" s="109"/>
      <c r="Y31" s="109"/>
      <c r="Z31" s="109"/>
      <c r="AA31" s="109"/>
      <c r="AB31" s="109"/>
      <c r="AC31" s="109"/>
      <c r="AD31" s="109"/>
      <c r="AE31" s="109"/>
      <c r="AF31" s="106"/>
      <c r="AG31" s="106"/>
      <c r="AH31" s="106"/>
      <c r="AI31" s="106"/>
      <c r="AJ31" s="106"/>
    </row>
    <row r="32" spans="1:37" s="107" customFormat="1" ht="30" customHeight="1" x14ac:dyDescent="0.35">
      <c r="A32" s="106"/>
      <c r="B32" s="1059" t="e">
        <f>#REF!</f>
        <v>#REF!</v>
      </c>
      <c r="C32" s="1020" t="s">
        <v>0</v>
      </c>
      <c r="D32" s="1020"/>
      <c r="E32" s="1020" t="str">
        <f>CONCATENATE(IF('Area A'!B5="None","",'Area A'!B5), "   ",,IF('Area A'!B7="None","",'Area A'!B7))</f>
        <v xml:space="preserve">TR375 Blk   </v>
      </c>
      <c r="F32" s="1020"/>
      <c r="G32" s="1020"/>
      <c r="H32" s="100" t="s">
        <v>481</v>
      </c>
      <c r="I32" s="885" t="str">
        <f>CONCATENATE(IF('Area A'!$B$5="None","",'Area A'!$D$5), "   ",,IF('Area A'!$B$7="None","",'Area A'!$D$7))</f>
        <v xml:space="preserve">0   </v>
      </c>
      <c r="J32" s="885"/>
      <c r="K32" s="926">
        <f>'Area A'!G5+'Area A'!G7</f>
        <v>0</v>
      </c>
      <c r="L32" s="926"/>
      <c r="M32" s="885" t="str">
        <f>CONCATENATE(IF('Area A'!$B$5="None","",'Area A'!$H$5), "   ",,IF('Area A'!$B$7="None","",'Area A'!$H$7))</f>
        <v xml:space="preserve">0   </v>
      </c>
      <c r="N32" s="885"/>
      <c r="O32" s="951">
        <f>'Area A'!J5+'Area A'!J7</f>
        <v>0</v>
      </c>
      <c r="P32" s="952"/>
      <c r="Q32" s="110">
        <f>IFERROR(O32/O43,0)</f>
        <v>0</v>
      </c>
      <c r="R32" s="978">
        <f>IFERROR((O32+O33)/O43,0)</f>
        <v>0</v>
      </c>
      <c r="S32" s="108"/>
      <c r="T32" s="103"/>
      <c r="U32" s="103"/>
      <c r="V32" s="103"/>
      <c r="W32" s="103"/>
      <c r="X32" s="103"/>
      <c r="Y32" s="108"/>
      <c r="Z32" s="108"/>
      <c r="AA32" s="108"/>
      <c r="AB32" s="108"/>
      <c r="AC32" s="108"/>
      <c r="AD32" s="108"/>
      <c r="AE32" s="108"/>
      <c r="AF32" s="108"/>
      <c r="AG32" s="108"/>
      <c r="AH32" s="106"/>
      <c r="AI32" s="106"/>
      <c r="AJ32" s="106"/>
    </row>
    <row r="33" spans="1:36" s="107" customFormat="1" ht="30" customHeight="1" x14ac:dyDescent="0.35">
      <c r="A33" s="106"/>
      <c r="B33" s="1059"/>
      <c r="C33" s="1020" t="s">
        <v>413</v>
      </c>
      <c r="D33" s="1020"/>
      <c r="E33" s="1020" t="str">
        <f>CONCATENATE(IF('Area A'!B6="None","",'Area A'!B6), "    ",,IF('Area A'!B8="None","",'Area A'!B8))</f>
        <v xml:space="preserve">BR100- Blk    </v>
      </c>
      <c r="F33" s="1020"/>
      <c r="G33" s="1020"/>
      <c r="H33" s="100" t="s">
        <v>481</v>
      </c>
      <c r="I33" s="885" t="str">
        <f>CONCATENATE(IF('Area A'!$B$6="None","",'Area A'!$D$6), "   ",,IF('Area A'!$B$8="None","",'Area A'!$D$8))</f>
        <v xml:space="preserve">0   </v>
      </c>
      <c r="J33" s="885"/>
      <c r="K33" s="926">
        <f>'Area A'!G6+'Area A'!G8</f>
        <v>0</v>
      </c>
      <c r="L33" s="926"/>
      <c r="M33" s="885" t="str">
        <f>CONCATENATE(IF('Area A'!$B$6="None","",'Area A'!$H$6), "   ",,IF('Area A'!$B$8="None","",'Area A'!$H$8))</f>
        <v xml:space="preserve">0   </v>
      </c>
      <c r="N33" s="885"/>
      <c r="O33" s="1045">
        <f>'Area A'!J6+'Area A'!J8</f>
        <v>0</v>
      </c>
      <c r="P33" s="1046"/>
      <c r="Q33" s="110">
        <f>IFERROR(O33/O43,0)</f>
        <v>0</v>
      </c>
      <c r="R33" s="978"/>
      <c r="S33" s="108"/>
      <c r="T33" s="103"/>
      <c r="U33" s="103"/>
      <c r="V33" s="103"/>
      <c r="W33" s="103"/>
      <c r="X33" s="103"/>
      <c r="Y33" s="108"/>
      <c r="Z33" s="108"/>
      <c r="AA33" s="108"/>
      <c r="AB33" s="108"/>
      <c r="AC33" s="108"/>
      <c r="AD33" s="108"/>
      <c r="AE33" s="108"/>
      <c r="AF33" s="108"/>
      <c r="AG33" s="108"/>
      <c r="AH33" s="106"/>
      <c r="AI33" s="106"/>
      <c r="AJ33" s="106"/>
    </row>
    <row r="34" spans="1:36" s="107" customFormat="1" ht="30" customHeight="1" x14ac:dyDescent="0.35">
      <c r="A34" s="106"/>
      <c r="B34" s="1059"/>
      <c r="C34" s="1020" t="s">
        <v>4</v>
      </c>
      <c r="D34" s="1020"/>
      <c r="E34" s="1055" t="str">
        <f>CONCATENATE(IF('Area A'!B12="none","",'Area A'!B12)," ",IF('Area A'!B13="none","",'Area A'!B13)," ",IF('Area A'!B14="none","",'Area A'!B14)," ",IF('Area A'!B15="none","",'Area A'!B15)," ",IF('Area A'!B16="none","",'Area A'!B16)," ",IF('Area A'!B17="none","",'Area A'!B17))</f>
        <v xml:space="preserve">   P361- Blk U P361- Blk U P361- Blk U</v>
      </c>
      <c r="F34" s="1055"/>
      <c r="G34" s="1055"/>
      <c r="H34" s="100" t="s">
        <v>481</v>
      </c>
      <c r="I34" s="885" t="str">
        <f>CONCATENATE(IF('Area A'!B12="None","",'Area A'!D12)," ",IF('Area A'!B15="none","",'Area A'!E15))</f>
        <v xml:space="preserve"> 0</v>
      </c>
      <c r="J34" s="885"/>
      <c r="K34" s="926">
        <f>'Area A'!G19</f>
        <v>0</v>
      </c>
      <c r="L34" s="926"/>
      <c r="M34" s="885" t="str">
        <f>CONCATENATE(IF('Area A'!$B$12="None","",'Area A'!$H$12)," ",IF('Area A'!B15="None","",'Area A'!H15))</f>
        <v xml:space="preserve"> 0</v>
      </c>
      <c r="N34" s="885"/>
      <c r="O34" s="951">
        <f>'Area A'!J19</f>
        <v>0</v>
      </c>
      <c r="P34" s="952"/>
      <c r="Q34" s="108"/>
      <c r="R34" s="108"/>
      <c r="S34" s="108"/>
      <c r="T34" s="103"/>
      <c r="U34" s="103"/>
      <c r="V34" s="103"/>
      <c r="W34" s="103"/>
      <c r="X34" s="103"/>
      <c r="Y34" s="108"/>
      <c r="Z34" s="108"/>
      <c r="AA34" s="108"/>
      <c r="AB34" s="108"/>
      <c r="AC34" s="108"/>
      <c r="AD34" s="108"/>
      <c r="AE34" s="108"/>
      <c r="AF34" s="108"/>
      <c r="AG34" s="108"/>
      <c r="AH34" s="106"/>
      <c r="AI34" s="106"/>
      <c r="AJ34" s="106"/>
    </row>
    <row r="35" spans="1:36" s="107" customFormat="1" ht="30" customHeight="1" x14ac:dyDescent="0.35">
      <c r="A35" s="106"/>
      <c r="B35" s="1059"/>
      <c r="C35" s="1020" t="s">
        <v>6</v>
      </c>
      <c r="D35" s="1020"/>
      <c r="E35" s="1020" t="str">
        <f>CONCATENATE(IF('Area A'!B22="None","",'Area A'!B22),"    ",IF('Area A'!B23="none","",'Area A'!B23),"    ",IF('Area A'!B24="None","",'Area A'!B24),"    ",IF('Area A'!B25="None","",'Area A'!B25))</f>
        <v xml:space="preserve">FMPBS 1- Blk    FMPBS 2- Blk        </v>
      </c>
      <c r="F35" s="1020"/>
      <c r="G35" s="1020"/>
      <c r="H35" s="100" t="s">
        <v>482</v>
      </c>
      <c r="I35" s="885" t="str">
        <f>CONCATENATE(IF('Area A'!$B$22="None","",'Area A'!$E$22),"    ",IF('Area A'!$B$23="none","",'Area A'!$E$23),"    ",IF('Area A'!$B$24="None","",'Area A'!$E$24),"    ",IF('Area A'!$B$25="None","",'Area A'!$E$25))</f>
        <v xml:space="preserve">0    0        </v>
      </c>
      <c r="J35" s="885"/>
      <c r="K35" s="926">
        <f>'Area A'!G26</f>
        <v>0</v>
      </c>
      <c r="L35" s="926"/>
      <c r="M35" s="885" t="str">
        <f>CONCATENATE(IF('Area A'!$B$22="None","",'Area A'!$I$22),"    ",IF('Area A'!$B$23="none","",'Area A'!$I$23),"    ",IF('Area A'!$B$24="None","",'Area A'!$I$24),"    ",IF('Area A'!$B$25="None","",'Area A'!$I$25))</f>
        <v xml:space="preserve">0    0        </v>
      </c>
      <c r="N35" s="885"/>
      <c r="O35" s="951">
        <f>'Area A'!J26</f>
        <v>0</v>
      </c>
      <c r="P35" s="952"/>
      <c r="Q35" s="108"/>
      <c r="R35" s="108"/>
      <c r="S35" s="108"/>
      <c r="T35" s="103"/>
      <c r="U35" s="103"/>
      <c r="V35" s="103"/>
      <c r="W35" s="103"/>
      <c r="X35" s="103"/>
      <c r="Y35" s="108"/>
      <c r="Z35" s="108"/>
      <c r="AA35" s="108"/>
      <c r="AB35" s="108"/>
      <c r="AC35" s="108"/>
      <c r="AD35" s="108"/>
      <c r="AE35" s="108"/>
      <c r="AF35" s="108"/>
      <c r="AG35" s="108"/>
      <c r="AH35" s="106"/>
      <c r="AI35" s="106"/>
      <c r="AJ35" s="106"/>
    </row>
    <row r="36" spans="1:36" s="107" customFormat="1" ht="30" customHeight="1" x14ac:dyDescent="0.35">
      <c r="A36" s="106"/>
      <c r="B36" s="1059"/>
      <c r="C36" s="1020" t="s">
        <v>8</v>
      </c>
      <c r="D36" s="1020"/>
      <c r="E36" s="1020" t="str">
        <f>CONCATENATE(IF('Area A'!B29="None","",'Area A'!B29),"    ",IF('Area A'!B30="none","",'Area A'!B30),"    ",IF('Area A'!B31="none","",'Area A'!B31),"    ",IF('Area A'!B32="None","",'Area A'!B32),"    ",IF('Area A'!B33="None","",'Area A'!B33),"    ",IF('Area A'!B34="none","",'Area A'!B34),"    ",IF('Area A'!B35="none","",'Area A'!B35),"    ",IF('Area A'!B36="none","",'Area A'!B36))</f>
        <v xml:space="preserve">        CTLG - 3/8"                    </v>
      </c>
      <c r="F36" s="1020"/>
      <c r="G36" s="1020"/>
      <c r="H36" s="100" t="s">
        <v>484</v>
      </c>
      <c r="I36" s="887" t="str">
        <f>IFERROR(_xlfn.CONCAT(IF('Area A'!$B$29="None","",'Area A'!$D$29)," ",IF('Area A'!$B$30="none","",'Area A'!$D$30),"    ",IF('Area A'!$B$31="None","",'Area A'!$D$31),"    ",IF('Area A'!$B$32="None","",'Area A'!$D$32)," ",IF('Area A'!$B$33="Non","",'Area A'!D33)," ",IF('Area A'!B34="None","",'Area A'!D34)," ",IF('Area A'!B35="None","",'Area A'!D35)," ",IF('Area A'!B36="None","",'Area A'!D36)),"")</f>
        <v xml:space="preserve">     0        </v>
      </c>
      <c r="J36" s="887"/>
      <c r="K36" s="926">
        <f>'Area A'!G37</f>
        <v>0</v>
      </c>
      <c r="L36" s="926"/>
      <c r="M36" s="887" t="str">
        <f>IFERROR(_xlfn.CONCAT(IF('Area A'!$B$29="None","",'Area A'!$H$29)," ",IF('Area A'!$B$30="none","",'Area A'!$H$30),"    ",IF('Area A'!$B$31="None","",'Area A'!$H$31),"    ",IF('Area A'!$B$32="None","",'Area A'!$H$32)," ",IF('Area A'!$B$33="None","",'Area A'!I33)," ",IF('Area A'!B34="None","",'Area A'!I34)," ",IF('Area A'!B35="None","",'Area A'!I35)," ",IF('Area A'!B36="None","",'Area A'!I36)),"")</f>
        <v xml:space="preserve">     0        </v>
      </c>
      <c r="N36" s="887"/>
      <c r="O36" s="951">
        <f>'Area A'!J37</f>
        <v>0</v>
      </c>
      <c r="P36" s="952"/>
      <c r="Q36" s="108"/>
      <c r="R36" s="108"/>
      <c r="S36" s="108"/>
      <c r="T36" s="103"/>
      <c r="U36" s="103"/>
      <c r="V36" s="103"/>
      <c r="W36" s="103"/>
      <c r="X36" s="103"/>
      <c r="Y36" s="108"/>
      <c r="Z36" s="108"/>
      <c r="AA36" s="108"/>
      <c r="AB36" s="108"/>
      <c r="AC36" s="108"/>
      <c r="AD36" s="108"/>
      <c r="AE36" s="108"/>
      <c r="AF36" s="108"/>
      <c r="AG36" s="108"/>
      <c r="AH36" s="106"/>
      <c r="AI36" s="106"/>
      <c r="AJ36" s="106"/>
    </row>
    <row r="37" spans="1:36" s="107" customFormat="1" ht="19.5" customHeight="1" x14ac:dyDescent="0.35">
      <c r="A37" s="106"/>
      <c r="B37" s="1059"/>
      <c r="C37" s="1020" t="s">
        <v>363</v>
      </c>
      <c r="D37" s="1020"/>
      <c r="E37" s="1020" t="str">
        <f>CONCATENATE(IF('Area A'!B40="None","",'Area A'!B40),"    ",IF('Area A'!B41="none","",'Area A'!B41),"    ",IF('Area A'!B42="none","",'Area A'!B42),"    ",IF('Area A'!B43="None","",'Area A'!B43)," ")</f>
        <v xml:space="preserve">375 EP - Mil             </v>
      </c>
      <c r="F37" s="1020"/>
      <c r="G37" s="1020"/>
      <c r="H37" s="100" t="s">
        <v>482</v>
      </c>
      <c r="I37" s="885" t="str">
        <f>CONCATENATE(IF('Area A'!$B$40="None","",'Area A'!$E$40),"    ",IF('Area A'!$B$41="none","",'Area A'!$E$41),"    ",IF('Area A'!$B$42="None","",'Area A'!$E$42),"    ",IF('Area A'!$B$43="None","",'Area A'!$E$43))</f>
        <v xml:space="preserve">0            </v>
      </c>
      <c r="J37" s="885"/>
      <c r="K37" s="926">
        <f>'Area A'!G44</f>
        <v>0</v>
      </c>
      <c r="L37" s="926"/>
      <c r="M37" s="885" t="str">
        <f>CONCATENATE(IF('Area A'!$B$40="None","",'Area A'!$I$40),"    ",IF('Area A'!$B$41="none","",'Area A'!$I$41),"    ",IF('Area A'!$B$42="None","",'Area A'!$I$42),"    ",IF('Area A'!$B$43="None","",'Area A'!$I$43))</f>
        <v xml:space="preserve">0            </v>
      </c>
      <c r="N37" s="885"/>
      <c r="O37" s="951">
        <f>'Area A'!J44</f>
        <v>0</v>
      </c>
      <c r="P37" s="952"/>
      <c r="Q37" s="108"/>
      <c r="R37" s="108"/>
      <c r="S37" s="108"/>
      <c r="T37" s="103"/>
      <c r="U37" s="103"/>
      <c r="V37" s="103"/>
      <c r="W37" s="103"/>
      <c r="X37" s="103"/>
      <c r="Y37" s="108"/>
      <c r="Z37" s="108"/>
      <c r="AA37" s="108"/>
      <c r="AB37" s="108"/>
      <c r="AC37" s="108"/>
      <c r="AD37" s="108"/>
      <c r="AE37" s="108"/>
      <c r="AF37" s="108"/>
      <c r="AG37" s="108"/>
      <c r="AH37" s="106"/>
      <c r="AI37" s="106"/>
      <c r="AJ37" s="106"/>
    </row>
    <row r="38" spans="1:36" s="107" customFormat="1" ht="19.5" customHeight="1" x14ac:dyDescent="0.35">
      <c r="A38" s="106"/>
      <c r="B38" s="1059"/>
      <c r="C38" s="1020" t="s">
        <v>7</v>
      </c>
      <c r="D38" s="1020"/>
      <c r="E38" s="1020"/>
      <c r="F38" s="1020"/>
      <c r="G38" s="1020"/>
      <c r="H38" s="100"/>
      <c r="I38" s="885"/>
      <c r="J38" s="885"/>
      <c r="K38" s="926">
        <f>'Area A'!G196</f>
        <v>0</v>
      </c>
      <c r="L38" s="926"/>
      <c r="M38" s="101"/>
      <c r="N38" s="101"/>
      <c r="O38" s="951">
        <f>'Area A'!J196</f>
        <v>0</v>
      </c>
      <c r="P38" s="952"/>
      <c r="Q38" s="108"/>
      <c r="R38" s="108"/>
      <c r="S38" s="108"/>
      <c r="T38" s="103"/>
      <c r="U38" s="103"/>
      <c r="V38" s="103"/>
      <c r="W38" s="103"/>
      <c r="X38" s="103"/>
      <c r="Y38" s="108"/>
      <c r="Z38" s="108"/>
      <c r="AA38" s="108"/>
      <c r="AB38" s="108"/>
      <c r="AC38" s="108"/>
      <c r="AD38" s="108"/>
      <c r="AE38" s="108"/>
      <c r="AF38" s="108"/>
      <c r="AG38" s="108"/>
      <c r="AH38" s="106"/>
      <c r="AI38" s="106"/>
      <c r="AJ38" s="106"/>
    </row>
    <row r="39" spans="1:36" s="107" customFormat="1" ht="19.5" customHeight="1" x14ac:dyDescent="0.35">
      <c r="A39" s="106"/>
      <c r="B39" s="1059"/>
      <c r="C39" s="1020" t="s">
        <v>429</v>
      </c>
      <c r="D39" s="1020"/>
      <c r="E39" s="1020"/>
      <c r="F39" s="1020"/>
      <c r="G39" s="1020"/>
      <c r="H39" s="100"/>
      <c r="I39" s="885"/>
      <c r="J39" s="885"/>
      <c r="K39" s="926">
        <f>'Area A'!G266</f>
        <v>0</v>
      </c>
      <c r="L39" s="926"/>
      <c r="M39" s="101"/>
      <c r="N39" s="101"/>
      <c r="O39" s="951">
        <f>'Area A'!J266</f>
        <v>0</v>
      </c>
      <c r="P39" s="952"/>
      <c r="Q39" s="108"/>
      <c r="R39" s="108"/>
      <c r="S39" s="108"/>
      <c r="T39" s="103"/>
      <c r="U39" s="103"/>
      <c r="V39" s="103"/>
      <c r="W39" s="103"/>
      <c r="X39" s="103"/>
      <c r="Y39" s="108"/>
      <c r="Z39" s="108"/>
      <c r="AA39" s="108"/>
      <c r="AB39" s="108"/>
      <c r="AC39" s="108"/>
      <c r="AD39" s="108"/>
      <c r="AE39" s="108"/>
      <c r="AF39" s="108"/>
      <c r="AG39" s="108"/>
      <c r="AH39" s="106"/>
      <c r="AI39" s="106"/>
      <c r="AJ39" s="106"/>
    </row>
    <row r="40" spans="1:36" s="107" customFormat="1" ht="19.5" customHeight="1" x14ac:dyDescent="0.35">
      <c r="A40" s="106"/>
      <c r="B40" s="1059"/>
      <c r="C40" s="1020" t="s">
        <v>430</v>
      </c>
      <c r="D40" s="1020"/>
      <c r="E40" s="1020"/>
      <c r="F40" s="1020"/>
      <c r="G40" s="1020"/>
      <c r="H40" s="100"/>
      <c r="I40" s="885"/>
      <c r="J40" s="885"/>
      <c r="K40" s="927">
        <f>IF(D4="no",0,SUM(D14)*D5)</f>
        <v>0</v>
      </c>
      <c r="L40" s="927"/>
      <c r="M40" s="101"/>
      <c r="N40" s="101"/>
      <c r="O40" s="951">
        <f>K40</f>
        <v>0</v>
      </c>
      <c r="P40" s="952"/>
      <c r="Q40" s="108"/>
      <c r="R40" s="108"/>
      <c r="S40" s="108"/>
      <c r="T40" s="103"/>
      <c r="U40" s="103"/>
      <c r="V40" s="103"/>
      <c r="W40" s="103"/>
      <c r="X40" s="103"/>
      <c r="Y40" s="108"/>
      <c r="Z40" s="108"/>
      <c r="AA40" s="108"/>
      <c r="AB40" s="108"/>
      <c r="AC40" s="108"/>
      <c r="AD40" s="108"/>
      <c r="AE40" s="108"/>
      <c r="AF40" s="108"/>
      <c r="AG40" s="108"/>
      <c r="AH40" s="106"/>
      <c r="AI40" s="106"/>
      <c r="AJ40" s="106"/>
    </row>
    <row r="41" spans="1:36" s="107" customFormat="1" ht="19.5" customHeight="1" thickBot="1" x14ac:dyDescent="0.45">
      <c r="A41" s="106"/>
      <c r="B41" s="1060"/>
      <c r="C41" s="1050" t="s">
        <v>431</v>
      </c>
      <c r="D41" s="1050"/>
      <c r="E41" s="1050"/>
      <c r="F41" s="1050"/>
      <c r="G41" s="1050"/>
      <c r="H41" s="102"/>
      <c r="I41" s="1019"/>
      <c r="J41" s="1019"/>
      <c r="K41" s="928">
        <f>SUM(K32:K40)</f>
        <v>0</v>
      </c>
      <c r="L41" s="928"/>
      <c r="M41" s="54"/>
      <c r="N41" s="54"/>
      <c r="O41" s="928">
        <f>SUM(O32:O40)</f>
        <v>0</v>
      </c>
      <c r="P41" s="928"/>
      <c r="Q41" s="108"/>
      <c r="R41" s="108"/>
      <c r="S41" s="108"/>
      <c r="T41" s="40"/>
      <c r="U41" s="40"/>
      <c r="V41" s="40"/>
      <c r="W41" s="103"/>
      <c r="X41" s="103"/>
      <c r="Y41" s="108"/>
      <c r="Z41" s="108"/>
      <c r="AA41" s="108"/>
      <c r="AB41" s="108"/>
      <c r="AC41" s="108"/>
      <c r="AD41" s="108"/>
      <c r="AE41" s="108"/>
      <c r="AF41" s="108"/>
      <c r="AG41" s="108"/>
      <c r="AH41" s="106"/>
      <c r="AI41" s="106"/>
      <c r="AJ41" s="106"/>
    </row>
    <row r="42" spans="1:36" s="107" customFormat="1" ht="19.5" customHeight="1" thickTop="1" x14ac:dyDescent="0.35">
      <c r="A42" s="106"/>
      <c r="B42" s="53"/>
      <c r="C42" s="1020" t="s">
        <v>494</v>
      </c>
      <c r="D42" s="1020"/>
      <c r="E42" s="1054">
        <f>D19</f>
        <v>0.04</v>
      </c>
      <c r="F42" s="1054"/>
      <c r="G42" s="1054"/>
      <c r="H42" s="100"/>
      <c r="I42" s="888"/>
      <c r="J42" s="888"/>
      <c r="K42" s="1001">
        <f>SUM(K41*$E$42)</f>
        <v>0</v>
      </c>
      <c r="L42" s="1001"/>
      <c r="M42" s="55"/>
      <c r="N42" s="55"/>
      <c r="O42" s="1001">
        <f>SUM(O41*$E$42)</f>
        <v>0</v>
      </c>
      <c r="P42" s="1001"/>
      <c r="Q42" s="108"/>
      <c r="R42" s="108"/>
      <c r="S42" s="108"/>
      <c r="T42" s="103"/>
      <c r="U42" s="103"/>
      <c r="V42" s="103"/>
      <c r="W42" s="103"/>
      <c r="X42" s="103"/>
      <c r="Y42" s="108"/>
      <c r="Z42" s="108"/>
      <c r="AA42" s="108"/>
      <c r="AB42" s="108"/>
      <c r="AC42" s="108"/>
      <c r="AD42" s="108"/>
      <c r="AE42" s="108"/>
      <c r="AF42" s="108"/>
      <c r="AG42" s="108"/>
      <c r="AH42" s="106"/>
      <c r="AI42" s="106"/>
      <c r="AJ42" s="106"/>
    </row>
    <row r="43" spans="1:36" s="113" customFormat="1" ht="19.5" customHeight="1" thickBot="1" x14ac:dyDescent="0.5">
      <c r="A43" s="196"/>
      <c r="B43" s="189"/>
      <c r="C43" s="1036" t="s">
        <v>367</v>
      </c>
      <c r="D43" s="1036"/>
      <c r="E43" s="1056"/>
      <c r="F43" s="1056"/>
      <c r="G43" s="1056"/>
      <c r="H43" s="190"/>
      <c r="I43" s="876"/>
      <c r="J43" s="876"/>
      <c r="K43" s="1002">
        <f>SUM(K41:L42)</f>
        <v>0</v>
      </c>
      <c r="L43" s="1002"/>
      <c r="M43" s="191"/>
      <c r="N43" s="191"/>
      <c r="O43" s="1002">
        <f>SUM(O41:P42)</f>
        <v>0</v>
      </c>
      <c r="P43" s="1002"/>
      <c r="Q43" s="112"/>
      <c r="R43" s="112"/>
      <c r="S43" s="112"/>
      <c r="T43" s="103"/>
      <c r="U43" s="103"/>
      <c r="V43" s="103"/>
      <c r="W43" s="40"/>
      <c r="X43" s="40"/>
      <c r="Y43" s="112"/>
      <c r="Z43" s="112"/>
      <c r="AA43" s="112"/>
      <c r="AB43" s="112"/>
      <c r="AC43" s="112"/>
      <c r="AD43" s="112"/>
      <c r="AE43" s="112"/>
      <c r="AF43" s="112"/>
      <c r="AG43" s="112"/>
      <c r="AH43" s="196"/>
      <c r="AI43" s="196"/>
      <c r="AJ43" s="196"/>
    </row>
    <row r="44" spans="1:36" s="107" customFormat="1" ht="6.65" customHeight="1" thickBot="1" x14ac:dyDescent="0.45">
      <c r="A44" s="106"/>
      <c r="B44" s="187"/>
      <c r="C44" s="890"/>
      <c r="D44" s="890"/>
      <c r="E44" s="890"/>
      <c r="F44" s="890"/>
      <c r="G44" s="890"/>
      <c r="H44" s="187"/>
      <c r="I44" s="877"/>
      <c r="J44" s="877"/>
      <c r="K44" s="890"/>
      <c r="L44" s="890"/>
      <c r="M44" s="890"/>
      <c r="N44" s="890"/>
      <c r="O44" s="890"/>
      <c r="P44" s="890"/>
      <c r="Q44" s="925"/>
      <c r="R44" s="925"/>
      <c r="S44" s="108"/>
      <c r="T44" s="103"/>
      <c r="U44" s="103"/>
      <c r="V44" s="103"/>
      <c r="W44" s="103"/>
      <c r="X44" s="103"/>
      <c r="Y44" s="108"/>
      <c r="Z44" s="108"/>
      <c r="AA44" s="108"/>
      <c r="AB44" s="108"/>
      <c r="AC44" s="108"/>
      <c r="AD44" s="108"/>
      <c r="AE44" s="108"/>
      <c r="AF44" s="108"/>
      <c r="AG44" s="108"/>
      <c r="AH44" s="106"/>
      <c r="AI44" s="106"/>
      <c r="AJ44" s="106"/>
    </row>
    <row r="45" spans="1:36" s="107" customFormat="1" ht="30" customHeight="1" x14ac:dyDescent="0.35">
      <c r="A45" s="106"/>
      <c r="B45" s="1047" t="e">
        <f>#REF!</f>
        <v>#REF!</v>
      </c>
      <c r="C45" s="1021" t="s">
        <v>0</v>
      </c>
      <c r="D45" s="1021"/>
      <c r="E45" s="1021" t="str">
        <f>CONCATENATE(IF('Area B'!B5="None","",'Area B'!B5), "   ",,IF('Area B'!B7="None","",'Area B'!B7))</f>
        <v xml:space="preserve">   </v>
      </c>
      <c r="F45" s="1021"/>
      <c r="G45" s="1021"/>
      <c r="H45" s="223" t="s">
        <v>481</v>
      </c>
      <c r="I45" s="878" t="str">
        <f>CONCATENATE(IF('Area B'!$B$5="None","",'Area B'!$D$5), "   ",,IF('Area B'!$B$7="None","",'Area B'!$D$7))</f>
        <v xml:space="preserve">   </v>
      </c>
      <c r="J45" s="878"/>
      <c r="K45" s="1058">
        <f>'Area B'!G5+'Area B'!G7</f>
        <v>0</v>
      </c>
      <c r="L45" s="1058"/>
      <c r="M45" s="878" t="str">
        <f>CONCATENATE(IF('Area B'!$B$5="None","",'Area B'!$H$5), "   ",,IF('Area B'!$B$7="None","",'Area B'!$H$7))</f>
        <v xml:space="preserve">   </v>
      </c>
      <c r="N45" s="878"/>
      <c r="O45" s="1044">
        <f>'Area B'!J5+'Area B'!J7</f>
        <v>0</v>
      </c>
      <c r="P45" s="1044"/>
      <c r="Q45" s="110">
        <f>IFERROR(O45/O56,0)</f>
        <v>0</v>
      </c>
      <c r="R45" s="978">
        <f>IFERROR((O45+O46)/O56,0)</f>
        <v>0</v>
      </c>
      <c r="S45" s="108"/>
      <c r="T45" s="103"/>
      <c r="U45" s="103"/>
      <c r="V45" s="103"/>
      <c r="W45" s="103"/>
      <c r="X45" s="103"/>
      <c r="Y45" s="108"/>
      <c r="Z45" s="108"/>
      <c r="AA45" s="108"/>
      <c r="AB45" s="108"/>
      <c r="AC45" s="108"/>
      <c r="AD45" s="108"/>
      <c r="AE45" s="108"/>
      <c r="AF45" s="108"/>
      <c r="AG45" s="108"/>
      <c r="AH45" s="106"/>
      <c r="AI45" s="106"/>
      <c r="AJ45" s="106"/>
    </row>
    <row r="46" spans="1:36" s="107" customFormat="1" ht="30" customHeight="1" x14ac:dyDescent="0.35">
      <c r="A46" s="106"/>
      <c r="B46" s="1048"/>
      <c r="C46" s="880" t="s">
        <v>413</v>
      </c>
      <c r="D46" s="880"/>
      <c r="E46" s="880" t="str">
        <f>CONCATENATE(IF('Area B'!B6="None","",'Area B'!B6), "   ",,IF('Area B'!B8="None","",'Area B'!B8))</f>
        <v xml:space="preserve">   </v>
      </c>
      <c r="F46" s="880"/>
      <c r="G46" s="880"/>
      <c r="H46" s="223" t="s">
        <v>481</v>
      </c>
      <c r="I46" s="983" t="str">
        <f>CONCATENATE(IF('Area B'!$B$6="None","",'Area B'!$D$6), "   ",,IF('Area B'!$B$8="None","",'Area B'!$D$8))</f>
        <v xml:space="preserve">   </v>
      </c>
      <c r="J46" s="983"/>
      <c r="K46" s="882">
        <f>'Area B'!G6+'Area B'!G8</f>
        <v>0</v>
      </c>
      <c r="L46" s="882"/>
      <c r="M46" s="983" t="str">
        <f>CONCATENATE(IF('Area B'!$B$6="None","",'Area B'!$H$6), "   ",,IF('Area B'!$B$8="None","",'Area B'!$H$8))</f>
        <v xml:space="preserve">   </v>
      </c>
      <c r="N46" s="983"/>
      <c r="O46" s="950">
        <f>'Area B'!J6+'Area B'!J8</f>
        <v>0</v>
      </c>
      <c r="P46" s="950"/>
      <c r="Q46" s="110">
        <f>IFERROR(O46/O56,0)</f>
        <v>0</v>
      </c>
      <c r="R46" s="978"/>
      <c r="S46" s="108"/>
      <c r="T46" s="103"/>
      <c r="U46" s="103"/>
      <c r="V46" s="103"/>
      <c r="W46" s="103"/>
      <c r="X46" s="103"/>
      <c r="Y46" s="108"/>
      <c r="Z46" s="108"/>
      <c r="AA46" s="108"/>
      <c r="AB46" s="108"/>
      <c r="AC46" s="108"/>
      <c r="AD46" s="108"/>
      <c r="AE46" s="108"/>
      <c r="AF46" s="108"/>
      <c r="AG46" s="108"/>
      <c r="AH46" s="106"/>
      <c r="AI46" s="106"/>
      <c r="AJ46" s="106"/>
    </row>
    <row r="47" spans="1:36" s="107" customFormat="1" ht="30" customHeight="1" x14ac:dyDescent="0.35">
      <c r="A47" s="106"/>
      <c r="B47" s="1048"/>
      <c r="C47" s="880" t="s">
        <v>4</v>
      </c>
      <c r="D47" s="880"/>
      <c r="E47" s="1053" t="str">
        <f>CONCATENATE(IF('Area B'!B12="none","",'Area B'!B12)," ",IF('Area B'!B13="None","",'Area B'!B13)," ",IF('Area B'!B14="None","",'Area B'!B14)," ",IF('Area B'!B15="None","",'Area B'!B15)," ",IF('Area B'!B16="None","",'Area B'!B16)," ",IF('Area B'!B18="None","",'Area B'!B18))</f>
        <v xml:space="preserve">     </v>
      </c>
      <c r="F47" s="1053"/>
      <c r="G47" s="1053"/>
      <c r="H47" s="223" t="s">
        <v>481</v>
      </c>
      <c r="I47" s="983" t="str">
        <f>CONCATENATE(IF('Area B'!$B$12="None","",'Area B'!$D$12)," ",IF('Area B'!B15="None","",'Area B'!E15))</f>
        <v xml:space="preserve"> </v>
      </c>
      <c r="J47" s="983"/>
      <c r="K47" s="882">
        <f>'Area B'!G19</f>
        <v>0</v>
      </c>
      <c r="L47" s="882"/>
      <c r="M47" s="983" t="str">
        <f>CONCATENATE(IF('Area B'!$B$12="None","",'Area B'!$H$12)," ",IF('Area B'!B15="None","",'Area B'!H15))</f>
        <v xml:space="preserve"> </v>
      </c>
      <c r="N47" s="983"/>
      <c r="O47" s="950">
        <f>'Area B'!J19</f>
        <v>0</v>
      </c>
      <c r="P47" s="950"/>
      <c r="Q47" s="108"/>
      <c r="R47" s="108"/>
      <c r="S47" s="108"/>
      <c r="T47" s="103"/>
      <c r="U47" s="103"/>
      <c r="V47" s="103"/>
      <c r="W47" s="103"/>
      <c r="X47" s="103"/>
      <c r="Y47" s="108"/>
      <c r="Z47" s="108"/>
      <c r="AA47" s="108"/>
      <c r="AB47" s="108"/>
      <c r="AC47" s="108"/>
      <c r="AD47" s="108"/>
      <c r="AE47" s="108"/>
      <c r="AF47" s="108"/>
      <c r="AG47" s="108"/>
      <c r="AH47" s="106"/>
      <c r="AI47" s="106"/>
      <c r="AJ47" s="106"/>
    </row>
    <row r="48" spans="1:36" s="107" customFormat="1" ht="30" customHeight="1" x14ac:dyDescent="0.35">
      <c r="A48" s="106"/>
      <c r="B48" s="1048"/>
      <c r="C48" s="880" t="s">
        <v>6</v>
      </c>
      <c r="D48" s="880"/>
      <c r="E48" s="880" t="str">
        <f>CONCATENATE(IF('Area B'!B22="None","",'Area B'!B22),"   ",IF('Area B'!B23="none","",'Area B'!B23),"   ",IF('Area B'!B24="None","",'Area B'!B24),"   ",IF('Area B'!B25="None","",'Area B'!B25))</f>
        <v xml:space="preserve">         </v>
      </c>
      <c r="F48" s="880"/>
      <c r="G48" s="880"/>
      <c r="H48" s="223" t="s">
        <v>482</v>
      </c>
      <c r="I48" s="983" t="str">
        <f>CONCATENATE(IF('Area B'!$B$22="None","",'Area B'!$E$22),"    ",IF('Area B'!$B$23="none","",'Area B'!$E$23),"    ",IF('Area B'!$B$24="None","",'Area B'!$E$24),"    ",IF('Area B'!$B$25="None","",'Area B'!$E$25))</f>
        <v xml:space="preserve">            </v>
      </c>
      <c r="J48" s="983"/>
      <c r="K48" s="882">
        <f>'Area B'!G26</f>
        <v>0</v>
      </c>
      <c r="L48" s="882"/>
      <c r="M48" s="983" t="str">
        <f>CONCATENATE(IF('Area B'!$B$22="None","",'Area B'!$I$22),"    ",IF('Area B'!$B$23="none","",'Area B'!$I$23),"    ",IF('Area B'!$B$24="None","",'Area B'!$I$24),"    ",IF('Area B'!$B$25="None","",'Area B'!$I$25))</f>
        <v xml:space="preserve">            </v>
      </c>
      <c r="N48" s="983"/>
      <c r="O48" s="950">
        <f>'Area B'!J26</f>
        <v>0</v>
      </c>
      <c r="P48" s="950"/>
      <c r="Q48" s="108"/>
      <c r="R48" s="108"/>
      <c r="S48" s="108"/>
      <c r="T48" s="103"/>
      <c r="U48" s="103"/>
      <c r="V48" s="103"/>
      <c r="W48" s="103"/>
      <c r="X48" s="103"/>
      <c r="Y48" s="108"/>
      <c r="Z48" s="108"/>
      <c r="AA48" s="108"/>
      <c r="AB48" s="108"/>
      <c r="AC48" s="108"/>
      <c r="AD48" s="108"/>
      <c r="AE48" s="108"/>
      <c r="AF48" s="108"/>
      <c r="AG48" s="108"/>
      <c r="AH48" s="106"/>
      <c r="AI48" s="106"/>
      <c r="AJ48" s="106"/>
    </row>
    <row r="49" spans="1:36" s="107" customFormat="1" ht="30" customHeight="1" x14ac:dyDescent="0.35">
      <c r="A49" s="106"/>
      <c r="B49" s="1048"/>
      <c r="C49" s="880" t="s">
        <v>8</v>
      </c>
      <c r="D49" s="880"/>
      <c r="E49" s="880" t="str">
        <f>CONCATENATE(IF('Area B'!B29="None","",'Area B'!B29),"   ",IF('Area B'!B30="none","",'Area B'!B30),"   ",IF('Area B'!B31="none","",'Area B'!B31),"   ",IF('Area B'!B32="None","",'Area B'!B32),"   ",IF('Area B'!B33="None","",'Area B'!B33),"   ",IF('Area B'!B34="none","",'Area B'!B34),"   ",IF('Area B'!B35="none","",'Area B'!B35),"   ",IF('Area B'!B36="none","",'Area B'!B36))</f>
        <v xml:space="preserve">                     </v>
      </c>
      <c r="F49" s="880"/>
      <c r="G49" s="880"/>
      <c r="H49" s="223" t="s">
        <v>484</v>
      </c>
      <c r="I49" s="983" t="str">
        <f>CONCATENATE(IF('Area B'!$B$29="None","",'Area B'!$D$29),"    ",IF('Area B'!$B$30="none","",'Area B'!$D$30),"    ",IF('Area B'!$B$31="None","",'Area B'!$D$31),"    ",IF('Area B'!$B$32="None","",'Area B'!$D$32)," ",IF('Area B'!B33="None","",'Area B'!D33)," ",IF('Area B'!B34="none","",'Area B'!D34)," ",IF('Area B'!B35="None","",'Area B'!D35)," ",IF('Area B'!B36="None","",'Area B'!D36))</f>
        <v xml:space="preserve">                </v>
      </c>
      <c r="J49" s="983"/>
      <c r="K49" s="882">
        <f>'Area B'!G37</f>
        <v>0</v>
      </c>
      <c r="L49" s="882"/>
      <c r="M49" s="983" t="str">
        <f>CONCATENATE(IF('Area B'!$B$29="None","",'Area B'!$H$29),"    ",IF('Area B'!$B$30="none","",'Area B'!$H$30),"    ",IF('Area B'!$B$31="None","",'Area B'!$H$31),"    ",IF('Area B'!$B$32="None","",'Area B'!$H$32)," ",IF('Area B'!B33="None","",'Area B'!I33)," ",IF('Area B'!B34="none","",'Area B'!I34)," ",IF('Area B'!B35="None","",'Area B'!I35)," ",IF('Area B'!B36="None","",'Area B'!I36))</f>
        <v xml:space="preserve">                </v>
      </c>
      <c r="N49" s="983"/>
      <c r="O49" s="950">
        <f>'Area B'!J37</f>
        <v>0</v>
      </c>
      <c r="P49" s="950"/>
      <c r="Q49" s="108"/>
      <c r="R49" s="108"/>
      <c r="S49" s="108"/>
      <c r="T49" s="103"/>
      <c r="U49" s="103"/>
      <c r="V49" s="103"/>
      <c r="W49" s="103"/>
      <c r="X49" s="103"/>
      <c r="Y49" s="108"/>
      <c r="Z49" s="108"/>
      <c r="AA49" s="108"/>
      <c r="AB49" s="108"/>
      <c r="AC49" s="108"/>
      <c r="AD49" s="108"/>
      <c r="AE49" s="108"/>
      <c r="AF49" s="108"/>
      <c r="AG49" s="108"/>
      <c r="AH49" s="106"/>
      <c r="AI49" s="106"/>
      <c r="AJ49" s="106"/>
    </row>
    <row r="50" spans="1:36" s="107" customFormat="1" ht="19.5" customHeight="1" x14ac:dyDescent="0.35">
      <c r="A50" s="106"/>
      <c r="B50" s="1048"/>
      <c r="C50" s="880" t="s">
        <v>363</v>
      </c>
      <c r="D50" s="880"/>
      <c r="E50" s="880" t="str">
        <f>CONCATENATE(IF('Area B'!B40="None","",'Area B'!B40),"   ",IF('Area B'!B41="none","",'Area B'!B41),"   ",IF('Area B'!B42="none","",'Area B'!B42),"   ",IF('Area B'!B43="None","",'Area B'!B43),"   ")</f>
        <v xml:space="preserve">            </v>
      </c>
      <c r="F50" s="880"/>
      <c r="G50" s="880"/>
      <c r="H50" s="223" t="s">
        <v>482</v>
      </c>
      <c r="I50" s="983" t="str">
        <f>CONCATENATE(IF('Area B'!$B$40="None","",'Area B'!$E$40),"    ",IF('Area B'!$B$41="none","",'Area B'!$E$41),"    ",IF('Area B'!$B$42="None","",'Area B'!$E$42),"    ",IF('Area B'!$B$43="None","",'Area B'!$E$43))</f>
        <v xml:space="preserve">            </v>
      </c>
      <c r="J50" s="983"/>
      <c r="K50" s="882">
        <f>'Area B'!G44</f>
        <v>0</v>
      </c>
      <c r="L50" s="882"/>
      <c r="M50" s="983" t="str">
        <f>CONCATENATE(IF('Area B'!$B$40="None","",'Area B'!$I$40),"    ",IF('Area B'!$B$41="none","",'Area B'!$I$41),"    ",IF('Area B'!$B$42="None","",'Area B'!$I$42),"    ",IF('Area B'!$B$43="None","",'Area B'!$I$43))</f>
        <v xml:space="preserve">            </v>
      </c>
      <c r="N50" s="983"/>
      <c r="O50" s="950">
        <f>'Area B'!J44</f>
        <v>0</v>
      </c>
      <c r="P50" s="950"/>
      <c r="Q50" s="108"/>
      <c r="R50" s="108"/>
      <c r="S50" s="108"/>
      <c r="T50" s="103"/>
      <c r="U50" s="103"/>
      <c r="V50" s="103"/>
      <c r="W50" s="103"/>
      <c r="X50" s="103"/>
      <c r="Y50" s="108"/>
      <c r="Z50" s="108"/>
      <c r="AA50" s="108"/>
      <c r="AB50" s="108"/>
      <c r="AC50" s="108"/>
      <c r="AD50" s="108"/>
      <c r="AE50" s="108"/>
      <c r="AF50" s="108"/>
      <c r="AG50" s="108"/>
      <c r="AH50" s="106"/>
      <c r="AI50" s="106"/>
      <c r="AJ50" s="106"/>
    </row>
    <row r="51" spans="1:36" s="107" customFormat="1" ht="19.5" customHeight="1" x14ac:dyDescent="0.35">
      <c r="A51" s="106"/>
      <c r="B51" s="1048"/>
      <c r="C51" s="880" t="s">
        <v>7</v>
      </c>
      <c r="D51" s="880"/>
      <c r="E51" s="880"/>
      <c r="F51" s="880"/>
      <c r="G51" s="880"/>
      <c r="H51" s="223"/>
      <c r="I51" s="983"/>
      <c r="J51" s="983"/>
      <c r="K51" s="882">
        <f>'Area B'!G196</f>
        <v>0</v>
      </c>
      <c r="L51" s="882"/>
      <c r="M51" s="983"/>
      <c r="N51" s="983"/>
      <c r="O51" s="950">
        <f>'Area B'!J196</f>
        <v>0</v>
      </c>
      <c r="P51" s="950"/>
      <c r="Q51" s="108"/>
      <c r="R51" s="108"/>
      <c r="S51" s="108"/>
      <c r="T51" s="103"/>
      <c r="U51" s="103"/>
      <c r="V51" s="103"/>
      <c r="W51" s="103"/>
      <c r="X51" s="103"/>
      <c r="Y51" s="108"/>
      <c r="Z51" s="108"/>
      <c r="AA51" s="108"/>
      <c r="AB51" s="108"/>
      <c r="AC51" s="108"/>
      <c r="AD51" s="108"/>
      <c r="AE51" s="108"/>
      <c r="AF51" s="108"/>
      <c r="AG51" s="108"/>
      <c r="AH51" s="106"/>
      <c r="AI51" s="106"/>
      <c r="AJ51" s="106"/>
    </row>
    <row r="52" spans="1:36" s="107" customFormat="1" ht="19.5" customHeight="1" x14ac:dyDescent="0.35">
      <c r="A52" s="106"/>
      <c r="B52" s="1048"/>
      <c r="C52" s="880" t="s">
        <v>429</v>
      </c>
      <c r="D52" s="880"/>
      <c r="E52" s="880"/>
      <c r="F52" s="880"/>
      <c r="G52" s="880"/>
      <c r="H52" s="223"/>
      <c r="I52" s="983"/>
      <c r="J52" s="983"/>
      <c r="K52" s="882">
        <f>'Area B'!G266</f>
        <v>0</v>
      </c>
      <c r="L52" s="882"/>
      <c r="M52" s="983"/>
      <c r="N52" s="983"/>
      <c r="O52" s="950">
        <f>'Area B'!J266</f>
        <v>0</v>
      </c>
      <c r="P52" s="950"/>
      <c r="Q52" s="108"/>
      <c r="R52" s="108"/>
      <c r="S52" s="108"/>
      <c r="T52" s="103"/>
      <c r="U52" s="103"/>
      <c r="V52" s="103"/>
      <c r="W52" s="103"/>
      <c r="X52" s="103"/>
      <c r="Y52" s="108"/>
      <c r="Z52" s="108"/>
      <c r="AA52" s="108"/>
      <c r="AB52" s="108"/>
      <c r="AC52" s="108"/>
      <c r="AD52" s="108"/>
      <c r="AE52" s="108"/>
      <c r="AF52" s="108"/>
      <c r="AG52" s="108"/>
      <c r="AH52" s="106"/>
      <c r="AI52" s="106"/>
      <c r="AJ52" s="106"/>
    </row>
    <row r="53" spans="1:36" s="107" customFormat="1" ht="19.5" customHeight="1" x14ac:dyDescent="0.35">
      <c r="A53" s="106"/>
      <c r="B53" s="1048"/>
      <c r="C53" s="880" t="s">
        <v>430</v>
      </c>
      <c r="D53" s="880"/>
      <c r="E53" s="880"/>
      <c r="F53" s="880"/>
      <c r="G53" s="880"/>
      <c r="H53" s="223"/>
      <c r="I53" s="983"/>
      <c r="J53" s="983"/>
      <c r="K53" s="1057">
        <f>IF(H4="no",0,SUM(H14)*H5)</f>
        <v>0</v>
      </c>
      <c r="L53" s="1057"/>
      <c r="M53" s="983"/>
      <c r="N53" s="983"/>
      <c r="O53" s="950">
        <f>K53</f>
        <v>0</v>
      </c>
      <c r="P53" s="950"/>
      <c r="Q53" s="108"/>
      <c r="R53" s="108"/>
      <c r="S53" s="108"/>
      <c r="T53" s="103"/>
      <c r="U53" s="103"/>
      <c r="V53" s="103"/>
      <c r="W53" s="103"/>
      <c r="X53" s="103"/>
      <c r="Y53" s="108"/>
      <c r="Z53" s="108"/>
      <c r="AA53" s="108"/>
      <c r="AB53" s="108"/>
      <c r="AC53" s="108"/>
      <c r="AD53" s="108"/>
      <c r="AE53" s="108"/>
      <c r="AF53" s="108"/>
      <c r="AG53" s="108"/>
      <c r="AH53" s="106"/>
      <c r="AI53" s="106"/>
      <c r="AJ53" s="106"/>
    </row>
    <row r="54" spans="1:36" s="107" customFormat="1" ht="19.5" customHeight="1" thickBot="1" x14ac:dyDescent="0.4">
      <c r="A54" s="106"/>
      <c r="B54" s="1049"/>
      <c r="C54" s="1052" t="s">
        <v>431</v>
      </c>
      <c r="D54" s="1052"/>
      <c r="E54" s="1052"/>
      <c r="F54" s="1052"/>
      <c r="G54" s="1052"/>
      <c r="H54" s="224"/>
      <c r="I54" s="997"/>
      <c r="J54" s="997"/>
      <c r="K54" s="883">
        <f>SUM(K45:K53)</f>
        <v>0</v>
      </c>
      <c r="L54" s="883"/>
      <c r="M54" s="997"/>
      <c r="N54" s="997"/>
      <c r="O54" s="883">
        <f>SUM(O45:O53)</f>
        <v>0</v>
      </c>
      <c r="P54" s="883"/>
      <c r="Q54" s="108"/>
      <c r="R54" s="108"/>
      <c r="S54" s="108"/>
      <c r="T54" s="103"/>
      <c r="U54" s="103"/>
      <c r="V54" s="103"/>
      <c r="W54" s="103"/>
      <c r="X54" s="103"/>
      <c r="Y54" s="108"/>
      <c r="Z54" s="108"/>
      <c r="AA54" s="108"/>
      <c r="AB54" s="108"/>
      <c r="AC54" s="108"/>
      <c r="AD54" s="108"/>
      <c r="AE54" s="108"/>
      <c r="AF54" s="108"/>
      <c r="AG54" s="108"/>
      <c r="AH54" s="106"/>
      <c r="AI54" s="106"/>
      <c r="AJ54" s="106"/>
    </row>
    <row r="55" spans="1:36" s="107" customFormat="1" ht="19.5" customHeight="1" thickTop="1" x14ac:dyDescent="0.35">
      <c r="A55" s="106"/>
      <c r="B55" s="56"/>
      <c r="C55" s="1041" t="s">
        <v>494</v>
      </c>
      <c r="D55" s="1041"/>
      <c r="E55" s="891">
        <f>H19</f>
        <v>0.04</v>
      </c>
      <c r="F55" s="891"/>
      <c r="G55" s="891"/>
      <c r="H55" s="223"/>
      <c r="I55" s="1003"/>
      <c r="J55" s="1003"/>
      <c r="K55" s="1006">
        <f>SUM(K54*E55)</f>
        <v>0</v>
      </c>
      <c r="L55" s="1006"/>
      <c r="M55" s="57"/>
      <c r="N55" s="57"/>
      <c r="O55" s="998">
        <f>O54*E55</f>
        <v>0</v>
      </c>
      <c r="P55" s="998"/>
      <c r="Q55" s="108"/>
      <c r="R55" s="108"/>
      <c r="S55" s="108"/>
      <c r="T55" s="103"/>
      <c r="U55" s="103"/>
      <c r="V55" s="103"/>
      <c r="W55" s="103"/>
      <c r="X55" s="103"/>
      <c r="Y55" s="108"/>
      <c r="Z55" s="108"/>
      <c r="AA55" s="108"/>
      <c r="AB55" s="108"/>
      <c r="AC55" s="108"/>
      <c r="AD55" s="108"/>
      <c r="AE55" s="108"/>
      <c r="AF55" s="108"/>
      <c r="AG55" s="108"/>
      <c r="AH55" s="106"/>
      <c r="AI55" s="106"/>
      <c r="AJ55" s="106"/>
    </row>
    <row r="56" spans="1:36" s="107" customFormat="1" ht="19.5" customHeight="1" thickBot="1" x14ac:dyDescent="0.45">
      <c r="A56" s="106"/>
      <c r="B56" s="184"/>
      <c r="C56" s="1042" t="s">
        <v>367</v>
      </c>
      <c r="D56" s="1042"/>
      <c r="E56" s="892"/>
      <c r="F56" s="892"/>
      <c r="G56" s="892"/>
      <c r="H56" s="185"/>
      <c r="I56" s="1004"/>
      <c r="J56" s="1004"/>
      <c r="K56" s="999">
        <f>SUM(K54:L55)</f>
        <v>0</v>
      </c>
      <c r="L56" s="999"/>
      <c r="M56" s="186"/>
      <c r="N56" s="186"/>
      <c r="O56" s="999">
        <f>SUM(O54:P55)</f>
        <v>0</v>
      </c>
      <c r="P56" s="999"/>
      <c r="Q56" s="108"/>
      <c r="R56" s="108"/>
      <c r="S56" s="108"/>
      <c r="T56" s="103"/>
      <c r="U56" s="103"/>
      <c r="V56" s="103"/>
      <c r="W56" s="103"/>
      <c r="X56" s="103"/>
      <c r="Y56" s="108"/>
      <c r="Z56" s="108"/>
      <c r="AA56" s="108"/>
      <c r="AB56" s="108"/>
      <c r="AC56" s="108"/>
      <c r="AD56" s="108"/>
      <c r="AE56" s="108"/>
      <c r="AF56" s="108"/>
      <c r="AG56" s="108"/>
      <c r="AH56" s="106"/>
      <c r="AI56" s="106"/>
      <c r="AJ56" s="106"/>
    </row>
    <row r="57" spans="1:36" s="107" customFormat="1" ht="6.65" customHeight="1" thickBot="1" x14ac:dyDescent="0.45">
      <c r="A57" s="106"/>
      <c r="B57" s="187"/>
      <c r="C57" s="890"/>
      <c r="D57" s="890"/>
      <c r="E57" s="890"/>
      <c r="F57" s="890"/>
      <c r="G57" s="890"/>
      <c r="H57" s="187"/>
      <c r="I57" s="877"/>
      <c r="J57" s="877"/>
      <c r="K57" s="890"/>
      <c r="L57" s="890"/>
      <c r="M57" s="890"/>
      <c r="N57" s="890"/>
      <c r="O57" s="890"/>
      <c r="P57" s="890"/>
      <c r="Q57" s="925"/>
      <c r="R57" s="925"/>
      <c r="S57" s="108"/>
      <c r="T57" s="103"/>
      <c r="U57" s="103"/>
      <c r="V57" s="103"/>
      <c r="W57" s="103"/>
      <c r="X57" s="103"/>
      <c r="Y57" s="108"/>
      <c r="Z57" s="108"/>
      <c r="AA57" s="108"/>
      <c r="AB57" s="108"/>
      <c r="AC57" s="108"/>
      <c r="AD57" s="108"/>
      <c r="AE57" s="108"/>
      <c r="AF57" s="108"/>
      <c r="AG57" s="108"/>
      <c r="AH57" s="106"/>
      <c r="AI57" s="106"/>
      <c r="AJ57" s="106"/>
    </row>
    <row r="58" spans="1:36" s="107" customFormat="1" ht="32.25" customHeight="1" x14ac:dyDescent="0.35">
      <c r="A58" s="106"/>
      <c r="B58" s="1015" t="e">
        <f>#REF!</f>
        <v>#REF!</v>
      </c>
      <c r="C58" s="879" t="s">
        <v>0</v>
      </c>
      <c r="D58" s="879"/>
      <c r="E58" s="879" t="str">
        <f>CONCATENATE(IF('Area C'!$B$5="None","",'Area C'!$B$5), "   ",IF('Area C'!$B$7="None","",'Area C'!$B$7))</f>
        <v xml:space="preserve">TR200 Blk   </v>
      </c>
      <c r="F58" s="879"/>
      <c r="G58" s="879"/>
      <c r="H58" s="147" t="s">
        <v>481</v>
      </c>
      <c r="I58" s="875" t="str">
        <f>CONCATENATE(IF('Area C'!$B$5="None","",'Area C'!$D$5), "   ",,IF('Area C'!$B$7="None","",'Area C'!$D$7))</f>
        <v xml:space="preserve">0   </v>
      </c>
      <c r="J58" s="875"/>
      <c r="K58" s="886">
        <f>'Area C'!$G$5+'Area C'!$G$7</f>
        <v>0</v>
      </c>
      <c r="L58" s="886"/>
      <c r="M58" s="875" t="str">
        <f>CONCATENATE(IF('Area C'!$B$5="None","",'Area C'!$H$5), "   ",,IF('Area C'!$B$7="None","",'Area C'!$H$7))</f>
        <v xml:space="preserve">0   </v>
      </c>
      <c r="N58" s="875"/>
      <c r="O58" s="996">
        <f>'Area C'!$J$5+'Area C'!$J$7</f>
        <v>0</v>
      </c>
      <c r="P58" s="996"/>
      <c r="Q58" s="110">
        <f>IFERROR(O58/O69,0)</f>
        <v>0</v>
      </c>
      <c r="R58" s="978">
        <f>IFERROR((O58+O59)/O69,0)</f>
        <v>0</v>
      </c>
      <c r="S58" s="108"/>
      <c r="T58" s="103"/>
      <c r="U58" s="103"/>
      <c r="V58" s="103"/>
      <c r="W58" s="103"/>
      <c r="X58" s="103"/>
      <c r="Y58" s="108"/>
      <c r="Z58" s="108"/>
      <c r="AA58" s="108"/>
      <c r="AB58" s="108"/>
      <c r="AC58" s="108"/>
      <c r="AD58" s="108"/>
      <c r="AE58" s="108"/>
      <c r="AF58" s="108"/>
      <c r="AG58" s="108"/>
      <c r="AH58" s="106"/>
      <c r="AI58" s="106"/>
      <c r="AJ58" s="106"/>
    </row>
    <row r="59" spans="1:36" s="107" customFormat="1" ht="32.25" customHeight="1" x14ac:dyDescent="0.35">
      <c r="A59" s="106"/>
      <c r="B59" s="1015"/>
      <c r="C59" s="879" t="s">
        <v>413</v>
      </c>
      <c r="D59" s="879"/>
      <c r="E59" s="879" t="str">
        <f>CONCATENATE(IF('Area C'!$B$6="None","",'Area C'!$B$6), "   ",IF('Area C'!$B$8="None","",'Area C'!$B$8))</f>
        <v xml:space="preserve">BR200- Blk   </v>
      </c>
      <c r="F59" s="879"/>
      <c r="G59" s="879"/>
      <c r="H59" s="147" t="s">
        <v>481</v>
      </c>
      <c r="I59" s="875" t="str">
        <f>CONCATENATE(IF('Area C'!$B$6="None","",'Area C'!$D$6), "   ",,IF('Area C'!$B$8="None","",'Area C'!$D$8))</f>
        <v xml:space="preserve">0   </v>
      </c>
      <c r="J59" s="875"/>
      <c r="K59" s="886">
        <f>'Area C'!$G$6+'Area C'!$G$8</f>
        <v>0</v>
      </c>
      <c r="L59" s="886"/>
      <c r="M59" s="875" t="str">
        <f>CONCATENATE(IF('Area C'!$B$6="None","",'Area C'!$H$6), "   ",,IF('Area C'!$B$8="None","",'Area C'!$H$8))</f>
        <v xml:space="preserve">0   </v>
      </c>
      <c r="N59" s="875"/>
      <c r="O59" s="990">
        <f>'Area C'!$J$6+'Area C'!$J$8</f>
        <v>0</v>
      </c>
      <c r="P59" s="990"/>
      <c r="Q59" s="110">
        <f>IFERROR(O59/O69,0)</f>
        <v>0</v>
      </c>
      <c r="R59" s="978"/>
      <c r="S59" s="108"/>
      <c r="T59" s="103"/>
      <c r="U59" s="103"/>
      <c r="V59" s="103"/>
      <c r="W59" s="103"/>
      <c r="X59" s="103"/>
      <c r="Y59" s="108"/>
      <c r="Z59" s="108"/>
      <c r="AA59" s="108"/>
      <c r="AB59" s="108"/>
      <c r="AC59" s="108"/>
      <c r="AD59" s="108"/>
      <c r="AE59" s="108"/>
      <c r="AF59" s="108"/>
      <c r="AG59" s="108"/>
      <c r="AH59" s="106"/>
      <c r="AI59" s="106"/>
      <c r="AJ59" s="106"/>
    </row>
    <row r="60" spans="1:36" s="107" customFormat="1" ht="32.25" customHeight="1" x14ac:dyDescent="0.4">
      <c r="A60" s="106"/>
      <c r="B60" s="1015"/>
      <c r="C60" s="879" t="s">
        <v>4</v>
      </c>
      <c r="D60" s="879"/>
      <c r="E60" s="889" t="str">
        <f>CONCATENATE(IF('Area C'!$B$12="none","",'Area C'!$B$12)," ",IF('Area C'!$B$13="None","",'Area C'!$B$13)," ",IF('Area C'!$B$14="None","",'Area C'!$B$14)," ",IF('Area C'!$B$15="None","",'Area C'!$B$15)," ",IF('Area C'!$B$16="None","",'Area C'!$B$16)," ",IF('Area C'!$B$17="None","",'Area C'!$B$17))</f>
        <v xml:space="preserve">   P421- Blk U P421- Blk U P421- Blk U</v>
      </c>
      <c r="F60" s="889"/>
      <c r="G60" s="889"/>
      <c r="H60" s="147" t="s">
        <v>481</v>
      </c>
      <c r="I60" s="875" t="str">
        <f>CONCATENATE(IF('Area C'!$B$12="None","",'Area C'!$D$12)," ",IF('Area C'!$B$15="None","",'Area C'!$E$15))</f>
        <v xml:space="preserve"> 0</v>
      </c>
      <c r="J60" s="875"/>
      <c r="K60" s="886">
        <f>'Area C'!$G$19</f>
        <v>0</v>
      </c>
      <c r="L60" s="886"/>
      <c r="M60" s="875" t="str">
        <f>CONCATENATE(IF('Area C'!$B$12="None","",'Area C'!$H$12)," ",IF('Area C'!$B$15="None","",'Area C'!$H$15))</f>
        <v xml:space="preserve"> 0</v>
      </c>
      <c r="N60" s="875"/>
      <c r="O60" s="990">
        <f>'Area C'!$J$19</f>
        <v>0</v>
      </c>
      <c r="P60" s="990"/>
      <c r="Q60" s="108"/>
      <c r="R60" s="108"/>
      <c r="S60" s="108"/>
      <c r="T60" s="109"/>
      <c r="U60" s="109"/>
      <c r="V60" s="103"/>
      <c r="W60" s="103"/>
      <c r="X60" s="103"/>
      <c r="Y60" s="108"/>
      <c r="Z60" s="108"/>
      <c r="AA60" s="108"/>
      <c r="AB60" s="108"/>
      <c r="AC60" s="108"/>
      <c r="AD60" s="108"/>
      <c r="AE60" s="108"/>
      <c r="AF60" s="108"/>
      <c r="AG60" s="108"/>
      <c r="AH60" s="106"/>
      <c r="AI60" s="106"/>
      <c r="AJ60" s="106"/>
    </row>
    <row r="61" spans="1:36" s="107" customFormat="1" ht="32.25" customHeight="1" x14ac:dyDescent="0.35">
      <c r="A61" s="106"/>
      <c r="B61" s="1015"/>
      <c r="C61" s="879" t="s">
        <v>6</v>
      </c>
      <c r="D61" s="879"/>
      <c r="E61" s="879" t="str">
        <f>CONCATENATE(IF('Area C'!$B$22="None","",'Area C'!$B$22),"   ",IF('Area C'!$B$23="none","",'Area C'!$B$23),"   ",IF('Area C'!$B$24="None","",'Area C'!$B$24),"   ",IF('Area C'!$B$25="None","",'Area C'!$B$25))</f>
        <v xml:space="preserve">         </v>
      </c>
      <c r="F61" s="879"/>
      <c r="G61" s="879"/>
      <c r="H61" s="147" t="s">
        <v>482</v>
      </c>
      <c r="I61" s="875" t="str">
        <f>CONCATENATE(IF('Area C'!$B$22="None","",'Area C'!$E$22),"    ",IF('Area C'!$B$23="none","",'Area C'!$E$23),"    ",IF('Area C'!$B$24="None","",'Area C'!$E$24),"    ",IF('Area C'!$B$25="None","",'Area C'!$E$25))</f>
        <v xml:space="preserve">            </v>
      </c>
      <c r="J61" s="875"/>
      <c r="K61" s="886">
        <f>'Area C'!$G$26</f>
        <v>0</v>
      </c>
      <c r="L61" s="886"/>
      <c r="M61" s="875" t="str">
        <f>CONCATENATE(IF('Area C'!$B$22="None","",'Area C'!$I$22),"    ",IF('Area C'!$B$23="none","",'Area C'!$I$23),"    ",IF('Area C'!$B$24="None","",'Area C'!$I$24),"    ",IF('Area C'!$B$25="None","",'Area C'!$I$25))</f>
        <v xml:space="preserve">            </v>
      </c>
      <c r="N61" s="875"/>
      <c r="O61" s="990">
        <f>'Area C'!$J$26</f>
        <v>0</v>
      </c>
      <c r="P61" s="990"/>
      <c r="Q61" s="108"/>
      <c r="R61" s="108"/>
      <c r="S61" s="108"/>
      <c r="T61" s="103"/>
      <c r="U61" s="103"/>
      <c r="V61" s="103"/>
      <c r="W61" s="103"/>
      <c r="X61" s="103"/>
      <c r="Y61" s="108"/>
      <c r="Z61" s="108"/>
      <c r="AA61" s="108"/>
      <c r="AB61" s="108"/>
      <c r="AC61" s="108"/>
      <c r="AD61" s="108"/>
      <c r="AE61" s="108"/>
      <c r="AF61" s="108"/>
      <c r="AG61" s="108"/>
      <c r="AH61" s="106"/>
      <c r="AI61" s="106"/>
      <c r="AJ61" s="106"/>
    </row>
    <row r="62" spans="1:36" s="107" customFormat="1" ht="32.25" customHeight="1" x14ac:dyDescent="0.35">
      <c r="A62" s="106"/>
      <c r="B62" s="1015"/>
      <c r="C62" s="879" t="s">
        <v>8</v>
      </c>
      <c r="D62" s="879"/>
      <c r="E62" s="879" t="str">
        <f>CONCATENATE(IF('Area C'!$B$29="None","",'Area C'!$B$29),"   ",IF('Area C'!$B$30="none","",'Area C'!$B$30),"   ",IF('Area C'!$B$31="none","",'Area C'!$B$31),"   ",IF('Area C'!$B$32="None","",'Area C'!$B$32),"   ",IF('Area C'!$B$33="None","",'Area C'!$B$33),"   ",IF('Area C'!$B$34="none","",'Area C'!$B$34),"   ",IF('Area C'!$B$35="none","",'Area C'!$B$35),"   ",IF('Area C'!$B$36="none","",'Area C'!$B$36))</f>
        <v xml:space="preserve">      CTG - CL 1/4   CTG - PE 1/4            </v>
      </c>
      <c r="F62" s="879"/>
      <c r="G62" s="879"/>
      <c r="H62" s="147" t="s">
        <v>484</v>
      </c>
      <c r="I62" s="875" t="str">
        <f>CONCATENATE(IF('Area C'!$B$29="None","",'Area C'!$D$29),"    ",IF('Area C'!$B$30="none","",'Area C'!$D$30),"    ",IF('Area C'!$B$31="None","",'Area C'!$D$31),"    ",IF('Area C'!$B$32="None","",'Area C'!$D$32)," ",IF('Area C'!$B$33="None","",'Area C'!$D$33)," ",IF('Area C'!$B$34="None","",'Area C'!$D$34)," ",IF('Area C'!$B$35="None","",'Area C'!$D$35)," ",IF('Area C'!$B$36="None","",'Area C'!$D$36))</f>
        <v xml:space="preserve">        0    0    </v>
      </c>
      <c r="J62" s="875"/>
      <c r="K62" s="886">
        <f>'Area C'!$G$37</f>
        <v>0</v>
      </c>
      <c r="L62" s="886"/>
      <c r="M62" s="875" t="str">
        <f>CONCATENATE(IF('Area C'!$B$29="None","",'Area C'!$H$29),"    ",IF('Area C'!$B$30="none","",'Area C'!$H$30),"    ",IF('Area C'!$B$31="None","",'Area C'!$H$31),"    ",IF('Area C'!$B$32="None","",'Area C'!$H$32)," ",IF('Area C'!$B$33="None","",'Area C'!$H$33)," ",IF('Area C'!$B$34="None","",'Area C'!$H$34)," ",IF('Area C'!$B$35="None","",'Area C'!$H$35)," ",IF('Area C'!$B$36="None","",'Area C'!$H$36))</f>
        <v xml:space="preserve">        0    0    </v>
      </c>
      <c r="N62" s="875"/>
      <c r="O62" s="990">
        <f>'Area C'!$J$37</f>
        <v>0</v>
      </c>
      <c r="P62" s="990"/>
      <c r="Q62" s="106"/>
      <c r="R62" s="106"/>
      <c r="S62" s="106"/>
      <c r="T62" s="103"/>
      <c r="U62" s="103"/>
      <c r="V62" s="103"/>
      <c r="W62" s="103"/>
      <c r="X62" s="103"/>
      <c r="Y62" s="108"/>
      <c r="Z62" s="108"/>
      <c r="AA62" s="108"/>
      <c r="AB62" s="108"/>
      <c r="AC62" s="108"/>
      <c r="AD62" s="108"/>
      <c r="AE62" s="108"/>
      <c r="AF62" s="108"/>
      <c r="AG62" s="108"/>
      <c r="AH62" s="106"/>
      <c r="AI62" s="106"/>
      <c r="AJ62" s="106"/>
    </row>
    <row r="63" spans="1:36" s="107" customFormat="1" ht="21" customHeight="1" x14ac:dyDescent="0.35">
      <c r="A63" s="106"/>
      <c r="B63" s="1015"/>
      <c r="C63" s="879" t="s">
        <v>363</v>
      </c>
      <c r="D63" s="879"/>
      <c r="E63" s="879" t="str">
        <f>CONCATENATE(IF('Area C'!$B$40="None","",'Area C'!$B$40),"   ",IF('Area C'!$B$41="none","",'Area C'!$B$41),"   ",IF('Area C'!$B$42="none","",'Area C'!$B$42),"   ",IF('Area C'!$B$43="None","",'Area C'!$B$43),"   ")</f>
        <v xml:space="preserve">200EP POW Blk            </v>
      </c>
      <c r="F63" s="879"/>
      <c r="G63" s="879"/>
      <c r="H63" s="147" t="s">
        <v>482</v>
      </c>
      <c r="I63" s="875" t="str">
        <f>CONCATENATE(IF('Area C'!$B$40="None","",'Area C'!$E$40),"    ",IF('Area C'!$B$41="none","",'Area C'!$E$41),"    ",IF('Area C'!$B$42="None","",'Area C'!$E$42),"    ",IF('Area C'!$B$43="None","",'Area C'!$E$43))</f>
        <v xml:space="preserve">0            </v>
      </c>
      <c r="J63" s="875"/>
      <c r="K63" s="886">
        <f>'Area C'!G57</f>
        <v>0</v>
      </c>
      <c r="L63" s="886"/>
      <c r="M63" s="875" t="str">
        <f>CONCATENATE(IF('Area C'!$B$40="None","",'Area C'!$I$40),"    ",IF('Area C'!$B$41="none","",'Area C'!$I$41),"    ",IF('Area C'!$B$42="None","",'Area C'!$I$42),"    ",IF('Area C'!$B$43="None","",'Area C'!$I$43))</f>
        <v xml:space="preserve">0            </v>
      </c>
      <c r="N63" s="875"/>
      <c r="O63" s="990">
        <f>'Area C'!$J$44</f>
        <v>0</v>
      </c>
      <c r="P63" s="990"/>
      <c r="Q63" s="108"/>
      <c r="R63" s="108"/>
      <c r="S63" s="108"/>
      <c r="T63" s="103"/>
      <c r="U63" s="103"/>
      <c r="V63" s="103"/>
      <c r="W63" s="103"/>
      <c r="X63" s="103"/>
      <c r="Y63" s="108"/>
      <c r="Z63" s="108"/>
      <c r="AA63" s="108"/>
      <c r="AB63" s="108"/>
      <c r="AC63" s="108"/>
      <c r="AD63" s="108"/>
      <c r="AE63" s="108"/>
      <c r="AF63" s="108"/>
      <c r="AG63" s="108"/>
      <c r="AH63" s="106"/>
      <c r="AI63" s="106"/>
      <c r="AJ63" s="106"/>
    </row>
    <row r="64" spans="1:36" s="107" customFormat="1" ht="21" customHeight="1" x14ac:dyDescent="0.35">
      <c r="A64" s="106"/>
      <c r="B64" s="1015"/>
      <c r="C64" s="879" t="s">
        <v>7</v>
      </c>
      <c r="D64" s="879"/>
      <c r="E64" s="879"/>
      <c r="F64" s="879"/>
      <c r="G64" s="879"/>
      <c r="H64" s="147"/>
      <c r="I64" s="875"/>
      <c r="J64" s="875"/>
      <c r="K64" s="886">
        <f>'Area C'!G196</f>
        <v>0</v>
      </c>
      <c r="L64" s="886"/>
      <c r="M64" s="875"/>
      <c r="N64" s="875"/>
      <c r="O64" s="990">
        <f>'Area C'!$J$196</f>
        <v>0</v>
      </c>
      <c r="P64" s="990"/>
      <c r="Q64" s="108"/>
      <c r="R64" s="108"/>
      <c r="S64" s="108"/>
      <c r="T64" s="103"/>
      <c r="U64" s="103"/>
      <c r="V64" s="103"/>
      <c r="W64" s="103"/>
      <c r="X64" s="103"/>
      <c r="Y64" s="108"/>
      <c r="Z64" s="108"/>
      <c r="AA64" s="108"/>
      <c r="AB64" s="108"/>
      <c r="AC64" s="108"/>
      <c r="AD64" s="108"/>
      <c r="AE64" s="108"/>
      <c r="AF64" s="108"/>
      <c r="AG64" s="108"/>
      <c r="AH64" s="106"/>
      <c r="AI64" s="106"/>
      <c r="AJ64" s="106"/>
    </row>
    <row r="65" spans="1:38" s="107" customFormat="1" ht="21" customHeight="1" x14ac:dyDescent="0.35">
      <c r="A65" s="106"/>
      <c r="B65" s="1015"/>
      <c r="C65" s="879" t="s">
        <v>429</v>
      </c>
      <c r="D65" s="879"/>
      <c r="E65" s="879"/>
      <c r="F65" s="879"/>
      <c r="G65" s="879"/>
      <c r="H65" s="147"/>
      <c r="I65" s="875"/>
      <c r="J65" s="875"/>
      <c r="K65" s="886">
        <f>'Area C'!G266</f>
        <v>0</v>
      </c>
      <c r="L65" s="886"/>
      <c r="M65" s="875"/>
      <c r="N65" s="875"/>
      <c r="O65" s="990">
        <f>'Area C'!$J$266</f>
        <v>0</v>
      </c>
      <c r="P65" s="990"/>
      <c r="Q65" s="108"/>
      <c r="R65" s="108"/>
      <c r="S65" s="108"/>
      <c r="T65" s="103"/>
      <c r="U65" s="103"/>
      <c r="V65" s="103"/>
      <c r="W65" s="103"/>
      <c r="X65" s="103"/>
      <c r="Y65" s="108"/>
      <c r="Z65" s="108"/>
      <c r="AA65" s="108"/>
      <c r="AB65" s="108"/>
      <c r="AC65" s="108"/>
      <c r="AD65" s="108"/>
      <c r="AE65" s="108"/>
      <c r="AF65" s="108"/>
      <c r="AG65" s="108"/>
      <c r="AH65" s="106"/>
      <c r="AI65" s="106"/>
      <c r="AJ65" s="106"/>
    </row>
    <row r="66" spans="1:38" s="107" customFormat="1" ht="21" customHeight="1" x14ac:dyDescent="0.35">
      <c r="A66" s="106"/>
      <c r="B66" s="1015"/>
      <c r="C66" s="879" t="s">
        <v>430</v>
      </c>
      <c r="D66" s="879"/>
      <c r="E66" s="879"/>
      <c r="F66" s="879"/>
      <c r="G66" s="879"/>
      <c r="H66" s="147"/>
      <c r="I66" s="875"/>
      <c r="J66" s="875"/>
      <c r="K66" s="1007">
        <f>IF(L4="no",0,SUM(L14)*L5)</f>
        <v>0</v>
      </c>
      <c r="L66" s="1007"/>
      <c r="M66" s="875"/>
      <c r="N66" s="875"/>
      <c r="O66" s="990">
        <f>K66</f>
        <v>0</v>
      </c>
      <c r="P66" s="990"/>
      <c r="Q66" s="108"/>
      <c r="R66" s="108"/>
      <c r="S66" s="108"/>
      <c r="T66" s="103"/>
      <c r="U66" s="103"/>
      <c r="V66" s="103"/>
      <c r="W66" s="103"/>
      <c r="X66" s="103"/>
      <c r="Y66" s="108"/>
      <c r="Z66" s="108"/>
      <c r="AA66" s="108"/>
      <c r="AB66" s="108"/>
      <c r="AC66" s="108"/>
      <c r="AD66" s="108"/>
      <c r="AE66" s="108"/>
      <c r="AF66" s="108"/>
      <c r="AG66" s="108"/>
      <c r="AH66" s="106"/>
      <c r="AI66" s="106"/>
      <c r="AJ66" s="106"/>
    </row>
    <row r="67" spans="1:38" s="107" customFormat="1" ht="21" customHeight="1" thickBot="1" x14ac:dyDescent="0.4">
      <c r="A67" s="106"/>
      <c r="B67" s="1016"/>
      <c r="C67" s="1010" t="s">
        <v>431</v>
      </c>
      <c r="D67" s="1010"/>
      <c r="E67" s="1010"/>
      <c r="F67" s="1010"/>
      <c r="G67" s="1010"/>
      <c r="H67" s="148"/>
      <c r="I67" s="995"/>
      <c r="J67" s="995"/>
      <c r="K67" s="992">
        <f>SUM(K58:K66)</f>
        <v>0</v>
      </c>
      <c r="L67" s="992"/>
      <c r="M67" s="995"/>
      <c r="N67" s="995"/>
      <c r="O67" s="992">
        <f>SUM(O58:O66)</f>
        <v>0</v>
      </c>
      <c r="P67" s="992"/>
      <c r="Q67" s="108"/>
      <c r="R67" s="108"/>
      <c r="S67" s="108"/>
      <c r="T67" s="103"/>
      <c r="U67" s="103"/>
      <c r="V67" s="103"/>
      <c r="W67" s="103"/>
      <c r="X67" s="103"/>
      <c r="Y67" s="108"/>
      <c r="Z67" s="108"/>
      <c r="AA67" s="108"/>
      <c r="AB67" s="108"/>
      <c r="AC67" s="108"/>
      <c r="AD67" s="108"/>
      <c r="AE67" s="108"/>
      <c r="AF67" s="108"/>
      <c r="AG67" s="108"/>
      <c r="AH67" s="106"/>
      <c r="AI67" s="106"/>
      <c r="AJ67" s="106"/>
    </row>
    <row r="68" spans="1:38" s="107" customFormat="1" ht="21" customHeight="1" thickTop="1" x14ac:dyDescent="0.35">
      <c r="A68" s="106"/>
      <c r="B68" s="58"/>
      <c r="C68" s="1038" t="s">
        <v>494</v>
      </c>
      <c r="D68" s="1038"/>
      <c r="E68" s="881">
        <f>L19</f>
        <v>0.04</v>
      </c>
      <c r="F68" s="881"/>
      <c r="G68" s="881"/>
      <c r="H68" s="147"/>
      <c r="I68" s="1009"/>
      <c r="J68" s="1009"/>
      <c r="K68" s="884">
        <f>SUM(K58:L65)*E68</f>
        <v>0</v>
      </c>
      <c r="L68" s="884"/>
      <c r="M68" s="59"/>
      <c r="N68" s="59"/>
      <c r="O68" s="993">
        <f>O67*E68</f>
        <v>0</v>
      </c>
      <c r="P68" s="993"/>
      <c r="Q68" s="108"/>
      <c r="R68" s="108"/>
      <c r="S68" s="108"/>
      <c r="T68" s="103"/>
      <c r="U68" s="103"/>
      <c r="V68" s="103"/>
      <c r="W68" s="103"/>
      <c r="X68" s="103"/>
      <c r="Y68" s="108"/>
      <c r="Z68" s="108"/>
      <c r="AA68" s="108"/>
      <c r="AB68" s="108"/>
      <c r="AC68" s="108"/>
      <c r="AD68" s="108"/>
      <c r="AE68" s="108"/>
      <c r="AF68" s="108"/>
      <c r="AG68" s="108"/>
      <c r="AH68" s="106"/>
      <c r="AI68" s="106"/>
      <c r="AJ68" s="106"/>
    </row>
    <row r="69" spans="1:38" s="107" customFormat="1" ht="21" customHeight="1" thickBot="1" x14ac:dyDescent="0.45">
      <c r="A69" s="106"/>
      <c r="B69" s="181"/>
      <c r="C69" s="1039" t="s">
        <v>367</v>
      </c>
      <c r="D69" s="1039"/>
      <c r="E69" s="1008"/>
      <c r="F69" s="1008"/>
      <c r="G69" s="1008"/>
      <c r="H69" s="182"/>
      <c r="I69" s="1005"/>
      <c r="J69" s="1005"/>
      <c r="K69" s="1000">
        <f>SUM(K67:L68)</f>
        <v>0</v>
      </c>
      <c r="L69" s="1000"/>
      <c r="M69" s="183"/>
      <c r="N69" s="183"/>
      <c r="O69" s="994">
        <f>SUM(O67:P68)</f>
        <v>0</v>
      </c>
      <c r="P69" s="994"/>
      <c r="Q69" s="108"/>
      <c r="R69" s="108"/>
      <c r="S69" s="108"/>
      <c r="T69" s="108"/>
      <c r="U69" s="106"/>
      <c r="V69" s="106"/>
      <c r="W69" s="103"/>
      <c r="X69" s="103"/>
      <c r="Y69" s="108"/>
      <c r="Z69" s="108"/>
      <c r="AA69" s="108"/>
      <c r="AB69" s="108"/>
      <c r="AC69" s="108"/>
      <c r="AD69" s="108"/>
      <c r="AE69" s="108"/>
      <c r="AF69" s="108"/>
      <c r="AG69" s="108"/>
      <c r="AH69" s="106"/>
      <c r="AI69" s="106"/>
      <c r="AJ69" s="106"/>
    </row>
    <row r="70" spans="1:38" s="107" customFormat="1" ht="6.65" customHeight="1" thickBot="1" x14ac:dyDescent="0.4">
      <c r="A70" s="106"/>
      <c r="B70" s="890"/>
      <c r="C70" s="890"/>
      <c r="D70" s="890"/>
      <c r="E70" s="890"/>
      <c r="F70" s="890"/>
      <c r="G70" s="890"/>
      <c r="H70" s="890"/>
      <c r="I70" s="890"/>
      <c r="J70" s="890"/>
      <c r="K70" s="890"/>
      <c r="L70" s="890"/>
      <c r="M70" s="890"/>
      <c r="N70" s="890"/>
      <c r="O70" s="890"/>
      <c r="P70" s="890"/>
      <c r="Q70" s="890"/>
      <c r="R70" s="187"/>
      <c r="S70" s="108"/>
      <c r="T70" s="108"/>
      <c r="U70" s="108"/>
      <c r="V70" s="108"/>
      <c r="W70" s="103"/>
      <c r="X70" s="103"/>
      <c r="Y70" s="108"/>
      <c r="Z70" s="108"/>
      <c r="AA70" s="108"/>
      <c r="AB70" s="108"/>
      <c r="AC70" s="108"/>
      <c r="AD70" s="108"/>
      <c r="AE70" s="108"/>
      <c r="AF70" s="108"/>
      <c r="AG70" s="108"/>
      <c r="AH70" s="106"/>
      <c r="AI70" s="106"/>
      <c r="AJ70" s="106"/>
    </row>
    <row r="71" spans="1:38" s="107" customFormat="1" ht="31.4" customHeight="1" x14ac:dyDescent="0.35">
      <c r="A71" s="106"/>
      <c r="B71" s="893" t="e">
        <f>#REF!</f>
        <v>#REF!</v>
      </c>
      <c r="C71" s="896" t="s">
        <v>0</v>
      </c>
      <c r="D71" s="896"/>
      <c r="E71" s="896" t="str">
        <f>CONCATENATE(IF('Area D'!$B$5="None","",'Area D'!$B$5), "   ",IF('Area D'!$B$7="None","",'Area D'!$B$7))</f>
        <v xml:space="preserve">TR200 Blk   </v>
      </c>
      <c r="F71" s="896"/>
      <c r="G71" s="896"/>
      <c r="H71" s="355" t="s">
        <v>481</v>
      </c>
      <c r="I71" s="898" t="str">
        <f>CONCATENATE(IF('Area D'!$B$5="None","",'Area D'!$D$5), "   ",,IF('Area D'!$B$7="None","",'Area D'!$D$7))</f>
        <v xml:space="preserve">0   </v>
      </c>
      <c r="J71" s="898"/>
      <c r="K71" s="895">
        <f>'Area D'!$G$5+'Area D'!$G$7</f>
        <v>0</v>
      </c>
      <c r="L71" s="895"/>
      <c r="M71" s="898" t="str">
        <f>CONCATENATE(IF('Area D'!$B$5="None","",'Area D'!$H$5), "   ",,IF('Area D'!$B$7="None","",'Area D'!$H$7))</f>
        <v xml:space="preserve">0   </v>
      </c>
      <c r="N71" s="898"/>
      <c r="O71" s="906">
        <f>'Area D'!$J$5+'Area D'!$J$7</f>
        <v>0</v>
      </c>
      <c r="P71" s="906"/>
      <c r="Q71" s="110">
        <f>IFERROR(O71/O82,0)</f>
        <v>0</v>
      </c>
      <c r="R71" s="978">
        <f>IFERROR((O71+O72)/O82,0)</f>
        <v>0</v>
      </c>
      <c r="S71" s="108"/>
      <c r="T71" s="108"/>
      <c r="U71" s="108"/>
      <c r="V71" s="108"/>
      <c r="W71" s="106"/>
      <c r="X71" s="106"/>
      <c r="Y71" s="106"/>
      <c r="Z71" s="106"/>
      <c r="AA71" s="106"/>
      <c r="AB71" s="106"/>
      <c r="AC71" s="106"/>
      <c r="AD71" s="106"/>
      <c r="AE71" s="106"/>
      <c r="AF71" s="106"/>
      <c r="AG71" s="106"/>
      <c r="AH71" s="106"/>
      <c r="AI71" s="106"/>
      <c r="AJ71" s="106"/>
    </row>
    <row r="72" spans="1:38" s="107" customFormat="1" ht="31.4" customHeight="1" x14ac:dyDescent="0.35">
      <c r="A72" s="106"/>
      <c r="B72" s="893"/>
      <c r="C72" s="896" t="s">
        <v>413</v>
      </c>
      <c r="D72" s="896"/>
      <c r="E72" s="896" t="str">
        <f>CONCATENATE(IF('Area D'!$B$6="None","",'Area D'!$B$6), "   ",IF('Area D'!$B$8="None","",'Area D'!$B$8))</f>
        <v xml:space="preserve">BR200- Blk   </v>
      </c>
      <c r="F72" s="896"/>
      <c r="G72" s="896"/>
      <c r="H72" s="355" t="s">
        <v>481</v>
      </c>
      <c r="I72" s="898" t="str">
        <f>CONCATENATE(IF('Area D'!$B$6="None","",'Area D'!$D$6), "   ",,IF('Area D'!$B$8="None","",'Area D'!$D$8))</f>
        <v xml:space="preserve">0   </v>
      </c>
      <c r="J72" s="898"/>
      <c r="K72" s="895">
        <f>'Area D'!$G$6+'Area D'!$G$8</f>
        <v>0</v>
      </c>
      <c r="L72" s="895"/>
      <c r="M72" s="898" t="str">
        <f>CONCATENATE(IF('Area D'!$B$6="None","",'Area D'!$H$6), "   ",,IF('Area D'!$B$8="None","",'Area D'!$H$8))</f>
        <v xml:space="preserve">0   </v>
      </c>
      <c r="N72" s="898"/>
      <c r="O72" s="906">
        <f>'Area D'!$J$6+'Area D'!$J$8</f>
        <v>0</v>
      </c>
      <c r="P72" s="906"/>
      <c r="Q72" s="110">
        <f>IFERROR(O72/O82,0)</f>
        <v>0</v>
      </c>
      <c r="R72" s="978"/>
      <c r="S72" s="103"/>
      <c r="T72" s="108"/>
      <c r="U72" s="108"/>
      <c r="V72" s="108"/>
      <c r="W72" s="108"/>
      <c r="X72" s="108"/>
      <c r="Y72" s="108"/>
      <c r="Z72" s="108"/>
      <c r="AA72" s="108"/>
      <c r="AB72" s="108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</row>
    <row r="73" spans="1:38" s="107" customFormat="1" ht="31.4" customHeight="1" x14ac:dyDescent="0.35">
      <c r="A73" s="106"/>
      <c r="B73" s="893"/>
      <c r="C73" s="896" t="s">
        <v>4</v>
      </c>
      <c r="D73" s="896"/>
      <c r="E73" s="897" t="str">
        <f>CONCATENATE(IF('Area D'!$B$12="none","",'Area D'!$B$12)," ",IF('Area D'!$B$13="None","",'Area D'!$B$13)," ",IF('Area D'!$B$14="None","",'Area D'!$B$14)," ",IF('Area D'!$B$15="None","",'Area D'!$B$15)," ",IF('Area D'!$B$16="None","",'Area D'!$B$16)," ",IF('Area D'!$B$17="None","",'Area D'!$B$17))</f>
        <v xml:space="preserve">   FP56- Blk FP56- Blk FP56- Blk</v>
      </c>
      <c r="F73" s="897"/>
      <c r="G73" s="897"/>
      <c r="H73" s="355" t="s">
        <v>481</v>
      </c>
      <c r="I73" s="898" t="str">
        <f>CONCATENATE(IF('Area D'!$B$12="None","",'Area D'!$D$12)," ",IF('Area D'!$B$15="None","",'Area D'!$E$15))</f>
        <v xml:space="preserve"> 0</v>
      </c>
      <c r="J73" s="898"/>
      <c r="K73" s="895">
        <f>'Area D'!$G$19</f>
        <v>0</v>
      </c>
      <c r="L73" s="895"/>
      <c r="M73" s="898" t="str">
        <f>CONCATENATE(IF('Area D'!$B$12="None","",'Area D'!$H$12)," ",IF('Area D'!$B$15="None","",'Area D'!$H$15))</f>
        <v xml:space="preserve"> 0</v>
      </c>
      <c r="N73" s="898"/>
      <c r="O73" s="906">
        <f>'Area D'!$J$19</f>
        <v>0</v>
      </c>
      <c r="P73" s="906"/>
      <c r="Q73" s="108"/>
      <c r="R73" s="108"/>
      <c r="S73" s="146"/>
      <c r="T73" s="108"/>
      <c r="U73" s="108"/>
      <c r="V73" s="108"/>
      <c r="W73" s="108"/>
      <c r="X73" s="108"/>
      <c r="Y73" s="108"/>
      <c r="Z73" s="108"/>
      <c r="AA73" s="108"/>
      <c r="AB73" s="108"/>
      <c r="AC73" s="106"/>
      <c r="AD73" s="106"/>
      <c r="AE73" s="106"/>
      <c r="AF73" s="106"/>
      <c r="AG73" s="106"/>
      <c r="AH73" s="106"/>
      <c r="AI73" s="106"/>
      <c r="AJ73" s="106"/>
      <c r="AK73" s="106"/>
      <c r="AL73" s="106"/>
    </row>
    <row r="74" spans="1:38" s="107" customFormat="1" ht="31.4" customHeight="1" x14ac:dyDescent="0.35">
      <c r="A74" s="106"/>
      <c r="B74" s="893"/>
      <c r="C74" s="896" t="s">
        <v>6</v>
      </c>
      <c r="D74" s="896"/>
      <c r="E74" s="896" t="str">
        <f>CONCATENATE(IF('Area D'!$B$22="None","",'Area D'!$B$22),"   ",IF('Area D'!$B$23="none","",'Area D'!$B$23),"   ",IF('Area D'!$B$24="None","",'Area D'!$B$24),"   ",IF('Area D'!$B$25="None","",'Area D'!$B$25))</f>
        <v xml:space="preserve">Halfen Anchor-12"   Halfen Corner      </v>
      </c>
      <c r="F74" s="896"/>
      <c r="G74" s="896"/>
      <c r="H74" s="355" t="s">
        <v>482</v>
      </c>
      <c r="I74" s="898" t="str">
        <f>CONCATENATE(IF('Area D'!$B$22="None","",'Area D'!$E$22),"    ",IF('Area D'!$B$23="none","",'Area D'!$E$23),"    ",IF('Area D'!$B$24="None","",'Area D'!$E$24),"    ",IF('Area D'!$B$25="None","",'Area D'!$E$25))</f>
        <v xml:space="preserve">0    0        </v>
      </c>
      <c r="J74" s="898"/>
      <c r="K74" s="895">
        <f>'Area D'!$G$26</f>
        <v>0</v>
      </c>
      <c r="L74" s="895"/>
      <c r="M74" s="898" t="str">
        <f>CONCATENATE(IF('Area D'!$B$22="None","",'Area D'!$I$22),"    ",IF('Area D'!$B$23="none","",'Area D'!$I$23),"    ",IF('Area D'!$B$24="None","",'Area D'!$I$24),"    ",IF('Area D'!$B$25="None","",'Area D'!$I$25))</f>
        <v xml:space="preserve">0    0        </v>
      </c>
      <c r="N74" s="898"/>
      <c r="O74" s="906">
        <f>'Area D'!$J$26</f>
        <v>0</v>
      </c>
      <c r="P74" s="906"/>
      <c r="Q74" s="108"/>
      <c r="R74" s="108"/>
      <c r="S74" s="146"/>
      <c r="T74" s="108"/>
      <c r="U74" s="108"/>
      <c r="V74" s="108"/>
      <c r="W74" s="108"/>
      <c r="X74" s="108"/>
      <c r="Y74" s="108"/>
      <c r="Z74" s="108"/>
      <c r="AA74" s="108"/>
      <c r="AB74" s="108"/>
      <c r="AC74" s="106"/>
      <c r="AD74" s="106"/>
      <c r="AE74" s="106"/>
      <c r="AF74" s="106"/>
      <c r="AG74" s="106"/>
      <c r="AH74" s="106"/>
      <c r="AI74" s="106"/>
      <c r="AJ74" s="106"/>
    </row>
    <row r="75" spans="1:38" s="107" customFormat="1" ht="31.4" customHeight="1" x14ac:dyDescent="0.35">
      <c r="A75" s="106"/>
      <c r="B75" s="893"/>
      <c r="C75" s="896" t="s">
        <v>8</v>
      </c>
      <c r="D75" s="896"/>
      <c r="E75" s="896" t="str">
        <f>CONCATENATE(IF('Area D'!$B$29="None","",'Area D'!$B$29),"   ",IF('Area D'!$B$30="none","",'Area D'!$B$30),"   ",IF('Area D'!$B$31="none","",'Area D'!$B$31),"   ",IF('Area D'!$B$32="None","",'Area D'!$B$32),"   ",IF('Area D'!$B$33="None","",'Area D'!$B$33),"   ",IF('Area D'!$B$34="none","",'Area D'!$B$34),"   ",IF('Area D'!$B$35="none","",'Area D'!$B$35),"   ",IF('Area D'!$B$36="none","",'Area D'!$B$36))</f>
        <v xml:space="preserve">                     </v>
      </c>
      <c r="F75" s="896"/>
      <c r="G75" s="896"/>
      <c r="H75" s="355" t="s">
        <v>484</v>
      </c>
      <c r="I75" s="898" t="str">
        <f>CONCATENATE(IF('Area D'!$B$29="None","",'Area D'!$D$29),"    ",IF('Area D'!$B$30="none","",'Area D'!$D$30),"    ",IF('Area D'!$B$31="None","",'Area D'!$D$31),"    ",IF('Area D'!$B$32="None","",'Area D'!$D$32)," ",IF('Area D'!$B$33="None","",'Area D'!$D$33)," ",IF('Area D'!$B$34="None","",'Area D'!$D$34)," ",IF('Area D'!$B$35="None","",'Area D'!$D$35)," ",IF('Area D'!$B$36="None","",'Area D'!$D$36))</f>
        <v xml:space="preserve">                </v>
      </c>
      <c r="J75" s="898"/>
      <c r="K75" s="895">
        <f>'Area D'!$G$37</f>
        <v>0</v>
      </c>
      <c r="L75" s="895"/>
      <c r="M75" s="898" t="str">
        <f>CONCATENATE(IF('Area D'!$B$29="None","",'Area D'!$H$29),"    ",IF('Area D'!$B$30="none","",'Area D'!$H$30),"    ",IF('Area D'!$B$31="None","",'Area D'!$H$31),"    ",IF('Area D'!$B$32="None","",'Area D'!$H$32)," ",IF('Area D'!$B$33="None","",'Area D'!$H$33)," ",IF('Area D'!$B$34="None","",'Area D'!$H$34)," ",IF('Area D'!$B$35="None","",'Area D'!$H$35)," ",IF('Area D'!$B$36="None","",'Area D'!$H$36))</f>
        <v xml:space="preserve">                </v>
      </c>
      <c r="N75" s="898"/>
      <c r="O75" s="906">
        <f>'Area D'!$J$37</f>
        <v>0</v>
      </c>
      <c r="P75" s="906"/>
      <c r="Q75" s="106"/>
      <c r="R75" s="106"/>
      <c r="S75" s="146"/>
      <c r="T75" s="108"/>
      <c r="U75" s="108"/>
      <c r="V75" s="108"/>
      <c r="W75" s="108"/>
      <c r="X75" s="108"/>
      <c r="Y75" s="108"/>
      <c r="Z75" s="108"/>
      <c r="AA75" s="108"/>
      <c r="AB75" s="108"/>
      <c r="AC75" s="106"/>
      <c r="AD75" s="106"/>
      <c r="AE75" s="106"/>
      <c r="AF75" s="106"/>
      <c r="AG75" s="106"/>
      <c r="AH75" s="106"/>
      <c r="AI75" s="106"/>
      <c r="AJ75" s="106"/>
    </row>
    <row r="76" spans="1:38" s="107" customFormat="1" ht="21" customHeight="1" x14ac:dyDescent="0.35">
      <c r="A76" s="106"/>
      <c r="B76" s="893"/>
      <c r="C76" s="896" t="s">
        <v>363</v>
      </c>
      <c r="D76" s="896"/>
      <c r="E76" s="896" t="str">
        <f>CONCATENATE(IF('Area D'!$B$40="None","",'Area D'!$B$40),"   ",IF('Area D'!$B$41="none","",'Area D'!$B$41),"   ",IF('Area D'!$B$42="none","",'Area D'!$B$42),"   ",IF('Area D'!$B$43="None","",'Area D'!$B$43),"   ")</f>
        <v xml:space="preserve">200EP POW Blk            </v>
      </c>
      <c r="F76" s="896"/>
      <c r="G76" s="896"/>
      <c r="H76" s="355" t="s">
        <v>482</v>
      </c>
      <c r="I76" s="898" t="str">
        <f>CONCATENATE(IF('Area D'!$B$40="None","",'Area D'!$E$40),"    ",IF('Area D'!$B$41="none","",'Area D'!$E$41),"    ",IF('Area D'!$B$42="None","",'Area D'!$E$42),"    ",IF('Area D'!$B$43="None","",'Area D'!$E$43))</f>
        <v xml:space="preserve">0            </v>
      </c>
      <c r="J76" s="898"/>
      <c r="K76" s="895">
        <f>'Area D'!$G$44</f>
        <v>0</v>
      </c>
      <c r="L76" s="895"/>
      <c r="M76" s="898" t="str">
        <f>CONCATENATE(IF('Area D'!$B$40="None","",'Area D'!$I$40),"    ",IF('Area D'!$B$41="none","",'Area D'!$I$41),"    ",IF('Area D'!$B$42="None","",'Area D'!$I$42),"    ",IF('Area D'!$B$43="None","",'Area D'!$I$43))</f>
        <v xml:space="preserve">0            </v>
      </c>
      <c r="N76" s="898"/>
      <c r="O76" s="906">
        <f>'Area D'!$J$44</f>
        <v>0</v>
      </c>
      <c r="P76" s="906"/>
      <c r="Q76" s="108"/>
      <c r="R76" s="108"/>
      <c r="S76" s="146"/>
      <c r="T76" s="108"/>
      <c r="U76" s="108"/>
      <c r="V76" s="108"/>
      <c r="W76" s="108"/>
      <c r="X76" s="108"/>
      <c r="Y76" s="108"/>
      <c r="Z76" s="108"/>
      <c r="AA76" s="108"/>
      <c r="AB76" s="108"/>
      <c r="AC76" s="106"/>
      <c r="AD76" s="106"/>
      <c r="AE76" s="106"/>
      <c r="AF76" s="106"/>
      <c r="AG76" s="106"/>
      <c r="AH76" s="106"/>
      <c r="AI76" s="106"/>
      <c r="AJ76" s="106"/>
    </row>
    <row r="77" spans="1:38" s="107" customFormat="1" ht="21" customHeight="1" x14ac:dyDescent="0.35">
      <c r="A77" s="106"/>
      <c r="B77" s="893"/>
      <c r="C77" s="896" t="s">
        <v>7</v>
      </c>
      <c r="D77" s="896"/>
      <c r="E77" s="896"/>
      <c r="F77" s="896"/>
      <c r="G77" s="896"/>
      <c r="H77" s="355"/>
      <c r="I77" s="898"/>
      <c r="J77" s="898"/>
      <c r="K77" s="895">
        <f>'Area D'!$G$160</f>
        <v>0</v>
      </c>
      <c r="L77" s="895"/>
      <c r="M77" s="898"/>
      <c r="N77" s="898"/>
      <c r="O77" s="906">
        <f>'Area D'!$J$196</f>
        <v>0</v>
      </c>
      <c r="P77" s="906"/>
      <c r="Q77" s="108"/>
      <c r="R77" s="108"/>
      <c r="S77" s="146"/>
      <c r="T77" s="108"/>
      <c r="U77" s="108"/>
      <c r="V77" s="108"/>
      <c r="W77" s="108"/>
      <c r="X77" s="108"/>
      <c r="Y77" s="108"/>
      <c r="Z77" s="108"/>
      <c r="AA77" s="108"/>
      <c r="AB77" s="108"/>
      <c r="AC77" s="106"/>
      <c r="AD77" s="106"/>
      <c r="AE77" s="106"/>
      <c r="AF77" s="106"/>
      <c r="AG77" s="106"/>
      <c r="AH77" s="106"/>
      <c r="AI77" s="106"/>
      <c r="AJ77" s="106"/>
    </row>
    <row r="78" spans="1:38" s="107" customFormat="1" ht="21" customHeight="1" x14ac:dyDescent="0.35">
      <c r="A78" s="106"/>
      <c r="B78" s="893"/>
      <c r="C78" s="896" t="s">
        <v>429</v>
      </c>
      <c r="D78" s="896"/>
      <c r="E78" s="896"/>
      <c r="F78" s="896"/>
      <c r="G78" s="896"/>
      <c r="H78" s="355"/>
      <c r="I78" s="898"/>
      <c r="J78" s="898"/>
      <c r="K78" s="895">
        <f>'Area D'!$G$196</f>
        <v>0</v>
      </c>
      <c r="L78" s="895"/>
      <c r="M78" s="898"/>
      <c r="N78" s="898"/>
      <c r="O78" s="906">
        <f>'Area D'!$J$266</f>
        <v>0</v>
      </c>
      <c r="P78" s="906"/>
      <c r="Q78" s="108"/>
      <c r="R78" s="108"/>
      <c r="S78" s="146"/>
      <c r="T78" s="108"/>
      <c r="U78" s="108"/>
      <c r="V78" s="108"/>
      <c r="W78" s="108"/>
      <c r="X78" s="108"/>
      <c r="Y78" s="108"/>
      <c r="Z78" s="108"/>
      <c r="AA78" s="108"/>
      <c r="AB78" s="108"/>
      <c r="AC78" s="106"/>
      <c r="AD78" s="106"/>
      <c r="AE78" s="106"/>
      <c r="AF78" s="106"/>
      <c r="AG78" s="106"/>
      <c r="AH78" s="106"/>
      <c r="AI78" s="106"/>
      <c r="AJ78" s="106"/>
    </row>
    <row r="79" spans="1:38" s="107" customFormat="1" ht="21" customHeight="1" x14ac:dyDescent="0.35">
      <c r="A79" s="106"/>
      <c r="B79" s="893"/>
      <c r="C79" s="896" t="s">
        <v>430</v>
      </c>
      <c r="D79" s="896"/>
      <c r="E79" s="896"/>
      <c r="F79" s="896"/>
      <c r="G79" s="896"/>
      <c r="H79" s="355"/>
      <c r="I79" s="898"/>
      <c r="J79" s="898"/>
      <c r="K79" s="905">
        <f>IF(P4="no",0,SUM(P14)*P5)</f>
        <v>0</v>
      </c>
      <c r="L79" s="905"/>
      <c r="M79" s="898"/>
      <c r="N79" s="898"/>
      <c r="O79" s="906">
        <f>K79</f>
        <v>0</v>
      </c>
      <c r="P79" s="906"/>
      <c r="Q79" s="108"/>
      <c r="R79" s="108"/>
      <c r="S79" s="146"/>
      <c r="T79" s="108"/>
      <c r="U79" s="108"/>
      <c r="V79" s="108"/>
      <c r="W79" s="108"/>
      <c r="X79" s="108"/>
      <c r="Y79" s="108"/>
      <c r="Z79" s="108"/>
      <c r="AA79" s="108"/>
      <c r="AB79" s="108"/>
      <c r="AC79" s="106"/>
      <c r="AD79" s="106"/>
      <c r="AE79" s="106"/>
      <c r="AF79" s="106"/>
      <c r="AG79" s="106"/>
      <c r="AH79" s="106"/>
      <c r="AI79" s="106"/>
      <c r="AJ79" s="106"/>
    </row>
    <row r="80" spans="1:38" s="107" customFormat="1" ht="21" customHeight="1" thickBot="1" x14ac:dyDescent="0.4">
      <c r="A80" s="106"/>
      <c r="B80" s="894"/>
      <c r="C80" s="907" t="s">
        <v>431</v>
      </c>
      <c r="D80" s="907"/>
      <c r="E80" s="907"/>
      <c r="F80" s="907"/>
      <c r="G80" s="907"/>
      <c r="H80" s="356"/>
      <c r="I80" s="908"/>
      <c r="J80" s="908"/>
      <c r="K80" s="909">
        <f>SUM(K71:K79)</f>
        <v>0</v>
      </c>
      <c r="L80" s="909"/>
      <c r="M80" s="908"/>
      <c r="N80" s="908"/>
      <c r="O80" s="909">
        <f>SUM(O71:O79)</f>
        <v>0</v>
      </c>
      <c r="P80" s="909"/>
      <c r="Q80" s="108"/>
      <c r="R80" s="108"/>
      <c r="S80" s="146"/>
      <c r="T80" s="108"/>
      <c r="U80" s="108"/>
      <c r="V80" s="108"/>
      <c r="W80" s="108"/>
      <c r="X80" s="108"/>
      <c r="Y80" s="108"/>
      <c r="Z80" s="108"/>
      <c r="AA80" s="108"/>
      <c r="AB80" s="108"/>
      <c r="AC80" s="106"/>
      <c r="AD80" s="106"/>
      <c r="AE80" s="106"/>
      <c r="AF80" s="106"/>
      <c r="AG80" s="106"/>
      <c r="AH80" s="106"/>
      <c r="AI80" s="106"/>
      <c r="AJ80" s="106"/>
    </row>
    <row r="81" spans="1:36" s="107" customFormat="1" ht="21" customHeight="1" thickTop="1" x14ac:dyDescent="0.35">
      <c r="A81" s="106"/>
      <c r="B81" s="357"/>
      <c r="C81" s="913" t="s">
        <v>494</v>
      </c>
      <c r="D81" s="913"/>
      <c r="E81" s="914">
        <f>P19</f>
        <v>0.04</v>
      </c>
      <c r="F81" s="914"/>
      <c r="G81" s="914"/>
      <c r="H81" s="355"/>
      <c r="I81" s="902"/>
      <c r="J81" s="902"/>
      <c r="K81" s="903">
        <f>SUM(K71:L78)*E81</f>
        <v>0</v>
      </c>
      <c r="L81" s="903"/>
      <c r="M81" s="358"/>
      <c r="N81" s="358"/>
      <c r="O81" s="904">
        <f>O80*E81</f>
        <v>0</v>
      </c>
      <c r="P81" s="904"/>
      <c r="Q81" s="108"/>
      <c r="R81" s="108"/>
      <c r="S81" s="146"/>
      <c r="T81" s="108"/>
      <c r="U81" s="108"/>
      <c r="V81" s="108"/>
      <c r="W81" s="108"/>
      <c r="X81" s="108"/>
      <c r="Y81" s="108"/>
      <c r="Z81" s="108"/>
      <c r="AA81" s="108"/>
      <c r="AB81" s="108"/>
      <c r="AC81" s="106"/>
      <c r="AD81" s="106"/>
      <c r="AE81" s="106"/>
      <c r="AF81" s="106"/>
      <c r="AG81" s="106"/>
      <c r="AH81" s="106"/>
      <c r="AI81" s="106"/>
      <c r="AJ81" s="106"/>
    </row>
    <row r="82" spans="1:36" s="107" customFormat="1" ht="21" customHeight="1" thickBot="1" x14ac:dyDescent="0.45">
      <c r="A82" s="106"/>
      <c r="B82" s="359"/>
      <c r="C82" s="1040" t="s">
        <v>367</v>
      </c>
      <c r="D82" s="1040"/>
      <c r="E82" s="910"/>
      <c r="F82" s="910"/>
      <c r="G82" s="910"/>
      <c r="H82" s="360"/>
      <c r="I82" s="911"/>
      <c r="J82" s="911"/>
      <c r="K82" s="912">
        <f>SUM(K80:L81)</f>
        <v>0</v>
      </c>
      <c r="L82" s="912"/>
      <c r="M82" s="361"/>
      <c r="N82" s="361"/>
      <c r="O82" s="912">
        <f>SUM(O80:P81)</f>
        <v>0</v>
      </c>
      <c r="P82" s="912"/>
      <c r="Q82" s="108"/>
      <c r="R82" s="108"/>
      <c r="S82" s="146"/>
      <c r="T82" s="108"/>
      <c r="U82" s="108"/>
      <c r="V82" s="108"/>
      <c r="W82" s="108"/>
      <c r="X82" s="108"/>
      <c r="Y82" s="108"/>
      <c r="Z82" s="108"/>
      <c r="AA82" s="108"/>
      <c r="AB82" s="108"/>
      <c r="AC82" s="106"/>
      <c r="AD82" s="106"/>
      <c r="AE82" s="106"/>
      <c r="AF82" s="106"/>
      <c r="AG82" s="106"/>
      <c r="AH82" s="106"/>
      <c r="AI82" s="106"/>
      <c r="AJ82" s="106"/>
    </row>
    <row r="83" spans="1:36" s="107" customFormat="1" ht="15.45" thickBot="1" x14ac:dyDescent="0.4">
      <c r="A83" s="106"/>
      <c r="B83" s="199"/>
      <c r="C83" s="890"/>
      <c r="D83" s="890"/>
      <c r="E83" s="188"/>
      <c r="F83" s="188"/>
      <c r="G83" s="188"/>
      <c r="H83" s="188"/>
      <c r="I83" s="877"/>
      <c r="J83" s="877"/>
      <c r="K83" s="890"/>
      <c r="L83" s="890"/>
      <c r="M83" s="890"/>
      <c r="N83" s="890"/>
      <c r="O83" s="890"/>
      <c r="P83" s="890"/>
      <c r="Q83" s="108"/>
      <c r="R83" s="108"/>
      <c r="S83" s="146"/>
      <c r="T83" s="108"/>
      <c r="U83" s="108"/>
      <c r="V83" s="108"/>
      <c r="W83" s="108"/>
      <c r="X83" s="108"/>
      <c r="Y83" s="108"/>
      <c r="Z83" s="108"/>
      <c r="AA83" s="108"/>
      <c r="AB83" s="108"/>
      <c r="AC83" s="106"/>
      <c r="AD83" s="106"/>
      <c r="AE83" s="106"/>
      <c r="AF83" s="106"/>
      <c r="AG83" s="106"/>
      <c r="AH83" s="106"/>
      <c r="AI83" s="106"/>
      <c r="AJ83" s="106"/>
    </row>
    <row r="84" spans="1:36" s="107" customFormat="1" ht="20.149999999999999" thickBot="1" x14ac:dyDescent="0.5">
      <c r="A84" s="106"/>
      <c r="B84" s="108"/>
      <c r="C84" s="1037" t="s">
        <v>489</v>
      </c>
      <c r="D84" s="1037"/>
      <c r="E84" s="114"/>
      <c r="F84" s="114"/>
      <c r="G84" s="114"/>
      <c r="H84" s="114"/>
      <c r="I84" s="1014"/>
      <c r="J84" s="1014"/>
      <c r="K84" s="991">
        <f>K43+K56+K69+K82</f>
        <v>0</v>
      </c>
      <c r="L84" s="991"/>
      <c r="M84" s="988"/>
      <c r="N84" s="988"/>
      <c r="O84" s="991">
        <f>O43+O56+O69+O82</f>
        <v>0</v>
      </c>
      <c r="P84" s="991"/>
      <c r="Q84" s="108"/>
      <c r="R84" s="108"/>
      <c r="S84" s="146"/>
      <c r="T84" s="108"/>
      <c r="U84" s="108"/>
      <c r="V84" s="108"/>
      <c r="W84" s="108"/>
      <c r="X84" s="108"/>
      <c r="Y84" s="108"/>
      <c r="Z84" s="108"/>
      <c r="AA84" s="108"/>
      <c r="AB84" s="108"/>
      <c r="AC84" s="106"/>
      <c r="AD84" s="106"/>
      <c r="AE84" s="106"/>
      <c r="AF84" s="106"/>
      <c r="AG84" s="106"/>
      <c r="AH84" s="106"/>
      <c r="AI84" s="106"/>
      <c r="AJ84" s="106"/>
    </row>
    <row r="85" spans="1:36" s="107" customFormat="1" ht="15.9" thickTop="1" thickBot="1" x14ac:dyDescent="0.4">
      <c r="A85" s="106"/>
      <c r="B85" s="108"/>
      <c r="C85" s="41"/>
      <c r="D85" s="115"/>
      <c r="E85" s="41"/>
      <c r="F85" s="115"/>
      <c r="G85" s="41"/>
      <c r="H85" s="115"/>
      <c r="I85" s="1011"/>
      <c r="J85" s="1011"/>
      <c r="K85" s="987"/>
      <c r="L85" s="987"/>
      <c r="M85" s="989"/>
      <c r="N85" s="989"/>
      <c r="O85" s="987"/>
      <c r="P85" s="987"/>
      <c r="Q85" s="108"/>
      <c r="R85" s="108"/>
      <c r="S85" s="146"/>
      <c r="T85" s="108"/>
      <c r="U85" s="108"/>
      <c r="V85" s="108"/>
      <c r="W85" s="108"/>
      <c r="X85" s="108"/>
      <c r="Y85" s="108"/>
      <c r="Z85" s="108"/>
      <c r="AA85" s="108"/>
      <c r="AB85" s="108"/>
      <c r="AC85" s="106"/>
      <c r="AD85" s="106"/>
      <c r="AE85" s="106"/>
      <c r="AF85" s="106"/>
      <c r="AG85" s="106"/>
      <c r="AH85" s="106"/>
      <c r="AI85" s="106"/>
      <c r="AJ85" s="106"/>
    </row>
    <row r="86" spans="1:36" s="107" customFormat="1" ht="15" x14ac:dyDescent="0.35">
      <c r="A86" s="106"/>
      <c r="B86" s="108"/>
      <c r="C86" s="31"/>
      <c r="D86" s="108"/>
      <c r="E86" s="31"/>
      <c r="F86" s="108"/>
      <c r="G86" s="31"/>
      <c r="H86" s="108"/>
      <c r="I86" s="50"/>
      <c r="J86" s="50"/>
      <c r="K86" s="108"/>
      <c r="L86" s="108"/>
      <c r="M86" s="108"/>
      <c r="N86" s="108"/>
      <c r="O86" s="149"/>
      <c r="P86" s="149"/>
      <c r="Q86" s="149"/>
      <c r="R86" s="149"/>
      <c r="S86" s="149"/>
      <c r="T86" s="108"/>
      <c r="U86" s="108"/>
      <c r="V86" s="108"/>
      <c r="W86" s="108"/>
      <c r="X86" s="108"/>
      <c r="Y86" s="108"/>
      <c r="Z86" s="108"/>
      <c r="AA86" s="108"/>
      <c r="AB86" s="108"/>
      <c r="AC86" s="106"/>
      <c r="AD86" s="106"/>
      <c r="AE86" s="106"/>
      <c r="AF86" s="106"/>
      <c r="AG86" s="106"/>
      <c r="AH86" s="106"/>
      <c r="AI86" s="106"/>
      <c r="AJ86" s="106"/>
    </row>
    <row r="87" spans="1:36" s="107" customFormat="1" ht="15" x14ac:dyDescent="0.35">
      <c r="A87" s="106"/>
      <c r="B87" s="108"/>
      <c r="C87" s="31"/>
      <c r="D87" s="108"/>
      <c r="E87" s="31"/>
      <c r="F87" s="108"/>
      <c r="G87" s="31"/>
      <c r="H87" s="108"/>
      <c r="I87" s="50"/>
      <c r="J87" s="50"/>
      <c r="K87" s="108"/>
      <c r="L87" s="108"/>
      <c r="M87" s="108"/>
      <c r="N87" s="108"/>
      <c r="O87" s="149"/>
      <c r="P87" s="149"/>
      <c r="Q87" s="149"/>
      <c r="R87" s="149"/>
      <c r="S87" s="149"/>
      <c r="T87" s="108"/>
      <c r="U87" s="108"/>
      <c r="V87" s="108"/>
      <c r="W87" s="108"/>
      <c r="X87" s="108"/>
      <c r="Y87" s="108"/>
      <c r="Z87" s="108"/>
      <c r="AA87" s="108"/>
      <c r="AB87" s="108"/>
      <c r="AC87" s="106"/>
      <c r="AD87" s="106"/>
      <c r="AE87" s="106"/>
      <c r="AF87" s="106"/>
      <c r="AG87" s="106"/>
      <c r="AH87" s="106"/>
      <c r="AI87" s="106"/>
      <c r="AJ87" s="106"/>
    </row>
    <row r="88" spans="1:36" s="107" customFormat="1" ht="15" x14ac:dyDescent="0.35">
      <c r="A88" s="106"/>
      <c r="B88" s="108"/>
      <c r="C88" s="31"/>
      <c r="D88" s="108"/>
      <c r="E88" s="31"/>
      <c r="F88" s="108"/>
      <c r="G88" s="31"/>
      <c r="H88" s="108"/>
      <c r="I88" s="50"/>
      <c r="J88" s="50"/>
      <c r="K88" s="108"/>
      <c r="L88" s="108"/>
      <c r="M88" s="108"/>
      <c r="N88" s="108"/>
      <c r="O88" s="149"/>
      <c r="P88" s="149"/>
      <c r="Q88" s="149"/>
      <c r="R88" s="149"/>
      <c r="S88" s="149"/>
      <c r="T88" s="108"/>
      <c r="U88" s="108"/>
      <c r="V88" s="108"/>
      <c r="W88" s="108"/>
      <c r="X88" s="108"/>
      <c r="Y88" s="108"/>
      <c r="Z88" s="108"/>
      <c r="AA88" s="108"/>
      <c r="AB88" s="108"/>
      <c r="AC88" s="106"/>
      <c r="AD88" s="106"/>
      <c r="AE88" s="106"/>
      <c r="AF88" s="106"/>
      <c r="AG88" s="106"/>
      <c r="AH88" s="106"/>
      <c r="AI88" s="106"/>
      <c r="AJ88" s="106"/>
    </row>
    <row r="89" spans="1:36" s="107" customFormat="1" ht="15" x14ac:dyDescent="0.35">
      <c r="A89" s="106"/>
      <c r="B89" s="108"/>
      <c r="C89" s="31"/>
      <c r="D89" s="108"/>
      <c r="E89" s="31"/>
      <c r="F89" s="108"/>
      <c r="G89" s="31"/>
      <c r="H89" s="108"/>
      <c r="I89" s="50"/>
      <c r="J89" s="50"/>
      <c r="K89" s="108"/>
      <c r="L89" s="108"/>
      <c r="M89" s="108"/>
      <c r="N89" s="108"/>
      <c r="O89" s="149"/>
      <c r="P89" s="149"/>
      <c r="Q89" s="149"/>
      <c r="R89" s="149"/>
      <c r="S89" s="149"/>
      <c r="T89" s="108"/>
      <c r="U89" s="108"/>
      <c r="V89" s="108"/>
      <c r="W89" s="108"/>
      <c r="X89" s="108"/>
      <c r="Y89" s="108"/>
      <c r="Z89" s="108"/>
      <c r="AA89" s="108"/>
      <c r="AB89" s="108"/>
      <c r="AC89" s="106"/>
      <c r="AD89" s="106"/>
      <c r="AE89" s="106"/>
      <c r="AF89" s="106"/>
      <c r="AG89" s="106"/>
      <c r="AH89" s="106"/>
      <c r="AI89" s="106"/>
      <c r="AJ89" s="106"/>
    </row>
    <row r="90" spans="1:36" s="107" customFormat="1" ht="15" x14ac:dyDescent="0.35">
      <c r="A90" s="106"/>
      <c r="B90" s="108"/>
      <c r="C90" s="31"/>
      <c r="D90" s="108"/>
      <c r="E90" s="31"/>
      <c r="F90" s="108"/>
      <c r="G90" s="31"/>
      <c r="H90" s="108"/>
      <c r="I90" s="50"/>
      <c r="J90" s="50"/>
      <c r="K90" s="108"/>
      <c r="L90" s="108"/>
      <c r="M90" s="108"/>
      <c r="N90" s="108"/>
      <c r="O90" s="149"/>
      <c r="P90" s="149"/>
      <c r="Q90" s="149"/>
      <c r="R90" s="149"/>
      <c r="S90" s="149"/>
      <c r="T90" s="108"/>
      <c r="U90" s="108"/>
      <c r="V90" s="108"/>
      <c r="W90" s="108"/>
      <c r="X90" s="108"/>
      <c r="Y90" s="108"/>
      <c r="Z90" s="108"/>
      <c r="AA90" s="108"/>
      <c r="AB90" s="108"/>
      <c r="AC90" s="106"/>
      <c r="AD90" s="106"/>
      <c r="AE90" s="106"/>
      <c r="AF90" s="106"/>
      <c r="AG90" s="106"/>
      <c r="AH90" s="106"/>
      <c r="AI90" s="106"/>
      <c r="AJ90" s="106"/>
    </row>
    <row r="91" spans="1:36" s="107" customFormat="1" ht="15" x14ac:dyDescent="0.35">
      <c r="A91" s="106"/>
      <c r="B91" s="108"/>
      <c r="C91" s="31"/>
      <c r="D91" s="108"/>
      <c r="E91" s="31"/>
      <c r="F91" s="108"/>
      <c r="G91" s="31"/>
      <c r="H91" s="108"/>
      <c r="I91" s="50"/>
      <c r="J91" s="50"/>
      <c r="K91" s="108"/>
      <c r="L91" s="108"/>
      <c r="M91" s="108"/>
      <c r="N91" s="108"/>
      <c r="O91" s="149"/>
      <c r="P91" s="149"/>
      <c r="Q91" s="149"/>
      <c r="R91" s="149"/>
      <c r="S91" s="149"/>
      <c r="T91" s="108"/>
      <c r="U91" s="108"/>
      <c r="V91" s="108"/>
      <c r="W91" s="108"/>
      <c r="X91" s="108"/>
      <c r="Y91" s="108"/>
      <c r="Z91" s="108"/>
      <c r="AA91" s="108"/>
      <c r="AB91" s="108"/>
      <c r="AC91" s="106"/>
      <c r="AD91" s="106"/>
      <c r="AE91" s="106"/>
      <c r="AF91" s="106"/>
      <c r="AG91" s="106"/>
      <c r="AH91" s="106"/>
      <c r="AI91" s="106"/>
      <c r="AJ91" s="106"/>
    </row>
    <row r="92" spans="1:36" s="107" customFormat="1" ht="15" x14ac:dyDescent="0.35">
      <c r="A92" s="106"/>
      <c r="B92" s="108"/>
      <c r="C92" s="31"/>
      <c r="D92" s="108"/>
      <c r="E92" s="31"/>
      <c r="F92" s="108"/>
      <c r="G92" s="31"/>
      <c r="H92" s="108"/>
      <c r="I92" s="50"/>
      <c r="J92" s="50"/>
      <c r="K92" s="108"/>
      <c r="L92" s="108"/>
      <c r="M92" s="108"/>
      <c r="N92" s="108"/>
      <c r="O92" s="149"/>
      <c r="P92" s="149"/>
      <c r="Q92" s="149"/>
      <c r="R92" s="149"/>
      <c r="S92" s="149"/>
      <c r="T92" s="108"/>
      <c r="U92" s="108"/>
      <c r="V92" s="108"/>
      <c r="W92" s="108"/>
      <c r="X92" s="108"/>
      <c r="Y92" s="108"/>
      <c r="Z92" s="108"/>
      <c r="AA92" s="108"/>
      <c r="AB92" s="108"/>
      <c r="AC92" s="106"/>
      <c r="AD92" s="106"/>
      <c r="AE92" s="106"/>
      <c r="AF92" s="106"/>
      <c r="AG92" s="106"/>
      <c r="AH92" s="106"/>
      <c r="AI92" s="106"/>
      <c r="AJ92" s="106"/>
    </row>
    <row r="93" spans="1:36" s="107" customFormat="1" ht="15" x14ac:dyDescent="0.35">
      <c r="A93" s="106"/>
      <c r="B93" s="108"/>
      <c r="C93" s="31"/>
      <c r="D93" s="108"/>
      <c r="E93" s="31"/>
      <c r="F93" s="108"/>
      <c r="G93" s="31"/>
      <c r="H93" s="108"/>
      <c r="I93" s="50"/>
      <c r="J93" s="50"/>
      <c r="K93" s="108"/>
      <c r="L93" s="108"/>
      <c r="M93" s="108"/>
      <c r="N93" s="108"/>
      <c r="O93" s="149"/>
      <c r="P93" s="149"/>
      <c r="Q93" s="149"/>
      <c r="R93" s="149"/>
      <c r="S93" s="149"/>
      <c r="T93" s="108"/>
      <c r="U93" s="108"/>
      <c r="V93" s="108"/>
      <c r="W93" s="108"/>
      <c r="X93" s="108"/>
      <c r="Y93" s="108"/>
      <c r="Z93" s="108"/>
      <c r="AA93" s="108"/>
      <c r="AB93" s="108"/>
      <c r="AC93" s="106"/>
      <c r="AD93" s="106"/>
      <c r="AE93" s="106"/>
      <c r="AF93" s="106"/>
      <c r="AG93" s="106"/>
      <c r="AH93" s="106"/>
      <c r="AI93" s="106"/>
      <c r="AJ93" s="106"/>
    </row>
    <row r="94" spans="1:36" s="107" customFormat="1" ht="15" x14ac:dyDescent="0.35">
      <c r="A94" s="106"/>
      <c r="B94" s="108"/>
      <c r="C94" s="31"/>
      <c r="D94" s="108"/>
      <c r="E94" s="31"/>
      <c r="F94" s="108"/>
      <c r="G94" s="31"/>
      <c r="H94" s="108"/>
      <c r="I94" s="50"/>
      <c r="J94" s="50"/>
      <c r="K94" s="108"/>
      <c r="L94" s="108"/>
      <c r="M94" s="108"/>
      <c r="N94" s="108"/>
      <c r="O94" s="149"/>
      <c r="P94" s="149"/>
      <c r="Q94" s="149"/>
      <c r="R94" s="149"/>
      <c r="S94" s="149"/>
      <c r="T94" s="108"/>
      <c r="U94" s="108"/>
      <c r="V94" s="108"/>
      <c r="W94" s="108"/>
      <c r="X94" s="108"/>
      <c r="Y94" s="108"/>
      <c r="Z94" s="108"/>
      <c r="AA94" s="108"/>
      <c r="AB94" s="108"/>
      <c r="AC94" s="106"/>
      <c r="AD94" s="106"/>
      <c r="AE94" s="106"/>
      <c r="AF94" s="106"/>
      <c r="AG94" s="106"/>
      <c r="AH94" s="106"/>
      <c r="AI94" s="106"/>
      <c r="AJ94" s="106"/>
    </row>
    <row r="95" spans="1:36" s="107" customFormat="1" ht="15" x14ac:dyDescent="0.35">
      <c r="A95" s="106"/>
      <c r="B95" s="108"/>
      <c r="C95" s="31"/>
      <c r="D95" s="108"/>
      <c r="E95" s="31"/>
      <c r="F95" s="108"/>
      <c r="G95" s="31"/>
      <c r="H95" s="108"/>
      <c r="I95" s="50"/>
      <c r="J95" s="50"/>
      <c r="K95" s="108"/>
      <c r="L95" s="108"/>
      <c r="M95" s="108"/>
      <c r="N95" s="108"/>
      <c r="O95" s="149"/>
      <c r="P95" s="149"/>
      <c r="Q95" s="149"/>
      <c r="R95" s="149"/>
      <c r="S95" s="149"/>
      <c r="T95" s="108"/>
      <c r="U95" s="108"/>
      <c r="V95" s="108"/>
      <c r="W95" s="108"/>
      <c r="X95" s="108"/>
      <c r="Y95" s="108"/>
      <c r="Z95" s="108"/>
      <c r="AA95" s="108"/>
      <c r="AB95" s="108"/>
      <c r="AC95" s="106"/>
      <c r="AD95" s="106"/>
      <c r="AE95" s="106"/>
      <c r="AF95" s="106"/>
      <c r="AG95" s="106"/>
      <c r="AH95" s="106"/>
      <c r="AI95" s="106"/>
      <c r="AJ95" s="106"/>
    </row>
    <row r="96" spans="1:36" s="107" customFormat="1" ht="15" x14ac:dyDescent="0.35">
      <c r="A96" s="106"/>
      <c r="B96" s="108"/>
      <c r="C96" s="31"/>
      <c r="D96" s="108"/>
      <c r="E96" s="31"/>
      <c r="F96" s="108"/>
      <c r="G96" s="31"/>
      <c r="H96" s="108"/>
      <c r="I96" s="50"/>
      <c r="J96" s="50"/>
      <c r="K96" s="108"/>
      <c r="L96" s="108"/>
      <c r="M96" s="108"/>
      <c r="N96" s="108"/>
      <c r="O96" s="149"/>
      <c r="P96" s="149"/>
      <c r="Q96" s="149"/>
      <c r="R96" s="149"/>
      <c r="S96" s="149"/>
      <c r="T96" s="108"/>
      <c r="U96" s="108"/>
      <c r="V96" s="108"/>
      <c r="W96" s="108"/>
      <c r="X96" s="108"/>
      <c r="Y96" s="108"/>
      <c r="Z96" s="108"/>
      <c r="AA96" s="108"/>
      <c r="AB96" s="108"/>
      <c r="AC96" s="106"/>
      <c r="AD96" s="106"/>
      <c r="AE96" s="106"/>
      <c r="AF96" s="106"/>
      <c r="AG96" s="106"/>
      <c r="AH96" s="106"/>
      <c r="AI96" s="106"/>
      <c r="AJ96" s="106"/>
    </row>
    <row r="97" spans="1:36" s="107" customFormat="1" ht="15" x14ac:dyDescent="0.35">
      <c r="A97" s="106"/>
      <c r="B97" s="108"/>
      <c r="C97" s="31"/>
      <c r="D97" s="108"/>
      <c r="E97" s="31"/>
      <c r="F97" s="108"/>
      <c r="G97" s="31"/>
      <c r="H97" s="108"/>
      <c r="I97" s="50"/>
      <c r="J97" s="50"/>
      <c r="K97" s="108"/>
      <c r="L97" s="108"/>
      <c r="M97" s="108"/>
      <c r="N97" s="108"/>
      <c r="O97" s="149"/>
      <c r="P97" s="149"/>
      <c r="Q97" s="149"/>
      <c r="R97" s="149"/>
      <c r="S97" s="149"/>
      <c r="T97" s="108"/>
      <c r="U97" s="108"/>
      <c r="V97" s="108"/>
      <c r="W97" s="108"/>
      <c r="X97" s="108"/>
      <c r="Y97" s="108"/>
      <c r="Z97" s="108"/>
      <c r="AA97" s="108"/>
      <c r="AB97" s="108"/>
      <c r="AC97" s="106"/>
      <c r="AD97" s="106"/>
      <c r="AE97" s="106"/>
      <c r="AF97" s="106"/>
      <c r="AG97" s="106"/>
      <c r="AH97" s="106"/>
      <c r="AI97" s="106"/>
      <c r="AJ97" s="106"/>
    </row>
    <row r="98" spans="1:36" s="107" customFormat="1" ht="15" x14ac:dyDescent="0.35">
      <c r="A98" s="106"/>
      <c r="B98" s="108"/>
      <c r="C98" s="31"/>
      <c r="D98" s="108"/>
      <c r="E98" s="31"/>
      <c r="F98" s="108"/>
      <c r="G98" s="31"/>
      <c r="H98" s="108"/>
      <c r="I98" s="50"/>
      <c r="J98" s="50"/>
      <c r="K98" s="108"/>
      <c r="L98" s="108"/>
      <c r="M98" s="108"/>
      <c r="N98" s="108"/>
      <c r="O98" s="149"/>
      <c r="P98" s="149"/>
      <c r="Q98" s="149"/>
      <c r="R98" s="149"/>
      <c r="S98" s="149"/>
      <c r="T98" s="108"/>
      <c r="U98" s="108"/>
      <c r="V98" s="108"/>
      <c r="W98" s="108"/>
      <c r="X98" s="108"/>
      <c r="Y98" s="108"/>
      <c r="Z98" s="108"/>
      <c r="AA98" s="108"/>
      <c r="AB98" s="108"/>
      <c r="AC98" s="106"/>
      <c r="AD98" s="106"/>
      <c r="AE98" s="106"/>
      <c r="AF98" s="106"/>
      <c r="AG98" s="106"/>
      <c r="AH98" s="106"/>
      <c r="AI98" s="106"/>
      <c r="AJ98" s="106"/>
    </row>
    <row r="99" spans="1:36" s="107" customFormat="1" ht="15" x14ac:dyDescent="0.35">
      <c r="A99" s="106"/>
      <c r="B99" s="108"/>
      <c r="C99" s="31"/>
      <c r="D99" s="108"/>
      <c r="E99" s="31"/>
      <c r="F99" s="108"/>
      <c r="G99" s="31"/>
      <c r="H99" s="108"/>
      <c r="I99" s="50"/>
      <c r="J99" s="50"/>
      <c r="K99" s="108"/>
      <c r="L99" s="108"/>
      <c r="M99" s="108"/>
      <c r="N99" s="108"/>
      <c r="O99" s="149"/>
      <c r="P99" s="149"/>
      <c r="Q99" s="149"/>
      <c r="R99" s="149"/>
      <c r="S99" s="149"/>
      <c r="T99" s="108"/>
      <c r="U99" s="108"/>
      <c r="V99" s="108"/>
      <c r="W99" s="108"/>
      <c r="X99" s="108"/>
      <c r="Y99" s="108"/>
      <c r="Z99" s="108"/>
      <c r="AA99" s="108"/>
      <c r="AB99" s="108"/>
      <c r="AC99" s="106"/>
      <c r="AD99" s="106"/>
      <c r="AE99" s="106"/>
      <c r="AF99" s="106"/>
      <c r="AG99" s="106"/>
      <c r="AH99" s="106"/>
      <c r="AI99" s="106"/>
      <c r="AJ99" s="106"/>
    </row>
    <row r="100" spans="1:36" s="107" customFormat="1" ht="15" x14ac:dyDescent="0.35">
      <c r="A100" s="106"/>
      <c r="B100" s="108"/>
      <c r="C100" s="31"/>
      <c r="D100" s="108"/>
      <c r="E100" s="31"/>
      <c r="F100" s="108"/>
      <c r="G100" s="31"/>
      <c r="H100" s="108"/>
      <c r="I100" s="50"/>
      <c r="J100" s="50"/>
      <c r="K100" s="108"/>
      <c r="L100" s="108"/>
      <c r="M100" s="108"/>
      <c r="N100" s="108"/>
      <c r="O100" s="149"/>
      <c r="P100" s="149"/>
      <c r="Q100" s="149"/>
      <c r="R100" s="149"/>
      <c r="S100" s="149"/>
      <c r="T100" s="108"/>
      <c r="U100" s="108"/>
      <c r="V100" s="108"/>
      <c r="W100" s="108"/>
      <c r="X100" s="108"/>
      <c r="Y100" s="108"/>
      <c r="Z100" s="108"/>
      <c r="AA100" s="108"/>
      <c r="AB100" s="108"/>
      <c r="AC100" s="106"/>
      <c r="AD100" s="106"/>
      <c r="AE100" s="106"/>
      <c r="AF100" s="106"/>
      <c r="AG100" s="106"/>
      <c r="AH100" s="106"/>
      <c r="AI100" s="106"/>
      <c r="AJ100" s="106"/>
    </row>
    <row r="101" spans="1:36" s="107" customFormat="1" ht="15" x14ac:dyDescent="0.35">
      <c r="A101" s="106"/>
      <c r="B101" s="108"/>
      <c r="C101" s="31"/>
      <c r="D101" s="108"/>
      <c r="E101" s="31"/>
      <c r="F101" s="108"/>
      <c r="G101" s="31"/>
      <c r="H101" s="108"/>
      <c r="I101" s="50"/>
      <c r="J101" s="50"/>
      <c r="K101" s="108"/>
      <c r="L101" s="108"/>
      <c r="M101" s="108"/>
      <c r="N101" s="108"/>
      <c r="O101" s="149"/>
      <c r="P101" s="149"/>
      <c r="Q101" s="149"/>
      <c r="R101" s="149"/>
      <c r="S101" s="149"/>
      <c r="T101" s="197"/>
      <c r="U101" s="197"/>
      <c r="V101" s="197"/>
      <c r="W101" s="108"/>
      <c r="X101" s="108"/>
      <c r="Y101" s="108"/>
      <c r="Z101" s="108"/>
      <c r="AA101" s="108"/>
      <c r="AB101" s="108"/>
      <c r="AC101" s="106"/>
      <c r="AD101" s="106"/>
      <c r="AE101" s="106"/>
      <c r="AF101" s="106"/>
      <c r="AG101" s="106"/>
      <c r="AH101" s="106"/>
      <c r="AI101" s="106"/>
      <c r="AJ101" s="106"/>
    </row>
    <row r="102" spans="1:36" s="107" customFormat="1" ht="15" x14ac:dyDescent="0.35">
      <c r="A102" s="106"/>
      <c r="B102" s="108"/>
      <c r="C102" s="31"/>
      <c r="D102" s="108"/>
      <c r="E102" s="31"/>
      <c r="F102" s="108"/>
      <c r="G102" s="31"/>
      <c r="H102" s="108"/>
      <c r="I102" s="50"/>
      <c r="J102" s="50"/>
      <c r="K102" s="108"/>
      <c r="L102" s="108"/>
      <c r="M102" s="108"/>
      <c r="N102" s="108"/>
      <c r="O102" s="149"/>
      <c r="P102" s="149"/>
      <c r="Q102" s="149"/>
      <c r="R102" s="149"/>
      <c r="S102" s="149"/>
      <c r="T102" s="197"/>
      <c r="U102" s="197"/>
      <c r="V102" s="197"/>
      <c r="W102" s="108"/>
      <c r="X102" s="108"/>
      <c r="Y102" s="108"/>
      <c r="Z102" s="108"/>
      <c r="AA102" s="108"/>
      <c r="AB102" s="108"/>
      <c r="AC102" s="106"/>
      <c r="AD102" s="106"/>
      <c r="AE102" s="106"/>
      <c r="AF102" s="106"/>
      <c r="AG102" s="106"/>
      <c r="AH102" s="106"/>
      <c r="AI102" s="106"/>
      <c r="AJ102" s="106"/>
    </row>
    <row r="103" spans="1:36" ht="15" x14ac:dyDescent="0.35">
      <c r="A103" s="26"/>
      <c r="B103" s="197"/>
      <c r="C103" s="31"/>
      <c r="D103" s="108"/>
      <c r="E103" s="31"/>
      <c r="F103" s="108"/>
      <c r="G103" s="31"/>
      <c r="H103" s="108"/>
      <c r="I103" s="50"/>
      <c r="J103" s="50"/>
      <c r="K103" s="108"/>
      <c r="L103" s="108"/>
      <c r="M103" s="108"/>
      <c r="N103" s="108"/>
      <c r="O103" s="149"/>
      <c r="P103" s="149"/>
      <c r="Q103" s="149"/>
      <c r="R103" s="149"/>
      <c r="S103" s="149"/>
      <c r="T103" s="197"/>
      <c r="U103" s="197"/>
      <c r="V103" s="197"/>
      <c r="W103" s="197"/>
      <c r="X103" s="197"/>
      <c r="Y103" s="197"/>
      <c r="Z103" s="197"/>
      <c r="AA103" s="197"/>
      <c r="AB103" s="197"/>
      <c r="AC103" s="26"/>
      <c r="AD103" s="26"/>
      <c r="AE103" s="26"/>
      <c r="AF103" s="26"/>
      <c r="AG103" s="26"/>
      <c r="AH103" s="26"/>
      <c r="AI103" s="26"/>
      <c r="AJ103" s="26"/>
    </row>
    <row r="104" spans="1:36" ht="15" x14ac:dyDescent="0.35">
      <c r="A104" s="26"/>
      <c r="B104" s="197"/>
      <c r="C104" s="31"/>
      <c r="D104" s="108"/>
      <c r="E104" s="31"/>
      <c r="F104" s="108"/>
      <c r="G104" s="31"/>
      <c r="H104" s="108"/>
      <c r="I104" s="50"/>
      <c r="J104" s="50"/>
      <c r="K104" s="108"/>
      <c r="L104" s="108"/>
      <c r="M104" s="108"/>
      <c r="N104" s="108"/>
      <c r="O104" s="149"/>
      <c r="P104" s="149"/>
      <c r="Q104" s="149"/>
      <c r="R104" s="149"/>
      <c r="S104" s="149"/>
      <c r="T104" s="197"/>
      <c r="U104" s="197"/>
      <c r="V104" s="197"/>
      <c r="W104" s="197"/>
      <c r="X104" s="197"/>
      <c r="Y104" s="197"/>
      <c r="Z104" s="197"/>
      <c r="AA104" s="197"/>
      <c r="AB104" s="197"/>
      <c r="AC104" s="26"/>
      <c r="AD104" s="26"/>
      <c r="AE104" s="26"/>
      <c r="AF104" s="26"/>
      <c r="AG104" s="26"/>
      <c r="AH104" s="26"/>
      <c r="AI104" s="26"/>
      <c r="AJ104" s="26"/>
    </row>
    <row r="105" spans="1:36" ht="15" x14ac:dyDescent="0.35">
      <c r="A105" s="26"/>
      <c r="B105" s="197"/>
      <c r="C105" s="31"/>
      <c r="D105" s="108"/>
      <c r="E105" s="31"/>
      <c r="F105" s="108"/>
      <c r="G105" s="31"/>
      <c r="H105" s="108"/>
      <c r="I105" s="198"/>
      <c r="J105" s="198"/>
      <c r="K105" s="108"/>
      <c r="L105" s="108"/>
      <c r="M105" s="108"/>
      <c r="N105" s="108"/>
      <c r="O105" s="149"/>
      <c r="P105" s="149"/>
      <c r="Q105" s="149"/>
      <c r="R105" s="149"/>
      <c r="S105" s="149"/>
      <c r="T105" s="197"/>
      <c r="U105" s="197"/>
      <c r="V105" s="197"/>
      <c r="W105" s="197"/>
      <c r="X105" s="197"/>
      <c r="Y105" s="197"/>
      <c r="Z105" s="197"/>
      <c r="AA105" s="197"/>
      <c r="AB105" s="197"/>
      <c r="AC105" s="26"/>
      <c r="AD105" s="26"/>
      <c r="AE105" s="26"/>
      <c r="AF105" s="26"/>
      <c r="AG105" s="26"/>
      <c r="AH105" s="26"/>
      <c r="AI105" s="26"/>
      <c r="AJ105" s="26"/>
    </row>
    <row r="106" spans="1:36" ht="15" x14ac:dyDescent="0.35">
      <c r="B106" s="18"/>
      <c r="C106" s="24"/>
      <c r="D106" s="111"/>
      <c r="E106" s="24"/>
      <c r="F106" s="111"/>
      <c r="G106" s="24"/>
      <c r="H106" s="111"/>
      <c r="I106" s="116"/>
      <c r="J106" s="116"/>
      <c r="K106" s="111"/>
      <c r="L106" s="111"/>
      <c r="M106" s="111"/>
      <c r="N106" s="111"/>
      <c r="O106" s="20"/>
      <c r="P106" s="20"/>
      <c r="Q106" s="20"/>
      <c r="R106" s="20"/>
      <c r="S106" s="20"/>
      <c r="T106" s="18"/>
      <c r="U106" s="18"/>
      <c r="V106" s="18"/>
      <c r="W106" s="18"/>
      <c r="X106" s="18"/>
      <c r="Y106" s="18"/>
      <c r="Z106" s="18"/>
      <c r="AA106" s="18"/>
      <c r="AB106" s="18"/>
    </row>
    <row r="107" spans="1:36" ht="15" x14ac:dyDescent="0.35">
      <c r="B107" s="18"/>
      <c r="C107" s="24"/>
      <c r="D107" s="111"/>
      <c r="E107" s="24"/>
      <c r="F107" s="111"/>
      <c r="G107" s="24"/>
      <c r="H107" s="111"/>
      <c r="I107" s="116"/>
      <c r="J107" s="116"/>
      <c r="K107" s="111"/>
      <c r="L107" s="111"/>
      <c r="M107" s="111"/>
      <c r="N107" s="111"/>
      <c r="O107" s="20"/>
      <c r="P107" s="20"/>
      <c r="Q107" s="20"/>
      <c r="R107" s="20"/>
      <c r="S107" s="20"/>
      <c r="T107" s="18"/>
      <c r="U107" s="18"/>
      <c r="V107" s="18"/>
      <c r="W107" s="18"/>
      <c r="X107" s="18"/>
      <c r="Y107" s="18"/>
      <c r="Z107" s="18"/>
      <c r="AA107" s="18"/>
      <c r="AB107" s="18"/>
    </row>
    <row r="108" spans="1:36" ht="15" x14ac:dyDescent="0.35">
      <c r="B108" s="18"/>
      <c r="C108" s="24"/>
      <c r="D108" s="111"/>
      <c r="E108" s="24"/>
      <c r="F108" s="111"/>
      <c r="G108" s="24"/>
      <c r="H108" s="111"/>
      <c r="I108" s="116"/>
      <c r="J108" s="116"/>
      <c r="K108" s="111"/>
      <c r="L108" s="111"/>
      <c r="M108" s="111"/>
      <c r="N108" s="111"/>
      <c r="O108" s="20"/>
      <c r="P108" s="20"/>
      <c r="Q108" s="20"/>
      <c r="R108" s="20"/>
      <c r="S108" s="20"/>
      <c r="T108" s="18"/>
      <c r="U108" s="18"/>
      <c r="V108" s="18"/>
      <c r="W108" s="18"/>
      <c r="X108" s="18"/>
      <c r="Y108" s="18"/>
      <c r="Z108" s="18"/>
      <c r="AA108" s="18"/>
      <c r="AB108" s="18"/>
    </row>
    <row r="109" spans="1:36" ht="15" x14ac:dyDescent="0.35">
      <c r="B109" s="18"/>
      <c r="C109" s="24"/>
      <c r="D109" s="111"/>
      <c r="E109" s="24"/>
      <c r="F109" s="111"/>
      <c r="G109" s="24"/>
      <c r="H109" s="111"/>
      <c r="I109" s="116"/>
      <c r="J109" s="116"/>
      <c r="K109" s="111"/>
      <c r="L109" s="111"/>
      <c r="M109" s="111"/>
      <c r="N109" s="111"/>
      <c r="O109" s="20"/>
      <c r="P109" s="20"/>
      <c r="Q109" s="20"/>
      <c r="R109" s="20"/>
      <c r="S109" s="20"/>
      <c r="T109" s="18"/>
      <c r="U109" s="18"/>
      <c r="V109" s="18"/>
      <c r="W109" s="18"/>
      <c r="X109" s="18"/>
      <c r="Y109" s="18"/>
      <c r="Z109" s="18"/>
      <c r="AA109" s="18"/>
      <c r="AB109" s="18"/>
    </row>
    <row r="110" spans="1:36" ht="15" x14ac:dyDescent="0.35">
      <c r="B110" s="18"/>
      <c r="C110" s="24"/>
      <c r="D110" s="111"/>
      <c r="E110" s="24"/>
      <c r="F110" s="111"/>
      <c r="G110" s="24"/>
      <c r="H110" s="111"/>
      <c r="I110" s="116"/>
      <c r="J110" s="116"/>
      <c r="K110" s="111"/>
      <c r="L110" s="111"/>
      <c r="M110" s="111"/>
      <c r="N110" s="111"/>
      <c r="O110" s="20"/>
      <c r="P110" s="20"/>
      <c r="Q110" s="20"/>
      <c r="R110" s="20"/>
      <c r="S110" s="20"/>
      <c r="T110" s="18"/>
      <c r="U110" s="18"/>
      <c r="V110" s="18"/>
      <c r="W110" s="18"/>
      <c r="X110" s="18"/>
      <c r="Y110" s="18"/>
      <c r="Z110" s="18"/>
      <c r="AA110" s="18"/>
      <c r="AB110" s="18"/>
    </row>
    <row r="111" spans="1:36" ht="15" x14ac:dyDescent="0.35">
      <c r="B111" s="18"/>
      <c r="C111" s="24"/>
      <c r="D111" s="111"/>
      <c r="E111" s="24"/>
      <c r="F111" s="111"/>
      <c r="G111" s="24"/>
      <c r="H111" s="111"/>
      <c r="I111" s="116"/>
      <c r="J111" s="116"/>
      <c r="K111" s="111"/>
      <c r="L111" s="111"/>
      <c r="M111" s="111"/>
      <c r="N111" s="111"/>
      <c r="O111" s="20"/>
      <c r="P111" s="20"/>
      <c r="Q111" s="20"/>
      <c r="R111" s="20"/>
      <c r="S111" s="20"/>
      <c r="T111" s="18"/>
      <c r="U111" s="18"/>
      <c r="V111" s="18"/>
      <c r="W111" s="18"/>
      <c r="X111" s="18"/>
      <c r="Y111" s="18"/>
      <c r="Z111" s="18"/>
      <c r="AA111" s="18"/>
      <c r="AB111" s="18"/>
    </row>
    <row r="112" spans="1:36" ht="15" x14ac:dyDescent="0.35">
      <c r="B112" s="18"/>
      <c r="C112" s="24"/>
      <c r="D112" s="111"/>
      <c r="E112" s="24"/>
      <c r="F112" s="111"/>
      <c r="G112" s="24"/>
      <c r="H112" s="111"/>
      <c r="I112" s="116"/>
      <c r="J112" s="116"/>
      <c r="K112" s="111"/>
      <c r="L112" s="111"/>
      <c r="M112" s="111"/>
      <c r="N112" s="111"/>
      <c r="O112" s="20"/>
      <c r="P112" s="20"/>
      <c r="Q112" s="20"/>
      <c r="R112" s="20"/>
      <c r="S112" s="20"/>
      <c r="T112" s="18"/>
      <c r="U112" s="18"/>
      <c r="V112" s="18"/>
      <c r="W112" s="18"/>
      <c r="X112" s="18"/>
      <c r="Y112" s="18"/>
      <c r="Z112" s="18"/>
      <c r="AA112" s="18"/>
      <c r="AB112" s="18"/>
    </row>
    <row r="113" spans="2:28" ht="15" x14ac:dyDescent="0.35">
      <c r="B113" s="18"/>
      <c r="C113" s="24"/>
      <c r="D113" s="111"/>
      <c r="E113" s="24"/>
      <c r="F113" s="111"/>
      <c r="G113" s="24"/>
      <c r="H113" s="111"/>
      <c r="I113" s="116"/>
      <c r="J113" s="116"/>
      <c r="K113" s="111"/>
      <c r="L113" s="111"/>
      <c r="M113" s="111"/>
      <c r="N113" s="111"/>
      <c r="O113" s="20"/>
      <c r="P113" s="20"/>
      <c r="Q113" s="20"/>
      <c r="R113" s="20"/>
      <c r="S113" s="20"/>
      <c r="T113" s="18"/>
      <c r="U113" s="18"/>
      <c r="V113" s="18"/>
      <c r="W113" s="18"/>
      <c r="X113" s="18"/>
      <c r="Y113" s="18"/>
      <c r="Z113" s="18"/>
      <c r="AA113" s="18"/>
      <c r="AB113" s="18"/>
    </row>
    <row r="114" spans="2:28" ht="15" x14ac:dyDescent="0.35">
      <c r="B114" s="18"/>
      <c r="C114" s="24"/>
      <c r="D114" s="111"/>
      <c r="E114" s="24"/>
      <c r="F114" s="111"/>
      <c r="G114" s="24"/>
      <c r="H114" s="111"/>
      <c r="I114" s="116"/>
      <c r="J114" s="116"/>
      <c r="K114" s="111"/>
      <c r="L114" s="111"/>
      <c r="M114" s="111"/>
      <c r="N114" s="111"/>
      <c r="O114" s="20"/>
      <c r="P114" s="20"/>
      <c r="Q114" s="20"/>
      <c r="R114" s="20"/>
      <c r="S114" s="20"/>
      <c r="T114" s="18"/>
      <c r="U114" s="18"/>
      <c r="V114" s="18"/>
      <c r="W114" s="18"/>
      <c r="X114" s="18"/>
      <c r="Y114" s="18"/>
      <c r="Z114" s="18"/>
      <c r="AA114" s="18"/>
      <c r="AB114" s="18"/>
    </row>
    <row r="115" spans="2:28" ht="15" x14ac:dyDescent="0.35">
      <c r="B115" s="18"/>
      <c r="C115" s="24"/>
      <c r="D115" s="111"/>
      <c r="E115" s="24"/>
      <c r="F115" s="111"/>
      <c r="G115" s="24"/>
      <c r="H115" s="111"/>
      <c r="I115" s="116"/>
      <c r="J115" s="116"/>
      <c r="K115" s="111"/>
      <c r="L115" s="111"/>
      <c r="M115" s="111"/>
      <c r="N115" s="111"/>
      <c r="O115" s="20"/>
      <c r="P115" s="20"/>
      <c r="Q115" s="20"/>
      <c r="R115" s="20"/>
      <c r="S115" s="20"/>
      <c r="T115" s="18"/>
      <c r="U115" s="18"/>
      <c r="V115" s="18"/>
      <c r="W115" s="18"/>
      <c r="X115" s="18"/>
      <c r="Y115" s="18"/>
      <c r="Z115" s="18"/>
      <c r="AA115" s="18"/>
      <c r="AB115" s="18"/>
    </row>
    <row r="116" spans="2:28" ht="15" x14ac:dyDescent="0.35">
      <c r="B116" s="18"/>
      <c r="C116" s="24"/>
      <c r="D116" s="111"/>
      <c r="E116" s="24"/>
      <c r="F116" s="111"/>
      <c r="G116" s="24"/>
      <c r="H116" s="111"/>
      <c r="I116" s="116"/>
      <c r="J116" s="116"/>
      <c r="K116" s="111"/>
      <c r="L116" s="111"/>
      <c r="M116" s="111"/>
      <c r="N116" s="111"/>
      <c r="O116" s="20"/>
      <c r="P116" s="20"/>
      <c r="Q116" s="20"/>
      <c r="R116" s="20"/>
      <c r="S116" s="20"/>
      <c r="T116" s="18"/>
      <c r="U116" s="18"/>
      <c r="V116" s="18"/>
      <c r="W116" s="18"/>
      <c r="X116" s="18"/>
      <c r="Y116" s="18"/>
      <c r="Z116" s="18"/>
      <c r="AA116" s="18"/>
      <c r="AB116" s="18"/>
    </row>
    <row r="117" spans="2:28" ht="15" x14ac:dyDescent="0.35">
      <c r="B117" s="18"/>
      <c r="C117" s="24"/>
      <c r="D117" s="18"/>
      <c r="E117" s="24"/>
      <c r="F117" s="18"/>
      <c r="G117" s="24"/>
      <c r="H117" s="18"/>
      <c r="I117" s="43"/>
      <c r="J117" s="43"/>
      <c r="K117" s="18"/>
      <c r="L117" s="18"/>
      <c r="M117" s="18"/>
      <c r="N117" s="18"/>
      <c r="O117" s="20"/>
      <c r="P117" s="20"/>
      <c r="Q117" s="20"/>
      <c r="R117" s="20"/>
      <c r="S117" s="20"/>
      <c r="T117" s="18"/>
      <c r="U117" s="18"/>
      <c r="V117" s="18"/>
      <c r="W117" s="18"/>
      <c r="X117" s="18"/>
      <c r="Y117" s="18"/>
      <c r="Z117" s="18"/>
      <c r="AA117" s="18"/>
      <c r="AB117" s="18"/>
    </row>
    <row r="118" spans="2:28" ht="15" x14ac:dyDescent="0.35">
      <c r="B118" s="18"/>
      <c r="C118" s="24"/>
      <c r="D118" s="18"/>
      <c r="E118" s="24"/>
      <c r="F118" s="18"/>
      <c r="G118" s="24"/>
      <c r="H118" s="18"/>
      <c r="I118" s="43"/>
      <c r="J118" s="43"/>
      <c r="K118" s="18"/>
      <c r="L118" s="18"/>
      <c r="M118" s="18"/>
      <c r="N118" s="18"/>
      <c r="O118" s="20"/>
      <c r="P118" s="20"/>
      <c r="Q118" s="20"/>
      <c r="R118" s="20"/>
      <c r="S118" s="20"/>
      <c r="T118" s="18"/>
      <c r="U118" s="18"/>
      <c r="V118" s="18"/>
      <c r="W118" s="18"/>
      <c r="X118" s="18"/>
      <c r="Y118" s="18"/>
      <c r="Z118" s="18"/>
      <c r="AA118" s="18"/>
      <c r="AB118" s="18"/>
    </row>
    <row r="119" spans="2:28" ht="15" x14ac:dyDescent="0.35">
      <c r="B119" s="18"/>
      <c r="C119" s="24"/>
      <c r="D119" s="18"/>
      <c r="E119" s="24"/>
      <c r="F119" s="18"/>
      <c r="G119" s="24"/>
      <c r="H119" s="18"/>
      <c r="I119" s="43"/>
      <c r="J119" s="43"/>
      <c r="K119" s="18"/>
      <c r="L119" s="18"/>
      <c r="M119" s="18"/>
      <c r="N119" s="18"/>
      <c r="O119" s="20"/>
      <c r="P119" s="20"/>
      <c r="Q119" s="20"/>
      <c r="R119" s="20"/>
      <c r="S119" s="20"/>
      <c r="T119" s="18"/>
      <c r="U119" s="18"/>
      <c r="V119" s="18"/>
      <c r="W119" s="18"/>
      <c r="X119" s="18"/>
      <c r="Y119" s="18"/>
      <c r="Z119" s="18"/>
      <c r="AA119" s="18"/>
      <c r="AB119" s="18"/>
    </row>
    <row r="120" spans="2:28" ht="15" x14ac:dyDescent="0.35">
      <c r="B120" s="18"/>
      <c r="C120" s="24"/>
      <c r="D120" s="18"/>
      <c r="E120" s="24"/>
      <c r="F120" s="18"/>
      <c r="G120" s="24"/>
      <c r="H120" s="18"/>
      <c r="I120" s="43"/>
      <c r="J120" s="43"/>
      <c r="K120" s="18"/>
      <c r="L120" s="18"/>
      <c r="M120" s="18"/>
      <c r="N120" s="18"/>
      <c r="O120" s="20"/>
      <c r="P120" s="20"/>
      <c r="Q120" s="20"/>
      <c r="R120" s="20"/>
      <c r="S120" s="20"/>
      <c r="T120" s="18"/>
      <c r="U120" s="18"/>
      <c r="V120" s="18"/>
      <c r="W120" s="18"/>
      <c r="X120" s="18"/>
      <c r="Y120" s="18"/>
      <c r="Z120" s="18"/>
      <c r="AA120" s="18"/>
      <c r="AB120" s="18"/>
    </row>
    <row r="121" spans="2:28" ht="15" x14ac:dyDescent="0.35">
      <c r="B121" s="18"/>
      <c r="C121" s="24"/>
      <c r="D121" s="18"/>
      <c r="E121" s="24"/>
      <c r="F121" s="18"/>
      <c r="G121" s="24"/>
      <c r="H121" s="18"/>
      <c r="I121" s="43"/>
      <c r="J121" s="43"/>
      <c r="K121" s="18"/>
      <c r="L121" s="18"/>
      <c r="M121" s="18"/>
      <c r="N121" s="18"/>
      <c r="O121" s="20"/>
      <c r="P121" s="20"/>
      <c r="Q121" s="20"/>
      <c r="R121" s="20"/>
      <c r="S121" s="20"/>
      <c r="T121" s="18"/>
      <c r="U121" s="18"/>
      <c r="V121" s="18"/>
      <c r="W121" s="18"/>
      <c r="X121" s="18"/>
      <c r="Y121" s="18"/>
      <c r="Z121" s="18"/>
      <c r="AA121" s="18"/>
      <c r="AB121" s="18"/>
    </row>
    <row r="122" spans="2:28" ht="15" x14ac:dyDescent="0.35">
      <c r="B122" s="18"/>
      <c r="C122" s="24"/>
      <c r="D122" s="18"/>
      <c r="E122" s="24"/>
      <c r="F122" s="18"/>
      <c r="G122" s="24"/>
      <c r="H122" s="18"/>
      <c r="I122" s="43"/>
      <c r="J122" s="43"/>
      <c r="K122" s="18"/>
      <c r="L122" s="18"/>
      <c r="M122" s="18"/>
      <c r="N122" s="18"/>
      <c r="O122" s="20"/>
      <c r="P122" s="20"/>
      <c r="Q122" s="20"/>
      <c r="R122" s="20"/>
      <c r="S122" s="20"/>
      <c r="T122" s="18"/>
      <c r="U122" s="18"/>
      <c r="V122" s="18"/>
      <c r="W122" s="18"/>
      <c r="X122" s="18"/>
      <c r="Y122" s="18"/>
      <c r="Z122" s="18"/>
      <c r="AA122" s="18"/>
      <c r="AB122" s="18"/>
    </row>
    <row r="123" spans="2:28" ht="15" x14ac:dyDescent="0.35">
      <c r="B123" s="18"/>
      <c r="C123" s="24"/>
      <c r="D123" s="18"/>
      <c r="E123" s="24"/>
      <c r="F123" s="18"/>
      <c r="G123" s="24"/>
      <c r="H123" s="18"/>
      <c r="I123" s="43"/>
      <c r="J123" s="43"/>
      <c r="K123" s="18"/>
      <c r="L123" s="18"/>
      <c r="M123" s="18"/>
      <c r="N123" s="18"/>
      <c r="O123" s="20"/>
      <c r="P123" s="20"/>
      <c r="Q123" s="20"/>
      <c r="R123" s="20"/>
      <c r="S123" s="20"/>
      <c r="T123" s="18"/>
      <c r="U123" s="18"/>
      <c r="V123" s="18"/>
      <c r="W123" s="18"/>
      <c r="X123" s="18"/>
      <c r="Y123" s="18"/>
      <c r="Z123" s="18"/>
      <c r="AA123" s="18"/>
      <c r="AB123" s="18"/>
    </row>
    <row r="124" spans="2:28" ht="15" x14ac:dyDescent="0.35">
      <c r="B124" s="18"/>
      <c r="C124" s="24"/>
      <c r="D124" s="18"/>
      <c r="E124" s="24"/>
      <c r="F124" s="18"/>
      <c r="G124" s="24"/>
      <c r="H124" s="18"/>
      <c r="I124" s="43"/>
      <c r="J124" s="43"/>
      <c r="K124" s="18"/>
      <c r="L124" s="18"/>
      <c r="M124" s="18"/>
      <c r="N124" s="18"/>
      <c r="O124" s="20"/>
      <c r="P124" s="20"/>
      <c r="Q124" s="20"/>
      <c r="R124" s="20"/>
      <c r="S124" s="20"/>
      <c r="T124" s="18"/>
      <c r="U124" s="18"/>
      <c r="V124" s="18"/>
      <c r="W124" s="18"/>
      <c r="X124" s="18"/>
      <c r="Y124" s="18"/>
      <c r="Z124" s="18"/>
      <c r="AA124" s="18"/>
      <c r="AB124" s="18"/>
    </row>
    <row r="125" spans="2:28" ht="15" x14ac:dyDescent="0.35">
      <c r="B125" s="18"/>
      <c r="C125" s="24"/>
      <c r="D125" s="18"/>
      <c r="E125" s="24"/>
      <c r="F125" s="18"/>
      <c r="G125" s="24"/>
      <c r="H125" s="18"/>
      <c r="I125" s="43"/>
      <c r="J125" s="43"/>
      <c r="K125" s="18"/>
      <c r="L125" s="18"/>
      <c r="M125" s="18"/>
      <c r="N125" s="18"/>
      <c r="O125" s="20"/>
      <c r="P125" s="20"/>
      <c r="Q125" s="20"/>
      <c r="R125" s="20"/>
      <c r="S125" s="20"/>
      <c r="W125" s="18"/>
      <c r="X125" s="18"/>
      <c r="Y125" s="18"/>
      <c r="Z125" s="18"/>
      <c r="AA125" s="18"/>
      <c r="AB125" s="18"/>
    </row>
    <row r="126" spans="2:28" ht="15" x14ac:dyDescent="0.35">
      <c r="B126" s="18"/>
      <c r="C126" s="24"/>
      <c r="D126" s="18"/>
      <c r="E126" s="24"/>
      <c r="F126" s="18"/>
      <c r="G126" s="24"/>
      <c r="H126" s="18"/>
      <c r="I126" s="43"/>
      <c r="J126" s="43"/>
      <c r="K126" s="18"/>
      <c r="L126" s="18"/>
      <c r="M126" s="18"/>
      <c r="N126" s="18"/>
      <c r="O126" s="20"/>
      <c r="P126" s="20"/>
      <c r="Q126" s="20"/>
      <c r="R126" s="20"/>
      <c r="S126" s="20"/>
      <c r="W126" s="18"/>
      <c r="X126" s="18"/>
      <c r="Y126" s="18"/>
      <c r="Z126" s="18"/>
      <c r="AA126" s="18"/>
      <c r="AB126" s="18"/>
    </row>
    <row r="127" spans="2:28" ht="15" x14ac:dyDescent="0.35">
      <c r="C127" s="24"/>
      <c r="D127" s="18"/>
      <c r="E127" s="24"/>
      <c r="F127" s="18"/>
      <c r="G127" s="24"/>
      <c r="H127" s="18"/>
      <c r="I127" s="43"/>
      <c r="J127" s="43"/>
      <c r="K127" s="18"/>
      <c r="L127" s="18"/>
      <c r="M127" s="18"/>
      <c r="N127" s="18"/>
      <c r="O127" s="20"/>
      <c r="P127" s="20"/>
      <c r="Q127" s="20"/>
      <c r="R127" s="20"/>
    </row>
    <row r="128" spans="2:28" ht="15" x14ac:dyDescent="0.35">
      <c r="C128" s="24"/>
      <c r="D128" s="18"/>
      <c r="E128" s="24"/>
      <c r="F128" s="18"/>
      <c r="G128" s="24"/>
      <c r="H128" s="18"/>
      <c r="I128" s="43"/>
      <c r="J128" s="43"/>
      <c r="K128" s="18"/>
      <c r="L128" s="18"/>
      <c r="M128" s="18"/>
      <c r="N128" s="18"/>
      <c r="O128" s="20"/>
      <c r="P128" s="20"/>
      <c r="Q128" s="20"/>
      <c r="R128" s="20"/>
    </row>
    <row r="129" spans="3:18" ht="15" x14ac:dyDescent="0.35">
      <c r="C129" s="24"/>
      <c r="D129" s="18"/>
      <c r="E129" s="24"/>
      <c r="F129" s="18"/>
      <c r="G129" s="24"/>
      <c r="H129" s="18"/>
      <c r="I129" s="43"/>
      <c r="J129" s="43"/>
      <c r="K129" s="18"/>
      <c r="L129" s="18"/>
      <c r="M129" s="18"/>
      <c r="N129" s="18"/>
      <c r="O129" s="20"/>
      <c r="P129" s="20"/>
      <c r="Q129" s="20"/>
      <c r="R129" s="20"/>
    </row>
    <row r="130" spans="3:18" ht="15" x14ac:dyDescent="0.35">
      <c r="C130" s="24"/>
      <c r="D130" s="18"/>
      <c r="E130" s="24"/>
      <c r="F130" s="18"/>
      <c r="G130" s="24"/>
      <c r="H130" s="18"/>
      <c r="I130" s="43"/>
      <c r="J130" s="43"/>
      <c r="K130" s="18"/>
      <c r="L130" s="18"/>
      <c r="M130" s="18"/>
      <c r="N130" s="18"/>
      <c r="O130" s="20"/>
      <c r="P130" s="20"/>
      <c r="Q130" s="20"/>
      <c r="R130" s="20"/>
    </row>
    <row r="131" spans="3:18" ht="15" x14ac:dyDescent="0.35">
      <c r="C131" s="24"/>
      <c r="D131" s="18"/>
      <c r="E131" s="24"/>
      <c r="F131" s="18"/>
      <c r="G131" s="24"/>
      <c r="H131" s="18"/>
      <c r="I131" s="18"/>
      <c r="J131" s="18"/>
      <c r="K131" s="18"/>
      <c r="L131" s="18"/>
      <c r="M131" s="18"/>
      <c r="N131" s="18"/>
      <c r="O131" s="20"/>
      <c r="P131" s="20"/>
      <c r="Q131" s="20"/>
      <c r="R131" s="20"/>
    </row>
    <row r="132" spans="3:18" ht="15" x14ac:dyDescent="0.35">
      <c r="C132" s="24"/>
      <c r="D132" s="18"/>
      <c r="E132" s="24"/>
      <c r="F132" s="18"/>
      <c r="G132" s="24"/>
      <c r="H132" s="18"/>
      <c r="I132" s="18"/>
      <c r="J132" s="18"/>
      <c r="K132" s="18"/>
      <c r="L132" s="18"/>
      <c r="M132" s="18"/>
      <c r="N132" s="18"/>
      <c r="O132" s="20"/>
      <c r="P132" s="20"/>
      <c r="Q132" s="20"/>
      <c r="R132" s="20"/>
    </row>
    <row r="133" spans="3:18" ht="15" x14ac:dyDescent="0.35">
      <c r="C133" s="24"/>
      <c r="D133" s="18"/>
      <c r="E133" s="24"/>
      <c r="F133" s="18"/>
      <c r="G133" s="24"/>
      <c r="H133" s="18"/>
      <c r="I133" s="18"/>
      <c r="J133" s="18"/>
      <c r="K133" s="18"/>
      <c r="L133" s="18"/>
      <c r="M133" s="18"/>
      <c r="N133" s="18"/>
      <c r="O133" s="20"/>
      <c r="P133" s="20"/>
      <c r="Q133" s="20"/>
      <c r="R133" s="20"/>
    </row>
    <row r="134" spans="3:18" ht="15" x14ac:dyDescent="0.35">
      <c r="C134" s="24"/>
      <c r="D134" s="18"/>
      <c r="E134" s="24"/>
      <c r="F134" s="18"/>
      <c r="G134" s="24"/>
      <c r="H134" s="18"/>
      <c r="I134" s="18"/>
      <c r="J134" s="18"/>
      <c r="K134" s="18"/>
      <c r="L134" s="18"/>
      <c r="M134" s="18"/>
      <c r="N134" s="18"/>
      <c r="O134" s="20"/>
      <c r="P134" s="20"/>
      <c r="Q134" s="20"/>
      <c r="R134" s="20"/>
    </row>
    <row r="135" spans="3:18" ht="15" x14ac:dyDescent="0.35">
      <c r="C135" s="24"/>
      <c r="D135" s="18"/>
      <c r="E135" s="24"/>
      <c r="F135" s="18"/>
      <c r="G135" s="24"/>
      <c r="H135" s="18"/>
      <c r="I135" s="18"/>
      <c r="J135" s="18"/>
      <c r="K135" s="18"/>
      <c r="L135" s="18"/>
      <c r="M135" s="18"/>
      <c r="N135" s="18"/>
      <c r="O135" s="20"/>
      <c r="P135" s="20"/>
      <c r="Q135" s="20"/>
      <c r="R135" s="20"/>
    </row>
    <row r="136" spans="3:18" ht="15" x14ac:dyDescent="0.35">
      <c r="C136" s="24"/>
      <c r="D136" s="18"/>
      <c r="E136" s="24"/>
      <c r="F136" s="18"/>
      <c r="G136" s="24"/>
      <c r="H136" s="18"/>
      <c r="I136" s="18"/>
      <c r="J136" s="18"/>
      <c r="K136" s="18"/>
      <c r="L136" s="18"/>
      <c r="M136" s="18"/>
      <c r="N136" s="18"/>
      <c r="O136" s="20"/>
      <c r="P136" s="20"/>
      <c r="Q136" s="20"/>
      <c r="R136" s="20"/>
    </row>
    <row r="137" spans="3:18" ht="15" x14ac:dyDescent="0.35">
      <c r="C137" s="24"/>
      <c r="D137" s="18"/>
      <c r="E137" s="24"/>
      <c r="F137" s="18"/>
      <c r="G137" s="24"/>
      <c r="H137" s="18"/>
      <c r="I137" s="18"/>
      <c r="J137" s="18"/>
      <c r="K137" s="18"/>
      <c r="L137" s="18"/>
      <c r="M137" s="18"/>
      <c r="N137" s="18"/>
      <c r="O137" s="20"/>
      <c r="P137" s="20"/>
      <c r="Q137" s="20"/>
      <c r="R137" s="20"/>
    </row>
    <row r="138" spans="3:18" ht="15" x14ac:dyDescent="0.35">
      <c r="C138" s="24"/>
      <c r="D138" s="18"/>
      <c r="E138" s="24"/>
      <c r="F138" s="18"/>
      <c r="G138" s="24"/>
      <c r="H138" s="18"/>
      <c r="I138" s="18"/>
      <c r="J138" s="18"/>
      <c r="K138" s="18"/>
      <c r="L138" s="18"/>
      <c r="M138" s="18"/>
      <c r="N138" s="18"/>
      <c r="O138" s="20"/>
      <c r="P138" s="20"/>
      <c r="Q138" s="20"/>
      <c r="R138" s="20"/>
    </row>
    <row r="139" spans="3:18" ht="15" x14ac:dyDescent="0.35">
      <c r="C139" s="24"/>
      <c r="D139" s="18"/>
      <c r="E139" s="24"/>
      <c r="F139" s="18"/>
      <c r="G139" s="24"/>
      <c r="H139" s="18"/>
      <c r="I139" s="18"/>
      <c r="J139" s="18"/>
      <c r="K139" s="18"/>
      <c r="L139" s="18"/>
      <c r="M139" s="18"/>
      <c r="N139" s="18"/>
      <c r="O139" s="20"/>
      <c r="P139" s="20"/>
      <c r="Q139" s="20"/>
      <c r="R139" s="20"/>
    </row>
    <row r="140" spans="3:18" ht="15" x14ac:dyDescent="0.35">
      <c r="C140" s="24"/>
      <c r="D140" s="18"/>
      <c r="E140" s="24"/>
      <c r="F140" s="18"/>
      <c r="G140" s="24"/>
      <c r="H140" s="18"/>
      <c r="I140" s="18"/>
      <c r="J140" s="18"/>
      <c r="K140" s="18"/>
      <c r="L140" s="18"/>
      <c r="M140" s="18"/>
      <c r="N140" s="18"/>
      <c r="O140" s="20"/>
      <c r="P140" s="20"/>
      <c r="Q140" s="20"/>
      <c r="R140" s="20"/>
    </row>
    <row r="194" spans="2:2" x14ac:dyDescent="0.35">
      <c r="B194" s="17" t="s">
        <v>880</v>
      </c>
    </row>
    <row r="195" spans="2:2" x14ac:dyDescent="0.35">
      <c r="B195" s="17" t="s">
        <v>881</v>
      </c>
    </row>
    <row r="196" spans="2:2" x14ac:dyDescent="0.35">
      <c r="B196" s="17" t="s">
        <v>882</v>
      </c>
    </row>
    <row r="197" spans="2:2" x14ac:dyDescent="0.35">
      <c r="B197" s="17" t="s">
        <v>803</v>
      </c>
    </row>
    <row r="198" spans="2:2" x14ac:dyDescent="0.35">
      <c r="B198" s="17" t="s">
        <v>802</v>
      </c>
    </row>
    <row r="199" spans="2:2" x14ac:dyDescent="0.35">
      <c r="B199" s="17" t="s">
        <v>801</v>
      </c>
    </row>
    <row r="200" spans="2:2" x14ac:dyDescent="0.35">
      <c r="B200" s="17" t="s">
        <v>446</v>
      </c>
    </row>
  </sheetData>
  <sheetProtection sheet="1" selectLockedCells="1"/>
  <mergeCells count="499">
    <mergeCell ref="A25:A28"/>
    <mergeCell ref="A7:A8"/>
    <mergeCell ref="A16:A19"/>
    <mergeCell ref="R4:Y19"/>
    <mergeCell ref="X23:X24"/>
    <mergeCell ref="B21:C21"/>
    <mergeCell ref="V23:V24"/>
    <mergeCell ref="W23:W24"/>
    <mergeCell ref="P21:Q21"/>
    <mergeCell ref="F21:G21"/>
    <mergeCell ref="J18:K18"/>
    <mergeCell ref="B19:C19"/>
    <mergeCell ref="L19:M19"/>
    <mergeCell ref="L21:M21"/>
    <mergeCell ref="J23:N23"/>
    <mergeCell ref="J21:K21"/>
    <mergeCell ref="C25:E25"/>
    <mergeCell ref="C26:E26"/>
    <mergeCell ref="B7:C7"/>
    <mergeCell ref="B8:C8"/>
    <mergeCell ref="B10:C10"/>
    <mergeCell ref="B11:C11"/>
    <mergeCell ref="B15:C15"/>
    <mergeCell ref="H10:I10"/>
    <mergeCell ref="S31:T31"/>
    <mergeCell ref="U31:V31"/>
    <mergeCell ref="B32:B41"/>
    <mergeCell ref="C24:E24"/>
    <mergeCell ref="K37:L37"/>
    <mergeCell ref="K38:L38"/>
    <mergeCell ref="S23:U23"/>
    <mergeCell ref="L16:M16"/>
    <mergeCell ref="L18:M18"/>
    <mergeCell ref="N18:O18"/>
    <mergeCell ref="P18:Q18"/>
    <mergeCell ref="N19:O19"/>
    <mergeCell ref="P19:Q19"/>
    <mergeCell ref="R23:R24"/>
    <mergeCell ref="O23:O24"/>
    <mergeCell ref="P23:P24"/>
    <mergeCell ref="Q23:Q24"/>
    <mergeCell ref="N21:O21"/>
    <mergeCell ref="N17:O17"/>
    <mergeCell ref="L17:M17"/>
    <mergeCell ref="B18:C18"/>
    <mergeCell ref="D18:E18"/>
    <mergeCell ref="H18:I18"/>
    <mergeCell ref="F18:G18"/>
    <mergeCell ref="Q57:R57"/>
    <mergeCell ref="R58:R59"/>
    <mergeCell ref="E34:G34"/>
    <mergeCell ref="E35:G35"/>
    <mergeCell ref="E36:G36"/>
    <mergeCell ref="E37:G37"/>
    <mergeCell ref="E38:G38"/>
    <mergeCell ref="E39:G39"/>
    <mergeCell ref="E40:G40"/>
    <mergeCell ref="E45:G45"/>
    <mergeCell ref="K57:L57"/>
    <mergeCell ref="E59:G59"/>
    <mergeCell ref="E58:G58"/>
    <mergeCell ref="I57:J57"/>
    <mergeCell ref="I58:J58"/>
    <mergeCell ref="I47:J47"/>
    <mergeCell ref="E41:G41"/>
    <mergeCell ref="E43:G43"/>
    <mergeCell ref="K44:L44"/>
    <mergeCell ref="K52:L52"/>
    <mergeCell ref="K53:L53"/>
    <mergeCell ref="I53:J53"/>
    <mergeCell ref="K45:L45"/>
    <mergeCell ref="O42:P42"/>
    <mergeCell ref="B45:B54"/>
    <mergeCell ref="C39:D39"/>
    <mergeCell ref="C40:D40"/>
    <mergeCell ref="C41:D41"/>
    <mergeCell ref="C44:D44"/>
    <mergeCell ref="E30:G30"/>
    <mergeCell ref="C30:D30"/>
    <mergeCell ref="E33:G33"/>
    <mergeCell ref="C32:D32"/>
    <mergeCell ref="C33:D33"/>
    <mergeCell ref="C48:D48"/>
    <mergeCell ref="E54:G54"/>
    <mergeCell ref="E46:G46"/>
    <mergeCell ref="E47:G47"/>
    <mergeCell ref="E44:G44"/>
    <mergeCell ref="C42:D42"/>
    <mergeCell ref="C37:D37"/>
    <mergeCell ref="C38:D38"/>
    <mergeCell ref="C54:D54"/>
    <mergeCell ref="E32:G32"/>
    <mergeCell ref="E42:G42"/>
    <mergeCell ref="C51:D51"/>
    <mergeCell ref="C52:D52"/>
    <mergeCell ref="C53:D53"/>
    <mergeCell ref="R45:R46"/>
    <mergeCell ref="M33:N33"/>
    <mergeCell ref="O30:P30"/>
    <mergeCell ref="O32:P32"/>
    <mergeCell ref="O31:P31"/>
    <mergeCell ref="M30:N30"/>
    <mergeCell ref="M36:N36"/>
    <mergeCell ref="M35:N35"/>
    <mergeCell ref="O40:P40"/>
    <mergeCell ref="O41:P41"/>
    <mergeCell ref="M46:N46"/>
    <mergeCell ref="M37:N37"/>
    <mergeCell ref="M45:N45"/>
    <mergeCell ref="O45:P45"/>
    <mergeCell ref="M34:N34"/>
    <mergeCell ref="O43:P43"/>
    <mergeCell ref="O36:P36"/>
    <mergeCell ref="O37:P37"/>
    <mergeCell ref="O38:P38"/>
    <mergeCell ref="O39:P39"/>
    <mergeCell ref="O33:P33"/>
    <mergeCell ref="Q31:R31"/>
    <mergeCell ref="R32:R33"/>
    <mergeCell ref="M44:N44"/>
    <mergeCell ref="C34:D34"/>
    <mergeCell ref="C43:D43"/>
    <mergeCell ref="C84:D84"/>
    <mergeCell ref="C64:D64"/>
    <mergeCell ref="C65:D65"/>
    <mergeCell ref="C66:D66"/>
    <mergeCell ref="C67:D67"/>
    <mergeCell ref="C57:D57"/>
    <mergeCell ref="C58:D58"/>
    <mergeCell ref="C59:D59"/>
    <mergeCell ref="C60:D60"/>
    <mergeCell ref="C68:D68"/>
    <mergeCell ref="C69:D69"/>
    <mergeCell ref="C63:D63"/>
    <mergeCell ref="C62:D62"/>
    <mergeCell ref="C74:D74"/>
    <mergeCell ref="C76:D76"/>
    <mergeCell ref="C82:D82"/>
    <mergeCell ref="C83:D83"/>
    <mergeCell ref="C61:D61"/>
    <mergeCell ref="C55:D55"/>
    <mergeCell ref="C56:D56"/>
    <mergeCell ref="C47:D47"/>
    <mergeCell ref="C27:E27"/>
    <mergeCell ref="H11:I11"/>
    <mergeCell ref="B16:C16"/>
    <mergeCell ref="F16:G16"/>
    <mergeCell ref="D16:E16"/>
    <mergeCell ref="B17:C17"/>
    <mergeCell ref="H15:I15"/>
    <mergeCell ref="B14:C14"/>
    <mergeCell ref="H14:I14"/>
    <mergeCell ref="D10:E10"/>
    <mergeCell ref="H9:I9"/>
    <mergeCell ref="H19:I19"/>
    <mergeCell ref="H21:I21"/>
    <mergeCell ref="L12:M12"/>
    <mergeCell ref="D15:E15"/>
    <mergeCell ref="L10:M10"/>
    <mergeCell ref="L11:M11"/>
    <mergeCell ref="D14:E14"/>
    <mergeCell ref="D13:E13"/>
    <mergeCell ref="J12:K12"/>
    <mergeCell ref="F14:G14"/>
    <mergeCell ref="L14:M14"/>
    <mergeCell ref="D11:E11"/>
    <mergeCell ref="F15:G15"/>
    <mergeCell ref="D21:E21"/>
    <mergeCell ref="H16:I16"/>
    <mergeCell ref="D17:E17"/>
    <mergeCell ref="H17:I17"/>
    <mergeCell ref="F10:G10"/>
    <mergeCell ref="F11:G11"/>
    <mergeCell ref="B6:C6"/>
    <mergeCell ref="F6:G6"/>
    <mergeCell ref="J6:K6"/>
    <mergeCell ref="D6:E6"/>
    <mergeCell ref="H6:I6"/>
    <mergeCell ref="F7:G7"/>
    <mergeCell ref="F8:G8"/>
    <mergeCell ref="B9:C9"/>
    <mergeCell ref="F9:G9"/>
    <mergeCell ref="J9:K9"/>
    <mergeCell ref="D9:E9"/>
    <mergeCell ref="D8:E8"/>
    <mergeCell ref="H7:I7"/>
    <mergeCell ref="H8:I8"/>
    <mergeCell ref="D7:E7"/>
    <mergeCell ref="J7:K7"/>
    <mergeCell ref="J8:K8"/>
    <mergeCell ref="B58:B67"/>
    <mergeCell ref="H12:I12"/>
    <mergeCell ref="F12:G12"/>
    <mergeCell ref="H13:I13"/>
    <mergeCell ref="B13:C13"/>
    <mergeCell ref="F13:G13"/>
    <mergeCell ref="D12:E12"/>
    <mergeCell ref="I41:J41"/>
    <mergeCell ref="C35:D35"/>
    <mergeCell ref="C36:D36"/>
    <mergeCell ref="B12:C12"/>
    <mergeCell ref="C45:D45"/>
    <mergeCell ref="C46:D46"/>
    <mergeCell ref="C49:D49"/>
    <mergeCell ref="C50:D50"/>
    <mergeCell ref="J13:K13"/>
    <mergeCell ref="J14:K14"/>
    <mergeCell ref="D19:E19"/>
    <mergeCell ref="F17:G17"/>
    <mergeCell ref="J17:K17"/>
    <mergeCell ref="J16:K16"/>
    <mergeCell ref="J15:K15"/>
    <mergeCell ref="F19:G19"/>
    <mergeCell ref="J19:K19"/>
    <mergeCell ref="I85:J85"/>
    <mergeCell ref="K30:L30"/>
    <mergeCell ref="K31:L31"/>
    <mergeCell ref="K32:L32"/>
    <mergeCell ref="K33:L33"/>
    <mergeCell ref="K34:L34"/>
    <mergeCell ref="K48:L48"/>
    <mergeCell ref="K67:L67"/>
    <mergeCell ref="I30:J30"/>
    <mergeCell ref="I32:J32"/>
    <mergeCell ref="I33:J33"/>
    <mergeCell ref="I67:J67"/>
    <mergeCell ref="I48:J48"/>
    <mergeCell ref="I49:J49"/>
    <mergeCell ref="I50:J50"/>
    <mergeCell ref="I51:J51"/>
    <mergeCell ref="I52:J52"/>
    <mergeCell ref="I59:J59"/>
    <mergeCell ref="I38:J38"/>
    <mergeCell ref="I39:J39"/>
    <mergeCell ref="I37:J37"/>
    <mergeCell ref="I40:J40"/>
    <mergeCell ref="K85:L85"/>
    <mergeCell ref="I84:J84"/>
    <mergeCell ref="K84:L84"/>
    <mergeCell ref="K69:L69"/>
    <mergeCell ref="I75:J75"/>
    <mergeCell ref="K75:L75"/>
    <mergeCell ref="I62:J62"/>
    <mergeCell ref="I54:J54"/>
    <mergeCell ref="E51:G51"/>
    <mergeCell ref="K42:L42"/>
    <mergeCell ref="K43:L43"/>
    <mergeCell ref="I55:J55"/>
    <mergeCell ref="I56:J56"/>
    <mergeCell ref="I83:J83"/>
    <mergeCell ref="K83:L83"/>
    <mergeCell ref="I66:J66"/>
    <mergeCell ref="I69:J69"/>
    <mergeCell ref="K55:L55"/>
    <mergeCell ref="K56:L56"/>
    <mergeCell ref="K50:L50"/>
    <mergeCell ref="K82:L82"/>
    <mergeCell ref="K66:L66"/>
    <mergeCell ref="E69:G69"/>
    <mergeCell ref="I68:J68"/>
    <mergeCell ref="E66:G66"/>
    <mergeCell ref="E67:G67"/>
    <mergeCell ref="O58:P58"/>
    <mergeCell ref="K59:L59"/>
    <mergeCell ref="K60:L60"/>
    <mergeCell ref="K61:L61"/>
    <mergeCell ref="K46:L46"/>
    <mergeCell ref="K47:L47"/>
    <mergeCell ref="I65:J65"/>
    <mergeCell ref="M51:N51"/>
    <mergeCell ref="M52:N52"/>
    <mergeCell ref="M53:N53"/>
    <mergeCell ref="M54:N54"/>
    <mergeCell ref="K49:L49"/>
    <mergeCell ref="M57:N57"/>
    <mergeCell ref="O51:P51"/>
    <mergeCell ref="O52:P52"/>
    <mergeCell ref="O53:P53"/>
    <mergeCell ref="O54:P54"/>
    <mergeCell ref="O55:P55"/>
    <mergeCell ref="O56:P56"/>
    <mergeCell ref="K63:L63"/>
    <mergeCell ref="K64:L64"/>
    <mergeCell ref="K65:L65"/>
    <mergeCell ref="I64:J64"/>
    <mergeCell ref="I46:J46"/>
    <mergeCell ref="O85:P85"/>
    <mergeCell ref="M84:N84"/>
    <mergeCell ref="M85:N85"/>
    <mergeCell ref="M66:N66"/>
    <mergeCell ref="O59:P59"/>
    <mergeCell ref="O60:P60"/>
    <mergeCell ref="O61:P61"/>
    <mergeCell ref="O62:P62"/>
    <mergeCell ref="O63:P63"/>
    <mergeCell ref="O64:P64"/>
    <mergeCell ref="O65:P65"/>
    <mergeCell ref="O84:P84"/>
    <mergeCell ref="O66:P66"/>
    <mergeCell ref="O67:P67"/>
    <mergeCell ref="O68:P68"/>
    <mergeCell ref="O69:P69"/>
    <mergeCell ref="M65:N65"/>
    <mergeCell ref="M62:N62"/>
    <mergeCell ref="M63:N63"/>
    <mergeCell ref="M64:N64"/>
    <mergeCell ref="M67:N67"/>
    <mergeCell ref="L70:M70"/>
    <mergeCell ref="N70:O70"/>
    <mergeCell ref="P70:Q70"/>
    <mergeCell ref="S2:U2"/>
    <mergeCell ref="Q2:R2"/>
    <mergeCell ref="R71:R72"/>
    <mergeCell ref="M75:N75"/>
    <mergeCell ref="O75:P75"/>
    <mergeCell ref="N6:O6"/>
    <mergeCell ref="P6:Q6"/>
    <mergeCell ref="R3:Y3"/>
    <mergeCell ref="M47:N47"/>
    <mergeCell ref="M59:N59"/>
    <mergeCell ref="M60:N60"/>
    <mergeCell ref="M61:N61"/>
    <mergeCell ref="M48:N48"/>
    <mergeCell ref="M49:N49"/>
    <mergeCell ref="M50:N50"/>
    <mergeCell ref="O46:P46"/>
    <mergeCell ref="O47:P47"/>
    <mergeCell ref="N3:Q3"/>
    <mergeCell ref="N4:O4"/>
    <mergeCell ref="P4:Q4"/>
    <mergeCell ref="N5:O5"/>
    <mergeCell ref="P5:Q5"/>
    <mergeCell ref="P7:Q7"/>
    <mergeCell ref="N8:O8"/>
    <mergeCell ref="B2:C2"/>
    <mergeCell ref="D2:F2"/>
    <mergeCell ref="G2:H2"/>
    <mergeCell ref="I2:K2"/>
    <mergeCell ref="L2:M2"/>
    <mergeCell ref="L5:M5"/>
    <mergeCell ref="J3:M3"/>
    <mergeCell ref="L4:M4"/>
    <mergeCell ref="F3:I3"/>
    <mergeCell ref="H4:I4"/>
    <mergeCell ref="B3:E3"/>
    <mergeCell ref="B4:C4"/>
    <mergeCell ref="D4:E4"/>
    <mergeCell ref="B5:C5"/>
    <mergeCell ref="D5:E5"/>
    <mergeCell ref="H5:I5"/>
    <mergeCell ref="J5:K5"/>
    <mergeCell ref="J4:K4"/>
    <mergeCell ref="F4:G4"/>
    <mergeCell ref="F5:G5"/>
    <mergeCell ref="P8:Q8"/>
    <mergeCell ref="N7:O7"/>
    <mergeCell ref="L6:M6"/>
    <mergeCell ref="N2:P2"/>
    <mergeCell ref="L7:M7"/>
    <mergeCell ref="L8:M8"/>
    <mergeCell ref="O48:P48"/>
    <mergeCell ref="O49:P49"/>
    <mergeCell ref="O50:P50"/>
    <mergeCell ref="O34:P34"/>
    <mergeCell ref="O35:P35"/>
    <mergeCell ref="P14:Q14"/>
    <mergeCell ref="K35:L35"/>
    <mergeCell ref="K36:L36"/>
    <mergeCell ref="M32:N32"/>
    <mergeCell ref="M31:N31"/>
    <mergeCell ref="J10:K10"/>
    <mergeCell ref="J11:K11"/>
    <mergeCell ref="L15:M15"/>
    <mergeCell ref="O57:P57"/>
    <mergeCell ref="O44:P44"/>
    <mergeCell ref="L13:M13"/>
    <mergeCell ref="L9:M9"/>
    <mergeCell ref="N9:O9"/>
    <mergeCell ref="P9:Q9"/>
    <mergeCell ref="P15:Q15"/>
    <mergeCell ref="N16:O16"/>
    <mergeCell ref="Q44:R44"/>
    <mergeCell ref="K39:L39"/>
    <mergeCell ref="K40:L40"/>
    <mergeCell ref="K41:L41"/>
    <mergeCell ref="N15:O15"/>
    <mergeCell ref="N10:O10"/>
    <mergeCell ref="P10:Q10"/>
    <mergeCell ref="N11:O11"/>
    <mergeCell ref="P11:Q11"/>
    <mergeCell ref="N12:O12"/>
    <mergeCell ref="P12:Q12"/>
    <mergeCell ref="N13:O13"/>
    <mergeCell ref="P16:Q16"/>
    <mergeCell ref="P17:Q17"/>
    <mergeCell ref="P13:Q13"/>
    <mergeCell ref="N14:O14"/>
    <mergeCell ref="M74:N74"/>
    <mergeCell ref="O74:P74"/>
    <mergeCell ref="M71:N71"/>
    <mergeCell ref="O71:P71"/>
    <mergeCell ref="C72:D72"/>
    <mergeCell ref="E72:G72"/>
    <mergeCell ref="I72:J72"/>
    <mergeCell ref="K72:L72"/>
    <mergeCell ref="M72:N72"/>
    <mergeCell ref="O72:P72"/>
    <mergeCell ref="M73:N73"/>
    <mergeCell ref="O73:P73"/>
    <mergeCell ref="M77:N77"/>
    <mergeCell ref="O77:P77"/>
    <mergeCell ref="C78:D78"/>
    <mergeCell ref="E78:G78"/>
    <mergeCell ref="I78:J78"/>
    <mergeCell ref="M76:N76"/>
    <mergeCell ref="O76:P76"/>
    <mergeCell ref="C81:D81"/>
    <mergeCell ref="E81:G81"/>
    <mergeCell ref="O80:P80"/>
    <mergeCell ref="M78:N78"/>
    <mergeCell ref="O78:P78"/>
    <mergeCell ref="M83:N83"/>
    <mergeCell ref="O83:P83"/>
    <mergeCell ref="C28:E28"/>
    <mergeCell ref="I81:J81"/>
    <mergeCell ref="K81:L81"/>
    <mergeCell ref="O81:P81"/>
    <mergeCell ref="C79:D79"/>
    <mergeCell ref="E79:G79"/>
    <mergeCell ref="I79:J79"/>
    <mergeCell ref="K79:L79"/>
    <mergeCell ref="M79:N79"/>
    <mergeCell ref="O79:P79"/>
    <mergeCell ref="C80:D80"/>
    <mergeCell ref="E80:G80"/>
    <mergeCell ref="I80:J80"/>
    <mergeCell ref="K80:L80"/>
    <mergeCell ref="M80:N80"/>
    <mergeCell ref="C75:D75"/>
    <mergeCell ref="E75:G75"/>
    <mergeCell ref="E82:G82"/>
    <mergeCell ref="I82:J82"/>
    <mergeCell ref="K62:L62"/>
    <mergeCell ref="O82:P82"/>
    <mergeCell ref="C77:D77"/>
    <mergeCell ref="B71:B80"/>
    <mergeCell ref="B70:C70"/>
    <mergeCell ref="D70:E70"/>
    <mergeCell ref="F70:G70"/>
    <mergeCell ref="H70:I70"/>
    <mergeCell ref="J70:K70"/>
    <mergeCell ref="K78:L78"/>
    <mergeCell ref="C73:D73"/>
    <mergeCell ref="E73:G73"/>
    <mergeCell ref="I73:J73"/>
    <mergeCell ref="K73:L73"/>
    <mergeCell ref="E76:G76"/>
    <mergeCell ref="I76:J76"/>
    <mergeCell ref="K76:L76"/>
    <mergeCell ref="C71:D71"/>
    <mergeCell ref="E71:G71"/>
    <mergeCell ref="I71:J71"/>
    <mergeCell ref="K71:L71"/>
    <mergeCell ref="E77:G77"/>
    <mergeCell ref="I77:J77"/>
    <mergeCell ref="K77:L77"/>
    <mergeCell ref="E74:G74"/>
    <mergeCell ref="I74:J74"/>
    <mergeCell ref="K74:L74"/>
    <mergeCell ref="E68:G68"/>
    <mergeCell ref="K51:L51"/>
    <mergeCell ref="K54:L54"/>
    <mergeCell ref="K68:L68"/>
    <mergeCell ref="I34:J34"/>
    <mergeCell ref="K58:L58"/>
    <mergeCell ref="I35:J35"/>
    <mergeCell ref="I36:J36"/>
    <mergeCell ref="I42:J42"/>
    <mergeCell ref="E60:G60"/>
    <mergeCell ref="E61:G61"/>
    <mergeCell ref="E57:G57"/>
    <mergeCell ref="I60:J60"/>
    <mergeCell ref="I61:J61"/>
    <mergeCell ref="I63:J63"/>
    <mergeCell ref="E55:G55"/>
    <mergeCell ref="E56:G56"/>
    <mergeCell ref="E48:G48"/>
    <mergeCell ref="E49:G49"/>
    <mergeCell ref="E50:G50"/>
    <mergeCell ref="M58:N58"/>
    <mergeCell ref="I43:J43"/>
    <mergeCell ref="I44:J44"/>
    <mergeCell ref="I45:J45"/>
    <mergeCell ref="E64:G64"/>
    <mergeCell ref="E65:G65"/>
    <mergeCell ref="E62:G62"/>
    <mergeCell ref="E63:G63"/>
    <mergeCell ref="E52:G52"/>
    <mergeCell ref="E53:G53"/>
  </mergeCells>
  <dataValidations count="1">
    <dataValidation type="list" allowBlank="1" showInputMessage="1" showErrorMessage="1" sqref="D6:E6 H6:I6 L6:M6 P6:Q6" xr:uid="{4546FAC9-959E-44B8-852D-101F68745E08}">
      <formula1>$B$194:$B$200</formula1>
    </dataValidation>
  </dataValidations>
  <pageMargins left="0.25" right="0.25" top="0.25" bottom="0.25" header="0.3" footer="0.3"/>
  <pageSetup scale="45" orientation="landscape" r:id="rId1"/>
  <colBreaks count="1" manualBreakCount="1">
    <brk id="25" max="1048575" man="1"/>
  </colBreak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2FA0482-6691-423C-81A9-C100622D3F58}">
          <x14:formula1>
            <xm:f>'Grab Rail Item List'!$A$52:$A$53</xm:f>
          </x14:formula1>
          <xm:sqref>H4:I4 D4:E4 L4:M4 P4:Q4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8D562-D349-4C52-937C-9A19A1A968C4}">
  <sheetPr codeName="Sheet2">
    <tabColor theme="5" tint="0.39997558519241921"/>
  </sheetPr>
  <dimension ref="A1:BP277"/>
  <sheetViews>
    <sheetView tabSelected="1" topLeftCell="A10" zoomScaleNormal="100" workbookViewId="0">
      <selection activeCell="B31" sqref="B31"/>
    </sheetView>
  </sheetViews>
  <sheetFormatPr defaultRowHeight="14.6" x14ac:dyDescent="0.4"/>
  <cols>
    <col min="1" max="1" width="30.84375" bestFit="1" customWidth="1"/>
    <col min="2" max="2" width="24.53515625" customWidth="1"/>
    <col min="3" max="3" width="62.15234375" customWidth="1"/>
    <col min="4" max="4" width="13.3046875" style="63" customWidth="1"/>
    <col min="5" max="5" width="12.69140625" style="46" customWidth="1"/>
    <col min="6" max="6" width="12.15234375" style="36" customWidth="1"/>
    <col min="7" max="7" width="15.84375" style="38" customWidth="1"/>
    <col min="8" max="8" width="15" style="39" customWidth="1"/>
    <col min="9" max="9" width="21.3828125" style="51" customWidth="1"/>
    <col min="10" max="10" width="15.3828125" style="39" customWidth="1"/>
    <col min="11" max="11" width="11.15234375" style="39" bestFit="1" customWidth="1"/>
    <col min="12" max="14" width="9.15234375" style="39"/>
    <col min="15" max="15" width="11.3046875" style="39" bestFit="1" customWidth="1"/>
    <col min="16" max="67" width="9.15234375" style="39"/>
  </cols>
  <sheetData>
    <row r="1" spans="1:67" s="98" customFormat="1" ht="15" thickBot="1" x14ac:dyDescent="0.45">
      <c r="A1" s="1103" t="str">
        <f>IF('Project Materials'!C25="","",'Project Materials'!C25)</f>
        <v/>
      </c>
      <c r="B1" s="1104"/>
      <c r="C1" s="1104"/>
      <c r="D1" s="1104"/>
      <c r="E1" s="1104"/>
      <c r="F1" s="1104"/>
      <c r="G1" s="1104"/>
      <c r="H1" s="225"/>
      <c r="I1" s="226"/>
      <c r="J1" s="225"/>
      <c r="K1" s="227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39"/>
      <c r="BL1" s="39"/>
      <c r="BM1" s="39"/>
      <c r="BN1" s="39"/>
      <c r="BO1" s="39"/>
    </row>
    <row r="2" spans="1:67" ht="29.15" x14ac:dyDescent="0.4">
      <c r="A2" s="65" t="s">
        <v>491</v>
      </c>
      <c r="B2" s="64" t="str">
        <f>IF(ISBLANK('Project Materials'!D2),"",'Project Materials'!D2)</f>
        <v/>
      </c>
      <c r="C2" s="65" t="s">
        <v>490</v>
      </c>
      <c r="D2" s="1105" t="str">
        <f>IF(ISBLANK('Project Materials'!I2),"",'Project Materials'!I2)</f>
        <v/>
      </c>
      <c r="E2" s="1105"/>
      <c r="F2" s="35" t="s">
        <v>492</v>
      </c>
      <c r="G2" s="42" t="str">
        <f>IF(ISBLANK('Project Materials'!N2),"",'Project Materials'!N2)</f>
        <v/>
      </c>
      <c r="H2" s="1108"/>
      <c r="I2" s="1108"/>
      <c r="J2" s="1108"/>
    </row>
    <row r="3" spans="1:67" ht="15.9" x14ac:dyDescent="0.45">
      <c r="A3" s="1109" t="s">
        <v>479</v>
      </c>
      <c r="B3" s="1109"/>
      <c r="C3" s="1109"/>
      <c r="D3" s="1109"/>
      <c r="E3" s="1109"/>
      <c r="F3" s="1109"/>
      <c r="G3" s="1109"/>
      <c r="H3" s="1109"/>
      <c r="I3" s="1109"/>
      <c r="J3" s="1109"/>
    </row>
    <row r="4" spans="1:67" ht="43.75" x14ac:dyDescent="0.4">
      <c r="A4" s="29" t="s">
        <v>432</v>
      </c>
      <c r="B4" s="287" t="s">
        <v>11</v>
      </c>
      <c r="C4" s="287" t="s">
        <v>12</v>
      </c>
      <c r="D4" s="44" t="s">
        <v>435</v>
      </c>
      <c r="E4" s="45" t="s">
        <v>436</v>
      </c>
      <c r="F4" s="35" t="s">
        <v>437</v>
      </c>
      <c r="G4" s="34" t="s">
        <v>425</v>
      </c>
      <c r="H4" s="14" t="s">
        <v>501</v>
      </c>
      <c r="I4" s="45" t="s">
        <v>715</v>
      </c>
      <c r="J4" s="14" t="s">
        <v>500</v>
      </c>
      <c r="K4" s="117" t="s">
        <v>869</v>
      </c>
      <c r="L4" s="1102" t="s">
        <v>866</v>
      </c>
      <c r="M4" s="1102"/>
      <c r="N4" s="228"/>
      <c r="O4" s="228"/>
    </row>
    <row r="5" spans="1:67" x14ac:dyDescent="0.4">
      <c r="A5" s="552" t="s">
        <v>0</v>
      </c>
      <c r="B5" s="377" t="s">
        <v>264</v>
      </c>
      <c r="C5" s="78" t="str">
        <f>VLOOKUP(B5,'Item List'!B:AH,2,FALSE)</f>
        <v>Square Top Rail ( 20' )- Black</v>
      </c>
      <c r="D5" s="553">
        <f>IF(B5="none",0,SUM('Project Materials'!$O$25*'Project Materials'!$P$25))</f>
        <v>0</v>
      </c>
      <c r="E5" s="554">
        <f>IF(K5="",(CEILING(('Project Materials'!$O$25/20),L5)*'Project Materials'!$P$25),(CEILING(('Project Materials'!$O$25/K5),L5)*'Project Materials'!$P$25))</f>
        <v>0</v>
      </c>
      <c r="F5" s="555">
        <f>IF(K5&gt;0,K5/20*(VLOOKUP(B5,'Item List'!B:AH,4,FALSE)),IF(B5="None",0,VLOOKUP(B5,'Item List'!B:AH,4,FALSE)))</f>
        <v>51.52</v>
      </c>
      <c r="G5" s="556">
        <f>F5*E5</f>
        <v>0</v>
      </c>
      <c r="H5" s="557">
        <f>ROUNDUP(D5*'Project Materials'!$D$16,0)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06">
        <v>0.5</v>
      </c>
      <c r="M5" s="1106"/>
      <c r="N5" s="230" t="s">
        <v>867</v>
      </c>
      <c r="O5" s="1107"/>
      <c r="P5" s="1107"/>
    </row>
    <row r="6" spans="1:67" x14ac:dyDescent="0.4">
      <c r="A6" s="552" t="s">
        <v>413</v>
      </c>
      <c r="B6" s="377" t="s">
        <v>22</v>
      </c>
      <c r="C6" s="78" t="str">
        <f>VLOOKUP(B6,'Item List'!B:AH,2,FALSE)</f>
        <v>Series 100 Bottom Rail (20')- Black</v>
      </c>
      <c r="D6" s="553">
        <f>IF(B6="none",0,SUM('Project Materials'!$O$25*'Project Materials'!$P$25))</f>
        <v>0</v>
      </c>
      <c r="E6" s="554">
        <f>IFERROR(CEILING(IF(K6="",(CEILING(('Project Materials'!$O$25/VLOOKUP(B6,'Item List'!B:AM,3,FALSE)),L6)*'Project Materials'!$P$25),(CEILING(('Project Materials'!$O$25/K6),L6)*'Project Materials'!$P$25)),L6),0)</f>
        <v>0</v>
      </c>
      <c r="F6" s="555">
        <f>IF(B6="None",0,VLOOKUP(B6,'Item List'!B:AH,4,FALSE))</f>
        <v>25.81</v>
      </c>
      <c r="G6" s="556">
        <f>F6*E6</f>
        <v>0</v>
      </c>
      <c r="H6" s="557">
        <f>ROUNDUP(D6*'Project Materials'!$D$16,0)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06">
        <v>0.25</v>
      </c>
      <c r="M6" s="1106"/>
      <c r="N6" s="230" t="s">
        <v>868</v>
      </c>
    </row>
    <row r="7" spans="1:67" x14ac:dyDescent="0.4">
      <c r="A7" s="552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Materials'!$O$25*'Project Materials'!$P$25))</f>
        <v>0</v>
      </c>
      <c r="E7" s="560">
        <f>IF(K7="",(CEILING(('Project Materials'!$O$25/20),0.5)*'Project Materials'!$P$25),(CEILING(('Project Materials'!$O$25/K7),0.5)*'Project Materials'!$P$25))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Materials'!$D$16,0)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</row>
    <row r="8" spans="1:67" x14ac:dyDescent="0.4">
      <c r="A8" s="552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Materials'!$O$25*'Project Materials'!$P$25))</f>
        <v>0</v>
      </c>
      <c r="E8" s="560">
        <f>CEILING(IF(K8="",(CEILING(('Project Materials'!$O$25/20),0.25)*'Project Materials'!$P$25),(CEILING(('Project Materials'!$O$25/K8),0.25)*'Project Materials'!$P$25)),0.5)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Materials'!$D$16,0)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3"/>
      <c r="F9" s="564"/>
      <c r="G9" s="386">
        <f>SUM(G5:G8)</f>
        <v>0</v>
      </c>
      <c r="H9" s="386"/>
      <c r="I9" s="386"/>
      <c r="J9" s="386">
        <f>SUM(J5:J8)</f>
        <v>0</v>
      </c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566" t="s">
        <v>432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572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Materials'!K25*('Project Materials'!H25/12))*'Project Materials'!P25)</f>
        <v>0</v>
      </c>
      <c r="E12" s="558">
        <f>IFERROR(IF(B12="none",0,'Project Materials'!K25/(ROUNDDOWN(1/('Project Materials'!$H$25/(VLOOKUP('Area A'!B12,'Item List'!B:AJ,3,FALSE)*12)),0)))*'Project Materials'!P25,0)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s="98" customFormat="1" x14ac:dyDescent="0.4">
      <c r="A13" s="572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Materials'!J25*('Project Materials'!H25/12))*'Project Materials'!P25)</f>
        <v>0</v>
      </c>
      <c r="E13" s="558">
        <f>IFERROR(IF(B13="none",0,'Project Materials'!J25/(ROUNDDOWN(1/('Project Materials'!$H$25/(VLOOKUP('Area A'!B13,'Item List'!B:AJ,3,FALSE)*12)),0)))*'Project Materials'!P25,0)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  <c r="AW13" s="39"/>
      <c r="AX13" s="39"/>
      <c r="AY13" s="39"/>
      <c r="AZ13" s="39"/>
      <c r="BA13" s="39"/>
      <c r="BB13" s="39"/>
      <c r="BC13" s="39"/>
      <c r="BD13" s="39"/>
      <c r="BE13" s="39"/>
      <c r="BF13" s="39"/>
      <c r="BG13" s="39"/>
      <c r="BH13" s="39"/>
      <c r="BI13" s="39"/>
      <c r="BJ13" s="39"/>
      <c r="BK13" s="39"/>
      <c r="BL13" s="39"/>
      <c r="BM13" s="39"/>
      <c r="BN13" s="39"/>
      <c r="BO13" s="39"/>
    </row>
    <row r="14" spans="1:67" s="98" customFormat="1" x14ac:dyDescent="0.4">
      <c r="A14" s="572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Materials'!M25*('Project Materials'!H25/12))*'Project Materials'!P25)</f>
        <v>0</v>
      </c>
      <c r="E14" s="558">
        <f>IFERROR(IF(B14="none",0,('Project Materials'!L25+'Project Materials'!M25)/(ROUNDDOWN(1/('Project Materials'!$H$25/(VLOOKUP('Area A'!B14,'Item List'!B:AJ,3,FALSE)*12)),0)))*'Project Materials'!P25,0)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  <c r="AW14" s="39"/>
      <c r="AX14" s="39"/>
      <c r="AY14" s="39"/>
      <c r="AZ14" s="39"/>
      <c r="BA14" s="39"/>
      <c r="BB14" s="39"/>
      <c r="BC14" s="39"/>
      <c r="BD14" s="39"/>
      <c r="BE14" s="39"/>
      <c r="BF14" s="39"/>
      <c r="BG14" s="39"/>
      <c r="BH14" s="39"/>
      <c r="BI14" s="39"/>
      <c r="BJ14" s="39"/>
      <c r="BK14" s="39"/>
      <c r="BL14" s="39"/>
      <c r="BM14" s="39"/>
      <c r="BN14" s="39"/>
      <c r="BO14" s="39"/>
    </row>
    <row r="15" spans="1:67" x14ac:dyDescent="0.4">
      <c r="A15" s="572" t="s">
        <v>702</v>
      </c>
      <c r="B15" s="377" t="s">
        <v>551</v>
      </c>
      <c r="C15" s="78" t="str">
        <f>VLOOKUP(B15,'Item List'!B:AJ,2,FALSE)</f>
        <v>Post-36" with 5" x 5" Base Plate  (36 5/8")- Black Unlined</v>
      </c>
      <c r="D15" s="574"/>
      <c r="E15" s="575">
        <f>IF(B15="None",0,SUM('Project Materials'!K25*'Project Materials'!P25))</f>
        <v>0</v>
      </c>
      <c r="F15" s="555">
        <f>VLOOKUP(B15,'Item List'!B:AJ,4,FALSE)</f>
        <v>22.17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s="98" customFormat="1" x14ac:dyDescent="0.4">
      <c r="A16" s="572" t="s">
        <v>703</v>
      </c>
      <c r="B16" s="377" t="s">
        <v>551</v>
      </c>
      <c r="C16" s="78" t="str">
        <f>VLOOKUP(B16,'Item List'!B:AJ,2,FALSE)</f>
        <v>Post-36" with 5" x 5" Base Plate  (36 5/8")- Black Unlined</v>
      </c>
      <c r="D16" s="574"/>
      <c r="E16" s="575">
        <f>IF(B16="None",0,SUM('Project Materials'!J25*'Project Materials'!P25))</f>
        <v>0</v>
      </c>
      <c r="F16" s="555">
        <f>VLOOKUP(B16,'Item List'!B:AJ,4,FALSE)</f>
        <v>22.17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  <c r="AY16" s="39"/>
      <c r="AZ16" s="39"/>
      <c r="BA16" s="39"/>
      <c r="BB16" s="39"/>
      <c r="BC16" s="39"/>
      <c r="BD16" s="39"/>
      <c r="BE16" s="39"/>
      <c r="BF16" s="39"/>
      <c r="BG16" s="39"/>
      <c r="BH16" s="39"/>
      <c r="BI16" s="39"/>
      <c r="BJ16" s="39"/>
      <c r="BK16" s="39"/>
      <c r="BL16" s="39"/>
      <c r="BM16" s="39"/>
      <c r="BN16" s="39"/>
      <c r="BO16" s="39"/>
    </row>
    <row r="17" spans="1:67" s="98" customFormat="1" x14ac:dyDescent="0.4">
      <c r="A17" s="572" t="s">
        <v>710</v>
      </c>
      <c r="B17" s="377" t="s">
        <v>551</v>
      </c>
      <c r="C17" s="78" t="str">
        <f>VLOOKUP(B17,'Item List'!B:AJ,2,FALSE)</f>
        <v>Post-36" with 5" x 5" Base Plate  (36 5/8")- Black Unlined</v>
      </c>
      <c r="D17" s="574"/>
      <c r="E17" s="575">
        <f>IF(B17="None",0,SUM('Project Materials'!L25*'Project Materials'!P25))</f>
        <v>0</v>
      </c>
      <c r="F17" s="555">
        <f>VLOOKUP(B17,'Item List'!B:AJ,4,FALSE)</f>
        <v>22.17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</row>
    <row r="18" spans="1:67" x14ac:dyDescent="0.4">
      <c r="A18" s="572" t="s">
        <v>711</v>
      </c>
      <c r="B18" s="377" t="s">
        <v>551</v>
      </c>
      <c r="C18" s="78" t="str">
        <f>VLOOKUP(B18,'Item List'!B:AJ,2,FALSE)</f>
        <v>Post-36" with 5" x 5" Base Plate  (36 5/8")- Black Unlined</v>
      </c>
      <c r="D18" s="574"/>
      <c r="E18" s="575">
        <f>IF(B18="None",0,SUM('Project Materials'!M25*'Project Materials'!P25))</f>
        <v>0</v>
      </c>
      <c r="F18" s="555">
        <f>VLOOKUP(B18,'Item List'!B:AJ,4,FALSE)</f>
        <v>22.17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67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67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67" x14ac:dyDescent="0.4">
      <c r="A21" s="579" t="s">
        <v>432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  <c r="L21" s="1101"/>
      <c r="M21" s="1101"/>
      <c r="N21" s="1101"/>
      <c r="O21" s="1101"/>
    </row>
    <row r="22" spans="1:67" x14ac:dyDescent="0.4">
      <c r="A22" s="572" t="s">
        <v>6</v>
      </c>
      <c r="B22" s="377" t="s">
        <v>293</v>
      </c>
      <c r="C22" s="582" t="str">
        <f>VLOOKUP(B22,'Item List'!B:AH,2,FALSE)</f>
        <v>Intermediate Fascia Mount Bracket 6", with bottom plate, six screws- Black</v>
      </c>
      <c r="D22" s="78"/>
      <c r="E22" s="575">
        <f>VLOOKUP(B22,'Item List'!B:AJ,33,FALSE)</f>
        <v>0</v>
      </c>
      <c r="F22" s="555">
        <f>IF(B22="None",0,VLOOKUP(B22,'Item List'!B:AH,4,FALSE))</f>
        <v>15.96</v>
      </c>
      <c r="G22" s="556">
        <f>F22*E22</f>
        <v>0</v>
      </c>
      <c r="H22" s="78"/>
      <c r="I22" s="583">
        <f>ROUNDUP((E22*'Project Materials'!$D$18),0)</f>
        <v>0</v>
      </c>
      <c r="J22" s="559">
        <f>G22+(I22*F22)</f>
        <v>0</v>
      </c>
    </row>
    <row r="23" spans="1:67" x14ac:dyDescent="0.4">
      <c r="A23" s="572" t="s">
        <v>6</v>
      </c>
      <c r="B23" s="377" t="s">
        <v>301</v>
      </c>
      <c r="C23" s="582" t="str">
        <f>VLOOKUP(B23,'Item List'!B:AH,2,FALSE)</f>
        <v>Outside Corner Fascia Mount Bracket 6"- with bottom plate &amp; six screws- Black</v>
      </c>
      <c r="D23" s="78"/>
      <c r="E23" s="575">
        <f>VLOOKUP(B23,'Item List'!B:AJ,33,FALSE)</f>
        <v>0</v>
      </c>
      <c r="F23" s="555">
        <f>IF(B23="None",0,VLOOKUP(B23,'Item List'!B:AH,4,FALSE))</f>
        <v>18.71</v>
      </c>
      <c r="G23" s="556">
        <f>F23*E23</f>
        <v>0</v>
      </c>
      <c r="H23" s="78"/>
      <c r="I23" s="583">
        <f>ROUNDUP((E23*'Project Materials'!$D$18),0)</f>
        <v>0</v>
      </c>
      <c r="J23" s="559">
        <f>G23+(I23*F23)</f>
        <v>0</v>
      </c>
    </row>
    <row r="24" spans="1:67" x14ac:dyDescent="0.4">
      <c r="A24" s="572" t="s">
        <v>6</v>
      </c>
      <c r="B24" s="377" t="s">
        <v>418</v>
      </c>
      <c r="C24" s="582" t="str">
        <f>VLOOKUP(B24,'Item List'!B:AH,2,FALSE)</f>
        <v>None</v>
      </c>
      <c r="D24" s="78"/>
      <c r="E24" s="575">
        <f>VLOOKUP(B24,'Item List'!B:AJ,33,FALSE)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Materials'!$D$18),0)</f>
        <v>0</v>
      </c>
      <c r="J24" s="559">
        <f>G24+(I24*F24)</f>
        <v>0</v>
      </c>
    </row>
    <row r="25" spans="1:67" x14ac:dyDescent="0.4">
      <c r="A25" s="572" t="s">
        <v>6</v>
      </c>
      <c r="B25" s="377" t="s">
        <v>418</v>
      </c>
      <c r="C25" s="584" t="str">
        <f>VLOOKUP(B25,'Item List'!B:AH,2,FALSE)</f>
        <v>None</v>
      </c>
      <c r="D25" s="585"/>
      <c r="E25" s="575">
        <f>VLOOKUP(B25,'Item List'!B:AJ,33,FALSE)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Materials'!$D$18),0)</f>
        <v>0</v>
      </c>
      <c r="J25" s="559">
        <f>G25+(I25*F25)</f>
        <v>0</v>
      </c>
    </row>
    <row r="26" spans="1:67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67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52"/>
    </row>
    <row r="28" spans="1:67" x14ac:dyDescent="0.4">
      <c r="A28" s="579" t="s">
        <v>432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67" x14ac:dyDescent="0.4">
      <c r="A29" s="552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Materials'!$V$25*'Project Materials'!$I$25)/12),0)</f>
        <v>0</v>
      </c>
      <c r="E29" s="575">
        <f>IF(B29="None",0,ROUNDUP(SUM(('Project Materials'!O25*'Project Materials'!P25)*VLOOKUP(B29,'Item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Materials'!$D$17,0)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67" x14ac:dyDescent="0.4">
      <c r="A30" s="552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Materials'!$V$25*'Project Materials'!$I$25)/12)</f>
        <v>0</v>
      </c>
      <c r="E30" s="575">
        <f>IF(B30="None",0,ROUNDUP(SUM('Project Materials'!O25*VLOOKUP(B30,'Item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Materials'!$D$17,0)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67" x14ac:dyDescent="0.4">
      <c r="A31" s="552" t="s">
        <v>444</v>
      </c>
      <c r="B31" s="377" t="s">
        <v>667</v>
      </c>
      <c r="C31" s="78" t="str">
        <f>VLOOKUP(B31,'Item List'!B:AH,2,FALSE)</f>
        <v>CLEAR TEMPERED/LAMINATED GLASS 3/8""</v>
      </c>
      <c r="D31" s="573">
        <f>ROUNDUP(IF(B31="None",0,'Project Materials'!D12*'Project Materials'!D13),1)</f>
        <v>0</v>
      </c>
      <c r="E31" s="558"/>
      <c r="F31" s="555">
        <f>IF(B31="None",0,VLOOKUP(B31,'Item List'!B:AH,4,FALSE))</f>
        <v>11.12</v>
      </c>
      <c r="G31" s="556">
        <f>D31*F31</f>
        <v>0</v>
      </c>
      <c r="H31" s="557">
        <f>ROUNDUP(D31*'Project Materials'!$D$18,0)</f>
        <v>0</v>
      </c>
      <c r="I31" s="589"/>
      <c r="J31" s="559">
        <f>G31+(H31*F31)</f>
        <v>0</v>
      </c>
    </row>
    <row r="32" spans="1:67" x14ac:dyDescent="0.4">
      <c r="A32" s="552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Materials'!Q25=0,(((('Project Materials'!O25/4)*(2*'Project Materials'!D10))+('Project Materials'!O25*2*12))*'Project Materials'!P25),('Project Materials'!D11*2+'Project Materials'!D10*2)*'Project Materials'!D13))</f>
        <v>0</v>
      </c>
      <c r="E32" s="558"/>
      <c r="F32" s="555">
        <f>IF(B32="None",0,VLOOKUP(B32,'Item List'!B:AH,4,FALSE))</f>
        <v>0</v>
      </c>
      <c r="G32" s="556">
        <f>D32*F32</f>
        <v>0</v>
      </c>
      <c r="H32" s="557">
        <f>ROUNDUP(D32*'Project Materials'!$D$18,0)</f>
        <v>0</v>
      </c>
      <c r="I32" s="589"/>
      <c r="J32" s="559">
        <f>G32+(H32*F32)</f>
        <v>0</v>
      </c>
    </row>
    <row r="33" spans="1:10" x14ac:dyDescent="0.4">
      <c r="A33" s="552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Materials'!$D$7+2)*'Project Materials'!$D$8*'Project Materials'!D9)*'Project Materials'!$P$25)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552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Materials'!$D$7+2)*'Project Materials'!$D$8*'Project Materials'!D9)*'Project Materials'!$P$25)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552" t="s">
        <v>884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Materials'!D14*3)/ROUNDDOWN(259/'Project Materials'!I25,0),0))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Materials'!$D$18,0)</f>
        <v>0</v>
      </c>
      <c r="J35" s="559">
        <f>G35+(I35*F35)</f>
        <v>0</v>
      </c>
    </row>
    <row r="36" spans="1:10" x14ac:dyDescent="0.4">
      <c r="A36" s="552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Materials'!$D$18,0)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566" t="s">
        <v>432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552" t="s">
        <v>438</v>
      </c>
      <c r="B40" s="78" t="str">
        <f>VLOOKUP('Area A'!B5,'Item List'!B:AH,5,FALSE)</f>
        <v>375 EP - Mil</v>
      </c>
      <c r="C40" s="78" t="str">
        <f>VLOOKUP(B40,'Item List'!B:AH,2,FALSE)</f>
        <v>375 End Plate- Mill Finish</v>
      </c>
      <c r="D40" s="78"/>
      <c r="E40" s="558">
        <f>IF(B40="none",0,'Project Materials'!$W$25)</f>
        <v>0</v>
      </c>
      <c r="F40" s="555">
        <f>IF(B40="None",0,VLOOKUP(B40,'Item List'!B:AH,4,FALSE))</f>
        <v>7.5</v>
      </c>
      <c r="G40" s="556">
        <f>F40*E40</f>
        <v>0</v>
      </c>
      <c r="H40" s="593"/>
      <c r="I40" s="594">
        <f>ROUNDUP((E40*'Project Materials'!$D$18),0)</f>
        <v>0</v>
      </c>
      <c r="J40" s="559">
        <f>G40+(I40*F40)</f>
        <v>0</v>
      </c>
    </row>
    <row r="41" spans="1:10" x14ac:dyDescent="0.4">
      <c r="A41" s="552" t="s">
        <v>439</v>
      </c>
      <c r="B41" s="78" t="str">
        <f>VLOOKUP('Area A'!B6,'Item List'!B:AH,5,FALSE)</f>
        <v>None</v>
      </c>
      <c r="C41" s="78" t="str">
        <f>VLOOKUP(B41,'Item List'!B:AH,2,FALSE)</f>
        <v>None</v>
      </c>
      <c r="D41" s="78"/>
      <c r="E41" s="558">
        <f>IF(B41="none",0,'Project Materials'!$X$25)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Materials'!$D$18),0)</f>
        <v>0</v>
      </c>
      <c r="J41" s="559">
        <f>G41+(I41*F41)</f>
        <v>0</v>
      </c>
    </row>
    <row r="42" spans="1:10" x14ac:dyDescent="0.4">
      <c r="A42" s="552" t="s">
        <v>438</v>
      </c>
      <c r="B42" s="78" t="str">
        <f>VLOOKUP('Area A'!B7,'Item List'!B:AH,5,FALSE)</f>
        <v>None</v>
      </c>
      <c r="C42" s="78" t="str">
        <f>VLOOKUP(B42,'Item List'!B:AH,2,FALSE)</f>
        <v>None</v>
      </c>
      <c r="D42" s="78"/>
      <c r="E42" s="558">
        <f>IF(B42="none",0,'Project Materials'!$W$25)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Materials'!$D$18),0)</f>
        <v>0</v>
      </c>
      <c r="J42" s="559">
        <f>G42+(I42*F42)</f>
        <v>0</v>
      </c>
    </row>
    <row r="43" spans="1:10" x14ac:dyDescent="0.4">
      <c r="A43" s="552" t="s">
        <v>439</v>
      </c>
      <c r="B43" s="78" t="str">
        <f>VLOOKUP('Area A'!B8,'Item List'!B:AH,5,FALSE)</f>
        <v>None</v>
      </c>
      <c r="C43" s="585" t="str">
        <f>VLOOKUP(B43,'Item List'!B:AH,2,FALSE)</f>
        <v>None</v>
      </c>
      <c r="D43" s="585"/>
      <c r="E43" s="558">
        <f>IF(B43="none",0,'Project Materials'!$X$25)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Materials'!$D$18),0)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566" t="s">
        <v>432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552" t="s">
        <v>795</v>
      </c>
      <c r="B47" s="78" t="str">
        <f>IF('Area A'!B5="None","None",VLOOKUP('Area A'!$B$5,'Item List'!B:AL,6,FALSE))</f>
        <v>none</v>
      </c>
      <c r="C47" s="78" t="str">
        <f>VLOOKUP(B47,'Item List'!B:AH,2,FALSE)</f>
        <v>None</v>
      </c>
      <c r="D47" s="78"/>
      <c r="E47" s="575">
        <f>VLOOKUP(B47,'Item List'!B:AM,33,FALSE)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Materials'!$D$18),0)</f>
        <v>0</v>
      </c>
      <c r="J47" s="559">
        <f>G47+(I47*F47)</f>
        <v>0</v>
      </c>
    </row>
    <row r="48" spans="1:10" x14ac:dyDescent="0.4">
      <c r="A48" s="552" t="s">
        <v>796</v>
      </c>
      <c r="B48" s="78" t="str">
        <f>IF('Area A'!B6="None","None",VLOOKUP('Area A'!$B6,'Item List'!B:AL,6,FALSE))</f>
        <v>none</v>
      </c>
      <c r="C48" s="78" t="str">
        <f>VLOOKUP(B48,'Item List'!B:AH,2,FALSE)</f>
        <v>None</v>
      </c>
      <c r="D48" s="78"/>
      <c r="E48" s="575">
        <f>VLOOKUP(B48,'Item List'!B:AM,33,FALSE)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Materials'!$D$18),0)</f>
        <v>0</v>
      </c>
      <c r="J48" s="559">
        <f>G48+(I48*F48)</f>
        <v>0</v>
      </c>
    </row>
    <row r="49" spans="1:67" x14ac:dyDescent="0.4">
      <c r="A49" s="552" t="s">
        <v>795</v>
      </c>
      <c r="B49" s="78" t="str">
        <f>IF('Area A'!B7="None","None",VLOOKUP('Area A'!$B7,'Item List'!B:AL,6,FALSE))</f>
        <v>None</v>
      </c>
      <c r="C49" s="596" t="str">
        <f>VLOOKUP(B49,'Item List'!B:AH,2,FALSE)</f>
        <v>None</v>
      </c>
      <c r="D49" s="596"/>
      <c r="E49" s="575">
        <f>VLOOKUP(B49,'Item List'!B:AM,33,FALSE)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Materials'!$D$18),0)</f>
        <v>0</v>
      </c>
      <c r="J49" s="559">
        <f>G49+(I49*F49)</f>
        <v>0</v>
      </c>
    </row>
    <row r="50" spans="1:67" x14ac:dyDescent="0.4">
      <c r="A50" s="552" t="s">
        <v>796</v>
      </c>
      <c r="B50" s="585" t="str">
        <f>IF('Area A'!B8="None","None",VLOOKUP('Area A'!$B8,'Item List'!B:AL,6,FALSE))</f>
        <v>None</v>
      </c>
      <c r="C50" s="597" t="str">
        <f>VLOOKUP(B50,'Item List'!B:AH,2,FALSE)</f>
        <v>None</v>
      </c>
      <c r="D50" s="597"/>
      <c r="E50" s="598">
        <f>VLOOKUP(B50,'Item List'!B:AM,33,FALSE)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Materials'!$D$18),0)</f>
        <v>0</v>
      </c>
      <c r="J50" s="603">
        <f>G50+(I50*F50)</f>
        <v>0</v>
      </c>
    </row>
    <row r="51" spans="1:67" s="98" customFormat="1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39"/>
      <c r="W51" s="39"/>
      <c r="X51" s="39"/>
      <c r="Y51" s="39"/>
      <c r="Z51" s="39"/>
      <c r="AA51" s="39"/>
      <c r="AB51" s="39"/>
      <c r="AC51" s="39"/>
      <c r="AD51" s="39"/>
      <c r="AE51" s="39"/>
      <c r="AF51" s="39"/>
      <c r="AG51" s="39"/>
      <c r="AH51" s="39"/>
      <c r="AI51" s="39"/>
      <c r="AJ51" s="39"/>
      <c r="AK51" s="39"/>
      <c r="AL51" s="39"/>
      <c r="AM51" s="39"/>
      <c r="AN51" s="39"/>
      <c r="AO51" s="39"/>
      <c r="AP51" s="39"/>
      <c r="AQ51" s="39"/>
      <c r="AR51" s="39"/>
      <c r="AS51" s="39"/>
      <c r="AT51" s="39"/>
      <c r="AU51" s="39"/>
      <c r="AV51" s="39"/>
      <c r="AW51" s="39"/>
      <c r="AX51" s="39"/>
      <c r="AY51" s="39"/>
      <c r="AZ51" s="39"/>
      <c r="BA51" s="39"/>
      <c r="BB51" s="39"/>
      <c r="BC51" s="39"/>
      <c r="BD51" s="39"/>
      <c r="BE51" s="39"/>
      <c r="BF51" s="39"/>
      <c r="BG51" s="39"/>
      <c r="BH51" s="39"/>
      <c r="BI51" s="39"/>
      <c r="BJ51" s="39"/>
      <c r="BK51" s="39"/>
      <c r="BL51" s="39"/>
      <c r="BM51" s="39"/>
      <c r="BN51" s="39"/>
      <c r="BO51" s="39"/>
    </row>
    <row r="52" spans="1:67" x14ac:dyDescent="0.4">
      <c r="A52" s="572" t="s">
        <v>699</v>
      </c>
      <c r="B52" s="78" t="str">
        <f>VLOOKUP('Area A'!$B$12,'Item List'!B:AL,6,FALSE)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Materials'!$D$18),0)</f>
        <v>0</v>
      </c>
      <c r="J52" s="559">
        <f>G52+(I52*F52)</f>
        <v>0</v>
      </c>
    </row>
    <row r="53" spans="1:67" x14ac:dyDescent="0.4">
      <c r="A53" s="572" t="s">
        <v>699</v>
      </c>
      <c r="B53" s="78" t="str">
        <f>VLOOKUP('Area A'!$B$12,'Item List'!B:AL,7,FALSE)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Materials'!$D$18),0)</f>
        <v>0</v>
      </c>
      <c r="J53" s="559">
        <f>G53+(I53*F53)</f>
        <v>0</v>
      </c>
    </row>
    <row r="54" spans="1:67" x14ac:dyDescent="0.4">
      <c r="A54" s="572" t="s">
        <v>699</v>
      </c>
      <c r="B54" s="78" t="str">
        <f>VLOOKUP('Area A'!$B$12,'Item List'!B:AL,8,FALSE)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Materials'!$D$18),0)</f>
        <v>0</v>
      </c>
      <c r="J54" s="559">
        <f>G54+(I54*F54)</f>
        <v>0</v>
      </c>
    </row>
    <row r="55" spans="1:67" x14ac:dyDescent="0.4">
      <c r="A55" s="572" t="s">
        <v>699</v>
      </c>
      <c r="B55" s="78" t="str">
        <f>VLOOKUP('Area A'!$B$12,'Item List'!B:AL,9,FALSE)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Materials'!$D$18),0)</f>
        <v>0</v>
      </c>
      <c r="J55" s="559">
        <f>G55+(I55*F55)</f>
        <v>0</v>
      </c>
    </row>
    <row r="56" spans="1:67" s="98" customFormat="1" x14ac:dyDescent="0.4">
      <c r="A56" s="572" t="s">
        <v>699</v>
      </c>
      <c r="B56" s="78" t="str">
        <f>VLOOKUP('Area A'!$B$12,'Item List'!B:AL,10,FALSE)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81" si="1">F56*E56</f>
        <v>0</v>
      </c>
      <c r="H56" s="593"/>
      <c r="I56" s="594">
        <f>ROUNDUP((E56*'Project Materials'!$D$18),0)</f>
        <v>0</v>
      </c>
      <c r="J56" s="559">
        <f t="shared" ref="J56:J81" si="2">G56+(I56*F56)</f>
        <v>0</v>
      </c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  <c r="AW56" s="39"/>
      <c r="AX56" s="39"/>
      <c r="AY56" s="39"/>
      <c r="AZ56" s="39"/>
      <c r="BA56" s="39"/>
      <c r="BB56" s="39"/>
      <c r="BC56" s="39"/>
      <c r="BD56" s="39"/>
      <c r="BE56" s="39"/>
      <c r="BF56" s="39"/>
      <c r="BG56" s="39"/>
      <c r="BH56" s="39"/>
      <c r="BI56" s="39"/>
      <c r="BJ56" s="39"/>
      <c r="BK56" s="39"/>
      <c r="BL56" s="39"/>
      <c r="BM56" s="39"/>
      <c r="BN56" s="39"/>
      <c r="BO56" s="39"/>
    </row>
    <row r="57" spans="1:67" s="98" customFormat="1" x14ac:dyDescent="0.4">
      <c r="A57" s="572" t="s">
        <v>699</v>
      </c>
      <c r="B57" s="585" t="str">
        <f>VLOOKUP('Area A'!$B$12,'Item List'!B:AL,11,FALSE)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Materials'!$D$18),0)</f>
        <v>0</v>
      </c>
      <c r="J57" s="603">
        <f t="shared" si="2"/>
        <v>0</v>
      </c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  <c r="AW57" s="39"/>
      <c r="AX57" s="39"/>
      <c r="AY57" s="39"/>
      <c r="AZ57" s="39"/>
      <c r="BA57" s="39"/>
      <c r="BB57" s="39"/>
      <c r="BC57" s="39"/>
      <c r="BD57" s="39"/>
      <c r="BE57" s="39"/>
      <c r="BF57" s="39"/>
      <c r="BG57" s="39"/>
      <c r="BH57" s="39"/>
      <c r="BI57" s="39"/>
      <c r="BJ57" s="39"/>
      <c r="BK57" s="39"/>
      <c r="BL57" s="39"/>
      <c r="BM57" s="39"/>
      <c r="BN57" s="39"/>
      <c r="BO57" s="39"/>
    </row>
    <row r="58" spans="1:67" s="98" customFormat="1" x14ac:dyDescent="0.4">
      <c r="A58" s="572" t="s">
        <v>700</v>
      </c>
      <c r="B58" s="78" t="str">
        <f>VLOOKUP('Area A'!$B$13,'Item List'!B:AL,6,FALSE)</f>
        <v>None</v>
      </c>
      <c r="C58" s="614" t="str">
        <f>VLOOKUP(B58,'Item List'!B:AH,2,FALSE)</f>
        <v>None</v>
      </c>
      <c r="D58" s="614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Materials'!$D$18),0)</f>
        <v>0</v>
      </c>
      <c r="J58" s="559">
        <f t="shared" si="2"/>
        <v>0</v>
      </c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  <c r="AW58" s="39"/>
      <c r="AX58" s="39"/>
      <c r="AY58" s="39"/>
      <c r="AZ58" s="39"/>
      <c r="BA58" s="39"/>
      <c r="BB58" s="39"/>
      <c r="BC58" s="39"/>
      <c r="BD58" s="39"/>
      <c r="BE58" s="39"/>
      <c r="BF58" s="39"/>
      <c r="BG58" s="39"/>
      <c r="BH58" s="39"/>
      <c r="BI58" s="39"/>
      <c r="BJ58" s="39"/>
      <c r="BK58" s="39"/>
      <c r="BL58" s="39"/>
      <c r="BM58" s="39"/>
      <c r="BN58" s="39"/>
      <c r="BO58" s="39"/>
    </row>
    <row r="59" spans="1:67" s="98" customFormat="1" x14ac:dyDescent="0.4">
      <c r="A59" s="572" t="s">
        <v>700</v>
      </c>
      <c r="B59" s="78" t="str">
        <f>VLOOKUP('Area A'!$B$13,'Item List'!B:AL,7,FALSE)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Materials'!$D$18),0)</f>
        <v>0</v>
      </c>
      <c r="J59" s="559">
        <f t="shared" si="2"/>
        <v>0</v>
      </c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  <c r="AW59" s="39"/>
      <c r="AX59" s="39"/>
      <c r="AY59" s="39"/>
      <c r="AZ59" s="39"/>
      <c r="BA59" s="39"/>
      <c r="BB59" s="39"/>
      <c r="BC59" s="39"/>
      <c r="BD59" s="39"/>
      <c r="BE59" s="39"/>
      <c r="BF59" s="39"/>
      <c r="BG59" s="39"/>
      <c r="BH59" s="39"/>
      <c r="BI59" s="39"/>
      <c r="BJ59" s="39"/>
      <c r="BK59" s="39"/>
      <c r="BL59" s="39"/>
      <c r="BM59" s="39"/>
      <c r="BN59" s="39"/>
      <c r="BO59" s="39"/>
    </row>
    <row r="60" spans="1:67" s="98" customFormat="1" x14ac:dyDescent="0.4">
      <c r="A60" s="572" t="s">
        <v>700</v>
      </c>
      <c r="B60" s="78" t="str">
        <f>VLOOKUP('Area A'!$B$13,'Item List'!B:AL,8,FALSE)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Materials'!$D$18),0)</f>
        <v>0</v>
      </c>
      <c r="J60" s="559">
        <f t="shared" si="2"/>
        <v>0</v>
      </c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  <c r="AW60" s="39"/>
      <c r="AX60" s="39"/>
      <c r="AY60" s="39"/>
      <c r="AZ60" s="39"/>
      <c r="BA60" s="39"/>
      <c r="BB60" s="39"/>
      <c r="BC60" s="39"/>
      <c r="BD60" s="39"/>
      <c r="BE60" s="39"/>
      <c r="BF60" s="39"/>
      <c r="BG60" s="39"/>
      <c r="BH60" s="39"/>
      <c r="BI60" s="39"/>
      <c r="BJ60" s="39"/>
      <c r="BK60" s="39"/>
      <c r="BL60" s="39"/>
      <c r="BM60" s="39"/>
      <c r="BN60" s="39"/>
      <c r="BO60" s="39"/>
    </row>
    <row r="61" spans="1:67" s="98" customFormat="1" x14ac:dyDescent="0.4">
      <c r="A61" s="572" t="s">
        <v>700</v>
      </c>
      <c r="B61" s="78" t="str">
        <f>VLOOKUP('Area A'!$B$13,'Item List'!B:AL,9,FALSE)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Materials'!$D$18),0)</f>
        <v>0</v>
      </c>
      <c r="J61" s="559">
        <f t="shared" si="2"/>
        <v>0</v>
      </c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  <c r="AW61" s="39"/>
      <c r="AX61" s="39"/>
      <c r="AY61" s="39"/>
      <c r="AZ61" s="39"/>
      <c r="BA61" s="39"/>
      <c r="BB61" s="39"/>
      <c r="BC61" s="39"/>
      <c r="BD61" s="39"/>
      <c r="BE61" s="39"/>
      <c r="BF61" s="39"/>
      <c r="BG61" s="39"/>
      <c r="BH61" s="39"/>
      <c r="BI61" s="39"/>
      <c r="BJ61" s="39"/>
      <c r="BK61" s="39"/>
      <c r="BL61" s="39"/>
      <c r="BM61" s="39"/>
      <c r="BN61" s="39"/>
      <c r="BO61" s="39"/>
    </row>
    <row r="62" spans="1:67" s="98" customFormat="1" x14ac:dyDescent="0.4">
      <c r="A62" s="572" t="s">
        <v>700</v>
      </c>
      <c r="B62" s="78" t="str">
        <f>VLOOKUP('Area A'!$B$13,'Item List'!B:AL,10,FALSE)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Materials'!$D$18),0)</f>
        <v>0</v>
      </c>
      <c r="J62" s="559">
        <f t="shared" si="2"/>
        <v>0</v>
      </c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  <c r="AO62" s="39"/>
      <c r="AP62" s="39"/>
      <c r="AQ62" s="39"/>
      <c r="AR62" s="39"/>
      <c r="AS62" s="39"/>
      <c r="AT62" s="39"/>
      <c r="AU62" s="39"/>
      <c r="AV62" s="39"/>
      <c r="AW62" s="39"/>
      <c r="AX62" s="39"/>
      <c r="AY62" s="39"/>
      <c r="AZ62" s="39"/>
      <c r="BA62" s="39"/>
      <c r="BB62" s="39"/>
      <c r="BC62" s="39"/>
      <c r="BD62" s="39"/>
      <c r="BE62" s="39"/>
      <c r="BF62" s="39"/>
      <c r="BG62" s="39"/>
      <c r="BH62" s="39"/>
      <c r="BI62" s="39"/>
      <c r="BJ62" s="39"/>
      <c r="BK62" s="39"/>
      <c r="BL62" s="39"/>
      <c r="BM62" s="39"/>
      <c r="BN62" s="39"/>
      <c r="BO62" s="39"/>
    </row>
    <row r="63" spans="1:67" s="98" customFormat="1" x14ac:dyDescent="0.4">
      <c r="A63" s="572" t="s">
        <v>700</v>
      </c>
      <c r="B63" s="615" t="str">
        <f>VLOOKUP('Area A'!$B$13,'Item List'!B:AL,11,FALSE)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Materials'!$D$18),0)</f>
        <v>0</v>
      </c>
      <c r="J63" s="619">
        <f t="shared" si="2"/>
        <v>0</v>
      </c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  <c r="AO63" s="39"/>
      <c r="AP63" s="39"/>
      <c r="AQ63" s="39"/>
      <c r="AR63" s="39"/>
      <c r="AS63" s="39"/>
      <c r="AT63" s="39"/>
      <c r="AU63" s="39"/>
      <c r="AV63" s="39"/>
      <c r="AW63" s="39"/>
      <c r="AX63" s="39"/>
      <c r="AY63" s="39"/>
      <c r="AZ63" s="39"/>
      <c r="BA63" s="39"/>
      <c r="BB63" s="39"/>
      <c r="BC63" s="39"/>
      <c r="BD63" s="39"/>
      <c r="BE63" s="39"/>
      <c r="BF63" s="39"/>
      <c r="BG63" s="39"/>
      <c r="BH63" s="39"/>
      <c r="BI63" s="39"/>
      <c r="BJ63" s="39"/>
      <c r="BK63" s="39"/>
      <c r="BL63" s="39"/>
      <c r="BM63" s="39"/>
      <c r="BN63" s="39"/>
      <c r="BO63" s="39"/>
    </row>
    <row r="64" spans="1:67" s="98" customFormat="1" x14ac:dyDescent="0.4">
      <c r="A64" s="572" t="s">
        <v>701</v>
      </c>
      <c r="B64" s="78" t="str">
        <f>VLOOKUP('Area A'!$B$14,'Item List'!B:AL,6,FALSE)</f>
        <v>None</v>
      </c>
      <c r="C64" s="614" t="str">
        <f>VLOOKUP(B64,'Item List'!B:AH,2,FALSE)</f>
        <v>None</v>
      </c>
      <c r="D64" s="614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Materials'!$D$18),0)</f>
        <v>0</v>
      </c>
      <c r="J64" s="559">
        <f t="shared" si="2"/>
        <v>0</v>
      </c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  <c r="AO64" s="39"/>
      <c r="AP64" s="39"/>
      <c r="AQ64" s="39"/>
      <c r="AR64" s="39"/>
      <c r="AS64" s="39"/>
      <c r="AT64" s="39"/>
      <c r="AU64" s="39"/>
      <c r="AV64" s="39"/>
      <c r="AW64" s="39"/>
      <c r="AX64" s="39"/>
      <c r="AY64" s="39"/>
      <c r="AZ64" s="39"/>
      <c r="BA64" s="39"/>
      <c r="BB64" s="39"/>
      <c r="BC64" s="39"/>
      <c r="BD64" s="39"/>
      <c r="BE64" s="39"/>
      <c r="BF64" s="39"/>
      <c r="BG64" s="39"/>
      <c r="BH64" s="39"/>
      <c r="BI64" s="39"/>
      <c r="BJ64" s="39"/>
      <c r="BK64" s="39"/>
      <c r="BL64" s="39"/>
      <c r="BM64" s="39"/>
      <c r="BN64" s="39"/>
      <c r="BO64" s="39"/>
    </row>
    <row r="65" spans="1:67" s="98" customFormat="1" x14ac:dyDescent="0.4">
      <c r="A65" s="572" t="s">
        <v>701</v>
      </c>
      <c r="B65" s="78" t="str">
        <f>VLOOKUP('Area A'!$B$14,'Item List'!B:AL,7,FALSE)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Materials'!$D$18),0)</f>
        <v>0</v>
      </c>
      <c r="J65" s="559">
        <f t="shared" si="2"/>
        <v>0</v>
      </c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  <c r="AO65" s="39"/>
      <c r="AP65" s="39"/>
      <c r="AQ65" s="39"/>
      <c r="AR65" s="39"/>
      <c r="AS65" s="39"/>
      <c r="AT65" s="39"/>
      <c r="AU65" s="39"/>
      <c r="AV65" s="39"/>
      <c r="AW65" s="39"/>
      <c r="AX65" s="39"/>
      <c r="AY65" s="39"/>
      <c r="AZ65" s="39"/>
      <c r="BA65" s="39"/>
      <c r="BB65" s="39"/>
      <c r="BC65" s="39"/>
      <c r="BD65" s="39"/>
      <c r="BE65" s="39"/>
      <c r="BF65" s="39"/>
      <c r="BG65" s="39"/>
      <c r="BH65" s="39"/>
      <c r="BI65" s="39"/>
      <c r="BJ65" s="39"/>
      <c r="BK65" s="39"/>
      <c r="BL65" s="39"/>
      <c r="BM65" s="39"/>
      <c r="BN65" s="39"/>
      <c r="BO65" s="39"/>
    </row>
    <row r="66" spans="1:67" s="98" customFormat="1" x14ac:dyDescent="0.4">
      <c r="A66" s="572" t="s">
        <v>701</v>
      </c>
      <c r="B66" s="78" t="str">
        <f>VLOOKUP('Area A'!$B$14,'Item List'!B:AL,8,FALSE)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Materials'!$D$18),0)</f>
        <v>0</v>
      </c>
      <c r="J66" s="559">
        <f t="shared" si="2"/>
        <v>0</v>
      </c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  <c r="AO66" s="39"/>
      <c r="AP66" s="39"/>
      <c r="AQ66" s="39"/>
      <c r="AR66" s="39"/>
      <c r="AS66" s="39"/>
      <c r="AT66" s="39"/>
      <c r="AU66" s="39"/>
      <c r="AV66" s="39"/>
      <c r="AW66" s="39"/>
      <c r="AX66" s="39"/>
      <c r="AY66" s="39"/>
      <c r="AZ66" s="39"/>
      <c r="BA66" s="39"/>
      <c r="BB66" s="39"/>
      <c r="BC66" s="39"/>
      <c r="BD66" s="39"/>
      <c r="BE66" s="39"/>
      <c r="BF66" s="39"/>
      <c r="BG66" s="39"/>
      <c r="BH66" s="39"/>
      <c r="BI66" s="39"/>
      <c r="BJ66" s="39"/>
      <c r="BK66" s="39"/>
      <c r="BL66" s="39"/>
      <c r="BM66" s="39"/>
      <c r="BN66" s="39"/>
      <c r="BO66" s="39"/>
    </row>
    <row r="67" spans="1:67" s="98" customFormat="1" x14ac:dyDescent="0.4">
      <c r="A67" s="572" t="s">
        <v>701</v>
      </c>
      <c r="B67" s="78" t="str">
        <f>VLOOKUP('Area A'!$B$14,'Item List'!B:AL,9,FALSE)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Materials'!$D$18),0)</f>
        <v>0</v>
      </c>
      <c r="J67" s="559">
        <f t="shared" si="2"/>
        <v>0</v>
      </c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  <c r="AO67" s="39"/>
      <c r="AP67" s="39"/>
      <c r="AQ67" s="39"/>
      <c r="AR67" s="39"/>
      <c r="AS67" s="39"/>
      <c r="AT67" s="39"/>
      <c r="AU67" s="39"/>
      <c r="AV67" s="39"/>
      <c r="AW67" s="39"/>
      <c r="AX67" s="39"/>
      <c r="AY67" s="39"/>
      <c r="AZ67" s="39"/>
      <c r="BA67" s="39"/>
      <c r="BB67" s="39"/>
      <c r="BC67" s="39"/>
      <c r="BD67" s="39"/>
      <c r="BE67" s="39"/>
      <c r="BF67" s="39"/>
      <c r="BG67" s="39"/>
      <c r="BH67" s="39"/>
      <c r="BI67" s="39"/>
      <c r="BJ67" s="39"/>
      <c r="BK67" s="39"/>
      <c r="BL67" s="39"/>
      <c r="BM67" s="39"/>
      <c r="BN67" s="39"/>
      <c r="BO67" s="39"/>
    </row>
    <row r="68" spans="1:67" s="98" customFormat="1" x14ac:dyDescent="0.4">
      <c r="A68" s="572" t="s">
        <v>701</v>
      </c>
      <c r="B68" s="78" t="str">
        <f>VLOOKUP('Area A'!$B$14,'Item List'!B:AL,10,FALSE)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Materials'!$D$18),0)</f>
        <v>0</v>
      </c>
      <c r="J68" s="559">
        <f t="shared" si="2"/>
        <v>0</v>
      </c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  <c r="AO68" s="39"/>
      <c r="AP68" s="39"/>
      <c r="AQ68" s="39"/>
      <c r="AR68" s="39"/>
      <c r="AS68" s="39"/>
      <c r="AT68" s="39"/>
      <c r="AU68" s="39"/>
      <c r="AV68" s="39"/>
      <c r="AW68" s="39"/>
      <c r="AX68" s="39"/>
      <c r="AY68" s="39"/>
      <c r="AZ68" s="39"/>
      <c r="BA68" s="39"/>
      <c r="BB68" s="39"/>
      <c r="BC68" s="39"/>
      <c r="BD68" s="39"/>
      <c r="BE68" s="39"/>
      <c r="BF68" s="39"/>
      <c r="BG68" s="39"/>
      <c r="BH68" s="39"/>
      <c r="BI68" s="39"/>
      <c r="BJ68" s="39"/>
      <c r="BK68" s="39"/>
      <c r="BL68" s="39"/>
      <c r="BM68" s="39"/>
      <c r="BN68" s="39"/>
      <c r="BO68" s="39"/>
    </row>
    <row r="69" spans="1:67" s="98" customFormat="1" x14ac:dyDescent="0.4">
      <c r="A69" s="572" t="s">
        <v>701</v>
      </c>
      <c r="B69" s="585" t="str">
        <f>VLOOKUP('Area A'!$B$14,'Item List'!B:AL,11,FALSE)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Materials'!$D$18),0)</f>
        <v>0</v>
      </c>
      <c r="J69" s="603">
        <f t="shared" si="2"/>
        <v>0</v>
      </c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  <c r="AO69" s="39"/>
      <c r="AP69" s="39"/>
      <c r="AQ69" s="39"/>
      <c r="AR69" s="39"/>
      <c r="AS69" s="39"/>
      <c r="AT69" s="39"/>
      <c r="AU69" s="39"/>
      <c r="AV69" s="39"/>
      <c r="AW69" s="39"/>
      <c r="AX69" s="39"/>
      <c r="AY69" s="39"/>
      <c r="AZ69" s="39"/>
      <c r="BA69" s="39"/>
      <c r="BB69" s="39"/>
      <c r="BC69" s="39"/>
      <c r="BD69" s="39"/>
      <c r="BE69" s="39"/>
      <c r="BF69" s="39"/>
      <c r="BG69" s="39"/>
      <c r="BH69" s="39"/>
      <c r="BI69" s="39"/>
      <c r="BJ69" s="39"/>
      <c r="BK69" s="39"/>
      <c r="BL69" s="39"/>
      <c r="BM69" s="39"/>
      <c r="BN69" s="39"/>
      <c r="BO69" s="39"/>
    </row>
    <row r="70" spans="1:67" s="98" customFormat="1" x14ac:dyDescent="0.4">
      <c r="A70" s="572" t="s">
        <v>702</v>
      </c>
      <c r="B70" s="78" t="str">
        <f>VLOOKUP('Area A'!$B$15,'Item List'!B:AL,6,FALSE)</f>
        <v>3/8" x 5" SS Lag Screw</v>
      </c>
      <c r="C70" s="614" t="str">
        <f>VLOOKUP(B70,'Item List'!B:AH,2,FALSE)</f>
        <v>3/8" x 5" Stainless Steel Lag Screw</v>
      </c>
      <c r="D70" s="614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Materials'!$D$18),0)</f>
        <v>0</v>
      </c>
      <c r="J70" s="559">
        <f t="shared" si="2"/>
        <v>0</v>
      </c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  <c r="AO70" s="39"/>
      <c r="AP70" s="39"/>
      <c r="AQ70" s="39"/>
      <c r="AR70" s="39"/>
      <c r="AS70" s="39"/>
      <c r="AT70" s="39"/>
      <c r="AU70" s="39"/>
      <c r="AV70" s="39"/>
      <c r="AW70" s="39"/>
      <c r="AX70" s="39"/>
      <c r="AY70" s="39"/>
      <c r="AZ70" s="39"/>
      <c r="BA70" s="39"/>
      <c r="BB70" s="39"/>
      <c r="BC70" s="39"/>
      <c r="BD70" s="39"/>
      <c r="BE70" s="39"/>
      <c r="BF70" s="39"/>
      <c r="BG70" s="39"/>
      <c r="BH70" s="39"/>
      <c r="BI70" s="39"/>
      <c r="BJ70" s="39"/>
      <c r="BK70" s="39"/>
      <c r="BL70" s="39"/>
      <c r="BM70" s="39"/>
      <c r="BN70" s="39"/>
      <c r="BO70" s="39"/>
    </row>
    <row r="71" spans="1:67" s="98" customFormat="1" x14ac:dyDescent="0.4">
      <c r="A71" s="572" t="s">
        <v>702</v>
      </c>
      <c r="B71" s="78" t="str">
        <f>VLOOKUP('Area A'!$B$15,'Item List'!B:AL,7,FALSE)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Materials'!$D$18),0)</f>
        <v>0</v>
      </c>
      <c r="J71" s="559">
        <f t="shared" si="2"/>
        <v>0</v>
      </c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  <c r="AO71" s="39"/>
      <c r="AP71" s="39"/>
      <c r="AQ71" s="39"/>
      <c r="AR71" s="39"/>
      <c r="AS71" s="39"/>
      <c r="AT71" s="39"/>
      <c r="AU71" s="39"/>
      <c r="AV71" s="39"/>
      <c r="AW71" s="39"/>
      <c r="AX71" s="39"/>
      <c r="AY71" s="39"/>
      <c r="AZ71" s="39"/>
      <c r="BA71" s="39"/>
      <c r="BB71" s="39"/>
      <c r="BC71" s="39"/>
      <c r="BD71" s="39"/>
      <c r="BE71" s="39"/>
      <c r="BF71" s="39"/>
      <c r="BG71" s="39"/>
      <c r="BH71" s="39"/>
      <c r="BI71" s="39"/>
      <c r="BJ71" s="39"/>
      <c r="BK71" s="39"/>
      <c r="BL71" s="39"/>
      <c r="BM71" s="39"/>
      <c r="BN71" s="39"/>
      <c r="BO71" s="39"/>
    </row>
    <row r="72" spans="1:67" s="98" customFormat="1" x14ac:dyDescent="0.4">
      <c r="A72" s="572" t="s">
        <v>702</v>
      </c>
      <c r="B72" s="78" t="str">
        <f>VLOOKUP('Area A'!$B$15,'Item List'!B:AL,8,FALSE)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Materials'!$D$18),0)</f>
        <v>0</v>
      </c>
      <c r="J72" s="559">
        <f t="shared" si="2"/>
        <v>0</v>
      </c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  <c r="AW72" s="39"/>
      <c r="AX72" s="39"/>
      <c r="AY72" s="39"/>
      <c r="AZ72" s="39"/>
      <c r="BA72" s="39"/>
      <c r="BB72" s="39"/>
      <c r="BC72" s="39"/>
      <c r="BD72" s="39"/>
      <c r="BE72" s="39"/>
      <c r="BF72" s="39"/>
      <c r="BG72" s="39"/>
      <c r="BH72" s="39"/>
      <c r="BI72" s="39"/>
      <c r="BJ72" s="39"/>
      <c r="BK72" s="39"/>
      <c r="BL72" s="39"/>
      <c r="BM72" s="39"/>
      <c r="BN72" s="39"/>
      <c r="BO72" s="39"/>
    </row>
    <row r="73" spans="1:67" s="98" customFormat="1" x14ac:dyDescent="0.4">
      <c r="A73" s="572" t="s">
        <v>702</v>
      </c>
      <c r="B73" s="78" t="str">
        <f>VLOOKUP('Area A'!$B$15,'Item List'!B:AL,9,FALSE)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Materials'!$D$18),0)</f>
        <v>0</v>
      </c>
      <c r="J73" s="559">
        <f t="shared" si="2"/>
        <v>0</v>
      </c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  <c r="AW73" s="39"/>
      <c r="AX73" s="39"/>
      <c r="AY73" s="39"/>
      <c r="AZ73" s="39"/>
      <c r="BA73" s="39"/>
      <c r="BB73" s="39"/>
      <c r="BC73" s="39"/>
      <c r="BD73" s="39"/>
      <c r="BE73" s="39"/>
      <c r="BF73" s="39"/>
      <c r="BG73" s="39"/>
      <c r="BH73" s="39"/>
      <c r="BI73" s="39"/>
      <c r="BJ73" s="39"/>
      <c r="BK73" s="39"/>
      <c r="BL73" s="39"/>
      <c r="BM73" s="39"/>
      <c r="BN73" s="39"/>
      <c r="BO73" s="39"/>
    </row>
    <row r="74" spans="1:67" s="98" customFormat="1" x14ac:dyDescent="0.4">
      <c r="A74" s="572" t="s">
        <v>702</v>
      </c>
      <c r="B74" s="78" t="str">
        <f>VLOOKUP('Area A'!$B$15,'Item List'!B:AL,10,FALSE)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Materials'!$D$18),0)</f>
        <v>0</v>
      </c>
      <c r="J74" s="559">
        <f t="shared" si="2"/>
        <v>0</v>
      </c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  <c r="AW74" s="39"/>
      <c r="AX74" s="39"/>
      <c r="AY74" s="39"/>
      <c r="AZ74" s="39"/>
      <c r="BA74" s="39"/>
      <c r="BB74" s="39"/>
      <c r="BC74" s="39"/>
      <c r="BD74" s="39"/>
      <c r="BE74" s="39"/>
      <c r="BF74" s="39"/>
      <c r="BG74" s="39"/>
      <c r="BH74" s="39"/>
      <c r="BI74" s="39"/>
      <c r="BJ74" s="39"/>
      <c r="BK74" s="39"/>
      <c r="BL74" s="39"/>
      <c r="BM74" s="39"/>
      <c r="BN74" s="39"/>
      <c r="BO74" s="39"/>
    </row>
    <row r="75" spans="1:67" s="98" customFormat="1" x14ac:dyDescent="0.4">
      <c r="A75" s="572" t="s">
        <v>702</v>
      </c>
      <c r="B75" s="585" t="str">
        <f>VLOOKUP('Area A'!$B$15,'Item List'!B:AL,11,FALSE)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Materials'!$D$18),0)</f>
        <v>0</v>
      </c>
      <c r="J75" s="603">
        <f t="shared" si="2"/>
        <v>0</v>
      </c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  <c r="AW75" s="39"/>
      <c r="AX75" s="39"/>
      <c r="AY75" s="39"/>
      <c r="AZ75" s="39"/>
      <c r="BA75" s="39"/>
      <c r="BB75" s="39"/>
      <c r="BC75" s="39"/>
      <c r="BD75" s="39"/>
      <c r="BE75" s="39"/>
      <c r="BF75" s="39"/>
      <c r="BG75" s="39"/>
      <c r="BH75" s="39"/>
      <c r="BI75" s="39"/>
      <c r="BJ75" s="39"/>
      <c r="BK75" s="39"/>
      <c r="BL75" s="39"/>
      <c r="BM75" s="39"/>
      <c r="BN75" s="39"/>
      <c r="BO75" s="39"/>
    </row>
    <row r="76" spans="1:67" s="98" customFormat="1" x14ac:dyDescent="0.4">
      <c r="A76" s="572" t="s">
        <v>703</v>
      </c>
      <c r="B76" s="78" t="str">
        <f>VLOOKUP('Area A'!$B$16,'Item List'!B:AL,6,FALSE)</f>
        <v>3/8" x 5" SS Lag Screw</v>
      </c>
      <c r="C76" s="614" t="str">
        <f>VLOOKUP(B76,'Item List'!B:AH,2,FALSE)</f>
        <v>3/8" x 5" Stainless Steel Lag Screw</v>
      </c>
      <c r="D76" s="614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Materials'!$D$18),0)</f>
        <v>0</v>
      </c>
      <c r="J76" s="559">
        <f t="shared" si="2"/>
        <v>0</v>
      </c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  <c r="AW76" s="39"/>
      <c r="AX76" s="39"/>
      <c r="AY76" s="39"/>
      <c r="AZ76" s="39"/>
      <c r="BA76" s="39"/>
      <c r="BB76" s="39"/>
      <c r="BC76" s="39"/>
      <c r="BD76" s="39"/>
      <c r="BE76" s="39"/>
      <c r="BF76" s="39"/>
      <c r="BG76" s="39"/>
      <c r="BH76" s="39"/>
      <c r="BI76" s="39"/>
      <c r="BJ76" s="39"/>
      <c r="BK76" s="39"/>
      <c r="BL76" s="39"/>
      <c r="BM76" s="39"/>
      <c r="BN76" s="39"/>
      <c r="BO76" s="39"/>
    </row>
    <row r="77" spans="1:67" s="98" customFormat="1" x14ac:dyDescent="0.4">
      <c r="A77" s="572" t="s">
        <v>703</v>
      </c>
      <c r="B77" s="78" t="str">
        <f>VLOOKUP('Area A'!$B$16,'Item List'!B:AL,7,FALSE)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Materials'!$D$18),0)</f>
        <v>0</v>
      </c>
      <c r="J77" s="559">
        <f t="shared" si="2"/>
        <v>0</v>
      </c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  <c r="AW77" s="39"/>
      <c r="AX77" s="39"/>
      <c r="AY77" s="39"/>
      <c r="AZ77" s="39"/>
      <c r="BA77" s="39"/>
      <c r="BB77" s="39"/>
      <c r="BC77" s="39"/>
      <c r="BD77" s="39"/>
      <c r="BE77" s="39"/>
      <c r="BF77" s="39"/>
      <c r="BG77" s="39"/>
      <c r="BH77" s="39"/>
      <c r="BI77" s="39"/>
      <c r="BJ77" s="39"/>
      <c r="BK77" s="39"/>
      <c r="BL77" s="39"/>
      <c r="BM77" s="39"/>
      <c r="BN77" s="39"/>
      <c r="BO77" s="39"/>
    </row>
    <row r="78" spans="1:67" s="98" customFormat="1" x14ac:dyDescent="0.4">
      <c r="A78" s="572" t="s">
        <v>703</v>
      </c>
      <c r="B78" s="78" t="str">
        <f>VLOOKUP('Area A'!$B$16,'Item List'!B:AL,8,FALSE)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Materials'!$D$18),0)</f>
        <v>0</v>
      </c>
      <c r="J78" s="559">
        <f t="shared" si="2"/>
        <v>0</v>
      </c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  <c r="AW78" s="39"/>
      <c r="AX78" s="39"/>
      <c r="AY78" s="39"/>
      <c r="AZ78" s="39"/>
      <c r="BA78" s="39"/>
      <c r="BB78" s="39"/>
      <c r="BC78" s="39"/>
      <c r="BD78" s="39"/>
      <c r="BE78" s="39"/>
      <c r="BF78" s="39"/>
      <c r="BG78" s="39"/>
      <c r="BH78" s="39"/>
      <c r="BI78" s="39"/>
      <c r="BJ78" s="39"/>
      <c r="BK78" s="39"/>
      <c r="BL78" s="39"/>
      <c r="BM78" s="39"/>
      <c r="BN78" s="39"/>
      <c r="BO78" s="39"/>
    </row>
    <row r="79" spans="1:67" s="98" customFormat="1" x14ac:dyDescent="0.4">
      <c r="A79" s="572" t="s">
        <v>703</v>
      </c>
      <c r="B79" s="78" t="str">
        <f>VLOOKUP('Area A'!$B$16,'Item List'!B:AL,9,FALSE)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Materials'!$D$18),0)</f>
        <v>0</v>
      </c>
      <c r="J79" s="559">
        <f t="shared" si="2"/>
        <v>0</v>
      </c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  <c r="AW79" s="39"/>
      <c r="AX79" s="39"/>
      <c r="AY79" s="39"/>
      <c r="AZ79" s="39"/>
      <c r="BA79" s="39"/>
      <c r="BB79" s="39"/>
      <c r="BC79" s="39"/>
      <c r="BD79" s="39"/>
      <c r="BE79" s="39"/>
      <c r="BF79" s="39"/>
      <c r="BG79" s="39"/>
      <c r="BH79" s="39"/>
      <c r="BI79" s="39"/>
      <c r="BJ79" s="39"/>
      <c r="BK79" s="39"/>
      <c r="BL79" s="39"/>
      <c r="BM79" s="39"/>
      <c r="BN79" s="39"/>
      <c r="BO79" s="39"/>
    </row>
    <row r="80" spans="1:67" s="98" customFormat="1" x14ac:dyDescent="0.4">
      <c r="A80" s="572" t="s">
        <v>703</v>
      </c>
      <c r="B80" s="78" t="str">
        <f>VLOOKUP('Area A'!$B$16,'Item List'!B:AL,10,FALSE)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Materials'!$D$18),0)</f>
        <v>0</v>
      </c>
      <c r="J80" s="559">
        <f t="shared" si="2"/>
        <v>0</v>
      </c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  <c r="AW80" s="39"/>
      <c r="AX80" s="39"/>
      <c r="AY80" s="39"/>
      <c r="AZ80" s="39"/>
      <c r="BA80" s="39"/>
      <c r="BB80" s="39"/>
      <c r="BC80" s="39"/>
      <c r="BD80" s="39"/>
      <c r="BE80" s="39"/>
      <c r="BF80" s="39"/>
      <c r="BG80" s="39"/>
      <c r="BH80" s="39"/>
      <c r="BI80" s="39"/>
      <c r="BJ80" s="39"/>
      <c r="BK80" s="39"/>
      <c r="BL80" s="39"/>
      <c r="BM80" s="39"/>
      <c r="BN80" s="39"/>
      <c r="BO80" s="39"/>
    </row>
    <row r="81" spans="1:67" s="98" customFormat="1" x14ac:dyDescent="0.4">
      <c r="A81" s="572" t="s">
        <v>703</v>
      </c>
      <c r="B81" s="585" t="str">
        <f>VLOOKUP('Area A'!$B$16,'Item List'!B:AL,11,FALSE)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Materials'!$D$18),0)</f>
        <v>0</v>
      </c>
      <c r="J81" s="603">
        <f t="shared" si="2"/>
        <v>0</v>
      </c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  <c r="AW81" s="39"/>
      <c r="AX81" s="39"/>
      <c r="AY81" s="39"/>
      <c r="AZ81" s="39"/>
      <c r="BA81" s="39"/>
      <c r="BB81" s="39"/>
      <c r="BC81" s="39"/>
      <c r="BD81" s="39"/>
      <c r="BE81" s="39"/>
      <c r="BF81" s="39"/>
      <c r="BG81" s="39"/>
      <c r="BH81" s="39"/>
      <c r="BI81" s="39"/>
      <c r="BJ81" s="39"/>
      <c r="BK81" s="39"/>
      <c r="BL81" s="39"/>
      <c r="BM81" s="39"/>
      <c r="BN81" s="39"/>
      <c r="BO81" s="39"/>
    </row>
    <row r="82" spans="1:67" s="98" customFormat="1" x14ac:dyDescent="0.4">
      <c r="A82" s="572" t="s">
        <v>710</v>
      </c>
      <c r="B82" s="78" t="str">
        <f>VLOOKUP('Area A'!$B$17,'Item List'!B:AL,6,FALSE)</f>
        <v>3/8" x 5" SS Lag Screw</v>
      </c>
      <c r="C82" s="614" t="str">
        <f>VLOOKUP(B82,'Item List'!B:AH,2,FALSE)</f>
        <v>3/8" x 5" Stainless Steel Lag Screw</v>
      </c>
      <c r="D82" s="614"/>
      <c r="E82" s="575">
        <f>$E$17*VLOOKUP(B82,'Item List'!B:AM,38,FALSE)</f>
        <v>0</v>
      </c>
      <c r="F82" s="595">
        <f>VLOOKUP(B82,'Item List'!B:AH,4,FALSE)</f>
        <v>0.6</v>
      </c>
      <c r="G82" s="556">
        <f t="shared" ref="G82:G87" si="3">F82*E82</f>
        <v>0</v>
      </c>
      <c r="H82" s="593"/>
      <c r="I82" s="594">
        <f>ROUNDUP((E82*'Project Materials'!$D$18),0)</f>
        <v>0</v>
      </c>
      <c r="J82" s="559">
        <f t="shared" ref="J82:J87" si="4">G82+(I82*F82)</f>
        <v>0</v>
      </c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  <c r="AW82" s="39"/>
      <c r="AX82" s="39"/>
      <c r="AY82" s="39"/>
      <c r="AZ82" s="39"/>
      <c r="BA82" s="39"/>
      <c r="BB82" s="39"/>
      <c r="BC82" s="39"/>
      <c r="BD82" s="39"/>
      <c r="BE82" s="39"/>
      <c r="BF82" s="39"/>
      <c r="BG82" s="39"/>
      <c r="BH82" s="39"/>
      <c r="BI82" s="39"/>
      <c r="BJ82" s="39"/>
      <c r="BK82" s="39"/>
      <c r="BL82" s="39"/>
      <c r="BM82" s="39"/>
      <c r="BN82" s="39"/>
      <c r="BO82" s="39"/>
    </row>
    <row r="83" spans="1:67" s="98" customFormat="1" x14ac:dyDescent="0.4">
      <c r="A83" s="572" t="s">
        <v>710</v>
      </c>
      <c r="B83" s="78" t="str">
        <f>VLOOKUP('Area A'!$B$17,'Item List'!B:AL,7,FALSE)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3"/>
        <v>0</v>
      </c>
      <c r="H83" s="593"/>
      <c r="I83" s="594">
        <f>ROUNDUP((E83*'Project Materials'!$D$18),0)</f>
        <v>0</v>
      </c>
      <c r="J83" s="559">
        <f t="shared" si="4"/>
        <v>0</v>
      </c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  <c r="AW83" s="39"/>
      <c r="AX83" s="39"/>
      <c r="AY83" s="39"/>
      <c r="AZ83" s="39"/>
      <c r="BA83" s="39"/>
      <c r="BB83" s="39"/>
      <c r="BC83" s="39"/>
      <c r="BD83" s="39"/>
      <c r="BE83" s="39"/>
      <c r="BF83" s="39"/>
      <c r="BG83" s="39"/>
      <c r="BH83" s="39"/>
      <c r="BI83" s="39"/>
      <c r="BJ83" s="39"/>
      <c r="BK83" s="39"/>
      <c r="BL83" s="39"/>
      <c r="BM83" s="39"/>
      <c r="BN83" s="39"/>
      <c r="BO83" s="39"/>
    </row>
    <row r="84" spans="1:67" s="98" customFormat="1" x14ac:dyDescent="0.4">
      <c r="A84" s="572" t="s">
        <v>710</v>
      </c>
      <c r="B84" s="78" t="str">
        <f>VLOOKUP('Area A'!$B$17,'Item List'!B:AL,8,FALSE)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3"/>
        <v>0</v>
      </c>
      <c r="H84" s="593"/>
      <c r="I84" s="594">
        <f>ROUNDUP((E84*'Project Materials'!$D$18),0)</f>
        <v>0</v>
      </c>
      <c r="J84" s="559">
        <f t="shared" si="4"/>
        <v>0</v>
      </c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  <c r="AW84" s="39"/>
      <c r="AX84" s="39"/>
      <c r="AY84" s="39"/>
      <c r="AZ84" s="39"/>
      <c r="BA84" s="39"/>
      <c r="BB84" s="39"/>
      <c r="BC84" s="39"/>
      <c r="BD84" s="39"/>
      <c r="BE84" s="39"/>
      <c r="BF84" s="39"/>
      <c r="BG84" s="39"/>
      <c r="BH84" s="39"/>
      <c r="BI84" s="39"/>
      <c r="BJ84" s="39"/>
      <c r="BK84" s="39"/>
      <c r="BL84" s="39"/>
      <c r="BM84" s="39"/>
      <c r="BN84" s="39"/>
      <c r="BO84" s="39"/>
    </row>
    <row r="85" spans="1:67" s="98" customFormat="1" x14ac:dyDescent="0.4">
      <c r="A85" s="572" t="s">
        <v>710</v>
      </c>
      <c r="B85" s="78" t="str">
        <f>VLOOKUP('Area A'!$B$17,'Item List'!B:AL,9,FALSE)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3"/>
        <v>0</v>
      </c>
      <c r="H85" s="593"/>
      <c r="I85" s="594">
        <f>ROUNDUP((E85*'Project Materials'!$D$18),0)</f>
        <v>0</v>
      </c>
      <c r="J85" s="559">
        <f t="shared" si="4"/>
        <v>0</v>
      </c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  <c r="AW85" s="39"/>
      <c r="AX85" s="39"/>
      <c r="AY85" s="39"/>
      <c r="AZ85" s="39"/>
      <c r="BA85" s="39"/>
      <c r="BB85" s="39"/>
      <c r="BC85" s="39"/>
      <c r="BD85" s="39"/>
      <c r="BE85" s="39"/>
      <c r="BF85" s="39"/>
      <c r="BG85" s="39"/>
      <c r="BH85" s="39"/>
      <c r="BI85" s="39"/>
      <c r="BJ85" s="39"/>
      <c r="BK85" s="39"/>
      <c r="BL85" s="39"/>
      <c r="BM85" s="39"/>
      <c r="BN85" s="39"/>
      <c r="BO85" s="39"/>
    </row>
    <row r="86" spans="1:67" s="98" customFormat="1" x14ac:dyDescent="0.4">
      <c r="A86" s="572" t="s">
        <v>710</v>
      </c>
      <c r="B86" s="78" t="str">
        <f>VLOOKUP('Area A'!$B$17,'Item List'!B:AL,10,FALSE)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3"/>
        <v>0</v>
      </c>
      <c r="H86" s="593"/>
      <c r="I86" s="594">
        <f>ROUNDUP((E86*'Project Materials'!$D$18),0)</f>
        <v>0</v>
      </c>
      <c r="J86" s="559">
        <f t="shared" si="4"/>
        <v>0</v>
      </c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  <c r="AW86" s="39"/>
      <c r="AX86" s="39"/>
      <c r="AY86" s="39"/>
      <c r="AZ86" s="39"/>
      <c r="BA86" s="39"/>
      <c r="BB86" s="39"/>
      <c r="BC86" s="39"/>
      <c r="BD86" s="39"/>
      <c r="BE86" s="39"/>
      <c r="BF86" s="39"/>
      <c r="BG86" s="39"/>
      <c r="BH86" s="39"/>
      <c r="BI86" s="39"/>
      <c r="BJ86" s="39"/>
      <c r="BK86" s="39"/>
      <c r="BL86" s="39"/>
      <c r="BM86" s="39"/>
      <c r="BN86" s="39"/>
      <c r="BO86" s="39"/>
    </row>
    <row r="87" spans="1:67" s="98" customFormat="1" x14ac:dyDescent="0.4">
      <c r="A87" s="572" t="s">
        <v>710</v>
      </c>
      <c r="B87" s="585" t="str">
        <f>VLOOKUP('Area A'!$B$17,'Item List'!B:AL,11,FALSE)</f>
        <v>None</v>
      </c>
      <c r="C87" s="585" t="str">
        <f>VLOOKUP(B87,'Item List'!B:AH,2,FALSE)</f>
        <v>None</v>
      </c>
      <c r="D87" s="585"/>
      <c r="E87" s="621">
        <f>$E$17*VLOOKUP(B87,'Item List'!B:AM,38,FALSE)</f>
        <v>0</v>
      </c>
      <c r="F87" s="622">
        <f>VLOOKUP(B87,'Item List'!B:AH,4,FALSE)</f>
        <v>0</v>
      </c>
      <c r="G87" s="623">
        <f t="shared" si="3"/>
        <v>0</v>
      </c>
      <c r="H87" s="624"/>
      <c r="I87" s="625">
        <f>ROUNDUP((E87*'Project Materials'!$D$18),0)</f>
        <v>0</v>
      </c>
      <c r="J87" s="626">
        <f t="shared" si="4"/>
        <v>0</v>
      </c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  <c r="AW87" s="39"/>
      <c r="AX87" s="39"/>
      <c r="AY87" s="39"/>
      <c r="AZ87" s="39"/>
      <c r="BA87" s="39"/>
      <c r="BB87" s="39"/>
      <c r="BC87" s="39"/>
      <c r="BD87" s="39"/>
      <c r="BE87" s="39"/>
      <c r="BF87" s="39"/>
      <c r="BG87" s="39"/>
      <c r="BH87" s="39"/>
      <c r="BI87" s="39"/>
      <c r="BJ87" s="39"/>
      <c r="BK87" s="39"/>
      <c r="BL87" s="39"/>
      <c r="BM87" s="39"/>
      <c r="BN87" s="39"/>
      <c r="BO87" s="39"/>
    </row>
    <row r="88" spans="1:67" s="98" customFormat="1" x14ac:dyDescent="0.4">
      <c r="A88" s="572" t="s">
        <v>711</v>
      </c>
      <c r="B88" s="78" t="str">
        <f>VLOOKUP('Area A'!$B$18,'Item List'!B:AL,6,FALSE)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ref="G88:G93" si="5">F88*E88</f>
        <v>0</v>
      </c>
      <c r="H88" s="630"/>
      <c r="I88" s="631">
        <f>ROUNDUP((E88*'Project Materials'!$D$18),0)</f>
        <v>0</v>
      </c>
      <c r="J88" s="632">
        <f t="shared" ref="J88:J93" si="6">G88+(I88*F88)</f>
        <v>0</v>
      </c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  <c r="AW88" s="39"/>
      <c r="AX88" s="39"/>
      <c r="AY88" s="39"/>
      <c r="AZ88" s="39"/>
      <c r="BA88" s="39"/>
      <c r="BB88" s="39"/>
      <c r="BC88" s="39"/>
      <c r="BD88" s="39"/>
      <c r="BE88" s="39"/>
      <c r="BF88" s="39"/>
      <c r="BG88" s="39"/>
      <c r="BH88" s="39"/>
      <c r="BI88" s="39"/>
      <c r="BJ88" s="39"/>
      <c r="BK88" s="39"/>
      <c r="BL88" s="39"/>
      <c r="BM88" s="39"/>
      <c r="BN88" s="39"/>
      <c r="BO88" s="39"/>
    </row>
    <row r="89" spans="1:67" s="98" customFormat="1" x14ac:dyDescent="0.4">
      <c r="A89" s="572" t="s">
        <v>711</v>
      </c>
      <c r="B89" s="78" t="str">
        <f>VLOOKUP('Area A'!$B$18,'Item List'!B:AL,7,FALSE)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5"/>
        <v>0</v>
      </c>
      <c r="H89" s="624"/>
      <c r="I89" s="625">
        <f>ROUNDUP((E89*'Project Materials'!$D$18),0)</f>
        <v>0</v>
      </c>
      <c r="J89" s="626">
        <f t="shared" si="6"/>
        <v>0</v>
      </c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  <c r="AW89" s="39"/>
      <c r="AX89" s="39"/>
      <c r="AY89" s="39"/>
      <c r="AZ89" s="39"/>
      <c r="BA89" s="39"/>
      <c r="BB89" s="39"/>
      <c r="BC89" s="39"/>
      <c r="BD89" s="39"/>
      <c r="BE89" s="39"/>
      <c r="BF89" s="39"/>
      <c r="BG89" s="39"/>
      <c r="BH89" s="39"/>
      <c r="BI89" s="39"/>
      <c r="BJ89" s="39"/>
      <c r="BK89" s="39"/>
      <c r="BL89" s="39"/>
      <c r="BM89" s="39"/>
      <c r="BN89" s="39"/>
      <c r="BO89" s="39"/>
    </row>
    <row r="90" spans="1:67" s="98" customFormat="1" x14ac:dyDescent="0.4">
      <c r="A90" s="572" t="s">
        <v>711</v>
      </c>
      <c r="B90" s="78" t="str">
        <f>VLOOKUP('Area A'!$B$18,'Item List'!B:AL,8,FALSE)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5"/>
        <v>0</v>
      </c>
      <c r="H90" s="624"/>
      <c r="I90" s="625">
        <f>ROUNDUP((E90*'Project Materials'!$D$18),0)</f>
        <v>0</v>
      </c>
      <c r="J90" s="626">
        <f t="shared" si="6"/>
        <v>0</v>
      </c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  <c r="AW90" s="39"/>
      <c r="AX90" s="39"/>
      <c r="AY90" s="39"/>
      <c r="AZ90" s="39"/>
      <c r="BA90" s="39"/>
      <c r="BB90" s="39"/>
      <c r="BC90" s="39"/>
      <c r="BD90" s="39"/>
      <c r="BE90" s="39"/>
      <c r="BF90" s="39"/>
      <c r="BG90" s="39"/>
      <c r="BH90" s="39"/>
      <c r="BI90" s="39"/>
      <c r="BJ90" s="39"/>
      <c r="BK90" s="39"/>
      <c r="BL90" s="39"/>
      <c r="BM90" s="39"/>
      <c r="BN90" s="39"/>
      <c r="BO90" s="39"/>
    </row>
    <row r="91" spans="1:67" s="98" customFormat="1" x14ac:dyDescent="0.4">
      <c r="A91" s="572" t="s">
        <v>711</v>
      </c>
      <c r="B91" s="78" t="str">
        <f>VLOOKUP('Area A'!$B$18,'Item List'!B:AL,9,FALSE)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5"/>
        <v>0</v>
      </c>
      <c r="H91" s="624"/>
      <c r="I91" s="625">
        <f>ROUNDUP((E91*'Project Materials'!$D$18),0)</f>
        <v>0</v>
      </c>
      <c r="J91" s="626">
        <f t="shared" si="6"/>
        <v>0</v>
      </c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  <c r="AW91" s="39"/>
      <c r="AX91" s="39"/>
      <c r="AY91" s="39"/>
      <c r="AZ91" s="39"/>
      <c r="BA91" s="39"/>
      <c r="BB91" s="39"/>
      <c r="BC91" s="39"/>
      <c r="BD91" s="39"/>
      <c r="BE91" s="39"/>
      <c r="BF91" s="39"/>
      <c r="BG91" s="39"/>
      <c r="BH91" s="39"/>
      <c r="BI91" s="39"/>
      <c r="BJ91" s="39"/>
      <c r="BK91" s="39"/>
      <c r="BL91" s="39"/>
      <c r="BM91" s="39"/>
      <c r="BN91" s="39"/>
      <c r="BO91" s="39"/>
    </row>
    <row r="92" spans="1:67" s="98" customFormat="1" x14ac:dyDescent="0.4">
      <c r="A92" s="572" t="s">
        <v>711</v>
      </c>
      <c r="B92" s="78" t="str">
        <f>VLOOKUP('Area A'!$B$18,'Item List'!B:AL,10,FALSE)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5"/>
        <v>0</v>
      </c>
      <c r="H92" s="624"/>
      <c r="I92" s="625">
        <f>ROUNDUP((E92*'Project Materials'!$D$18),0)</f>
        <v>0</v>
      </c>
      <c r="J92" s="626">
        <f t="shared" si="6"/>
        <v>0</v>
      </c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  <c r="AW92" s="39"/>
      <c r="AX92" s="39"/>
      <c r="AY92" s="39"/>
      <c r="AZ92" s="39"/>
      <c r="BA92" s="39"/>
      <c r="BB92" s="39"/>
      <c r="BC92" s="39"/>
      <c r="BD92" s="39"/>
      <c r="BE92" s="39"/>
      <c r="BF92" s="39"/>
      <c r="BG92" s="39"/>
      <c r="BH92" s="39"/>
      <c r="BI92" s="39"/>
      <c r="BJ92" s="39"/>
      <c r="BK92" s="39"/>
      <c r="BL92" s="39"/>
      <c r="BM92" s="39"/>
      <c r="BN92" s="39"/>
      <c r="BO92" s="39"/>
    </row>
    <row r="93" spans="1:67" s="98" customFormat="1" x14ac:dyDescent="0.4">
      <c r="A93" s="572" t="s">
        <v>711</v>
      </c>
      <c r="B93" s="585" t="str">
        <f>VLOOKUP('Area A'!$B$18,'Item List'!B:AL,11,FALSE)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5"/>
        <v>0</v>
      </c>
      <c r="H93" s="601"/>
      <c r="I93" s="602">
        <f>ROUNDUP((E93*'Project Materials'!$D$18),0)</f>
        <v>0</v>
      </c>
      <c r="J93" s="603">
        <f t="shared" si="6"/>
        <v>0</v>
      </c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  <c r="AW93" s="39"/>
      <c r="AX93" s="39"/>
      <c r="AY93" s="39"/>
      <c r="AZ93" s="39"/>
      <c r="BA93" s="39"/>
      <c r="BB93" s="39"/>
      <c r="BC93" s="39"/>
      <c r="BD93" s="39"/>
      <c r="BE93" s="39"/>
      <c r="BF93" s="39"/>
      <c r="BG93" s="39"/>
      <c r="BH93" s="39"/>
      <c r="BI93" s="39"/>
      <c r="BJ93" s="39"/>
      <c r="BK93" s="39"/>
      <c r="BL93" s="39"/>
      <c r="BM93" s="39"/>
      <c r="BN93" s="39"/>
      <c r="BO93" s="39"/>
    </row>
    <row r="94" spans="1:67" s="98" customFormat="1" x14ac:dyDescent="0.4">
      <c r="A94" s="604"/>
      <c r="B94" s="633"/>
      <c r="C94" s="634"/>
      <c r="D94" s="634"/>
      <c r="E94" s="635"/>
      <c r="F94" s="636"/>
      <c r="G94" s="637"/>
      <c r="H94" s="633"/>
      <c r="I94" s="638"/>
      <c r="J94" s="6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  <c r="AW94" s="39"/>
      <c r="AX94" s="39"/>
      <c r="AY94" s="39"/>
      <c r="AZ94" s="39"/>
      <c r="BA94" s="39"/>
      <c r="BB94" s="39"/>
      <c r="BC94" s="39"/>
      <c r="BD94" s="39"/>
      <c r="BE94" s="39"/>
      <c r="BF94" s="39"/>
      <c r="BG94" s="39"/>
      <c r="BH94" s="39"/>
      <c r="BI94" s="39"/>
      <c r="BJ94" s="39"/>
      <c r="BK94" s="39"/>
      <c r="BL94" s="39"/>
      <c r="BM94" s="39"/>
      <c r="BN94" s="39"/>
      <c r="BO94" s="39"/>
    </row>
    <row r="95" spans="1:67" s="98" customFormat="1" x14ac:dyDescent="0.4">
      <c r="A95" s="552" t="s">
        <v>6</v>
      </c>
      <c r="B95" s="78" t="str">
        <f>VLOOKUP('Area A'!$B$22,'Item List'!B:AL,6,FALSE)</f>
        <v>3/8" x 5" SS Lag Screw</v>
      </c>
      <c r="C95" s="78" t="str">
        <f>VLOOKUP(B95,'Item List'!B:AH,2,FALSE)</f>
        <v>3/8" x 5" Stainless Steel Lag Screw</v>
      </c>
      <c r="D95" s="78"/>
      <c r="E95" s="612">
        <f>$E$22*VLOOKUP(B95,'Item List'!B:AM,38,FALSE)</f>
        <v>0</v>
      </c>
      <c r="F95" s="595">
        <f>VLOOKUP(B95,'Item List'!B:AH,4,FALSE)</f>
        <v>0.6</v>
      </c>
      <c r="G95" s="556">
        <f>F95*E95</f>
        <v>0</v>
      </c>
      <c r="H95" s="593"/>
      <c r="I95" s="594">
        <f>ROUNDUP((E95*'Project Materials'!$D$18),0)</f>
        <v>0</v>
      </c>
      <c r="J95" s="559">
        <f>G95+(I95*F95)</f>
        <v>0</v>
      </c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  <c r="AW95" s="39"/>
      <c r="AX95" s="39"/>
      <c r="AY95" s="39"/>
      <c r="AZ95" s="39"/>
      <c r="BA95" s="39"/>
      <c r="BB95" s="39"/>
      <c r="BC95" s="39"/>
      <c r="BD95" s="39"/>
      <c r="BE95" s="39"/>
      <c r="BF95" s="39"/>
      <c r="BG95" s="39"/>
      <c r="BH95" s="39"/>
      <c r="BI95" s="39"/>
      <c r="BJ95" s="39"/>
      <c r="BK95" s="39"/>
      <c r="BL95" s="39"/>
      <c r="BM95" s="39"/>
      <c r="BN95" s="39"/>
      <c r="BO95" s="39"/>
    </row>
    <row r="96" spans="1:67" s="98" customFormat="1" x14ac:dyDescent="0.4">
      <c r="A96" s="552" t="s">
        <v>6</v>
      </c>
      <c r="B96" s="78" t="str">
        <f>VLOOKUP('Area A'!$B$22,'Item List'!B:AL,7,FALSE)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Materials'!$D$18),0)</f>
        <v>0</v>
      </c>
      <c r="J96" s="559">
        <f>G96+(I96*F96)</f>
        <v>0</v>
      </c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  <c r="AW96" s="39"/>
      <c r="AX96" s="39"/>
      <c r="AY96" s="39"/>
      <c r="AZ96" s="39"/>
      <c r="BA96" s="39"/>
      <c r="BB96" s="39"/>
      <c r="BC96" s="39"/>
      <c r="BD96" s="39"/>
      <c r="BE96" s="39"/>
      <c r="BF96" s="39"/>
      <c r="BG96" s="39"/>
      <c r="BH96" s="39"/>
      <c r="BI96" s="39"/>
      <c r="BJ96" s="39"/>
      <c r="BK96" s="39"/>
      <c r="BL96" s="39"/>
      <c r="BM96" s="39"/>
      <c r="BN96" s="39"/>
      <c r="BO96" s="39"/>
    </row>
    <row r="97" spans="1:67" s="98" customFormat="1" x14ac:dyDescent="0.4">
      <c r="A97" s="552" t="s">
        <v>6</v>
      </c>
      <c r="B97" s="78" t="str">
        <f>VLOOKUP('Area A'!$B$22,'Item List'!B:AL,8,FALSE)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Materials'!$D$18),0)</f>
        <v>0</v>
      </c>
      <c r="J97" s="559">
        <f>G97+(I97*F97)</f>
        <v>0</v>
      </c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  <c r="AW97" s="39"/>
      <c r="AX97" s="39"/>
      <c r="AY97" s="39"/>
      <c r="AZ97" s="39"/>
      <c r="BA97" s="39"/>
      <c r="BB97" s="39"/>
      <c r="BC97" s="39"/>
      <c r="BD97" s="39"/>
      <c r="BE97" s="39"/>
      <c r="BF97" s="39"/>
      <c r="BG97" s="39"/>
      <c r="BH97" s="39"/>
      <c r="BI97" s="39"/>
      <c r="BJ97" s="39"/>
      <c r="BK97" s="39"/>
      <c r="BL97" s="39"/>
      <c r="BM97" s="39"/>
      <c r="BN97" s="39"/>
      <c r="BO97" s="39"/>
    </row>
    <row r="98" spans="1:67" s="98" customFormat="1" x14ac:dyDescent="0.4">
      <c r="A98" s="552" t="s">
        <v>6</v>
      </c>
      <c r="B98" s="78" t="str">
        <f>VLOOKUP('Area A'!$B$22,'Item List'!B:AL,9,FALSE)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Materials'!$D$18),0)</f>
        <v>0</v>
      </c>
      <c r="J98" s="559">
        <f>G98+(I98*F98)</f>
        <v>0</v>
      </c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  <c r="AW98" s="39"/>
      <c r="AX98" s="39"/>
      <c r="AY98" s="39"/>
      <c r="AZ98" s="39"/>
      <c r="BA98" s="39"/>
      <c r="BB98" s="39"/>
      <c r="BC98" s="39"/>
      <c r="BD98" s="39"/>
      <c r="BE98" s="39"/>
      <c r="BF98" s="39"/>
      <c r="BG98" s="39"/>
      <c r="BH98" s="39"/>
      <c r="BI98" s="39"/>
      <c r="BJ98" s="39"/>
      <c r="BK98" s="39"/>
      <c r="BL98" s="39"/>
      <c r="BM98" s="39"/>
      <c r="BN98" s="39"/>
      <c r="BO98" s="39"/>
    </row>
    <row r="99" spans="1:67" s="98" customFormat="1" x14ac:dyDescent="0.4">
      <c r="A99" s="552" t="s">
        <v>6</v>
      </c>
      <c r="B99" s="78" t="str">
        <f>VLOOKUP('Area A'!$B$22,'Item List'!B:AL,10,FALSE)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7">F99*E99</f>
        <v>0</v>
      </c>
      <c r="H99" s="593"/>
      <c r="I99" s="594">
        <f>ROUNDUP((E99*'Project Materials'!$D$18),0)</f>
        <v>0</v>
      </c>
      <c r="J99" s="559">
        <f t="shared" ref="J99:J118" si="8">G99+(I99*F99)</f>
        <v>0</v>
      </c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  <c r="AW99" s="39"/>
      <c r="AX99" s="39"/>
      <c r="AY99" s="39"/>
      <c r="AZ99" s="39"/>
      <c r="BA99" s="39"/>
      <c r="BB99" s="39"/>
      <c r="BC99" s="39"/>
      <c r="BD99" s="39"/>
      <c r="BE99" s="39"/>
      <c r="BF99" s="39"/>
      <c r="BG99" s="39"/>
      <c r="BH99" s="39"/>
      <c r="BI99" s="39"/>
      <c r="BJ99" s="39"/>
      <c r="BK99" s="39"/>
      <c r="BL99" s="39"/>
      <c r="BM99" s="39"/>
      <c r="BN99" s="39"/>
      <c r="BO99" s="39"/>
    </row>
    <row r="100" spans="1:67" s="98" customFormat="1" x14ac:dyDescent="0.4">
      <c r="A100" s="640" t="s">
        <v>6</v>
      </c>
      <c r="B100" s="585" t="str">
        <f>VLOOKUP('Area A'!$B$22,'Item List'!B:AL,11,FALSE)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7"/>
        <v>0</v>
      </c>
      <c r="H100" s="601"/>
      <c r="I100" s="602">
        <f>ROUNDUP((E100*'Project Materials'!$D$18),0)</f>
        <v>0</v>
      </c>
      <c r="J100" s="603">
        <f t="shared" si="8"/>
        <v>0</v>
      </c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  <c r="AW100" s="39"/>
      <c r="AX100" s="39"/>
      <c r="AY100" s="39"/>
      <c r="AZ100" s="39"/>
      <c r="BA100" s="39"/>
      <c r="BB100" s="39"/>
      <c r="BC100" s="39"/>
      <c r="BD100" s="39"/>
      <c r="BE100" s="39"/>
      <c r="BF100" s="39"/>
      <c r="BG100" s="39"/>
      <c r="BH100" s="39"/>
      <c r="BI100" s="39"/>
      <c r="BJ100" s="39"/>
      <c r="BK100" s="39"/>
      <c r="BL100" s="39"/>
      <c r="BM100" s="39"/>
      <c r="BN100" s="39"/>
      <c r="BO100" s="39"/>
    </row>
    <row r="101" spans="1:67" s="98" customFormat="1" x14ac:dyDescent="0.4">
      <c r="A101" s="552" t="s">
        <v>6</v>
      </c>
      <c r="B101" s="78" t="str">
        <f>VLOOKUP('Area A'!$B$23,'Item List'!B:AL,6,FALSE)</f>
        <v>3/8" x 5" SS Lag Screw</v>
      </c>
      <c r="C101" s="614" t="str">
        <f>VLOOKUP(B101,'Item List'!B:AH,2,FALSE)</f>
        <v>3/8" x 5" Stainless Steel Lag Screw</v>
      </c>
      <c r="D101" s="614"/>
      <c r="E101" s="612">
        <f>$E$23*VLOOKUP(B101,'Item List'!B:AM,38,FALSE)</f>
        <v>0</v>
      </c>
      <c r="F101" s="595">
        <f>VLOOKUP(B101,'Item List'!B:AH,4,FALSE)</f>
        <v>0.6</v>
      </c>
      <c r="G101" s="556">
        <f t="shared" si="7"/>
        <v>0</v>
      </c>
      <c r="H101" s="593"/>
      <c r="I101" s="594">
        <f>ROUNDUP((E101*'Project Materials'!$D$18),0)</f>
        <v>0</v>
      </c>
      <c r="J101" s="559">
        <f t="shared" si="8"/>
        <v>0</v>
      </c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  <c r="AW101" s="39"/>
      <c r="AX101" s="39"/>
      <c r="AY101" s="39"/>
      <c r="AZ101" s="39"/>
      <c r="BA101" s="39"/>
      <c r="BB101" s="39"/>
      <c r="BC101" s="39"/>
      <c r="BD101" s="39"/>
      <c r="BE101" s="39"/>
      <c r="BF101" s="39"/>
      <c r="BG101" s="39"/>
      <c r="BH101" s="39"/>
      <c r="BI101" s="39"/>
      <c r="BJ101" s="39"/>
      <c r="BK101" s="39"/>
      <c r="BL101" s="39"/>
      <c r="BM101" s="39"/>
      <c r="BN101" s="39"/>
      <c r="BO101" s="39"/>
    </row>
    <row r="102" spans="1:67" s="98" customFormat="1" x14ac:dyDescent="0.4">
      <c r="A102" s="552" t="s">
        <v>6</v>
      </c>
      <c r="B102" s="78" t="str">
        <f>VLOOKUP('Area A'!$B$23,'Item List'!B:AL,7,FALSE)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7"/>
        <v>0</v>
      </c>
      <c r="H102" s="593"/>
      <c r="I102" s="594">
        <f>ROUNDUP((E102*'Project Materials'!$D$18),0)</f>
        <v>0</v>
      </c>
      <c r="J102" s="559">
        <f t="shared" si="8"/>
        <v>0</v>
      </c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  <c r="AW102" s="39"/>
      <c r="AX102" s="39"/>
      <c r="AY102" s="39"/>
      <c r="AZ102" s="39"/>
      <c r="BA102" s="39"/>
      <c r="BB102" s="39"/>
      <c r="BC102" s="39"/>
      <c r="BD102" s="39"/>
      <c r="BE102" s="39"/>
      <c r="BF102" s="39"/>
      <c r="BG102" s="39"/>
      <c r="BH102" s="39"/>
      <c r="BI102" s="39"/>
      <c r="BJ102" s="39"/>
      <c r="BK102" s="39"/>
      <c r="BL102" s="39"/>
      <c r="BM102" s="39"/>
      <c r="BN102" s="39"/>
      <c r="BO102" s="39"/>
    </row>
    <row r="103" spans="1:67" s="98" customFormat="1" x14ac:dyDescent="0.4">
      <c r="A103" s="552" t="s">
        <v>6</v>
      </c>
      <c r="B103" s="78" t="str">
        <f>VLOOKUP('Area A'!$B$23,'Item List'!B:AL,8,FALSE)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7"/>
        <v>0</v>
      </c>
      <c r="H103" s="593"/>
      <c r="I103" s="594">
        <f>ROUNDUP((E103*'Project Materials'!$D$18),0)</f>
        <v>0</v>
      </c>
      <c r="J103" s="559">
        <f t="shared" si="8"/>
        <v>0</v>
      </c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  <c r="AW103" s="39"/>
      <c r="AX103" s="39"/>
      <c r="AY103" s="39"/>
      <c r="AZ103" s="39"/>
      <c r="BA103" s="39"/>
      <c r="BB103" s="39"/>
      <c r="BC103" s="39"/>
      <c r="BD103" s="39"/>
      <c r="BE103" s="39"/>
      <c r="BF103" s="39"/>
      <c r="BG103" s="39"/>
      <c r="BH103" s="39"/>
      <c r="BI103" s="39"/>
      <c r="BJ103" s="39"/>
      <c r="BK103" s="39"/>
      <c r="BL103" s="39"/>
      <c r="BM103" s="39"/>
      <c r="BN103" s="39"/>
      <c r="BO103" s="39"/>
    </row>
    <row r="104" spans="1:67" s="98" customFormat="1" x14ac:dyDescent="0.4">
      <c r="A104" s="552" t="s">
        <v>6</v>
      </c>
      <c r="B104" s="78" t="str">
        <f>VLOOKUP('Area A'!$B$23,'Item List'!B:AL,9,FALSE)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7"/>
        <v>0</v>
      </c>
      <c r="H104" s="593"/>
      <c r="I104" s="594">
        <f>ROUNDUP((E104*'Project Materials'!$D$18),0)</f>
        <v>0</v>
      </c>
      <c r="J104" s="559">
        <f t="shared" si="8"/>
        <v>0</v>
      </c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  <c r="AW104" s="39"/>
      <c r="AX104" s="39"/>
      <c r="AY104" s="39"/>
      <c r="AZ104" s="39"/>
      <c r="BA104" s="39"/>
      <c r="BB104" s="39"/>
      <c r="BC104" s="39"/>
      <c r="BD104" s="39"/>
      <c r="BE104" s="39"/>
      <c r="BF104" s="39"/>
      <c r="BG104" s="39"/>
      <c r="BH104" s="39"/>
      <c r="BI104" s="39"/>
      <c r="BJ104" s="39"/>
      <c r="BK104" s="39"/>
      <c r="BL104" s="39"/>
      <c r="BM104" s="39"/>
      <c r="BN104" s="39"/>
      <c r="BO104" s="39"/>
    </row>
    <row r="105" spans="1:67" s="98" customFormat="1" x14ac:dyDescent="0.4">
      <c r="A105" s="552" t="s">
        <v>6</v>
      </c>
      <c r="B105" s="78" t="str">
        <f>VLOOKUP('Area A'!$B$23,'Item List'!B:AL,10,FALSE)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7"/>
        <v>0</v>
      </c>
      <c r="H105" s="593"/>
      <c r="I105" s="594">
        <f>ROUNDUP((E105*'Project Materials'!$D$18),0)</f>
        <v>0</v>
      </c>
      <c r="J105" s="559">
        <f t="shared" si="8"/>
        <v>0</v>
      </c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  <c r="AW105" s="39"/>
      <c r="AX105" s="39"/>
      <c r="AY105" s="39"/>
      <c r="AZ105" s="39"/>
      <c r="BA105" s="39"/>
      <c r="BB105" s="39"/>
      <c r="BC105" s="39"/>
      <c r="BD105" s="39"/>
      <c r="BE105" s="39"/>
      <c r="BF105" s="39"/>
      <c r="BG105" s="39"/>
      <c r="BH105" s="39"/>
      <c r="BI105" s="39"/>
      <c r="BJ105" s="39"/>
      <c r="BK105" s="39"/>
      <c r="BL105" s="39"/>
      <c r="BM105" s="39"/>
      <c r="BN105" s="39"/>
      <c r="BO105" s="39"/>
    </row>
    <row r="106" spans="1:67" s="98" customFormat="1" x14ac:dyDescent="0.4">
      <c r="A106" s="640" t="s">
        <v>6</v>
      </c>
      <c r="B106" s="615" t="str">
        <f>VLOOKUP('Area A'!$B$23,'Item List'!B:AL,11,FALSE)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7"/>
        <v>0</v>
      </c>
      <c r="H106" s="593"/>
      <c r="I106" s="618">
        <f>ROUNDUP((E106*'Project Materials'!$D$18),0)</f>
        <v>0</v>
      </c>
      <c r="J106" s="619">
        <f t="shared" si="8"/>
        <v>0</v>
      </c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  <c r="AW106" s="39"/>
      <c r="AX106" s="39"/>
      <c r="AY106" s="39"/>
      <c r="AZ106" s="39"/>
      <c r="BA106" s="39"/>
      <c r="BB106" s="39"/>
      <c r="BC106" s="39"/>
      <c r="BD106" s="39"/>
      <c r="BE106" s="39"/>
      <c r="BF106" s="39"/>
      <c r="BG106" s="39"/>
      <c r="BH106" s="39"/>
      <c r="BI106" s="39"/>
      <c r="BJ106" s="39"/>
      <c r="BK106" s="39"/>
      <c r="BL106" s="39"/>
      <c r="BM106" s="39"/>
      <c r="BN106" s="39"/>
      <c r="BO106" s="39"/>
    </row>
    <row r="107" spans="1:67" s="98" customFormat="1" x14ac:dyDescent="0.4">
      <c r="A107" s="552" t="s">
        <v>6</v>
      </c>
      <c r="B107" s="78" t="str">
        <f>VLOOKUP('Area A'!$B$24,'Item List'!B:AL,6,FALSE)</f>
        <v>None</v>
      </c>
      <c r="C107" s="614" t="str">
        <f>VLOOKUP(B107,'Item List'!B:AH,2,FALSE)</f>
        <v>None</v>
      </c>
      <c r="D107" s="614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7"/>
        <v>0</v>
      </c>
      <c r="H107" s="593"/>
      <c r="I107" s="594">
        <f>ROUNDUP((E107*'Project Materials'!$D$18),0)</f>
        <v>0</v>
      </c>
      <c r="J107" s="559">
        <f t="shared" si="8"/>
        <v>0</v>
      </c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  <c r="AW107" s="39"/>
      <c r="AX107" s="39"/>
      <c r="AY107" s="39"/>
      <c r="AZ107" s="39"/>
      <c r="BA107" s="39"/>
      <c r="BB107" s="39"/>
      <c r="BC107" s="39"/>
      <c r="BD107" s="39"/>
      <c r="BE107" s="39"/>
      <c r="BF107" s="39"/>
      <c r="BG107" s="39"/>
      <c r="BH107" s="39"/>
      <c r="BI107" s="39"/>
      <c r="BJ107" s="39"/>
      <c r="BK107" s="39"/>
      <c r="BL107" s="39"/>
      <c r="BM107" s="39"/>
      <c r="BN107" s="39"/>
      <c r="BO107" s="39"/>
    </row>
    <row r="108" spans="1:67" s="98" customFormat="1" x14ac:dyDescent="0.4">
      <c r="A108" s="552" t="s">
        <v>6</v>
      </c>
      <c r="B108" s="78" t="str">
        <f>VLOOKUP('Area A'!$B$24,'Item List'!B:AL,7,FALSE)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7"/>
        <v>0</v>
      </c>
      <c r="H108" s="593"/>
      <c r="I108" s="594">
        <f>ROUNDUP((E108*'Project Materials'!$D$18),0)</f>
        <v>0</v>
      </c>
      <c r="J108" s="559">
        <f t="shared" si="8"/>
        <v>0</v>
      </c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  <c r="AW108" s="39"/>
      <c r="AX108" s="39"/>
      <c r="AY108" s="39"/>
      <c r="AZ108" s="39"/>
      <c r="BA108" s="39"/>
      <c r="BB108" s="39"/>
      <c r="BC108" s="39"/>
      <c r="BD108" s="39"/>
      <c r="BE108" s="39"/>
      <c r="BF108" s="39"/>
      <c r="BG108" s="39"/>
      <c r="BH108" s="39"/>
      <c r="BI108" s="39"/>
      <c r="BJ108" s="39"/>
      <c r="BK108" s="39"/>
      <c r="BL108" s="39"/>
      <c r="BM108" s="39"/>
      <c r="BN108" s="39"/>
      <c r="BO108" s="39"/>
    </row>
    <row r="109" spans="1:67" s="98" customFormat="1" x14ac:dyDescent="0.4">
      <c r="A109" s="552" t="s">
        <v>6</v>
      </c>
      <c r="B109" s="78" t="str">
        <f>VLOOKUP('Area A'!$B$24,'Item List'!B:AL,8,FALSE)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7"/>
        <v>0</v>
      </c>
      <c r="H109" s="593"/>
      <c r="I109" s="594">
        <f>ROUNDUP((E109*'Project Materials'!$D$18),0)</f>
        <v>0</v>
      </c>
      <c r="J109" s="559">
        <f t="shared" si="8"/>
        <v>0</v>
      </c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  <c r="AW109" s="39"/>
      <c r="AX109" s="39"/>
      <c r="AY109" s="39"/>
      <c r="AZ109" s="39"/>
      <c r="BA109" s="39"/>
      <c r="BB109" s="39"/>
      <c r="BC109" s="39"/>
      <c r="BD109" s="39"/>
      <c r="BE109" s="39"/>
      <c r="BF109" s="39"/>
      <c r="BG109" s="39"/>
      <c r="BH109" s="39"/>
      <c r="BI109" s="39"/>
      <c r="BJ109" s="39"/>
      <c r="BK109" s="39"/>
      <c r="BL109" s="39"/>
      <c r="BM109" s="39"/>
      <c r="BN109" s="39"/>
      <c r="BO109" s="39"/>
    </row>
    <row r="110" spans="1:67" s="98" customFormat="1" x14ac:dyDescent="0.4">
      <c r="A110" s="552" t="s">
        <v>6</v>
      </c>
      <c r="B110" s="78" t="str">
        <f>VLOOKUP('Area A'!$B$24,'Item List'!B:AL,9,FALSE)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7"/>
        <v>0</v>
      </c>
      <c r="H110" s="593"/>
      <c r="I110" s="594">
        <f>ROUNDUP((E110*'Project Materials'!$D$18),0)</f>
        <v>0</v>
      </c>
      <c r="J110" s="559">
        <f t="shared" si="8"/>
        <v>0</v>
      </c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  <c r="AW110" s="39"/>
      <c r="AX110" s="39"/>
      <c r="AY110" s="39"/>
      <c r="AZ110" s="39"/>
      <c r="BA110" s="39"/>
      <c r="BB110" s="39"/>
      <c r="BC110" s="39"/>
      <c r="BD110" s="39"/>
      <c r="BE110" s="39"/>
      <c r="BF110" s="39"/>
      <c r="BG110" s="39"/>
      <c r="BH110" s="39"/>
      <c r="BI110" s="39"/>
      <c r="BJ110" s="39"/>
      <c r="BK110" s="39"/>
      <c r="BL110" s="39"/>
      <c r="BM110" s="39"/>
      <c r="BN110" s="39"/>
      <c r="BO110" s="39"/>
    </row>
    <row r="111" spans="1:67" s="98" customFormat="1" x14ac:dyDescent="0.4">
      <c r="A111" s="552" t="s">
        <v>6</v>
      </c>
      <c r="B111" s="78" t="str">
        <f>VLOOKUP('Area A'!$B$24,'Item List'!B:AL,10,FALSE)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7"/>
        <v>0</v>
      </c>
      <c r="H111" s="593"/>
      <c r="I111" s="594">
        <f>ROUNDUP((E111*'Project Materials'!$D$18),0)</f>
        <v>0</v>
      </c>
      <c r="J111" s="559">
        <f t="shared" si="8"/>
        <v>0</v>
      </c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  <c r="AW111" s="39"/>
      <c r="AX111" s="39"/>
      <c r="AY111" s="39"/>
      <c r="AZ111" s="39"/>
      <c r="BA111" s="39"/>
      <c r="BB111" s="39"/>
      <c r="BC111" s="39"/>
      <c r="BD111" s="39"/>
      <c r="BE111" s="39"/>
      <c r="BF111" s="39"/>
      <c r="BG111" s="39"/>
      <c r="BH111" s="39"/>
      <c r="BI111" s="39"/>
      <c r="BJ111" s="39"/>
      <c r="BK111" s="39"/>
      <c r="BL111" s="39"/>
      <c r="BM111" s="39"/>
      <c r="BN111" s="39"/>
      <c r="BO111" s="39"/>
    </row>
    <row r="112" spans="1:67" s="98" customFormat="1" x14ac:dyDescent="0.4">
      <c r="A112" s="640" t="s">
        <v>6</v>
      </c>
      <c r="B112" s="585" t="str">
        <f>VLOOKUP('Area A'!$B$24,'Item List'!B:AL,11,FALSE)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7"/>
        <v>0</v>
      </c>
      <c r="H112" s="601"/>
      <c r="I112" s="602">
        <f>ROUNDUP((E112*'Project Materials'!$D$18),0)</f>
        <v>0</v>
      </c>
      <c r="J112" s="603">
        <f t="shared" si="8"/>
        <v>0</v>
      </c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  <c r="AW112" s="39"/>
      <c r="AX112" s="39"/>
      <c r="AY112" s="39"/>
      <c r="AZ112" s="39"/>
      <c r="BA112" s="39"/>
      <c r="BB112" s="39"/>
      <c r="BC112" s="39"/>
      <c r="BD112" s="39"/>
      <c r="BE112" s="39"/>
      <c r="BF112" s="39"/>
      <c r="BG112" s="39"/>
      <c r="BH112" s="39"/>
      <c r="BI112" s="39"/>
      <c r="BJ112" s="39"/>
      <c r="BK112" s="39"/>
      <c r="BL112" s="39"/>
      <c r="BM112" s="39"/>
      <c r="BN112" s="39"/>
      <c r="BO112" s="39"/>
    </row>
    <row r="113" spans="1:67" s="98" customFormat="1" x14ac:dyDescent="0.4">
      <c r="A113" s="552" t="s">
        <v>6</v>
      </c>
      <c r="B113" s="78" t="str">
        <f>VLOOKUP('Area A'!$B$25,'Item List'!B:AL,6,FALSE)</f>
        <v>None</v>
      </c>
      <c r="C113" s="614" t="str">
        <f>VLOOKUP(B113,'Item List'!B:AH,2,FALSE)</f>
        <v>None</v>
      </c>
      <c r="D113" s="614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7"/>
        <v>0</v>
      </c>
      <c r="H113" s="593"/>
      <c r="I113" s="594">
        <f>ROUNDUP((E113*'Project Materials'!$D$18),0)</f>
        <v>0</v>
      </c>
      <c r="J113" s="559">
        <f t="shared" si="8"/>
        <v>0</v>
      </c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  <c r="AW113" s="39"/>
      <c r="AX113" s="39"/>
      <c r="AY113" s="39"/>
      <c r="AZ113" s="39"/>
      <c r="BA113" s="39"/>
      <c r="BB113" s="39"/>
      <c r="BC113" s="39"/>
      <c r="BD113" s="39"/>
      <c r="BE113" s="39"/>
      <c r="BF113" s="39"/>
      <c r="BG113" s="39"/>
      <c r="BH113" s="39"/>
      <c r="BI113" s="39"/>
      <c r="BJ113" s="39"/>
      <c r="BK113" s="39"/>
      <c r="BL113" s="39"/>
      <c r="BM113" s="39"/>
      <c r="BN113" s="39"/>
      <c r="BO113" s="39"/>
    </row>
    <row r="114" spans="1:67" s="98" customFormat="1" x14ac:dyDescent="0.4">
      <c r="A114" s="552" t="s">
        <v>6</v>
      </c>
      <c r="B114" s="78" t="str">
        <f>VLOOKUP('Area A'!$B$25,'Item List'!B:AL,7,FALSE)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7"/>
        <v>0</v>
      </c>
      <c r="H114" s="593"/>
      <c r="I114" s="594">
        <f>ROUNDUP((E114*'Project Materials'!$D$18),0)</f>
        <v>0</v>
      </c>
      <c r="J114" s="559">
        <f t="shared" si="8"/>
        <v>0</v>
      </c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  <c r="AW114" s="39"/>
      <c r="AX114" s="39"/>
      <c r="AY114" s="39"/>
      <c r="AZ114" s="39"/>
      <c r="BA114" s="39"/>
      <c r="BB114" s="39"/>
      <c r="BC114" s="39"/>
      <c r="BD114" s="39"/>
      <c r="BE114" s="39"/>
      <c r="BF114" s="39"/>
      <c r="BG114" s="39"/>
      <c r="BH114" s="39"/>
      <c r="BI114" s="39"/>
      <c r="BJ114" s="39"/>
      <c r="BK114" s="39"/>
      <c r="BL114" s="39"/>
      <c r="BM114" s="39"/>
      <c r="BN114" s="39"/>
      <c r="BO114" s="39"/>
    </row>
    <row r="115" spans="1:67" s="98" customFormat="1" x14ac:dyDescent="0.4">
      <c r="A115" s="552" t="s">
        <v>6</v>
      </c>
      <c r="B115" s="78" t="str">
        <f>VLOOKUP('Area A'!$B$25,'Item List'!B:AL,8,FALSE)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7"/>
        <v>0</v>
      </c>
      <c r="H115" s="593"/>
      <c r="I115" s="594">
        <f>ROUNDUP((E115*'Project Materials'!$D$18),0)</f>
        <v>0</v>
      </c>
      <c r="J115" s="559">
        <f t="shared" si="8"/>
        <v>0</v>
      </c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  <c r="AW115" s="39"/>
      <c r="AX115" s="39"/>
      <c r="AY115" s="39"/>
      <c r="AZ115" s="39"/>
      <c r="BA115" s="39"/>
      <c r="BB115" s="39"/>
      <c r="BC115" s="39"/>
      <c r="BD115" s="39"/>
      <c r="BE115" s="39"/>
      <c r="BF115" s="39"/>
      <c r="BG115" s="39"/>
      <c r="BH115" s="39"/>
      <c r="BI115" s="39"/>
      <c r="BJ115" s="39"/>
      <c r="BK115" s="39"/>
      <c r="BL115" s="39"/>
      <c r="BM115" s="39"/>
      <c r="BN115" s="39"/>
      <c r="BO115" s="39"/>
    </row>
    <row r="116" spans="1:67" s="98" customFormat="1" x14ac:dyDescent="0.4">
      <c r="A116" s="552" t="s">
        <v>6</v>
      </c>
      <c r="B116" s="78" t="str">
        <f>VLOOKUP('Area A'!$B$25,'Item List'!B:AL,9,FALSE)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7"/>
        <v>0</v>
      </c>
      <c r="H116" s="593"/>
      <c r="I116" s="594">
        <f>ROUNDUP((E116*'Project Materials'!$D$18),0)</f>
        <v>0</v>
      </c>
      <c r="J116" s="559">
        <f t="shared" si="8"/>
        <v>0</v>
      </c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  <c r="AW116" s="39"/>
      <c r="AX116" s="39"/>
      <c r="AY116" s="39"/>
      <c r="AZ116" s="39"/>
      <c r="BA116" s="39"/>
      <c r="BB116" s="39"/>
      <c r="BC116" s="39"/>
      <c r="BD116" s="39"/>
      <c r="BE116" s="39"/>
      <c r="BF116" s="39"/>
      <c r="BG116" s="39"/>
      <c r="BH116" s="39"/>
      <c r="BI116" s="39"/>
      <c r="BJ116" s="39"/>
      <c r="BK116" s="39"/>
      <c r="BL116" s="39"/>
      <c r="BM116" s="39"/>
      <c r="BN116" s="39"/>
      <c r="BO116" s="39"/>
    </row>
    <row r="117" spans="1:67" s="98" customFormat="1" x14ac:dyDescent="0.4">
      <c r="A117" s="552" t="s">
        <v>6</v>
      </c>
      <c r="B117" s="78" t="str">
        <f>VLOOKUP('Area A'!$B$25,'Item List'!B:AL,10,FALSE)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7"/>
        <v>0</v>
      </c>
      <c r="H117" s="593"/>
      <c r="I117" s="594">
        <f>ROUNDUP((E117*'Project Materials'!$D$18),0)</f>
        <v>0</v>
      </c>
      <c r="J117" s="559">
        <f t="shared" si="8"/>
        <v>0</v>
      </c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  <c r="AW117" s="39"/>
      <c r="AX117" s="39"/>
      <c r="AY117" s="39"/>
      <c r="AZ117" s="39"/>
      <c r="BA117" s="39"/>
      <c r="BB117" s="39"/>
      <c r="BC117" s="39"/>
      <c r="BD117" s="39"/>
      <c r="BE117" s="39"/>
      <c r="BF117" s="39"/>
      <c r="BG117" s="39"/>
      <c r="BH117" s="39"/>
      <c r="BI117" s="39"/>
      <c r="BJ117" s="39"/>
      <c r="BK117" s="39"/>
      <c r="BL117" s="39"/>
      <c r="BM117" s="39"/>
      <c r="BN117" s="39"/>
      <c r="BO117" s="39"/>
    </row>
    <row r="118" spans="1:67" s="98" customFormat="1" x14ac:dyDescent="0.4">
      <c r="A118" s="552" t="s">
        <v>6</v>
      </c>
      <c r="B118" s="585" t="str">
        <f>VLOOKUP('Area A'!$B$25,'Item List'!B:AL,11,FALSE)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7"/>
        <v>0</v>
      </c>
      <c r="H118" s="601"/>
      <c r="I118" s="602">
        <f>ROUNDUP((E118*'Project Materials'!$D$18),0)</f>
        <v>0</v>
      </c>
      <c r="J118" s="603">
        <f t="shared" si="8"/>
        <v>0</v>
      </c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  <c r="AW118" s="39"/>
      <c r="AX118" s="39"/>
      <c r="AY118" s="39"/>
      <c r="AZ118" s="39"/>
      <c r="BA118" s="39"/>
      <c r="BB118" s="39"/>
      <c r="BC118" s="39"/>
      <c r="BD118" s="39"/>
      <c r="BE118" s="39"/>
      <c r="BF118" s="39"/>
      <c r="BG118" s="39"/>
      <c r="BH118" s="39"/>
      <c r="BI118" s="39"/>
      <c r="BJ118" s="39"/>
      <c r="BK118" s="39"/>
      <c r="BL118" s="39"/>
      <c r="BM118" s="39"/>
      <c r="BN118" s="39"/>
      <c r="BO118" s="39"/>
    </row>
    <row r="119" spans="1:67" s="98" customFormat="1" x14ac:dyDescent="0.4">
      <c r="A119" s="604"/>
      <c r="B119" s="633"/>
      <c r="C119" s="641"/>
      <c r="D119" s="641"/>
      <c r="E119" s="635"/>
      <c r="F119" s="636"/>
      <c r="G119" s="637"/>
      <c r="H119" s="633"/>
      <c r="I119" s="638"/>
      <c r="J119" s="6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  <c r="AW119" s="39"/>
      <c r="AX119" s="39"/>
      <c r="AY119" s="39"/>
      <c r="AZ119" s="39"/>
      <c r="BA119" s="39"/>
      <c r="BB119" s="39"/>
      <c r="BC119" s="39"/>
      <c r="BD119" s="39"/>
      <c r="BE119" s="39"/>
      <c r="BF119" s="39"/>
      <c r="BG119" s="39"/>
      <c r="BH119" s="39"/>
      <c r="BI119" s="39"/>
      <c r="BJ119" s="39"/>
      <c r="BK119" s="39"/>
      <c r="BL119" s="39"/>
      <c r="BM119" s="39"/>
      <c r="BN119" s="39"/>
      <c r="BO119" s="39"/>
    </row>
    <row r="120" spans="1:67" x14ac:dyDescent="0.4">
      <c r="A120" s="552" t="s">
        <v>448</v>
      </c>
      <c r="B120" s="78" t="str">
        <f>VLOOKUP('Area A'!B29,'Item List'!B:AL,6,FALSE)</f>
        <v>None</v>
      </c>
      <c r="C120" s="78" t="str">
        <f>VLOOKUP(B120,'Item List'!B:AH,2,FALSE)</f>
        <v>None</v>
      </c>
      <c r="D120" s="78"/>
      <c r="E120" s="575">
        <f>VLOOKUP(B120,'Item List'!B:AM,33,FALSE)</f>
        <v>0</v>
      </c>
      <c r="F120" s="595">
        <f>VLOOKUP(B120,'Item List'!B:AH,4,FALSE)</f>
        <v>0</v>
      </c>
      <c r="G120" s="556">
        <f t="shared" ref="G120:G131" si="9">F120*E120</f>
        <v>0</v>
      </c>
      <c r="H120" s="593"/>
      <c r="I120" s="594">
        <f>ROUNDUP((E120*'Project Materials'!$D$18),0)</f>
        <v>0</v>
      </c>
      <c r="J120" s="559">
        <f t="shared" ref="J120:J131" si="10">G120+(I120*F120)</f>
        <v>0</v>
      </c>
    </row>
    <row r="121" spans="1:67" x14ac:dyDescent="0.4">
      <c r="A121" s="640" t="s">
        <v>448</v>
      </c>
      <c r="B121" s="585" t="str">
        <f>VLOOKUP('Area A'!B30,'Item List'!B:AL,6,FALSE)</f>
        <v>None</v>
      </c>
      <c r="C121" s="585" t="str">
        <f>VLOOKUP(B121,'Item List'!B:AH,2,FALSE)</f>
        <v>None</v>
      </c>
      <c r="D121" s="585"/>
      <c r="E121" s="598">
        <f>VLOOKUP(B121,'Item List'!B:AM,33,FALSE)</f>
        <v>0</v>
      </c>
      <c r="F121" s="599">
        <f>VLOOKUP(B121,'Item List'!B:AH,4,FALSE)</f>
        <v>0</v>
      </c>
      <c r="G121" s="600">
        <f t="shared" si="9"/>
        <v>0</v>
      </c>
      <c r="H121" s="601"/>
      <c r="I121" s="602">
        <f>ROUNDUP((E121*'Project Materials'!$D$18),0)</f>
        <v>0</v>
      </c>
      <c r="J121" s="603">
        <f t="shared" si="10"/>
        <v>0</v>
      </c>
    </row>
    <row r="122" spans="1:67" x14ac:dyDescent="0.4">
      <c r="A122" s="552" t="s">
        <v>449</v>
      </c>
      <c r="B122" s="78" t="str">
        <f>VLOOKUP('Area A'!B31,'Item List'!B:AL,6,FALSE)</f>
        <v>None</v>
      </c>
      <c r="C122" s="614" t="str">
        <f>VLOOKUP(B122,'Item List'!B:AH,2,FALSE)</f>
        <v>None</v>
      </c>
      <c r="D122" s="614"/>
      <c r="E122" s="575">
        <f>VLOOKUP(B122,'Item List'!B:AM,33,FALSE)</f>
        <v>0</v>
      </c>
      <c r="F122" s="595">
        <f>VLOOKUP(B122,'Item List'!B:AH,4,FALSE)</f>
        <v>0</v>
      </c>
      <c r="G122" s="556">
        <f t="shared" si="9"/>
        <v>0</v>
      </c>
      <c r="H122" s="593"/>
      <c r="I122" s="594">
        <f>ROUNDUP((E122*'Project Materials'!$D$18),0)</f>
        <v>0</v>
      </c>
      <c r="J122" s="559">
        <f t="shared" si="10"/>
        <v>0</v>
      </c>
    </row>
    <row r="123" spans="1:67" x14ac:dyDescent="0.4">
      <c r="A123" s="640" t="s">
        <v>449</v>
      </c>
      <c r="B123" s="585" t="str">
        <f>VLOOKUP('Area A'!B32,'Item List'!B:AL,6,FALSE)</f>
        <v>None</v>
      </c>
      <c r="C123" s="585" t="str">
        <f>VLOOKUP(B123,'Item List'!B:AH,2,FALSE)</f>
        <v>None</v>
      </c>
      <c r="D123" s="585"/>
      <c r="E123" s="598">
        <f>VLOOKUP(B123,'Item List'!B:AM,33,FALSE)</f>
        <v>0</v>
      </c>
      <c r="F123" s="599">
        <f>VLOOKUP(B123,'Item List'!B:AH,4,FALSE)</f>
        <v>0</v>
      </c>
      <c r="G123" s="600">
        <f t="shared" si="9"/>
        <v>0</v>
      </c>
      <c r="H123" s="601"/>
      <c r="I123" s="602">
        <f>ROUNDUP((E123*'Project Materials'!$D$18),0)</f>
        <v>0</v>
      </c>
      <c r="J123" s="603">
        <f t="shared" si="10"/>
        <v>0</v>
      </c>
    </row>
    <row r="124" spans="1:67" x14ac:dyDescent="0.4">
      <c r="A124" s="552" t="s">
        <v>450</v>
      </c>
      <c r="B124" s="78" t="str">
        <f>VLOOKUP('Area A'!B33,'Item List'!B:AL,6,FALSE)</f>
        <v>None</v>
      </c>
      <c r="C124" s="614" t="str">
        <f>VLOOKUP(B124,'Item List'!B:AH,2,FALSE)</f>
        <v>None</v>
      </c>
      <c r="D124" s="614"/>
      <c r="E124" s="575">
        <f>VLOOKUP(B124,'Item List'!B:AM,33,FALSE)</f>
        <v>0</v>
      </c>
      <c r="F124" s="595">
        <f>VLOOKUP(B124,'Item List'!B:AH,4,FALSE)</f>
        <v>0</v>
      </c>
      <c r="G124" s="556">
        <f t="shared" si="9"/>
        <v>0</v>
      </c>
      <c r="H124" s="593"/>
      <c r="I124" s="594">
        <f>ROUNDUP((E124*'Project Materials'!$D$18),0)</f>
        <v>0</v>
      </c>
      <c r="J124" s="559">
        <f t="shared" si="10"/>
        <v>0</v>
      </c>
    </row>
    <row r="125" spans="1:67" x14ac:dyDescent="0.4">
      <c r="A125" s="640" t="s">
        <v>450</v>
      </c>
      <c r="B125" s="585" t="str">
        <f>VLOOKUP('Area A'!B34,'Item List'!B:AL,6,FALSE)</f>
        <v>None</v>
      </c>
      <c r="C125" s="585" t="str">
        <f>VLOOKUP(B125,'Item List'!B:AH,2,FALSE)</f>
        <v>None</v>
      </c>
      <c r="D125" s="585"/>
      <c r="E125" s="598">
        <f>VLOOKUP(B125,'Item List'!B:AM,33,FALSE)</f>
        <v>0</v>
      </c>
      <c r="F125" s="599">
        <f>VLOOKUP(B125,'Item List'!B:AH,4,FALSE)</f>
        <v>0</v>
      </c>
      <c r="G125" s="600">
        <f t="shared" si="9"/>
        <v>0</v>
      </c>
      <c r="H125" s="601"/>
      <c r="I125" s="602">
        <f>ROUNDUP((E125*'Project Materials'!$D$18),0)</f>
        <v>0</v>
      </c>
      <c r="J125" s="603">
        <f t="shared" si="10"/>
        <v>0</v>
      </c>
    </row>
    <row r="126" spans="1:67" x14ac:dyDescent="0.4">
      <c r="A126" s="552" t="s">
        <v>451</v>
      </c>
      <c r="B126" s="78" t="str">
        <f>VLOOKUP('Area A'!B35,'Item List'!B:AL,6,FALSE)</f>
        <v>None</v>
      </c>
      <c r="C126" s="614" t="str">
        <f>VLOOKUP(B126,'Item List'!B:AH,2,FALSE)</f>
        <v>None</v>
      </c>
      <c r="D126" s="614"/>
      <c r="E126" s="575">
        <f>VLOOKUP(B126,'Item List'!B:AM,33,FALSE)</f>
        <v>0</v>
      </c>
      <c r="F126" s="595">
        <f>VLOOKUP(B126,'Item List'!B:AH,4,FALSE)</f>
        <v>0</v>
      </c>
      <c r="G126" s="556">
        <f t="shared" si="9"/>
        <v>0</v>
      </c>
      <c r="H126" s="593"/>
      <c r="I126" s="594">
        <f>ROUNDUP((E126*'Project Materials'!$D$18),0)</f>
        <v>0</v>
      </c>
      <c r="J126" s="559">
        <f t="shared" si="10"/>
        <v>0</v>
      </c>
    </row>
    <row r="127" spans="1:67" x14ac:dyDescent="0.4">
      <c r="A127" s="640" t="s">
        <v>451</v>
      </c>
      <c r="B127" s="585" t="str">
        <f>VLOOKUP('Area A'!B36,'Item List'!B:AL,6,FALSE)</f>
        <v>None</v>
      </c>
      <c r="C127" s="585" t="str">
        <f>VLOOKUP(B127,'Item List'!B:AH,2,FALSE)</f>
        <v>None</v>
      </c>
      <c r="D127" s="585"/>
      <c r="E127" s="598">
        <f>VLOOKUP(B127,'Item List'!B:AM,33,FALSE)</f>
        <v>0</v>
      </c>
      <c r="F127" s="599">
        <f>VLOOKUP(B127,'Item List'!B:AH,4,FALSE)</f>
        <v>0</v>
      </c>
      <c r="G127" s="600">
        <f t="shared" si="9"/>
        <v>0</v>
      </c>
      <c r="H127" s="601"/>
      <c r="I127" s="602">
        <f>ROUNDUP((E127*'Project Materials'!$D$18),0)</f>
        <v>0</v>
      </c>
      <c r="J127" s="603">
        <f t="shared" si="10"/>
        <v>0</v>
      </c>
    </row>
    <row r="128" spans="1:67" x14ac:dyDescent="0.4">
      <c r="A128" s="552" t="s">
        <v>363</v>
      </c>
      <c r="B128" s="78" t="str">
        <f>VLOOKUP('Area A'!B40,'Item List'!B:AL,6,FALSE)</f>
        <v>SS End Plate Screw</v>
      </c>
      <c r="C128" s="614" t="str">
        <f>VLOOKUP(B128,'Item List'!B:AH,2,FALSE)</f>
        <v>#8 X 3/4 Philips Flat Self Drilling18-8 S/S</v>
      </c>
      <c r="D128" s="614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9"/>
        <v>0</v>
      </c>
      <c r="H128" s="593"/>
      <c r="I128" s="594">
        <f>ROUNDUP((E128*'Project Materials'!$D$18),0)</f>
        <v>0</v>
      </c>
      <c r="J128" s="559">
        <f t="shared" si="10"/>
        <v>0</v>
      </c>
    </row>
    <row r="129" spans="1:10" x14ac:dyDescent="0.4">
      <c r="A129" s="640" t="s">
        <v>363</v>
      </c>
      <c r="B129" s="585" t="str">
        <f>VLOOKUP('Area A'!B41,'Item List'!B:AL,6,FALSE)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9"/>
        <v>0</v>
      </c>
      <c r="H129" s="601"/>
      <c r="I129" s="602">
        <f>ROUNDUP((E129*'Project Materials'!$D$18),0)</f>
        <v>0</v>
      </c>
      <c r="J129" s="603">
        <f t="shared" si="10"/>
        <v>0</v>
      </c>
    </row>
    <row r="130" spans="1:10" x14ac:dyDescent="0.4">
      <c r="A130" s="552" t="s">
        <v>7</v>
      </c>
      <c r="B130" s="78" t="str">
        <f>VLOOKUP('Area A'!B47,'Item List'!B:AL,6,FALSE)</f>
        <v>None</v>
      </c>
      <c r="C130" s="614" t="str">
        <f>VLOOKUP(B130,'Item List'!B:AH,2,FALSE)</f>
        <v>None</v>
      </c>
      <c r="D130" s="614"/>
      <c r="E130" s="575">
        <f>VLOOKUP(B130,'Item List'!B:AM,33,FALSE)</f>
        <v>0</v>
      </c>
      <c r="F130" s="595">
        <f>VLOOKUP(B130,'Item List'!B:AH,4,FALSE)</f>
        <v>0</v>
      </c>
      <c r="G130" s="556">
        <f t="shared" si="9"/>
        <v>0</v>
      </c>
      <c r="H130" s="593"/>
      <c r="I130" s="594">
        <f>ROUNDUP((E130*'Project Materials'!$D$18),0)</f>
        <v>0</v>
      </c>
      <c r="J130" s="559">
        <f t="shared" si="10"/>
        <v>0</v>
      </c>
    </row>
    <row r="131" spans="1:10" x14ac:dyDescent="0.4">
      <c r="A131" s="552" t="s">
        <v>7</v>
      </c>
      <c r="B131" s="78" t="str">
        <f>VLOOKUP('Area A'!B47,'Item List'!B:AL,11,FALSE)</f>
        <v>None</v>
      </c>
      <c r="C131" s="78" t="str">
        <f>VLOOKUP(B131,'Item List'!B:AH,2,FALSE)</f>
        <v>None</v>
      </c>
      <c r="D131" s="78"/>
      <c r="E131" s="575">
        <f>VLOOKUP(B131,'Item List'!B:AM,33,FALSE)</f>
        <v>0</v>
      </c>
      <c r="F131" s="595">
        <f>VLOOKUP(B131,'Item List'!B:AH,4,FALSE)</f>
        <v>0</v>
      </c>
      <c r="G131" s="556">
        <f t="shared" si="9"/>
        <v>0</v>
      </c>
      <c r="H131" s="593"/>
      <c r="I131" s="594">
        <f>ROUNDUP((E131*'Project Materials'!$D$18),0)</f>
        <v>0</v>
      </c>
      <c r="J131" s="559">
        <f t="shared" si="10"/>
        <v>0</v>
      </c>
    </row>
    <row r="132" spans="1:10" x14ac:dyDescent="0.4">
      <c r="A132" s="552" t="s">
        <v>7</v>
      </c>
      <c r="B132" s="78" t="str">
        <f>VLOOKUP('Area A'!B48,'Item List'!B:AL,6,FALSE)</f>
        <v>None</v>
      </c>
      <c r="C132" s="78" t="str">
        <f>VLOOKUP(B132,'Item List'!B:AH,2,FALSE)</f>
        <v>None</v>
      </c>
      <c r="D132" s="78"/>
      <c r="E132" s="575">
        <f>VLOOKUP(B132,'Item List'!B:AM,33,FALSE)</f>
        <v>0</v>
      </c>
      <c r="F132" s="595">
        <f>VLOOKUP(B132,'Item List'!B:AH,4,FALSE)</f>
        <v>0</v>
      </c>
      <c r="G132" s="556">
        <f t="shared" ref="G132:G143" si="11">F132*E132</f>
        <v>0</v>
      </c>
      <c r="H132" s="593"/>
      <c r="I132" s="594">
        <f>ROUNDUP((E132*'Project Materials'!$D$18),0)</f>
        <v>0</v>
      </c>
      <c r="J132" s="559">
        <f t="shared" ref="J132:J143" si="12">G132+(I132*F132)</f>
        <v>0</v>
      </c>
    </row>
    <row r="133" spans="1:10" x14ac:dyDescent="0.4">
      <c r="A133" s="552" t="s">
        <v>7</v>
      </c>
      <c r="B133" s="78" t="str">
        <f>VLOOKUP('Area A'!B48,'Item List'!B:AL,11,FALSE)</f>
        <v>None</v>
      </c>
      <c r="C133" s="78" t="str">
        <f>VLOOKUP(B133,'Item List'!B:AH,2,FALSE)</f>
        <v>None</v>
      </c>
      <c r="D133" s="78"/>
      <c r="E133" s="575">
        <f>VLOOKUP(B133,'Item List'!B:AM,33,FALSE)</f>
        <v>0</v>
      </c>
      <c r="F133" s="595">
        <f>VLOOKUP(B133,'Item List'!B:AH,4,FALSE)</f>
        <v>0</v>
      </c>
      <c r="G133" s="556">
        <f t="shared" si="11"/>
        <v>0</v>
      </c>
      <c r="H133" s="593"/>
      <c r="I133" s="594">
        <f>ROUNDUP((E133*'Project Materials'!$D$18),0)</f>
        <v>0</v>
      </c>
      <c r="J133" s="559">
        <f t="shared" si="12"/>
        <v>0</v>
      </c>
    </row>
    <row r="134" spans="1:10" x14ac:dyDescent="0.4">
      <c r="A134" s="552" t="s">
        <v>7</v>
      </c>
      <c r="B134" s="78" t="str">
        <f>VLOOKUP('Area A'!B49,'Item List'!B:AL,6,FALSE)</f>
        <v>None</v>
      </c>
      <c r="C134" s="78" t="str">
        <f>VLOOKUP(B134,'Item List'!B:AH,2,FALSE)</f>
        <v>None</v>
      </c>
      <c r="D134" s="78"/>
      <c r="E134" s="575">
        <f>VLOOKUP(B134,'Item List'!B:AM,33,FALSE)</f>
        <v>0</v>
      </c>
      <c r="F134" s="595">
        <f>VLOOKUP(B134,'Item List'!B:AH,4,FALSE)</f>
        <v>0</v>
      </c>
      <c r="G134" s="556">
        <f t="shared" si="11"/>
        <v>0</v>
      </c>
      <c r="H134" s="593"/>
      <c r="I134" s="594">
        <f>ROUNDUP((E134*'Project Materials'!$D$18),0)</f>
        <v>0</v>
      </c>
      <c r="J134" s="559">
        <f t="shared" si="12"/>
        <v>0</v>
      </c>
    </row>
    <row r="135" spans="1:10" x14ac:dyDescent="0.4">
      <c r="A135" s="552" t="s">
        <v>7</v>
      </c>
      <c r="B135" s="78" t="str">
        <f>VLOOKUP('Area A'!B49,'Item List'!B:AL,11,FALSE)</f>
        <v>None</v>
      </c>
      <c r="C135" s="78" t="str">
        <f>VLOOKUP(B135,'Item List'!B:AH,2,FALSE)</f>
        <v>None</v>
      </c>
      <c r="D135" s="78"/>
      <c r="E135" s="575">
        <f>VLOOKUP(B135,'Item List'!B:AM,33,FALSE)</f>
        <v>0</v>
      </c>
      <c r="F135" s="595">
        <f>VLOOKUP(B135,'Item List'!B:AH,4,FALSE)</f>
        <v>0</v>
      </c>
      <c r="G135" s="556">
        <f t="shared" si="11"/>
        <v>0</v>
      </c>
      <c r="H135" s="593"/>
      <c r="I135" s="594">
        <f>ROUNDUP((E135*'Project Materials'!$D$18),0)</f>
        <v>0</v>
      </c>
      <c r="J135" s="559">
        <f t="shared" si="12"/>
        <v>0</v>
      </c>
    </row>
    <row r="136" spans="1:10" x14ac:dyDescent="0.4">
      <c r="A136" s="552" t="s">
        <v>7</v>
      </c>
      <c r="B136" s="78" t="str">
        <f>VLOOKUP('Area A'!B50,'Item List'!B:AL,6,FALSE)</f>
        <v>None</v>
      </c>
      <c r="C136" s="78" t="str">
        <f>VLOOKUP(B136,'Item List'!B:AH,2,FALSE)</f>
        <v>None</v>
      </c>
      <c r="D136" s="78"/>
      <c r="E136" s="575">
        <f>VLOOKUP(B136,'Item List'!B:AM,33,FALSE)</f>
        <v>0</v>
      </c>
      <c r="F136" s="595">
        <f>VLOOKUP(B136,'Item List'!B:AH,4,FALSE)</f>
        <v>0</v>
      </c>
      <c r="G136" s="556">
        <f t="shared" si="11"/>
        <v>0</v>
      </c>
      <c r="H136" s="593"/>
      <c r="I136" s="594">
        <f>ROUNDUP((E136*'Project Materials'!$D$18),0)</f>
        <v>0</v>
      </c>
      <c r="J136" s="559">
        <f t="shared" si="12"/>
        <v>0</v>
      </c>
    </row>
    <row r="137" spans="1:10" x14ac:dyDescent="0.4">
      <c r="A137" s="552" t="s">
        <v>7</v>
      </c>
      <c r="B137" s="78" t="str">
        <f>VLOOKUP('Area A'!B50,'Item List'!B:AL,11,FALSE)</f>
        <v>None</v>
      </c>
      <c r="C137" s="78" t="str">
        <f>VLOOKUP(B137,'Item List'!B:AH,2,FALSE)</f>
        <v>None</v>
      </c>
      <c r="D137" s="78"/>
      <c r="E137" s="575">
        <f>VLOOKUP(B137,'Item List'!B:AM,33,FALSE)</f>
        <v>0</v>
      </c>
      <c r="F137" s="595">
        <f>VLOOKUP(B137,'Item List'!B:AH,4,FALSE)</f>
        <v>0</v>
      </c>
      <c r="G137" s="556">
        <f t="shared" si="11"/>
        <v>0</v>
      </c>
      <c r="H137" s="593"/>
      <c r="I137" s="594">
        <f>ROUNDUP((E137*'Project Materials'!$D$18),0)</f>
        <v>0</v>
      </c>
      <c r="J137" s="559">
        <f t="shared" si="12"/>
        <v>0</v>
      </c>
    </row>
    <row r="138" spans="1:10" x14ac:dyDescent="0.4">
      <c r="A138" s="552" t="s">
        <v>7</v>
      </c>
      <c r="B138" s="78" t="str">
        <f>VLOOKUP('Area A'!B52,'Item List'!B:AL,6,FALSE)</f>
        <v>None</v>
      </c>
      <c r="C138" s="78" t="str">
        <f>VLOOKUP(B138,'Item List'!B:AH,2,FALSE)</f>
        <v>None</v>
      </c>
      <c r="D138" s="78"/>
      <c r="E138" s="575">
        <f>VLOOKUP(B138,'Item List'!B:AM,33,FALSE)</f>
        <v>0</v>
      </c>
      <c r="F138" s="595">
        <f>VLOOKUP(B138,'Item List'!B:AH,4,FALSE)</f>
        <v>0</v>
      </c>
      <c r="G138" s="556">
        <f t="shared" si="11"/>
        <v>0</v>
      </c>
      <c r="H138" s="593"/>
      <c r="I138" s="594">
        <f>ROUNDUP((E138*'Project Materials'!$D$18),0)</f>
        <v>0</v>
      </c>
      <c r="J138" s="559">
        <f t="shared" si="12"/>
        <v>0</v>
      </c>
    </row>
    <row r="139" spans="1:10" x14ac:dyDescent="0.4">
      <c r="A139" s="552" t="s">
        <v>7</v>
      </c>
      <c r="B139" s="78" t="str">
        <f>VLOOKUP('Area A'!B52,'Item List'!B:AL,11,FALSE)</f>
        <v>None</v>
      </c>
      <c r="C139" s="78" t="str">
        <f>VLOOKUP(B139,'Item List'!B:AH,2,FALSE)</f>
        <v>None</v>
      </c>
      <c r="D139" s="78"/>
      <c r="E139" s="575">
        <f>VLOOKUP(B139,'Item List'!B:AM,33,FALSE)</f>
        <v>0</v>
      </c>
      <c r="F139" s="595">
        <f>VLOOKUP(B139,'Item List'!B:AH,4,FALSE)</f>
        <v>0</v>
      </c>
      <c r="G139" s="556">
        <f t="shared" si="11"/>
        <v>0</v>
      </c>
      <c r="H139" s="593"/>
      <c r="I139" s="594">
        <f>ROUNDUP((E139*'Project Materials'!$D$18),0)</f>
        <v>0</v>
      </c>
      <c r="J139" s="559">
        <f t="shared" si="12"/>
        <v>0</v>
      </c>
    </row>
    <row r="140" spans="1:10" x14ac:dyDescent="0.4">
      <c r="A140" s="552" t="s">
        <v>7</v>
      </c>
      <c r="B140" s="78" t="str">
        <f>VLOOKUP('Area A'!B53,'Item List'!B:AL,6,FALSE)</f>
        <v>None</v>
      </c>
      <c r="C140" s="78" t="str">
        <f>VLOOKUP(B140,'Item List'!B:AH,2,FALSE)</f>
        <v>None</v>
      </c>
      <c r="D140" s="78"/>
      <c r="E140" s="575">
        <f>VLOOKUP(B140,'Item List'!B:AM,33,FALSE)</f>
        <v>0</v>
      </c>
      <c r="F140" s="595">
        <f>VLOOKUP(B140,'Item List'!B:AH,4,FALSE)</f>
        <v>0</v>
      </c>
      <c r="G140" s="556">
        <f t="shared" si="11"/>
        <v>0</v>
      </c>
      <c r="H140" s="593"/>
      <c r="I140" s="594">
        <f>ROUNDUP((E140*'Project Materials'!$D$18),0)</f>
        <v>0</v>
      </c>
      <c r="J140" s="559">
        <f t="shared" si="12"/>
        <v>0</v>
      </c>
    </row>
    <row r="141" spans="1:10" x14ac:dyDescent="0.4">
      <c r="A141" s="552" t="s">
        <v>7</v>
      </c>
      <c r="B141" s="78" t="str">
        <f>VLOOKUP('Area A'!B53,'Item List'!B:AL,11,FALSE)</f>
        <v>None</v>
      </c>
      <c r="C141" s="78" t="str">
        <f>VLOOKUP(B141,'Item List'!B:AH,2,FALSE)</f>
        <v>None</v>
      </c>
      <c r="D141" s="78"/>
      <c r="E141" s="575">
        <f>VLOOKUP(B141,'Item List'!B:AM,33,FALSE)</f>
        <v>0</v>
      </c>
      <c r="F141" s="595">
        <f>VLOOKUP(B141,'Item List'!B:AH,4,FALSE)</f>
        <v>0</v>
      </c>
      <c r="G141" s="556">
        <f t="shared" si="11"/>
        <v>0</v>
      </c>
      <c r="H141" s="593"/>
      <c r="I141" s="594">
        <f>ROUNDUP((E141*'Project Materials'!$D$18),0)</f>
        <v>0</v>
      </c>
      <c r="J141" s="559">
        <f t="shared" si="12"/>
        <v>0</v>
      </c>
    </row>
    <row r="142" spans="1:10" x14ac:dyDescent="0.4">
      <c r="A142" s="552" t="s">
        <v>7</v>
      </c>
      <c r="B142" s="78" t="str">
        <f>VLOOKUP('Area A'!B54,'Item List'!B:AL,6,FALSE)</f>
        <v>None</v>
      </c>
      <c r="C142" s="78" t="str">
        <f>VLOOKUP(B142,'Item List'!B:AH,2,FALSE)</f>
        <v>None</v>
      </c>
      <c r="D142" s="78"/>
      <c r="E142" s="575">
        <f>VLOOKUP(B142,'Item List'!B:AM,33,FALSE)</f>
        <v>0</v>
      </c>
      <c r="F142" s="595">
        <f>VLOOKUP(B142,'Item List'!B:AH,4,FALSE)</f>
        <v>0</v>
      </c>
      <c r="G142" s="556">
        <f t="shared" si="11"/>
        <v>0</v>
      </c>
      <c r="H142" s="593"/>
      <c r="I142" s="594">
        <f>ROUNDUP((E142*'Project Materials'!$D$18),0)</f>
        <v>0</v>
      </c>
      <c r="J142" s="559">
        <f t="shared" si="12"/>
        <v>0</v>
      </c>
    </row>
    <row r="143" spans="1:10" x14ac:dyDescent="0.4">
      <c r="A143" s="552" t="s">
        <v>7</v>
      </c>
      <c r="B143" s="78" t="str">
        <f>VLOOKUP('Area A'!B54,'Item List'!B:AL,11,FALSE)</f>
        <v>None</v>
      </c>
      <c r="C143" s="78" t="str">
        <f>VLOOKUP(B143,'Item List'!B:AH,2,FALSE)</f>
        <v>None</v>
      </c>
      <c r="D143" s="78"/>
      <c r="E143" s="575">
        <f>VLOOKUP(B143,'Item List'!B:AM,33,FALSE)</f>
        <v>0</v>
      </c>
      <c r="F143" s="595">
        <f>VLOOKUP(B143,'Item List'!B:AH,4,FALSE)</f>
        <v>0</v>
      </c>
      <c r="G143" s="556">
        <f t="shared" si="11"/>
        <v>0</v>
      </c>
      <c r="H143" s="593"/>
      <c r="I143" s="594">
        <f>ROUNDUP((E143*'Project Materials'!$D$18),0)</f>
        <v>0</v>
      </c>
      <c r="J143" s="559">
        <f t="shared" si="12"/>
        <v>0</v>
      </c>
    </row>
    <row r="144" spans="1:10" x14ac:dyDescent="0.4">
      <c r="A144" s="552" t="s">
        <v>429</v>
      </c>
      <c r="B144" s="78" t="str">
        <f>VLOOKUP('Area A'!B199,'Item List'!B:AJ,6,FALSE)</f>
        <v>RCB screws- DP</v>
      </c>
      <c r="C144" s="78" t="str">
        <f>VLOOKUP(B144,'Item List'!B:AH,2,FALSE)</f>
        <v>RCB screws- Drill Points  #10 x 2" Phillips Pan SS</v>
      </c>
      <c r="D144" s="78"/>
      <c r="E144" s="575">
        <f>VLOOKUP(B144,'Item List'!B:AM,33,FALSE)</f>
        <v>0</v>
      </c>
      <c r="F144" s="595">
        <f>VLOOKUP(B144,'Item List'!B:AH,4,FALSE)</f>
        <v>7.2999999999999995E-2</v>
      </c>
      <c r="G144" s="556">
        <f>F144*E144</f>
        <v>0</v>
      </c>
      <c r="H144" s="593"/>
      <c r="I144" s="594">
        <f>ROUNDUP((E144*'Project Materials'!$D$18),0)</f>
        <v>0</v>
      </c>
      <c r="J144" s="559">
        <f t="shared" ref="J144:J178" si="13">G144+(I144*F144)</f>
        <v>0</v>
      </c>
    </row>
    <row r="145" spans="1:10" x14ac:dyDescent="0.4">
      <c r="A145" s="552" t="s">
        <v>429</v>
      </c>
      <c r="B145" s="78" t="str">
        <f>VLOOKUP('Area A'!B200,'Item List'!B:AJ,6,FALSE)</f>
        <v>None</v>
      </c>
      <c r="C145" s="78" t="str">
        <f>VLOOKUP(B145,'Item List'!B:AH,2,FALSE)</f>
        <v>None</v>
      </c>
      <c r="D145" s="78"/>
      <c r="E145" s="575">
        <f>VLOOKUP(B145,'Item List'!B:AM,33,FALSE)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Materials'!$D$18),0)</f>
        <v>0</v>
      </c>
      <c r="J145" s="559">
        <f t="shared" si="13"/>
        <v>0</v>
      </c>
    </row>
    <row r="146" spans="1:10" x14ac:dyDescent="0.4">
      <c r="A146" s="552" t="s">
        <v>429</v>
      </c>
      <c r="B146" s="78" t="str">
        <f>VLOOKUP('Area A'!B201,'Item List'!B:AJ,6,FALSE)</f>
        <v>None</v>
      </c>
      <c r="C146" s="78" t="str">
        <f>VLOOKUP(B146,'Item List'!B:AH,2,FALSE)</f>
        <v>None</v>
      </c>
      <c r="D146" s="78"/>
      <c r="E146" s="575">
        <f>VLOOKUP(B146,'Item List'!B:AM,33,FALSE)</f>
        <v>0</v>
      </c>
      <c r="F146" s="595">
        <f>VLOOKUP(B146,'Item List'!B:AH,4,FALSE)</f>
        <v>0</v>
      </c>
      <c r="G146" s="556">
        <f t="shared" ref="G146:G177" si="14">F146*E146</f>
        <v>0</v>
      </c>
      <c r="H146" s="593"/>
      <c r="I146" s="594">
        <f>ROUNDUP((E146*'Project Materials'!$D$18),0)</f>
        <v>0</v>
      </c>
      <c r="J146" s="559">
        <f t="shared" si="13"/>
        <v>0</v>
      </c>
    </row>
    <row r="147" spans="1:10" x14ac:dyDescent="0.4">
      <c r="A147" s="552" t="s">
        <v>429</v>
      </c>
      <c r="B147" s="78" t="str">
        <f>VLOOKUP('Area A'!B202,'Item List'!B:AJ,6,FALSE)</f>
        <v>None</v>
      </c>
      <c r="C147" s="78" t="str">
        <f>VLOOKUP(B147,'Item List'!B:AH,2,FALSE)</f>
        <v>None</v>
      </c>
      <c r="D147" s="78"/>
      <c r="E147" s="575">
        <f>VLOOKUP(B147,'Item List'!B:AM,33,FALSE)</f>
        <v>0</v>
      </c>
      <c r="F147" s="595">
        <f>VLOOKUP(B147,'Item List'!B:AH,4,FALSE)</f>
        <v>0</v>
      </c>
      <c r="G147" s="556">
        <f t="shared" si="14"/>
        <v>0</v>
      </c>
      <c r="H147" s="593"/>
      <c r="I147" s="594">
        <f>ROUNDUP((E147*'Project Materials'!$D$18),0)</f>
        <v>0</v>
      </c>
      <c r="J147" s="559">
        <f t="shared" si="13"/>
        <v>0</v>
      </c>
    </row>
    <row r="148" spans="1:10" x14ac:dyDescent="0.4">
      <c r="A148" s="552" t="s">
        <v>429</v>
      </c>
      <c r="B148" s="78" t="str">
        <f>VLOOKUP('Area A'!B203,'Item List'!B:AJ,6,FALSE)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List'!B:AM,33,FALSE)</f>
        <v>0</v>
      </c>
      <c r="F148" s="595">
        <f>VLOOKUP(B148,'Item List'!B:AH,4,FALSE)</f>
        <v>7.2999999999999995E-2</v>
      </c>
      <c r="G148" s="556">
        <f t="shared" si="14"/>
        <v>0</v>
      </c>
      <c r="H148" s="593"/>
      <c r="I148" s="594">
        <f>ROUNDUP((E148*'Project Materials'!$D$18),0)</f>
        <v>0</v>
      </c>
      <c r="J148" s="559">
        <f t="shared" si="13"/>
        <v>0</v>
      </c>
    </row>
    <row r="149" spans="1:10" x14ac:dyDescent="0.4">
      <c r="A149" s="552" t="s">
        <v>429</v>
      </c>
      <c r="B149" s="78" t="str">
        <f>VLOOKUP('Area A'!B204,'Item List'!B:AJ,6,FALSE)</f>
        <v>None</v>
      </c>
      <c r="C149" s="78" t="str">
        <f>VLOOKUP(B149,'Item List'!B:AH,2,FALSE)</f>
        <v>None</v>
      </c>
      <c r="D149" s="78"/>
      <c r="E149" s="575">
        <f>VLOOKUP(B149,'Item List'!B:AM,33,FALSE)</f>
        <v>0</v>
      </c>
      <c r="F149" s="595">
        <f>VLOOKUP(B149,'Item List'!B:AH,4,FALSE)</f>
        <v>0</v>
      </c>
      <c r="G149" s="556">
        <f t="shared" si="14"/>
        <v>0</v>
      </c>
      <c r="H149" s="593"/>
      <c r="I149" s="594">
        <f>ROUNDUP((E149*'Project Materials'!$D$18),0)</f>
        <v>0</v>
      </c>
      <c r="J149" s="559">
        <f t="shared" si="13"/>
        <v>0</v>
      </c>
    </row>
    <row r="150" spans="1:10" x14ac:dyDescent="0.4">
      <c r="A150" s="552" t="s">
        <v>429</v>
      </c>
      <c r="B150" s="78" t="str">
        <f>VLOOKUP('Area A'!B205,'Item List'!B:AJ,6,FALSE)</f>
        <v>None</v>
      </c>
      <c r="C150" s="78" t="str">
        <f>VLOOKUP(B150,'Item List'!B:AH,2,FALSE)</f>
        <v>None</v>
      </c>
      <c r="D150" s="78"/>
      <c r="E150" s="575">
        <f>VLOOKUP(B150,'Item List'!B:AM,33,FALSE)</f>
        <v>0</v>
      </c>
      <c r="F150" s="595">
        <f>VLOOKUP(B150,'Item List'!B:AH,4,FALSE)</f>
        <v>0</v>
      </c>
      <c r="G150" s="556">
        <f t="shared" si="14"/>
        <v>0</v>
      </c>
      <c r="H150" s="593"/>
      <c r="I150" s="594">
        <f>ROUNDUP((E150*'Project Materials'!$D$18),0)</f>
        <v>0</v>
      </c>
      <c r="J150" s="559">
        <f t="shared" si="13"/>
        <v>0</v>
      </c>
    </row>
    <row r="151" spans="1:10" x14ac:dyDescent="0.4">
      <c r="A151" s="552" t="s">
        <v>429</v>
      </c>
      <c r="B151" s="78" t="str">
        <f>VLOOKUP('Area A'!B206,'Item List'!B:AJ,6,FALSE)</f>
        <v>None</v>
      </c>
      <c r="C151" s="78" t="str">
        <f>VLOOKUP(B151,'Item List'!B:AH,2,FALSE)</f>
        <v>None</v>
      </c>
      <c r="D151" s="78"/>
      <c r="E151" s="575">
        <f>VLOOKUP(B151,'Item List'!B:AM,33,FALSE)</f>
        <v>0</v>
      </c>
      <c r="F151" s="595">
        <f>VLOOKUP(B151,'Item List'!B:AH,4,FALSE)</f>
        <v>0</v>
      </c>
      <c r="G151" s="556">
        <f t="shared" si="14"/>
        <v>0</v>
      </c>
      <c r="H151" s="593"/>
      <c r="I151" s="594">
        <f>ROUNDUP((E151*'Project Materials'!$D$18),0)</f>
        <v>0</v>
      </c>
      <c r="J151" s="559">
        <f t="shared" si="13"/>
        <v>0</v>
      </c>
    </row>
    <row r="152" spans="1:10" x14ac:dyDescent="0.4">
      <c r="A152" s="552" t="s">
        <v>429</v>
      </c>
      <c r="B152" s="78" t="str">
        <f>VLOOKUP('Area A'!B207,'Item List'!B:AJ,6,FALSE)</f>
        <v>None</v>
      </c>
      <c r="C152" s="78" t="str">
        <f>VLOOKUP(B152,'Item List'!B:AH,2,FALSE)</f>
        <v>None</v>
      </c>
      <c r="D152" s="78"/>
      <c r="E152" s="575">
        <f>VLOOKUP(B152,'Item List'!B:AM,33,FALSE)</f>
        <v>0</v>
      </c>
      <c r="F152" s="595">
        <f>VLOOKUP(B152,'Item List'!B:AH,4,FALSE)</f>
        <v>0</v>
      </c>
      <c r="G152" s="556">
        <f t="shared" si="14"/>
        <v>0</v>
      </c>
      <c r="H152" s="593"/>
      <c r="I152" s="594">
        <f>ROUNDUP((E152*'Project Materials'!$D$18),0)</f>
        <v>0</v>
      </c>
      <c r="J152" s="559">
        <f t="shared" si="13"/>
        <v>0</v>
      </c>
    </row>
    <row r="153" spans="1:10" x14ac:dyDescent="0.4">
      <c r="A153" s="552" t="s">
        <v>429</v>
      </c>
      <c r="B153" s="78" t="str">
        <f>VLOOKUP('Area A'!B208,'Item List'!B:AJ,6,FALSE)</f>
        <v>None</v>
      </c>
      <c r="C153" s="78" t="str">
        <f>VLOOKUP(B153,'Item List'!B:AH,2,FALSE)</f>
        <v>None</v>
      </c>
      <c r="D153" s="78"/>
      <c r="E153" s="575">
        <f>VLOOKUP(B153,'Item List'!B:AM,33,FALSE)</f>
        <v>0</v>
      </c>
      <c r="F153" s="595">
        <f>VLOOKUP(B153,'Item List'!B:AH,4,FALSE)</f>
        <v>0</v>
      </c>
      <c r="G153" s="556">
        <f t="shared" si="14"/>
        <v>0</v>
      </c>
      <c r="H153" s="593"/>
      <c r="I153" s="594">
        <f>ROUNDUP((E153*'Project Materials'!$D$18),0)</f>
        <v>0</v>
      </c>
      <c r="J153" s="559">
        <f t="shared" si="13"/>
        <v>0</v>
      </c>
    </row>
    <row r="154" spans="1:10" x14ac:dyDescent="0.4">
      <c r="A154" s="552" t="s">
        <v>429</v>
      </c>
      <c r="B154" s="78" t="str">
        <f>VLOOKUP('Area A'!B209,'Item List'!B:AJ,6,FALSE)</f>
        <v>None</v>
      </c>
      <c r="C154" s="78" t="str">
        <f>VLOOKUP(B154,'Item List'!B:AH,2,FALSE)</f>
        <v>None</v>
      </c>
      <c r="D154" s="78"/>
      <c r="E154" s="575">
        <f>VLOOKUP(B154,'Item List'!B:AM,33,FALSE)</f>
        <v>0</v>
      </c>
      <c r="F154" s="595">
        <f>VLOOKUP(B154,'Item List'!B:AH,4,FALSE)</f>
        <v>0</v>
      </c>
      <c r="G154" s="556">
        <f t="shared" si="14"/>
        <v>0</v>
      </c>
      <c r="H154" s="593"/>
      <c r="I154" s="594">
        <f>ROUNDUP((E154*'Project Materials'!$D$18),0)</f>
        <v>0</v>
      </c>
      <c r="J154" s="559">
        <f t="shared" si="13"/>
        <v>0</v>
      </c>
    </row>
    <row r="155" spans="1:10" x14ac:dyDescent="0.4">
      <c r="A155" s="552" t="s">
        <v>429</v>
      </c>
      <c r="B155" s="78" t="str">
        <f>VLOOKUP('Area A'!B210,'Item List'!B:AJ,6,FALSE)</f>
        <v>None</v>
      </c>
      <c r="C155" s="78" t="str">
        <f>VLOOKUP(B155,'Item List'!B:AH,2,FALSE)</f>
        <v>None</v>
      </c>
      <c r="D155" s="78"/>
      <c r="E155" s="575">
        <f>VLOOKUP(B155,'Item List'!B:AM,33,FALSE)</f>
        <v>0</v>
      </c>
      <c r="F155" s="595">
        <f>VLOOKUP(B155,'Item List'!B:AH,4,FALSE)</f>
        <v>0</v>
      </c>
      <c r="G155" s="556">
        <f t="shared" si="14"/>
        <v>0</v>
      </c>
      <c r="H155" s="593"/>
      <c r="I155" s="594">
        <f>ROUNDUP((E155*'Project Materials'!$D$18),0)</f>
        <v>0</v>
      </c>
      <c r="J155" s="559">
        <f t="shared" si="13"/>
        <v>0</v>
      </c>
    </row>
    <row r="156" spans="1:10" x14ac:dyDescent="0.4">
      <c r="A156" s="552" t="s">
        <v>429</v>
      </c>
      <c r="B156" s="78" t="str">
        <f>VLOOKUP('Area A'!B211,'Item List'!B:AJ,6,FALSE)</f>
        <v>None</v>
      </c>
      <c r="C156" s="78" t="str">
        <f>VLOOKUP(B156,'Item List'!B:AH,2,FALSE)</f>
        <v>None</v>
      </c>
      <c r="D156" s="78"/>
      <c r="E156" s="575">
        <f>VLOOKUP(B156,'Item List'!B:AM,33,FALSE)</f>
        <v>0</v>
      </c>
      <c r="F156" s="595">
        <f>VLOOKUP(B156,'Item List'!B:AH,4,FALSE)</f>
        <v>0</v>
      </c>
      <c r="G156" s="556">
        <f t="shared" si="14"/>
        <v>0</v>
      </c>
      <c r="H156" s="593"/>
      <c r="I156" s="594">
        <f>ROUNDUP((E156*'Project Materials'!$D$18),0)</f>
        <v>0</v>
      </c>
      <c r="J156" s="559">
        <f t="shared" si="13"/>
        <v>0</v>
      </c>
    </row>
    <row r="157" spans="1:10" x14ac:dyDescent="0.4">
      <c r="A157" s="552" t="s">
        <v>429</v>
      </c>
      <c r="B157" s="78" t="str">
        <f>VLOOKUP('Area A'!B212,'Item List'!B:AJ,6,FALSE)</f>
        <v>None</v>
      </c>
      <c r="C157" s="78" t="str">
        <f>VLOOKUP(B157,'Item List'!B:AH,2,FALSE)</f>
        <v>None</v>
      </c>
      <c r="D157" s="78"/>
      <c r="E157" s="575">
        <f>VLOOKUP(B157,'Item List'!B:AM,33,FALSE)</f>
        <v>0</v>
      </c>
      <c r="F157" s="595">
        <f>VLOOKUP(B157,'Item List'!B:AH,4,FALSE)</f>
        <v>0</v>
      </c>
      <c r="G157" s="556">
        <f t="shared" si="14"/>
        <v>0</v>
      </c>
      <c r="H157" s="593"/>
      <c r="I157" s="594">
        <f>ROUNDUP((E157*'Project Materials'!$D$18),0)</f>
        <v>0</v>
      </c>
      <c r="J157" s="559">
        <f t="shared" si="13"/>
        <v>0</v>
      </c>
    </row>
    <row r="158" spans="1:10" x14ac:dyDescent="0.4">
      <c r="A158" s="552" t="s">
        <v>429</v>
      </c>
      <c r="B158" s="78" t="str">
        <f>VLOOKUP('Area A'!B213,'Item List'!B:AJ,6,FALSE)</f>
        <v>None</v>
      </c>
      <c r="C158" s="78" t="str">
        <f>VLOOKUP(B158,'Item List'!B:AH,2,FALSE)</f>
        <v>None</v>
      </c>
      <c r="D158" s="78"/>
      <c r="E158" s="575">
        <f>VLOOKUP(B158,'Item List'!B:AM,33,FALSE)</f>
        <v>0</v>
      </c>
      <c r="F158" s="595">
        <f>VLOOKUP(B158,'Item List'!B:AH,4,FALSE)</f>
        <v>0</v>
      </c>
      <c r="G158" s="556">
        <f t="shared" si="14"/>
        <v>0</v>
      </c>
      <c r="H158" s="593"/>
      <c r="I158" s="594">
        <f>ROUNDUP((E158*'Project Materials'!$D$18),0)</f>
        <v>0</v>
      </c>
      <c r="J158" s="559">
        <f t="shared" si="13"/>
        <v>0</v>
      </c>
    </row>
    <row r="159" spans="1:10" x14ac:dyDescent="0.4">
      <c r="A159" s="552" t="s">
        <v>429</v>
      </c>
      <c r="B159" s="78" t="str">
        <f>VLOOKUP('Area A'!B214,'Item List'!B:AJ,6,FALSE)</f>
        <v>None</v>
      </c>
      <c r="C159" s="78" t="str">
        <f>VLOOKUP(B159,'Item List'!B:AH,2,FALSE)</f>
        <v>None</v>
      </c>
      <c r="D159" s="78"/>
      <c r="E159" s="575">
        <f>VLOOKUP(B159,'Item List'!B:AM,33,FALSE)</f>
        <v>0</v>
      </c>
      <c r="F159" s="595">
        <f>VLOOKUP(B159,'Item List'!B:AH,4,FALSE)</f>
        <v>0</v>
      </c>
      <c r="G159" s="556">
        <f t="shared" si="14"/>
        <v>0</v>
      </c>
      <c r="H159" s="593"/>
      <c r="I159" s="594">
        <f>ROUNDUP((E159*'Project Materials'!$D$18),0)</f>
        <v>0</v>
      </c>
      <c r="J159" s="559">
        <f t="shared" si="13"/>
        <v>0</v>
      </c>
    </row>
    <row r="160" spans="1:10" x14ac:dyDescent="0.4">
      <c r="A160" s="552" t="s">
        <v>429</v>
      </c>
      <c r="B160" s="78" t="str">
        <f>VLOOKUP('Area A'!B215,'Item List'!B:AJ,6,FALSE)</f>
        <v>None</v>
      </c>
      <c r="C160" s="78" t="str">
        <f>VLOOKUP(B160,'Item List'!B:AH,2,FALSE)</f>
        <v>None</v>
      </c>
      <c r="D160" s="78"/>
      <c r="E160" s="575">
        <f>VLOOKUP(B160,'Item List'!B:AM,33,FALSE)</f>
        <v>0</v>
      </c>
      <c r="F160" s="595">
        <f>VLOOKUP(B160,'Item List'!B:AH,4,FALSE)</f>
        <v>0</v>
      </c>
      <c r="G160" s="556">
        <f t="shared" si="14"/>
        <v>0</v>
      </c>
      <c r="H160" s="593"/>
      <c r="I160" s="594">
        <f>ROUNDUP((E160*'Project Materials'!$D$18),0)</f>
        <v>0</v>
      </c>
      <c r="J160" s="559">
        <f t="shared" si="13"/>
        <v>0</v>
      </c>
    </row>
    <row r="161" spans="1:10" x14ac:dyDescent="0.4">
      <c r="A161" s="552" t="s">
        <v>429</v>
      </c>
      <c r="B161" s="78" t="str">
        <f>VLOOKUP('Area A'!B216,'Item List'!B:AJ,6,FALSE)</f>
        <v>None</v>
      </c>
      <c r="C161" s="78" t="str">
        <f>VLOOKUP(B161,'Item List'!B:AH,2,FALSE)</f>
        <v>None</v>
      </c>
      <c r="D161" s="78"/>
      <c r="E161" s="575">
        <f>VLOOKUP(B161,'Item List'!B:AM,33,FALSE)</f>
        <v>0</v>
      </c>
      <c r="F161" s="595">
        <f>VLOOKUP(B161,'Item List'!B:AH,4,FALSE)</f>
        <v>0</v>
      </c>
      <c r="G161" s="556">
        <f t="shared" si="14"/>
        <v>0</v>
      </c>
      <c r="H161" s="593"/>
      <c r="I161" s="594">
        <f>ROUNDUP((E161*'Project Materials'!$D$18),0)</f>
        <v>0</v>
      </c>
      <c r="J161" s="559">
        <f t="shared" si="13"/>
        <v>0</v>
      </c>
    </row>
    <row r="162" spans="1:10" x14ac:dyDescent="0.4">
      <c r="A162" s="552" t="s">
        <v>429</v>
      </c>
      <c r="B162" s="78" t="str">
        <f>VLOOKUP('Area A'!B217,'Item List'!B:AJ,6,FALSE)</f>
        <v>None</v>
      </c>
      <c r="C162" s="78" t="str">
        <f>VLOOKUP(B162,'Item List'!B:AH,2,FALSE)</f>
        <v>None</v>
      </c>
      <c r="D162" s="78"/>
      <c r="E162" s="575">
        <f>VLOOKUP(B162,'Item List'!B:AM,33,FALSE)</f>
        <v>0</v>
      </c>
      <c r="F162" s="595">
        <f>VLOOKUP(B162,'Item List'!B:AH,4,FALSE)</f>
        <v>0</v>
      </c>
      <c r="G162" s="556">
        <f t="shared" si="14"/>
        <v>0</v>
      </c>
      <c r="H162" s="593"/>
      <c r="I162" s="594">
        <f>ROUNDUP((E162*'Project Materials'!$D$18),0)</f>
        <v>0</v>
      </c>
      <c r="J162" s="559">
        <f t="shared" si="13"/>
        <v>0</v>
      </c>
    </row>
    <row r="163" spans="1:10" x14ac:dyDescent="0.4">
      <c r="A163" s="552" t="s">
        <v>429</v>
      </c>
      <c r="B163" s="78" t="str">
        <f>VLOOKUP('Area A'!B218,'Item List'!B:AJ,6,FALSE)</f>
        <v>None</v>
      </c>
      <c r="C163" s="78" t="str">
        <f>VLOOKUP(B163,'Item List'!B:AH,2,FALSE)</f>
        <v>None</v>
      </c>
      <c r="D163" s="78"/>
      <c r="E163" s="575">
        <f>VLOOKUP(B163,'Item List'!B:AM,33,FALSE)</f>
        <v>0</v>
      </c>
      <c r="F163" s="595">
        <f>VLOOKUP(B163,'Item List'!B:AH,4,FALSE)</f>
        <v>0</v>
      </c>
      <c r="G163" s="556">
        <f t="shared" si="14"/>
        <v>0</v>
      </c>
      <c r="H163" s="593"/>
      <c r="I163" s="594">
        <f>ROUNDUP((E163*'Project Materials'!$D$18),0)</f>
        <v>0</v>
      </c>
      <c r="J163" s="559">
        <f t="shared" si="13"/>
        <v>0</v>
      </c>
    </row>
    <row r="164" spans="1:10" x14ac:dyDescent="0.4">
      <c r="A164" s="552" t="s">
        <v>429</v>
      </c>
      <c r="B164" s="78" t="str">
        <f>VLOOKUP('Area A'!B219,'Item List'!B:AJ,6,FALSE)</f>
        <v>None</v>
      </c>
      <c r="C164" s="78" t="str">
        <f>VLOOKUP(B164,'Item List'!B:AH,2,FALSE)</f>
        <v>None</v>
      </c>
      <c r="D164" s="78"/>
      <c r="E164" s="575">
        <f>VLOOKUP(B164,'Item List'!B:AM,33,FALSE)</f>
        <v>0</v>
      </c>
      <c r="F164" s="595">
        <f>VLOOKUP(B164,'Item List'!B:AH,4,FALSE)</f>
        <v>0</v>
      </c>
      <c r="G164" s="556">
        <f t="shared" si="14"/>
        <v>0</v>
      </c>
      <c r="H164" s="593"/>
      <c r="I164" s="594">
        <f>ROUNDUP((E164*'Project Materials'!$D$18),0)</f>
        <v>0</v>
      </c>
      <c r="J164" s="559">
        <f t="shared" si="13"/>
        <v>0</v>
      </c>
    </row>
    <row r="165" spans="1:10" x14ac:dyDescent="0.4">
      <c r="A165" s="552" t="s">
        <v>429</v>
      </c>
      <c r="B165" s="78" t="str">
        <f>VLOOKUP('Area A'!B220,'Item List'!B:AJ,6,FALSE)</f>
        <v>None</v>
      </c>
      <c r="C165" s="78" t="str">
        <f>VLOOKUP(B165,'Item List'!B:AH,2,FALSE)</f>
        <v>None</v>
      </c>
      <c r="D165" s="78"/>
      <c r="E165" s="575">
        <f>VLOOKUP(B165,'Item List'!B:AM,33,FALSE)</f>
        <v>0</v>
      </c>
      <c r="F165" s="595">
        <f>VLOOKUP(B165,'Item List'!B:AH,4,FALSE)</f>
        <v>0</v>
      </c>
      <c r="G165" s="556">
        <f t="shared" si="14"/>
        <v>0</v>
      </c>
      <c r="H165" s="593"/>
      <c r="I165" s="594">
        <f>ROUNDUP((E165*'Project Materials'!$D$18),0)</f>
        <v>0</v>
      </c>
      <c r="J165" s="559">
        <f t="shared" si="13"/>
        <v>0</v>
      </c>
    </row>
    <row r="166" spans="1:10" x14ac:dyDescent="0.4">
      <c r="A166" s="552" t="s">
        <v>429</v>
      </c>
      <c r="B166" s="78" t="str">
        <f>VLOOKUP('Area A'!B221,'Item List'!B:AJ,6,FALSE)</f>
        <v>None</v>
      </c>
      <c r="C166" s="78" t="str">
        <f>VLOOKUP(B166,'Item List'!B:AH,2,FALSE)</f>
        <v>None</v>
      </c>
      <c r="D166" s="78"/>
      <c r="E166" s="575">
        <f>VLOOKUP(B166,'Item List'!B:AM,33,FALSE)</f>
        <v>0</v>
      </c>
      <c r="F166" s="595">
        <f>VLOOKUP(B166,'Item List'!B:AH,4,FALSE)</f>
        <v>0</v>
      </c>
      <c r="G166" s="556">
        <f t="shared" si="14"/>
        <v>0</v>
      </c>
      <c r="H166" s="593"/>
      <c r="I166" s="594">
        <f>ROUNDUP((E166*'Project Materials'!$D$18),0)</f>
        <v>0</v>
      </c>
      <c r="J166" s="559">
        <f t="shared" si="13"/>
        <v>0</v>
      </c>
    </row>
    <row r="167" spans="1:10" x14ac:dyDescent="0.4">
      <c r="A167" s="552" t="s">
        <v>429</v>
      </c>
      <c r="B167" s="78" t="str">
        <f>VLOOKUP('Area A'!B222,'Item List'!B:AJ,6,FALSE)</f>
        <v>None</v>
      </c>
      <c r="C167" s="78" t="str">
        <f>VLOOKUP(B167,'Item List'!B:AH,2,FALSE)</f>
        <v>None</v>
      </c>
      <c r="D167" s="78"/>
      <c r="E167" s="575">
        <f>VLOOKUP(B167,'Item List'!B:AM,33,FALSE)</f>
        <v>0</v>
      </c>
      <c r="F167" s="595">
        <f>VLOOKUP(B167,'Item List'!B:AH,4,FALSE)</f>
        <v>0</v>
      </c>
      <c r="G167" s="556">
        <f t="shared" si="14"/>
        <v>0</v>
      </c>
      <c r="H167" s="593"/>
      <c r="I167" s="594">
        <f>ROUNDUP((E167*'Project Materials'!$D$18),0)</f>
        <v>0</v>
      </c>
      <c r="J167" s="559">
        <f t="shared" si="13"/>
        <v>0</v>
      </c>
    </row>
    <row r="168" spans="1:10" x14ac:dyDescent="0.4">
      <c r="A168" s="552" t="s">
        <v>429</v>
      </c>
      <c r="B168" s="78" t="str">
        <f>VLOOKUP('Area A'!B223,'Item List'!B:AJ,6,FALSE)</f>
        <v>None</v>
      </c>
      <c r="C168" s="78" t="str">
        <f>VLOOKUP(B168,'Item List'!B:AH,2,FALSE)</f>
        <v>None</v>
      </c>
      <c r="D168" s="78"/>
      <c r="E168" s="575">
        <f>VLOOKUP(B168,'Item List'!B:AM,33,FALSE)</f>
        <v>0</v>
      </c>
      <c r="F168" s="595">
        <f>VLOOKUP(B168,'Item List'!B:AH,4,FALSE)</f>
        <v>0</v>
      </c>
      <c r="G168" s="556">
        <f t="shared" si="14"/>
        <v>0</v>
      </c>
      <c r="H168" s="593"/>
      <c r="I168" s="594">
        <f>ROUNDUP((E168*'Project Materials'!$D$18),0)</f>
        <v>0</v>
      </c>
      <c r="J168" s="559">
        <f t="shared" si="13"/>
        <v>0</v>
      </c>
    </row>
    <row r="169" spans="1:10" x14ac:dyDescent="0.4">
      <c r="A169" s="552" t="s">
        <v>429</v>
      </c>
      <c r="B169" s="78" t="str">
        <f>VLOOKUP('Area A'!B224,'Item List'!B:AJ,6,FALSE)</f>
        <v>None</v>
      </c>
      <c r="C169" s="78" t="str">
        <f>VLOOKUP(B169,'Item List'!B:AH,2,FALSE)</f>
        <v>None</v>
      </c>
      <c r="D169" s="78"/>
      <c r="E169" s="575">
        <f>VLOOKUP(B169,'Item List'!B:AM,33,FALSE)</f>
        <v>0</v>
      </c>
      <c r="F169" s="595">
        <f>VLOOKUP(B169,'Item List'!B:AH,4,FALSE)</f>
        <v>0</v>
      </c>
      <c r="G169" s="556">
        <f t="shared" si="14"/>
        <v>0</v>
      </c>
      <c r="H169" s="593"/>
      <c r="I169" s="594">
        <f>ROUNDUP((E169*'Project Materials'!$D$18),0)</f>
        <v>0</v>
      </c>
      <c r="J169" s="559">
        <f t="shared" si="13"/>
        <v>0</v>
      </c>
    </row>
    <row r="170" spans="1:10" x14ac:dyDescent="0.4">
      <c r="A170" s="552" t="s">
        <v>429</v>
      </c>
      <c r="B170" s="78" t="str">
        <f>VLOOKUP('Area A'!B225,'Item List'!B:AJ,6,FALSE)</f>
        <v>None</v>
      </c>
      <c r="C170" s="78" t="str">
        <f>VLOOKUP(B170,'Item List'!B:AH,2,FALSE)</f>
        <v>None</v>
      </c>
      <c r="D170" s="78"/>
      <c r="E170" s="575">
        <f>VLOOKUP(B170,'Item List'!B:AM,33,FALSE)</f>
        <v>0</v>
      </c>
      <c r="F170" s="595">
        <f>VLOOKUP(B170,'Item List'!B:AH,4,FALSE)</f>
        <v>0</v>
      </c>
      <c r="G170" s="556">
        <f t="shared" si="14"/>
        <v>0</v>
      </c>
      <c r="H170" s="593"/>
      <c r="I170" s="594">
        <f>ROUNDUP((E170*'Project Materials'!$D$18),0)</f>
        <v>0</v>
      </c>
      <c r="J170" s="559">
        <f t="shared" si="13"/>
        <v>0</v>
      </c>
    </row>
    <row r="171" spans="1:10" x14ac:dyDescent="0.4">
      <c r="A171" s="552" t="s">
        <v>429</v>
      </c>
      <c r="B171" s="78" t="str">
        <f>VLOOKUP('Area A'!B226,'Item List'!B:AJ,6,FALSE)</f>
        <v>None</v>
      </c>
      <c r="C171" s="78" t="str">
        <f>VLOOKUP(B171,'Item List'!B:AH,2,FALSE)</f>
        <v>None</v>
      </c>
      <c r="D171" s="78"/>
      <c r="E171" s="575">
        <f>VLOOKUP(B171,'Item List'!B:AM,33,FALSE)</f>
        <v>0</v>
      </c>
      <c r="F171" s="595">
        <f>VLOOKUP(B171,'Item List'!B:AH,4,FALSE)</f>
        <v>0</v>
      </c>
      <c r="G171" s="556">
        <f t="shared" si="14"/>
        <v>0</v>
      </c>
      <c r="H171" s="593"/>
      <c r="I171" s="594">
        <f>ROUNDUP((E171*'Project Materials'!$D$18),0)</f>
        <v>0</v>
      </c>
      <c r="J171" s="559">
        <f t="shared" si="13"/>
        <v>0</v>
      </c>
    </row>
    <row r="172" spans="1:10" x14ac:dyDescent="0.4">
      <c r="A172" s="552" t="s">
        <v>429</v>
      </c>
      <c r="B172" s="78" t="str">
        <f>VLOOKUP('Area A'!B227,'Item List'!B:AJ,6,FALSE)</f>
        <v>None</v>
      </c>
      <c r="C172" s="78" t="str">
        <f>VLOOKUP(B172,'Item List'!B:AH,2,FALSE)</f>
        <v>None</v>
      </c>
      <c r="D172" s="78"/>
      <c r="E172" s="575">
        <f>VLOOKUP(B172,'Item List'!B:AM,33,FALSE)</f>
        <v>0</v>
      </c>
      <c r="F172" s="595">
        <f>VLOOKUP(B172,'Item List'!B:AH,4,FALSE)</f>
        <v>0</v>
      </c>
      <c r="G172" s="556">
        <f t="shared" si="14"/>
        <v>0</v>
      </c>
      <c r="H172" s="593"/>
      <c r="I172" s="594">
        <f>ROUNDUP((E172*'Project Materials'!$D$18),0)</f>
        <v>0</v>
      </c>
      <c r="J172" s="559">
        <f t="shared" si="13"/>
        <v>0</v>
      </c>
    </row>
    <row r="173" spans="1:10" x14ac:dyDescent="0.4">
      <c r="A173" s="552" t="s">
        <v>429</v>
      </c>
      <c r="B173" s="78" t="str">
        <f>VLOOKUP('Area A'!B228,'Item List'!B:AJ,6,FALSE)</f>
        <v>None</v>
      </c>
      <c r="C173" s="78" t="str">
        <f>VLOOKUP(B173,'Item List'!B:AH,2,FALSE)</f>
        <v>None</v>
      </c>
      <c r="D173" s="78"/>
      <c r="E173" s="575">
        <f>VLOOKUP(B173,'Item List'!B:AM,33,FALSE)</f>
        <v>0</v>
      </c>
      <c r="F173" s="595">
        <f>VLOOKUP(B173,'Item List'!B:AH,4,FALSE)</f>
        <v>0</v>
      </c>
      <c r="G173" s="556">
        <f t="shared" si="14"/>
        <v>0</v>
      </c>
      <c r="H173" s="593"/>
      <c r="I173" s="594">
        <f>ROUNDUP((E173*'Project Materials'!$D$18),0)</f>
        <v>0</v>
      </c>
      <c r="J173" s="559">
        <f t="shared" si="13"/>
        <v>0</v>
      </c>
    </row>
    <row r="174" spans="1:10" x14ac:dyDescent="0.4">
      <c r="A174" s="552" t="s">
        <v>429</v>
      </c>
      <c r="B174" s="78" t="str">
        <f>VLOOKUP('Area A'!B229,'Item List'!B:AJ,6,FALSE)</f>
        <v>None</v>
      </c>
      <c r="C174" s="78" t="str">
        <f>VLOOKUP(B174,'Item List'!B:AH,2,FALSE)</f>
        <v>None</v>
      </c>
      <c r="D174" s="78"/>
      <c r="E174" s="575">
        <f>VLOOKUP(B174,'Item List'!B:AM,33,FALSE)</f>
        <v>0</v>
      </c>
      <c r="F174" s="595">
        <f>VLOOKUP(B174,'Item List'!B:AH,4,FALSE)</f>
        <v>0</v>
      </c>
      <c r="G174" s="556">
        <f t="shared" si="14"/>
        <v>0</v>
      </c>
      <c r="H174" s="593"/>
      <c r="I174" s="594">
        <f>ROUNDUP((E174*'Project Materials'!$D$18),0)</f>
        <v>0</v>
      </c>
      <c r="J174" s="559">
        <f t="shared" si="13"/>
        <v>0</v>
      </c>
    </row>
    <row r="175" spans="1:10" x14ac:dyDescent="0.4">
      <c r="A175" s="552" t="s">
        <v>429</v>
      </c>
      <c r="B175" s="78" t="str">
        <f>VLOOKUP('Area A'!B230,'Item List'!B:AJ,6,FALSE)</f>
        <v>None</v>
      </c>
      <c r="C175" s="78" t="str">
        <f>VLOOKUP(B175,'Item List'!B:AH,2,FALSE)</f>
        <v>None</v>
      </c>
      <c r="D175" s="78"/>
      <c r="E175" s="575">
        <f>VLOOKUP(B175,'Item List'!B:AM,33,FALSE)</f>
        <v>0</v>
      </c>
      <c r="F175" s="595">
        <f>VLOOKUP(B175,'Item List'!B:AH,4,FALSE)</f>
        <v>0</v>
      </c>
      <c r="G175" s="556">
        <f t="shared" si="14"/>
        <v>0</v>
      </c>
      <c r="H175" s="593"/>
      <c r="I175" s="594">
        <f>ROUNDUP((E175*'Project Materials'!$D$18),0)</f>
        <v>0</v>
      </c>
      <c r="J175" s="559">
        <f t="shared" si="13"/>
        <v>0</v>
      </c>
    </row>
    <row r="176" spans="1:10" x14ac:dyDescent="0.4">
      <c r="A176" s="552" t="s">
        <v>429</v>
      </c>
      <c r="B176" s="78" t="str">
        <f>VLOOKUP('Area A'!B231,'Item List'!B:AJ,6,FALSE)</f>
        <v>None</v>
      </c>
      <c r="C176" s="78" t="str">
        <f>VLOOKUP(B176,'Item List'!B:AH,2,FALSE)</f>
        <v>None</v>
      </c>
      <c r="D176" s="78"/>
      <c r="E176" s="575">
        <f>VLOOKUP(B176,'Item List'!B:AM,33,FALSE)</f>
        <v>0</v>
      </c>
      <c r="F176" s="595">
        <f>VLOOKUP(B176,'Item List'!B:AH,4,FALSE)</f>
        <v>0</v>
      </c>
      <c r="G176" s="556">
        <f t="shared" si="14"/>
        <v>0</v>
      </c>
      <c r="H176" s="593"/>
      <c r="I176" s="594">
        <f>ROUNDUP((E176*'Project Materials'!$D$18),0)</f>
        <v>0</v>
      </c>
      <c r="J176" s="559">
        <f t="shared" si="13"/>
        <v>0</v>
      </c>
    </row>
    <row r="177" spans="1:10" x14ac:dyDescent="0.4">
      <c r="A177" s="552" t="s">
        <v>429</v>
      </c>
      <c r="B177" s="78" t="str">
        <f>VLOOKUP('Area A'!B232,'Item List'!B:AJ,6,FALSE)</f>
        <v>None</v>
      </c>
      <c r="C177" s="78" t="str">
        <f>VLOOKUP(B177,'Item List'!B:AH,2,FALSE)</f>
        <v>None</v>
      </c>
      <c r="D177" s="78"/>
      <c r="E177" s="575">
        <f>VLOOKUP(B177,'Item List'!B:AM,33,FALSE)</f>
        <v>0</v>
      </c>
      <c r="F177" s="595">
        <f>VLOOKUP(B177,'Item List'!B:AH,4,FALSE)</f>
        <v>0</v>
      </c>
      <c r="G177" s="556">
        <f t="shared" si="14"/>
        <v>0</v>
      </c>
      <c r="H177" s="593"/>
      <c r="I177" s="594">
        <f>ROUNDUP((E177*'Project Materials'!$D$18),0)</f>
        <v>0</v>
      </c>
      <c r="J177" s="559">
        <f t="shared" si="13"/>
        <v>0</v>
      </c>
    </row>
    <row r="178" spans="1:10" x14ac:dyDescent="0.4">
      <c r="A178" s="552" t="s">
        <v>429</v>
      </c>
      <c r="B178" s="78" t="str">
        <f>VLOOKUP('Area A'!B233,'Item List'!B:AJ,6,FALSE)</f>
        <v>None</v>
      </c>
      <c r="C178" s="78" t="str">
        <f>VLOOKUP(B178,'Item List'!B:AH,2,FALSE)</f>
        <v>None</v>
      </c>
      <c r="D178" s="78"/>
      <c r="E178" s="575">
        <f>VLOOKUP(B178,'Item List'!B:AM,33,FALSE)</f>
        <v>0</v>
      </c>
      <c r="F178" s="595">
        <f>VLOOKUP(B178,'Item List'!B:AH,4,FALSE)</f>
        <v>0</v>
      </c>
      <c r="G178" s="556">
        <f t="shared" ref="G178:G195" si="15">F178*E178</f>
        <v>0</v>
      </c>
      <c r="H178" s="593"/>
      <c r="I178" s="594">
        <f>ROUNDUP((E178*'Project Materials'!$D$18),0)</f>
        <v>0</v>
      </c>
      <c r="J178" s="559">
        <f t="shared" si="13"/>
        <v>0</v>
      </c>
    </row>
    <row r="179" spans="1:10" x14ac:dyDescent="0.4">
      <c r="A179" s="552" t="s">
        <v>429</v>
      </c>
      <c r="B179" s="78" t="str">
        <f>VLOOKUP('Area A'!B234,'Item List'!B:AJ,6,FALSE)</f>
        <v>None</v>
      </c>
      <c r="C179" s="78" t="str">
        <f>VLOOKUP(B179,'Item List'!B:AH,2,FALSE)</f>
        <v>None</v>
      </c>
      <c r="D179" s="78"/>
      <c r="E179" s="575">
        <f>VLOOKUP(B179,'Item List'!B:AM,33,FALSE)</f>
        <v>0</v>
      </c>
      <c r="F179" s="595">
        <f>VLOOKUP(B179,'Item List'!B:AH,4,FALSE)</f>
        <v>0</v>
      </c>
      <c r="G179" s="556">
        <f t="shared" si="15"/>
        <v>0</v>
      </c>
      <c r="H179" s="593"/>
      <c r="I179" s="594">
        <f>ROUNDUP((E179*'Project Materials'!$D$18),0)</f>
        <v>0</v>
      </c>
      <c r="J179" s="559">
        <f t="shared" ref="J179:J195" si="16">G179+(I179*F179)</f>
        <v>0</v>
      </c>
    </row>
    <row r="180" spans="1:10" x14ac:dyDescent="0.4">
      <c r="A180" s="552" t="s">
        <v>429</v>
      </c>
      <c r="B180" s="78" t="str">
        <f>VLOOKUP('Area A'!B235,'Item List'!B:AJ,6,FALSE)</f>
        <v>None</v>
      </c>
      <c r="C180" s="78" t="str">
        <f>VLOOKUP(B180,'Item List'!B:AH,2,FALSE)</f>
        <v>None</v>
      </c>
      <c r="D180" s="78"/>
      <c r="E180" s="575">
        <f>VLOOKUP(B180,'Item List'!B:AM,33,FALSE)</f>
        <v>0</v>
      </c>
      <c r="F180" s="595">
        <f>VLOOKUP(B180,'Item List'!B:AH,4,FALSE)</f>
        <v>0</v>
      </c>
      <c r="G180" s="556">
        <f t="shared" si="15"/>
        <v>0</v>
      </c>
      <c r="H180" s="593"/>
      <c r="I180" s="594">
        <f>ROUNDUP((E180*'Project Materials'!$D$18),0)</f>
        <v>0</v>
      </c>
      <c r="J180" s="559">
        <f t="shared" si="16"/>
        <v>0</v>
      </c>
    </row>
    <row r="181" spans="1:10" x14ac:dyDescent="0.4">
      <c r="A181" s="552" t="s">
        <v>429</v>
      </c>
      <c r="B181" s="78" t="str">
        <f>VLOOKUP('Area A'!B236,'Item List'!B:AJ,6,FALSE)</f>
        <v>None</v>
      </c>
      <c r="C181" s="78" t="str">
        <f>VLOOKUP(B181,'Item List'!B:AH,2,FALSE)</f>
        <v>None</v>
      </c>
      <c r="D181" s="78"/>
      <c r="E181" s="575">
        <f>VLOOKUP(B181,'Item List'!B:AM,33,FALSE)</f>
        <v>0</v>
      </c>
      <c r="F181" s="595">
        <f>VLOOKUP(B181,'Item List'!B:AH,4,FALSE)</f>
        <v>0</v>
      </c>
      <c r="G181" s="556">
        <f t="shared" si="15"/>
        <v>0</v>
      </c>
      <c r="H181" s="593"/>
      <c r="I181" s="594">
        <f>ROUNDUP((E181*'Project Materials'!$D$18),0)</f>
        <v>0</v>
      </c>
      <c r="J181" s="559">
        <f t="shared" si="16"/>
        <v>0</v>
      </c>
    </row>
    <row r="182" spans="1:10" x14ac:dyDescent="0.4">
      <c r="A182" s="552" t="s">
        <v>429</v>
      </c>
      <c r="B182" s="78" t="str">
        <f>VLOOKUP('Area A'!B237,'Item List'!B:AJ,6,FALSE)</f>
        <v>None</v>
      </c>
      <c r="C182" s="78" t="str">
        <f>VLOOKUP(B182,'Item List'!B:AH,2,FALSE)</f>
        <v>None</v>
      </c>
      <c r="D182" s="78"/>
      <c r="E182" s="575">
        <f>VLOOKUP(B182,'Item List'!B:AM,33,FALSE)</f>
        <v>0</v>
      </c>
      <c r="F182" s="595">
        <f>VLOOKUP(B182,'Item List'!B:AH,4,FALSE)</f>
        <v>0</v>
      </c>
      <c r="G182" s="556">
        <f t="shared" si="15"/>
        <v>0</v>
      </c>
      <c r="H182" s="593"/>
      <c r="I182" s="594">
        <f>ROUNDUP((E182*'Project Materials'!$D$18),0)</f>
        <v>0</v>
      </c>
      <c r="J182" s="559">
        <f t="shared" si="16"/>
        <v>0</v>
      </c>
    </row>
    <row r="183" spans="1:10" x14ac:dyDescent="0.4">
      <c r="A183" s="552" t="s">
        <v>429</v>
      </c>
      <c r="B183" s="78" t="str">
        <f>VLOOKUP('Area A'!B238,'Item List'!B:AJ,6,FALSE)</f>
        <v>None</v>
      </c>
      <c r="C183" s="78" t="str">
        <f>VLOOKUP(B183,'Item List'!B:AH,2,FALSE)</f>
        <v>None</v>
      </c>
      <c r="D183" s="78"/>
      <c r="E183" s="575">
        <f>VLOOKUP(B183,'Item List'!B:AM,33,FALSE)</f>
        <v>0</v>
      </c>
      <c r="F183" s="595">
        <f>VLOOKUP(B183,'Item List'!B:AH,4,FALSE)</f>
        <v>0</v>
      </c>
      <c r="G183" s="556">
        <f t="shared" si="15"/>
        <v>0</v>
      </c>
      <c r="H183" s="593"/>
      <c r="I183" s="594">
        <f>ROUNDUP((E183*'Project Materials'!$D$18),0)</f>
        <v>0</v>
      </c>
      <c r="J183" s="559">
        <f t="shared" si="16"/>
        <v>0</v>
      </c>
    </row>
    <row r="184" spans="1:10" x14ac:dyDescent="0.4">
      <c r="A184" s="552" t="s">
        <v>429</v>
      </c>
      <c r="B184" s="78" t="str">
        <f>VLOOKUP('Area A'!B239,'Item List'!B:AJ,6,FALSE)</f>
        <v>None</v>
      </c>
      <c r="C184" s="78" t="str">
        <f>VLOOKUP(B184,'Item List'!B:AH,2,FALSE)</f>
        <v>None</v>
      </c>
      <c r="D184" s="78"/>
      <c r="E184" s="575">
        <f>VLOOKUP(B184,'Item List'!B:AM,33,FALSE)</f>
        <v>0</v>
      </c>
      <c r="F184" s="595">
        <f>VLOOKUP(B184,'Item List'!B:AH,4,FALSE)</f>
        <v>0</v>
      </c>
      <c r="G184" s="556">
        <f t="shared" si="15"/>
        <v>0</v>
      </c>
      <c r="H184" s="593"/>
      <c r="I184" s="594">
        <f>ROUNDUP((E184*'Project Materials'!$D$18),0)</f>
        <v>0</v>
      </c>
      <c r="J184" s="559">
        <f t="shared" si="16"/>
        <v>0</v>
      </c>
    </row>
    <row r="185" spans="1:10" x14ac:dyDescent="0.4">
      <c r="A185" s="552" t="s">
        <v>429</v>
      </c>
      <c r="B185" s="78" t="str">
        <f>VLOOKUP('Area A'!B240,'Item List'!B:AJ,6,FALSE)</f>
        <v>None</v>
      </c>
      <c r="C185" s="78" t="str">
        <f>VLOOKUP(B185,'Item List'!B:AH,2,FALSE)</f>
        <v>None</v>
      </c>
      <c r="D185" s="78"/>
      <c r="E185" s="575">
        <f>VLOOKUP(B185,'Item List'!B:AM,33,FALSE)</f>
        <v>0</v>
      </c>
      <c r="F185" s="595">
        <f>VLOOKUP(B185,'Item List'!B:AH,4,FALSE)</f>
        <v>0</v>
      </c>
      <c r="G185" s="556">
        <f t="shared" si="15"/>
        <v>0</v>
      </c>
      <c r="H185" s="593"/>
      <c r="I185" s="594">
        <f>ROUNDUP((E185*'Project Materials'!$D$18),0)</f>
        <v>0</v>
      </c>
      <c r="J185" s="559">
        <f t="shared" si="16"/>
        <v>0</v>
      </c>
    </row>
    <row r="186" spans="1:10" x14ac:dyDescent="0.4">
      <c r="A186" s="552" t="s">
        <v>429</v>
      </c>
      <c r="B186" s="78" t="str">
        <f>VLOOKUP('Area A'!B241,'Item List'!B:AJ,6,FALSE)</f>
        <v>None</v>
      </c>
      <c r="C186" s="78" t="str">
        <f>VLOOKUP(B186,'Item List'!B:AH,2,FALSE)</f>
        <v>None</v>
      </c>
      <c r="D186" s="78"/>
      <c r="E186" s="575">
        <f>VLOOKUP(B186,'Item List'!B:AM,33,FALSE)</f>
        <v>0</v>
      </c>
      <c r="F186" s="595">
        <f>VLOOKUP(B186,'Item List'!B:AH,4,FALSE)</f>
        <v>0</v>
      </c>
      <c r="G186" s="556">
        <f t="shared" si="15"/>
        <v>0</v>
      </c>
      <c r="H186" s="593"/>
      <c r="I186" s="594">
        <f>ROUNDUP((E186*'Project Materials'!$D$18),0)</f>
        <v>0</v>
      </c>
      <c r="J186" s="559">
        <f t="shared" si="16"/>
        <v>0</v>
      </c>
    </row>
    <row r="187" spans="1:10" x14ac:dyDescent="0.4">
      <c r="A187" s="552" t="s">
        <v>429</v>
      </c>
      <c r="B187" s="78" t="str">
        <f>VLOOKUP('Area A'!B242,'Item List'!B:AJ,6,FALSE)</f>
        <v>None</v>
      </c>
      <c r="C187" s="78" t="str">
        <f>VLOOKUP(B187,'Item List'!B:AH,2,FALSE)</f>
        <v>None</v>
      </c>
      <c r="D187" s="78"/>
      <c r="E187" s="575">
        <f>VLOOKUP(B187,'Item List'!B:AM,33,FALSE)</f>
        <v>0</v>
      </c>
      <c r="F187" s="595">
        <f>VLOOKUP(B187,'Item List'!B:AH,4,FALSE)</f>
        <v>0</v>
      </c>
      <c r="G187" s="556">
        <f t="shared" si="15"/>
        <v>0</v>
      </c>
      <c r="H187" s="593"/>
      <c r="I187" s="594">
        <f>ROUNDUP((E187*'Project Materials'!$D$18),0)</f>
        <v>0</v>
      </c>
      <c r="J187" s="559">
        <f t="shared" si="16"/>
        <v>0</v>
      </c>
    </row>
    <row r="188" spans="1:10" x14ac:dyDescent="0.4">
      <c r="A188" s="552" t="s">
        <v>429</v>
      </c>
      <c r="B188" s="78" t="str">
        <f>VLOOKUP('Area A'!B243,'Item List'!B:AJ,6,FALSE)</f>
        <v>None</v>
      </c>
      <c r="C188" s="78" t="str">
        <f>VLOOKUP(B188,'Item List'!B:AH,2,FALSE)</f>
        <v>None</v>
      </c>
      <c r="D188" s="78"/>
      <c r="E188" s="575">
        <f>VLOOKUP(B188,'Item List'!B:AM,33,FALSE)</f>
        <v>0</v>
      </c>
      <c r="F188" s="595">
        <f>VLOOKUP(B188,'Item List'!B:AH,4,FALSE)</f>
        <v>0</v>
      </c>
      <c r="G188" s="556">
        <f t="shared" si="15"/>
        <v>0</v>
      </c>
      <c r="H188" s="593"/>
      <c r="I188" s="594">
        <f>ROUNDUP((E188*'Project Materials'!$D$18),0)</f>
        <v>0</v>
      </c>
      <c r="J188" s="559">
        <f t="shared" si="16"/>
        <v>0</v>
      </c>
    </row>
    <row r="189" spans="1:10" x14ac:dyDescent="0.4">
      <c r="A189" s="552" t="s">
        <v>429</v>
      </c>
      <c r="B189" s="78" t="str">
        <f>VLOOKUP('Area A'!B244,'Item List'!B:AJ,6,FALSE)</f>
        <v>None</v>
      </c>
      <c r="C189" s="78" t="str">
        <f>VLOOKUP(B189,'Item List'!B:AH,2,FALSE)</f>
        <v>None</v>
      </c>
      <c r="D189" s="78"/>
      <c r="E189" s="575">
        <f>VLOOKUP(B189,'Item List'!B:AM,33,FALSE)</f>
        <v>0</v>
      </c>
      <c r="F189" s="595">
        <f>VLOOKUP(B189,'Item List'!B:AH,4,FALSE)</f>
        <v>0</v>
      </c>
      <c r="G189" s="556">
        <f t="shared" si="15"/>
        <v>0</v>
      </c>
      <c r="H189" s="593"/>
      <c r="I189" s="594">
        <f>ROUNDUP((E189*'Project Materials'!$D$18),0)</f>
        <v>0</v>
      </c>
      <c r="J189" s="559">
        <f t="shared" si="16"/>
        <v>0</v>
      </c>
    </row>
    <row r="190" spans="1:10" x14ac:dyDescent="0.4">
      <c r="A190" s="552" t="s">
        <v>429</v>
      </c>
      <c r="B190" s="78" t="str">
        <f>VLOOKUP('Area A'!B245,'Item List'!B:AJ,6,FALSE)</f>
        <v>None</v>
      </c>
      <c r="C190" s="78" t="str">
        <f>VLOOKUP(B190,'Item List'!B:AH,2,FALSE)</f>
        <v>None</v>
      </c>
      <c r="D190" s="78"/>
      <c r="E190" s="575">
        <f>VLOOKUP(B190,'Item List'!B:AM,33,FALSE)</f>
        <v>0</v>
      </c>
      <c r="F190" s="595">
        <f>VLOOKUP(B190,'Item List'!B:AH,4,FALSE)</f>
        <v>0</v>
      </c>
      <c r="G190" s="556">
        <f t="shared" si="15"/>
        <v>0</v>
      </c>
      <c r="H190" s="593"/>
      <c r="I190" s="594">
        <f>ROUNDUP((E190*'Project Materials'!$D$18),0)</f>
        <v>0</v>
      </c>
      <c r="J190" s="559">
        <f t="shared" si="16"/>
        <v>0</v>
      </c>
    </row>
    <row r="191" spans="1:10" x14ac:dyDescent="0.4">
      <c r="A191" s="552" t="s">
        <v>429</v>
      </c>
      <c r="B191" s="78" t="str">
        <f>VLOOKUP('Area A'!B246,'Item List'!B:AJ,6,FALSE)</f>
        <v>None</v>
      </c>
      <c r="C191" s="78" t="str">
        <f>VLOOKUP(B191,'Item List'!B:AH,2,FALSE)</f>
        <v>None</v>
      </c>
      <c r="D191" s="78"/>
      <c r="E191" s="575">
        <f>VLOOKUP(B191,'Item List'!B:AM,33,FALSE)</f>
        <v>0</v>
      </c>
      <c r="F191" s="595">
        <f>VLOOKUP(B191,'Item List'!B:AH,4,FALSE)</f>
        <v>0</v>
      </c>
      <c r="G191" s="556">
        <f t="shared" si="15"/>
        <v>0</v>
      </c>
      <c r="H191" s="593"/>
      <c r="I191" s="594">
        <f>ROUNDUP((E191*'Project Materials'!$D$18),0)</f>
        <v>0</v>
      </c>
      <c r="J191" s="559">
        <f t="shared" si="16"/>
        <v>0</v>
      </c>
    </row>
    <row r="192" spans="1:10" x14ac:dyDescent="0.4">
      <c r="A192" s="552" t="s">
        <v>429</v>
      </c>
      <c r="B192" s="78" t="str">
        <f>VLOOKUP('Area A'!B247,'Item List'!B:AJ,6,FALSE)</f>
        <v>None</v>
      </c>
      <c r="C192" s="78" t="str">
        <f>VLOOKUP(B192,'Item List'!B:AH,2,FALSE)</f>
        <v>None</v>
      </c>
      <c r="D192" s="78"/>
      <c r="E192" s="575">
        <f>VLOOKUP(B192,'Item List'!B:AM,33,FALSE)</f>
        <v>0</v>
      </c>
      <c r="F192" s="595">
        <f>VLOOKUP(B192,'Item List'!B:AH,4,FALSE)</f>
        <v>0</v>
      </c>
      <c r="G192" s="556">
        <f t="shared" si="15"/>
        <v>0</v>
      </c>
      <c r="H192" s="593"/>
      <c r="I192" s="594">
        <f>ROUNDUP((E192*'Project Materials'!$D$18),0)</f>
        <v>0</v>
      </c>
      <c r="J192" s="559">
        <f t="shared" si="16"/>
        <v>0</v>
      </c>
    </row>
    <row r="193" spans="1:10" x14ac:dyDescent="0.4">
      <c r="A193" s="552" t="s">
        <v>429</v>
      </c>
      <c r="B193" s="78" t="str">
        <f>VLOOKUP('Area A'!B248,'Item List'!B:AJ,6,FALSE)</f>
        <v>None</v>
      </c>
      <c r="C193" s="78" t="str">
        <f>VLOOKUP(B193,'Item List'!B:AH,2,FALSE)</f>
        <v>None</v>
      </c>
      <c r="D193" s="78"/>
      <c r="E193" s="575">
        <f>VLOOKUP(B193,'Item List'!B:AM,33,FALSE)</f>
        <v>0</v>
      </c>
      <c r="F193" s="595">
        <f>VLOOKUP(B193,'Item List'!B:AH,4,FALSE)</f>
        <v>0</v>
      </c>
      <c r="G193" s="556">
        <f t="shared" si="15"/>
        <v>0</v>
      </c>
      <c r="H193" s="593"/>
      <c r="I193" s="594">
        <f>ROUNDUP((E193*'Project Materials'!$D$18),0)</f>
        <v>0</v>
      </c>
      <c r="J193" s="559">
        <f t="shared" si="16"/>
        <v>0</v>
      </c>
    </row>
    <row r="194" spans="1:10" x14ac:dyDescent="0.4">
      <c r="A194" s="552" t="s">
        <v>429</v>
      </c>
      <c r="B194" s="78" t="str">
        <f>VLOOKUP('Area A'!B249,'Item List'!B:AJ,6,FALSE)</f>
        <v>None</v>
      </c>
      <c r="C194" s="78" t="str">
        <f>VLOOKUP(B194,'Item List'!B:AH,2,FALSE)</f>
        <v>None</v>
      </c>
      <c r="D194" s="78"/>
      <c r="E194" s="575">
        <f>VLOOKUP(B194,'Item List'!B:AM,33,FALSE)</f>
        <v>0</v>
      </c>
      <c r="F194" s="595">
        <f>VLOOKUP(B194,'Item List'!B:AH,4,FALSE)</f>
        <v>0</v>
      </c>
      <c r="G194" s="556">
        <f t="shared" si="15"/>
        <v>0</v>
      </c>
      <c r="H194" s="593"/>
      <c r="I194" s="594">
        <f>ROUNDUP((E194*'Project Materials'!$D$18),0)</f>
        <v>0</v>
      </c>
      <c r="J194" s="559">
        <f t="shared" si="16"/>
        <v>0</v>
      </c>
    </row>
    <row r="195" spans="1:10" x14ac:dyDescent="0.4">
      <c r="A195" s="552" t="s">
        <v>429</v>
      </c>
      <c r="B195" s="78" t="str">
        <f>VLOOKUP('Area A'!B250,'Item List'!B:AJ,6,FALSE)</f>
        <v>None</v>
      </c>
      <c r="C195" s="585" t="str">
        <f>VLOOKUP(B195,'Item List'!B:AH,2,FALSE)</f>
        <v>None</v>
      </c>
      <c r="D195" s="585"/>
      <c r="E195" s="575">
        <f>VLOOKUP(B195,'Item List'!B:AM,33,FALSE)</f>
        <v>0</v>
      </c>
      <c r="F195" s="595">
        <f>VLOOKUP(B195,'Item List'!B:AH,4,FALSE)</f>
        <v>0</v>
      </c>
      <c r="G195" s="556">
        <f t="shared" si="15"/>
        <v>0</v>
      </c>
      <c r="H195" s="593"/>
      <c r="I195" s="594">
        <f>ROUNDUP((E195*'Project Materials'!$D$18),0)</f>
        <v>0</v>
      </c>
      <c r="J195" s="559">
        <f t="shared" si="16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579" t="s">
        <v>432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552" t="s">
        <v>0</v>
      </c>
      <c r="B199" s="78" t="str">
        <f>VLOOKUP('Area A'!$B$5,'Item List'!B:AJ,7,FALSE)</f>
        <v>RCB1</v>
      </c>
      <c r="C199" s="78" t="str">
        <f>VLOOKUP(B199,'Item List'!B:AH,2,FALSE)</f>
        <v>Rail Connecting Block for Top &amp; Bottom Rails (1")</v>
      </c>
      <c r="D199" s="78"/>
      <c r="E199" s="557">
        <f>VLOOKUP(B199,'Item List'!B:AM,33,FALSE)</f>
        <v>0</v>
      </c>
      <c r="F199" s="555">
        <f>VLOOKUP(B199,'Item List'!B:AJ,4,FALSE)</f>
        <v>0.16</v>
      </c>
      <c r="G199" s="555">
        <f t="shared" ref="G199:G230" si="17">F199*E199</f>
        <v>0</v>
      </c>
      <c r="H199" s="593"/>
      <c r="I199" s="594">
        <f>ROUNDUP((E199*'Project Materials'!$D$18),0)</f>
        <v>0</v>
      </c>
      <c r="J199" s="559">
        <f>G199+(I199*F199)</f>
        <v>0</v>
      </c>
    </row>
    <row r="200" spans="1:10" x14ac:dyDescent="0.4">
      <c r="A200" s="552" t="s">
        <v>0</v>
      </c>
      <c r="B200" s="78" t="str">
        <f>VLOOKUP('Area A'!$B$5,'Item List'!B:AJ,8,FALSE)</f>
        <v>PC1- POW Blk</v>
      </c>
      <c r="C200" s="78" t="str">
        <f>VLOOKUP(B200,'Item List'!B:AH,2,FALSE)</f>
        <v>Pyramid Post Cap- Black</v>
      </c>
      <c r="D200" s="78"/>
      <c r="E200" s="557">
        <f>VLOOKUP(B200,'Item List'!B:AM,33,FALSE)</f>
        <v>0</v>
      </c>
      <c r="F200" s="555">
        <f>VLOOKUP(B200,'Item List'!B:AJ,4,FALSE)</f>
        <v>1</v>
      </c>
      <c r="G200" s="555">
        <f t="shared" si="17"/>
        <v>0</v>
      </c>
      <c r="H200" s="593"/>
      <c r="I200" s="594">
        <f>ROUNDUP((E200*'Project Materials'!$D$18),0)</f>
        <v>0</v>
      </c>
      <c r="J200" s="559">
        <f t="shared" ref="J200:J251" si="18">G200+(I200*F200)</f>
        <v>0</v>
      </c>
    </row>
    <row r="201" spans="1:10" x14ac:dyDescent="0.4">
      <c r="A201" s="552" t="s">
        <v>0</v>
      </c>
      <c r="B201" s="78" t="str">
        <f>VLOOKUP('Area A'!$B$5,'Item List'!B:AJ,9,FALSE)</f>
        <v>None</v>
      </c>
      <c r="C201" s="78" t="str">
        <f>VLOOKUP(B201,'Item List'!B:AH,2,FALSE)</f>
        <v>None</v>
      </c>
      <c r="D201" s="78"/>
      <c r="E201" s="557">
        <f>IF(B201="none",0,2+'Project Materials'!D13*VLOOKUP(B201,'Item List'!B:AM,38,FALSE))</f>
        <v>0</v>
      </c>
      <c r="F201" s="555">
        <f>VLOOKUP(B201,'Item List'!B:AJ,4,FALSE)</f>
        <v>0</v>
      </c>
      <c r="G201" s="555">
        <f t="shared" si="17"/>
        <v>0</v>
      </c>
      <c r="H201" s="593"/>
      <c r="I201" s="594">
        <f>ROUNDUP((E201*'Project Materials'!$D$18),0)</f>
        <v>0</v>
      </c>
      <c r="J201" s="559">
        <f t="shared" si="18"/>
        <v>0</v>
      </c>
    </row>
    <row r="202" spans="1:10" x14ac:dyDescent="0.4">
      <c r="A202" s="552" t="s">
        <v>0</v>
      </c>
      <c r="B202" s="78" t="str">
        <f>VLOOKUP('Area A'!$B$5,'Item List'!B:AJ,10,FALSE)</f>
        <v>None</v>
      </c>
      <c r="C202" s="78" t="str">
        <f>VLOOKUP(B202,'Item List'!B:AH,2,FALSE)</f>
        <v>None</v>
      </c>
      <c r="D202" s="78"/>
      <c r="E202" s="557">
        <f>VLOOKUP(B202,'Item List'!B:AM,33,FALSE)</f>
        <v>0</v>
      </c>
      <c r="F202" s="555">
        <f>VLOOKUP(B202,'Item List'!B:AJ,4,FALSE)</f>
        <v>0</v>
      </c>
      <c r="G202" s="555">
        <f t="shared" si="17"/>
        <v>0</v>
      </c>
      <c r="H202" s="593"/>
      <c r="I202" s="594">
        <f>ROUNDUP((E202*'Project Materials'!$D$18),0)</f>
        <v>0</v>
      </c>
      <c r="J202" s="559">
        <f t="shared" si="18"/>
        <v>0</v>
      </c>
    </row>
    <row r="203" spans="1:10" x14ac:dyDescent="0.4">
      <c r="A203" s="552" t="s">
        <v>413</v>
      </c>
      <c r="B203" s="642" t="str">
        <f>VLOOKUP('Area A'!$B$6,'Item List'!B:AJ,7,FALSE)</f>
        <v>RCB1</v>
      </c>
      <c r="C203" s="78" t="str">
        <f>VLOOKUP(B203,'Item List'!B:AH,2,FALSE)</f>
        <v>Rail Connecting Block for Top &amp; Bottom Rails (1")</v>
      </c>
      <c r="D203" s="78"/>
      <c r="E203" s="557">
        <f>VLOOKUP(B203,'Item List'!B:AM,33,FALSE)</f>
        <v>0</v>
      </c>
      <c r="F203" s="555">
        <f>VLOOKUP(B203,'Item List'!B:AJ,4,FALSE)</f>
        <v>0.16</v>
      </c>
      <c r="G203" s="555">
        <f t="shared" si="17"/>
        <v>0</v>
      </c>
      <c r="H203" s="593"/>
      <c r="I203" s="594">
        <f>ROUNDUP((E203*'Project Materials'!$D$18),0)</f>
        <v>0</v>
      </c>
      <c r="J203" s="559">
        <f t="shared" si="18"/>
        <v>0</v>
      </c>
    </row>
    <row r="204" spans="1:10" x14ac:dyDescent="0.4">
      <c r="A204" s="552" t="s">
        <v>413</v>
      </c>
      <c r="B204" s="78" t="str">
        <f>VLOOKUP('Area A'!$B$6,'Item List'!B:AJ,8,FALSE)</f>
        <v>None</v>
      </c>
      <c r="C204" s="78" t="str">
        <f>VLOOKUP(B204,'Item List'!B:AH,2,FALSE)</f>
        <v>None</v>
      </c>
      <c r="D204" s="78"/>
      <c r="E204" s="557">
        <f>VLOOKUP(B204,'Item List'!B:AM,33,FALSE)</f>
        <v>0</v>
      </c>
      <c r="F204" s="555">
        <f>VLOOKUP(B204,'Item List'!B:AJ,4,FALSE)</f>
        <v>0</v>
      </c>
      <c r="G204" s="555">
        <f t="shared" si="17"/>
        <v>0</v>
      </c>
      <c r="H204" s="593"/>
      <c r="I204" s="594">
        <f>ROUNDUP((E204*'Project Materials'!$D$18),0)</f>
        <v>0</v>
      </c>
      <c r="J204" s="559">
        <f t="shared" si="18"/>
        <v>0</v>
      </c>
    </row>
    <row r="205" spans="1:10" x14ac:dyDescent="0.4">
      <c r="A205" s="552" t="s">
        <v>413</v>
      </c>
      <c r="B205" s="78" t="str">
        <f>VLOOKUP('Area A'!$B$6,'Item List'!B:AJ,9,FALSE)</f>
        <v>None</v>
      </c>
      <c r="C205" s="78" t="str">
        <f>VLOOKUP(B205,'Item List'!B:AH,2,FALSE)</f>
        <v>None</v>
      </c>
      <c r="D205" s="78"/>
      <c r="E205" s="557">
        <f>VLOOKUP(B205,'Item List'!B:AM,33,FALSE)</f>
        <v>0</v>
      </c>
      <c r="F205" s="555">
        <f>VLOOKUP(B205,'Item List'!B:AJ,4,FALSE)</f>
        <v>0</v>
      </c>
      <c r="G205" s="555">
        <f t="shared" si="17"/>
        <v>0</v>
      </c>
      <c r="H205" s="593"/>
      <c r="I205" s="594">
        <f>ROUNDUP((E205*'Project Materials'!$D$18),0)</f>
        <v>0</v>
      </c>
      <c r="J205" s="559">
        <f t="shared" si="18"/>
        <v>0</v>
      </c>
    </row>
    <row r="206" spans="1:10" x14ac:dyDescent="0.4">
      <c r="A206" s="552" t="s">
        <v>413</v>
      </c>
      <c r="B206" s="78" t="str">
        <f>VLOOKUP('Area A'!$B$6,'Item List'!B:AJ,10,FALSE)</f>
        <v>None</v>
      </c>
      <c r="C206" s="78" t="str">
        <f>VLOOKUP(B206,'Item List'!B:AH,2,FALSE)</f>
        <v>None</v>
      </c>
      <c r="D206" s="78"/>
      <c r="E206" s="557">
        <f>VLOOKUP(B206,'Item List'!B:AM,33,FALSE)</f>
        <v>0</v>
      </c>
      <c r="F206" s="555">
        <f>VLOOKUP(B206,'Item List'!B:AJ,4,FALSE)</f>
        <v>0</v>
      </c>
      <c r="G206" s="555">
        <f t="shared" si="17"/>
        <v>0</v>
      </c>
      <c r="H206" s="593"/>
      <c r="I206" s="594">
        <f>ROUNDUP((E206*'Project Materials'!$D$18),0)</f>
        <v>0</v>
      </c>
      <c r="J206" s="559">
        <f t="shared" si="18"/>
        <v>0</v>
      </c>
    </row>
    <row r="207" spans="1:10" x14ac:dyDescent="0.4">
      <c r="A207" s="552" t="s">
        <v>4</v>
      </c>
      <c r="B207" s="78" t="str">
        <f>VLOOKUP('Area A'!B12,'Item List'!B:AJ,7,FALSE)</f>
        <v>None</v>
      </c>
      <c r="C207" s="78" t="str">
        <f>VLOOKUP(B207,'Item List'!B:AH,2,FALSE)</f>
        <v>None</v>
      </c>
      <c r="D207" s="78"/>
      <c r="E207" s="557">
        <f>VLOOKUP(B207,'Item List'!B:AM,33,FALSE)</f>
        <v>0</v>
      </c>
      <c r="F207" s="555">
        <f>VLOOKUP(B207,'Item List'!B:AJ,4,FALSE)</f>
        <v>0</v>
      </c>
      <c r="G207" s="555">
        <f t="shared" si="17"/>
        <v>0</v>
      </c>
      <c r="H207" s="593"/>
      <c r="I207" s="594">
        <f>ROUNDUP((E207*'Project Materials'!$D$18),0)</f>
        <v>0</v>
      </c>
      <c r="J207" s="559">
        <f t="shared" si="18"/>
        <v>0</v>
      </c>
    </row>
    <row r="208" spans="1:10" x14ac:dyDescent="0.4">
      <c r="A208" s="552" t="s">
        <v>4</v>
      </c>
      <c r="B208" s="78" t="str">
        <f>VLOOKUP('Area A'!B12,'Item List'!B:AJ,8,FALSE)</f>
        <v>None</v>
      </c>
      <c r="C208" s="78" t="str">
        <f>VLOOKUP(B208,'Item List'!B:AH,2,FALSE)</f>
        <v>None</v>
      </c>
      <c r="D208" s="78"/>
      <c r="E208" s="557">
        <f>VLOOKUP(B208,'Item List'!B:AM,33,FALSE)</f>
        <v>0</v>
      </c>
      <c r="F208" s="555">
        <f>VLOOKUP(B208,'Item List'!B:AJ,4,FALSE)</f>
        <v>0</v>
      </c>
      <c r="G208" s="555">
        <f t="shared" si="17"/>
        <v>0</v>
      </c>
      <c r="H208" s="593"/>
      <c r="I208" s="594">
        <f>ROUNDUP((E208*'Project Materials'!$D$18),0)</f>
        <v>0</v>
      </c>
      <c r="J208" s="559">
        <f t="shared" si="18"/>
        <v>0</v>
      </c>
    </row>
    <row r="209" spans="1:10" x14ac:dyDescent="0.4">
      <c r="A209" s="552" t="s">
        <v>4</v>
      </c>
      <c r="B209" s="78" t="str">
        <f>VLOOKUP('Area A'!B12,'Item List'!B:AJ,9,FALSE)</f>
        <v>None</v>
      </c>
      <c r="C209" s="78" t="str">
        <f>VLOOKUP(B209,'Item List'!B:AH,2,FALSE)</f>
        <v>None</v>
      </c>
      <c r="D209" s="78"/>
      <c r="E209" s="557">
        <f>VLOOKUP(B209,'Item List'!B:AM,33,FALSE)</f>
        <v>0</v>
      </c>
      <c r="F209" s="555">
        <f>VLOOKUP(B209,'Item List'!B:AJ,4,FALSE)</f>
        <v>0</v>
      </c>
      <c r="G209" s="555">
        <f t="shared" si="17"/>
        <v>0</v>
      </c>
      <c r="H209" s="593"/>
      <c r="I209" s="594">
        <f>ROUNDUP((E209*'Project Materials'!$D$18),0)</f>
        <v>0</v>
      </c>
      <c r="J209" s="559">
        <f t="shared" si="18"/>
        <v>0</v>
      </c>
    </row>
    <row r="210" spans="1:10" x14ac:dyDescent="0.4">
      <c r="A210" s="552" t="s">
        <v>4</v>
      </c>
      <c r="B210" s="78" t="str">
        <f>VLOOKUP('Area A'!B12,'Item List'!B:AJ,10,FALSE)</f>
        <v>None</v>
      </c>
      <c r="C210" s="78" t="str">
        <f>VLOOKUP(B210,'Item List'!B:AH,2,FALSE)</f>
        <v>None</v>
      </c>
      <c r="D210" s="78"/>
      <c r="E210" s="557">
        <f>VLOOKUP(B210,'Item List'!B:AM,33,FALSE)</f>
        <v>0</v>
      </c>
      <c r="F210" s="555">
        <f>VLOOKUP(B210,'Item List'!B:AJ,4,FALSE)</f>
        <v>0</v>
      </c>
      <c r="G210" s="555">
        <f t="shared" si="17"/>
        <v>0</v>
      </c>
      <c r="H210" s="593"/>
      <c r="I210" s="594">
        <f>ROUNDUP((E210*'Project Materials'!$D$18),0)</f>
        <v>0</v>
      </c>
      <c r="J210" s="559">
        <f t="shared" si="18"/>
        <v>0</v>
      </c>
    </row>
    <row r="211" spans="1:10" x14ac:dyDescent="0.4">
      <c r="A211" s="552" t="s">
        <v>448</v>
      </c>
      <c r="B211" s="78" t="str">
        <f>VLOOKUP('Area A'!B29,'Item List'!B:AJ,7,FALSE)</f>
        <v>None</v>
      </c>
      <c r="C211" s="78" t="str">
        <f>VLOOKUP(B211,'Item List'!B:AH,2,FALSE)</f>
        <v>None</v>
      </c>
      <c r="D211" s="78"/>
      <c r="E211" s="557">
        <f>VLOOKUP(B211,'Item List'!B:AM,33,FALSE)</f>
        <v>0</v>
      </c>
      <c r="F211" s="555">
        <f>VLOOKUP(B211,'Item List'!B:AJ,4,FALSE)</f>
        <v>0</v>
      </c>
      <c r="G211" s="555">
        <f t="shared" si="17"/>
        <v>0</v>
      </c>
      <c r="H211" s="593"/>
      <c r="I211" s="594">
        <f>ROUNDUP((E211*'Project Materials'!$D$18),0)</f>
        <v>0</v>
      </c>
      <c r="J211" s="559">
        <f t="shared" si="18"/>
        <v>0</v>
      </c>
    </row>
    <row r="212" spans="1:10" x14ac:dyDescent="0.4">
      <c r="A212" s="552" t="s">
        <v>448</v>
      </c>
      <c r="B212" s="78" t="str">
        <f>VLOOKUP('Area A'!B29,'Item List'!B:AJ,8,FALSE)</f>
        <v>None</v>
      </c>
      <c r="C212" s="78" t="str">
        <f>VLOOKUP(B212,'Item List'!B:AH,2,FALSE)</f>
        <v>None</v>
      </c>
      <c r="D212" s="78"/>
      <c r="E212" s="557">
        <f>VLOOKUP(B212,'Item List'!B:AM,33,FALSE)</f>
        <v>0</v>
      </c>
      <c r="F212" s="555">
        <f>VLOOKUP(B212,'Item List'!B:AJ,4,FALSE)</f>
        <v>0</v>
      </c>
      <c r="G212" s="555">
        <f t="shared" si="17"/>
        <v>0</v>
      </c>
      <c r="H212" s="593"/>
      <c r="I212" s="594">
        <f>ROUNDUP((E212*'Project Materials'!$D$18),0)</f>
        <v>0</v>
      </c>
      <c r="J212" s="559">
        <f t="shared" si="18"/>
        <v>0</v>
      </c>
    </row>
    <row r="213" spans="1:10" x14ac:dyDescent="0.4">
      <c r="A213" s="552" t="s">
        <v>448</v>
      </c>
      <c r="B213" s="78" t="str">
        <f>VLOOKUP('Area A'!B29,'Item List'!B:AJ,9,FALSE)</f>
        <v>None</v>
      </c>
      <c r="C213" s="78" t="str">
        <f>VLOOKUP(B213,'Item List'!B:AH,2,FALSE)</f>
        <v>None</v>
      </c>
      <c r="D213" s="78"/>
      <c r="E213" s="557">
        <f>VLOOKUP(B213,'Item List'!B:AM,33,FALSE)</f>
        <v>0</v>
      </c>
      <c r="F213" s="555">
        <f>VLOOKUP(B213,'Item List'!B:AJ,4,FALSE)</f>
        <v>0</v>
      </c>
      <c r="G213" s="555">
        <f t="shared" si="17"/>
        <v>0</v>
      </c>
      <c r="H213" s="593"/>
      <c r="I213" s="594">
        <f>ROUNDUP((E213*'Project Materials'!$D$18),0)</f>
        <v>0</v>
      </c>
      <c r="J213" s="559">
        <f t="shared" si="18"/>
        <v>0</v>
      </c>
    </row>
    <row r="214" spans="1:10" x14ac:dyDescent="0.4">
      <c r="A214" s="552" t="s">
        <v>448</v>
      </c>
      <c r="B214" s="78" t="str">
        <f>VLOOKUP('Area A'!B29,'Item List'!B:AJ,10,FALSE)</f>
        <v>None</v>
      </c>
      <c r="C214" s="78" t="str">
        <f>VLOOKUP(B214,'Item List'!B:AH,2,FALSE)</f>
        <v>None</v>
      </c>
      <c r="D214" s="78"/>
      <c r="E214" s="557">
        <f>VLOOKUP(B214,'Item List'!B:AM,33,FALSE)</f>
        <v>0</v>
      </c>
      <c r="F214" s="555">
        <f>VLOOKUP(B214,'Item List'!B:AJ,4,FALSE)</f>
        <v>0</v>
      </c>
      <c r="G214" s="555">
        <f t="shared" si="17"/>
        <v>0</v>
      </c>
      <c r="H214" s="593"/>
      <c r="I214" s="594">
        <f>ROUNDUP((E214*'Project Materials'!$D$18),0)</f>
        <v>0</v>
      </c>
      <c r="J214" s="559">
        <f t="shared" si="18"/>
        <v>0</v>
      </c>
    </row>
    <row r="215" spans="1:10" x14ac:dyDescent="0.4">
      <c r="A215" s="552" t="s">
        <v>448</v>
      </c>
      <c r="B215" s="78" t="str">
        <f>VLOOKUP('Area A'!B30,'Item List'!B:AJ,7,FALSE)</f>
        <v>None</v>
      </c>
      <c r="C215" s="78" t="str">
        <f>VLOOKUP(B215,'Item List'!B:AH,2,FALSE)</f>
        <v>None</v>
      </c>
      <c r="D215" s="78"/>
      <c r="E215" s="557">
        <f>VLOOKUP(B215,'Item List'!B:AM,33,FALSE)</f>
        <v>0</v>
      </c>
      <c r="F215" s="555">
        <f>VLOOKUP(B215,'Item List'!B:AJ,4,FALSE)</f>
        <v>0</v>
      </c>
      <c r="G215" s="555">
        <f t="shared" si="17"/>
        <v>0</v>
      </c>
      <c r="H215" s="593"/>
      <c r="I215" s="594">
        <f>ROUNDUP((E215*'Project Materials'!$D$18),0)</f>
        <v>0</v>
      </c>
      <c r="J215" s="559">
        <f t="shared" si="18"/>
        <v>0</v>
      </c>
    </row>
    <row r="216" spans="1:10" x14ac:dyDescent="0.4">
      <c r="A216" s="552" t="s">
        <v>448</v>
      </c>
      <c r="B216" s="78" t="str">
        <f>VLOOKUP('Area A'!B30,'Item List'!B:AJ,8,FALSE)</f>
        <v>None</v>
      </c>
      <c r="C216" s="78" t="str">
        <f>VLOOKUP(B216,'Item List'!B:AH,2,FALSE)</f>
        <v>None</v>
      </c>
      <c r="D216" s="78"/>
      <c r="E216" s="557">
        <f>VLOOKUP(B216,'Item List'!B:AM,33,FALSE)</f>
        <v>0</v>
      </c>
      <c r="F216" s="555">
        <f>VLOOKUP(B216,'Item List'!B:AJ,4,FALSE)</f>
        <v>0</v>
      </c>
      <c r="G216" s="555">
        <f t="shared" si="17"/>
        <v>0</v>
      </c>
      <c r="H216" s="593"/>
      <c r="I216" s="594">
        <f>ROUNDUP((E216*'Project Materials'!$D$18),0)</f>
        <v>0</v>
      </c>
      <c r="J216" s="559">
        <f t="shared" si="18"/>
        <v>0</v>
      </c>
    </row>
    <row r="217" spans="1:10" x14ac:dyDescent="0.4">
      <c r="A217" s="552" t="s">
        <v>448</v>
      </c>
      <c r="B217" s="78" t="str">
        <f>VLOOKUP('Area A'!B30,'Item List'!B:AJ,9,FALSE)</f>
        <v>None</v>
      </c>
      <c r="C217" s="78" t="str">
        <f>VLOOKUP(B217,'Item List'!B:AH,2,FALSE)</f>
        <v>None</v>
      </c>
      <c r="D217" s="78"/>
      <c r="E217" s="557">
        <f>VLOOKUP(B217,'Item List'!B:AM,33,FALSE)</f>
        <v>0</v>
      </c>
      <c r="F217" s="555">
        <f>VLOOKUP(B217,'Item List'!B:AJ,4,FALSE)</f>
        <v>0</v>
      </c>
      <c r="G217" s="555">
        <f t="shared" si="17"/>
        <v>0</v>
      </c>
      <c r="H217" s="593"/>
      <c r="I217" s="594">
        <f>ROUNDUP((E217*'Project Materials'!$D$18),0)</f>
        <v>0</v>
      </c>
      <c r="J217" s="559">
        <f t="shared" si="18"/>
        <v>0</v>
      </c>
    </row>
    <row r="218" spans="1:10" x14ac:dyDescent="0.4">
      <c r="A218" s="552" t="s">
        <v>448</v>
      </c>
      <c r="B218" s="78" t="str">
        <f>VLOOKUP('Area A'!B30,'Item List'!B:AJ,10,FALSE)</f>
        <v>None</v>
      </c>
      <c r="C218" s="78" t="str">
        <f>VLOOKUP(B218,'Item List'!B:AH,2,FALSE)</f>
        <v>None</v>
      </c>
      <c r="D218" s="78"/>
      <c r="E218" s="557">
        <f>VLOOKUP(B218,'Item List'!B:AM,33,FALSE)</f>
        <v>0</v>
      </c>
      <c r="F218" s="555">
        <f>VLOOKUP(B218,'Item List'!B:AJ,4,FALSE)</f>
        <v>0</v>
      </c>
      <c r="G218" s="555">
        <f t="shared" si="17"/>
        <v>0</v>
      </c>
      <c r="H218" s="593"/>
      <c r="I218" s="594">
        <f>ROUNDUP((E218*'Project Materials'!$D$18),0)</f>
        <v>0</v>
      </c>
      <c r="J218" s="559">
        <f t="shared" si="18"/>
        <v>0</v>
      </c>
    </row>
    <row r="219" spans="1:10" x14ac:dyDescent="0.4">
      <c r="A219" s="552" t="s">
        <v>449</v>
      </c>
      <c r="B219" s="78" t="str">
        <f>VLOOKUP('Area A'!B31,'Item List'!B:AJ,7,FALSE)</f>
        <v>None</v>
      </c>
      <c r="C219" s="78" t="str">
        <f>VLOOKUP(B219,'Item List'!B:AH,2,FALSE)</f>
        <v>None</v>
      </c>
      <c r="D219" s="78"/>
      <c r="E219" s="557">
        <f>VLOOKUP(B219,'Item List'!B:AM,33,FALSE)</f>
        <v>0</v>
      </c>
      <c r="F219" s="555">
        <f>VLOOKUP(B219,'Item List'!B:AJ,4,FALSE)</f>
        <v>0</v>
      </c>
      <c r="G219" s="555">
        <f t="shared" si="17"/>
        <v>0</v>
      </c>
      <c r="H219" s="593"/>
      <c r="I219" s="594">
        <f>ROUNDUP((E219*'Project Materials'!$D$18),0)</f>
        <v>0</v>
      </c>
      <c r="J219" s="559">
        <f t="shared" si="18"/>
        <v>0</v>
      </c>
    </row>
    <row r="220" spans="1:10" x14ac:dyDescent="0.4">
      <c r="A220" s="552" t="s">
        <v>449</v>
      </c>
      <c r="B220" s="78" t="str">
        <f>VLOOKUP('Area A'!B31,'Item List'!B:AJ,8,FALSE)</f>
        <v>None</v>
      </c>
      <c r="C220" s="78" t="str">
        <f>VLOOKUP(B220,'Item List'!B:AH,2,FALSE)</f>
        <v>None</v>
      </c>
      <c r="D220" s="78"/>
      <c r="E220" s="557">
        <f>VLOOKUP(B220,'Item List'!B:AM,33,FALSE)</f>
        <v>0</v>
      </c>
      <c r="F220" s="555">
        <f>VLOOKUP(B220,'Item List'!B:AJ,4,FALSE)</f>
        <v>0</v>
      </c>
      <c r="G220" s="555">
        <f t="shared" si="17"/>
        <v>0</v>
      </c>
      <c r="H220" s="593"/>
      <c r="I220" s="594">
        <f>ROUNDUP((E220*'Project Materials'!$D$18),0)</f>
        <v>0</v>
      </c>
      <c r="J220" s="559">
        <f t="shared" si="18"/>
        <v>0</v>
      </c>
    </row>
    <row r="221" spans="1:10" x14ac:dyDescent="0.4">
      <c r="A221" s="552" t="s">
        <v>449</v>
      </c>
      <c r="B221" s="78" t="str">
        <f>VLOOKUP('Area A'!B31,'Item List'!B:AJ,9,FALSE)</f>
        <v>None</v>
      </c>
      <c r="C221" s="78" t="str">
        <f>VLOOKUP(B221,'Item List'!B:AH,2,FALSE)</f>
        <v>None</v>
      </c>
      <c r="D221" s="78"/>
      <c r="E221" s="557">
        <f>VLOOKUP(B221,'Item List'!B:AM,33,FALSE)</f>
        <v>0</v>
      </c>
      <c r="F221" s="555">
        <f>VLOOKUP(B221,'Item List'!B:AJ,4,FALSE)</f>
        <v>0</v>
      </c>
      <c r="G221" s="555">
        <f t="shared" si="17"/>
        <v>0</v>
      </c>
      <c r="H221" s="593"/>
      <c r="I221" s="594">
        <f>ROUNDUP((E221*'Project Materials'!$D$18),0)</f>
        <v>0</v>
      </c>
      <c r="J221" s="559">
        <f t="shared" si="18"/>
        <v>0</v>
      </c>
    </row>
    <row r="222" spans="1:10" x14ac:dyDescent="0.4">
      <c r="A222" s="552" t="s">
        <v>449</v>
      </c>
      <c r="B222" s="78" t="str">
        <f>VLOOKUP('Area A'!B31,'Item List'!B:AJ,10,FALSE)</f>
        <v>None</v>
      </c>
      <c r="C222" s="78" t="str">
        <f>VLOOKUP(B222,'Item List'!B:AH,2,FALSE)</f>
        <v>None</v>
      </c>
      <c r="D222" s="78"/>
      <c r="E222" s="557">
        <f>VLOOKUP(B222,'Item List'!B:AM,33,FALSE)</f>
        <v>0</v>
      </c>
      <c r="F222" s="555">
        <f>VLOOKUP(B222,'Item List'!B:AJ,4,FALSE)</f>
        <v>0</v>
      </c>
      <c r="G222" s="555">
        <f t="shared" si="17"/>
        <v>0</v>
      </c>
      <c r="H222" s="593"/>
      <c r="I222" s="594">
        <f>ROUNDUP((E222*'Project Materials'!$D$18),0)</f>
        <v>0</v>
      </c>
      <c r="J222" s="559">
        <f t="shared" si="18"/>
        <v>0</v>
      </c>
    </row>
    <row r="223" spans="1:10" x14ac:dyDescent="0.4">
      <c r="A223" s="552" t="s">
        <v>449</v>
      </c>
      <c r="B223" s="78" t="str">
        <f>VLOOKUP('Area A'!B32,'Item List'!B:AJ,7,FALSE)</f>
        <v>None</v>
      </c>
      <c r="C223" s="78" t="str">
        <f>VLOOKUP(B223,'Item List'!B:AH,2,FALSE)</f>
        <v>None</v>
      </c>
      <c r="D223" s="78"/>
      <c r="E223" s="557">
        <f>VLOOKUP(B223,'Item List'!B:AM,33,FALSE)</f>
        <v>0</v>
      </c>
      <c r="F223" s="555">
        <f>VLOOKUP(B223,'Item List'!B:AJ,4,FALSE)</f>
        <v>0</v>
      </c>
      <c r="G223" s="555">
        <f t="shared" si="17"/>
        <v>0</v>
      </c>
      <c r="H223" s="593"/>
      <c r="I223" s="594">
        <f>ROUNDUP((E223*'Project Materials'!$D$18),0)</f>
        <v>0</v>
      </c>
      <c r="J223" s="559">
        <f t="shared" si="18"/>
        <v>0</v>
      </c>
    </row>
    <row r="224" spans="1:10" x14ac:dyDescent="0.4">
      <c r="A224" s="552" t="s">
        <v>449</v>
      </c>
      <c r="B224" s="78" t="str">
        <f>VLOOKUP('Area A'!B32,'Item List'!B:AJ,8,FALSE)</f>
        <v>None</v>
      </c>
      <c r="C224" s="78" t="str">
        <f>VLOOKUP(B224,'Item List'!B:AH,2,FALSE)</f>
        <v>None</v>
      </c>
      <c r="D224" s="78"/>
      <c r="E224" s="557">
        <f>VLOOKUP(B224,'Item List'!B:AM,33,FALSE)</f>
        <v>0</v>
      </c>
      <c r="F224" s="555">
        <f>VLOOKUP(B224,'Item List'!B:AJ,4,FALSE)</f>
        <v>0</v>
      </c>
      <c r="G224" s="555">
        <f t="shared" si="17"/>
        <v>0</v>
      </c>
      <c r="H224" s="593"/>
      <c r="I224" s="594">
        <f>ROUNDUP((E224*'Project Materials'!$D$18),0)</f>
        <v>0</v>
      </c>
      <c r="J224" s="559">
        <f t="shared" si="18"/>
        <v>0</v>
      </c>
    </row>
    <row r="225" spans="1:10" x14ac:dyDescent="0.4">
      <c r="A225" s="552" t="s">
        <v>449</v>
      </c>
      <c r="B225" s="78" t="str">
        <f>VLOOKUP('Area A'!B32,'Item List'!B:AJ,9,FALSE)</f>
        <v>None</v>
      </c>
      <c r="C225" s="78" t="str">
        <f>VLOOKUP(B225,'Item List'!B:AH,2,FALSE)</f>
        <v>None</v>
      </c>
      <c r="D225" s="78"/>
      <c r="E225" s="557">
        <f>VLOOKUP(B225,'Item List'!B:AM,33,FALSE)</f>
        <v>0</v>
      </c>
      <c r="F225" s="555">
        <f>VLOOKUP(B225,'Item List'!B:AJ,4,FALSE)</f>
        <v>0</v>
      </c>
      <c r="G225" s="555">
        <f t="shared" si="17"/>
        <v>0</v>
      </c>
      <c r="H225" s="593"/>
      <c r="I225" s="594">
        <f>ROUNDUP((E225*'Project Materials'!$D$18),0)</f>
        <v>0</v>
      </c>
      <c r="J225" s="559">
        <f t="shared" si="18"/>
        <v>0</v>
      </c>
    </row>
    <row r="226" spans="1:10" x14ac:dyDescent="0.4">
      <c r="A226" s="552" t="s">
        <v>449</v>
      </c>
      <c r="B226" s="78" t="str">
        <f>VLOOKUP('Area A'!B32,'Item List'!B:AJ,10,FALSE)</f>
        <v>None</v>
      </c>
      <c r="C226" s="78" t="str">
        <f>VLOOKUP(B226,'Item List'!B:AH,2,FALSE)</f>
        <v>None</v>
      </c>
      <c r="D226" s="78"/>
      <c r="E226" s="557">
        <f>VLOOKUP(B226,'Item List'!B:AM,33,FALSE)</f>
        <v>0</v>
      </c>
      <c r="F226" s="555">
        <f>VLOOKUP(B226,'Item List'!B:AJ,4,FALSE)</f>
        <v>0</v>
      </c>
      <c r="G226" s="555">
        <f t="shared" si="17"/>
        <v>0</v>
      </c>
      <c r="H226" s="593"/>
      <c r="I226" s="594">
        <f>ROUNDUP((E226*'Project Materials'!$D$18),0)</f>
        <v>0</v>
      </c>
      <c r="J226" s="559">
        <f t="shared" si="18"/>
        <v>0</v>
      </c>
    </row>
    <row r="227" spans="1:10" x14ac:dyDescent="0.4">
      <c r="A227" s="552" t="s">
        <v>450</v>
      </c>
      <c r="B227" s="78" t="str">
        <f>VLOOKUP('Area A'!B33,'Item List'!B:AJ,7,FALSE)</f>
        <v>None</v>
      </c>
      <c r="C227" s="78" t="str">
        <f>VLOOKUP(B227,'Item List'!B:AH,2,FALSE)</f>
        <v>None</v>
      </c>
      <c r="D227" s="78"/>
      <c r="E227" s="557">
        <f>VLOOKUP(B227,'Item List'!B:AM,33,FALSE)</f>
        <v>0</v>
      </c>
      <c r="F227" s="555">
        <f>VLOOKUP(B227,'Item List'!B:AJ,4,FALSE)</f>
        <v>0</v>
      </c>
      <c r="G227" s="555">
        <f t="shared" si="17"/>
        <v>0</v>
      </c>
      <c r="H227" s="593"/>
      <c r="I227" s="594">
        <f>ROUNDUP((E227*'Project Materials'!$D$18),0)</f>
        <v>0</v>
      </c>
      <c r="J227" s="559">
        <f t="shared" si="18"/>
        <v>0</v>
      </c>
    </row>
    <row r="228" spans="1:10" x14ac:dyDescent="0.4">
      <c r="A228" s="552" t="s">
        <v>450</v>
      </c>
      <c r="B228" s="78" t="str">
        <f>VLOOKUP('Area A'!B33,'Item List'!B:AJ,8,FALSE)</f>
        <v>None</v>
      </c>
      <c r="C228" s="78" t="str">
        <f>VLOOKUP(B228,'Item List'!B:AH,2,FALSE)</f>
        <v>None</v>
      </c>
      <c r="D228" s="78"/>
      <c r="E228" s="557">
        <f>VLOOKUP(B228,'Item List'!B:AM,33,FALSE)</f>
        <v>0</v>
      </c>
      <c r="F228" s="555">
        <f>VLOOKUP(B228,'Item List'!B:AJ,4,FALSE)</f>
        <v>0</v>
      </c>
      <c r="G228" s="555">
        <f t="shared" si="17"/>
        <v>0</v>
      </c>
      <c r="H228" s="593"/>
      <c r="I228" s="594">
        <f>ROUNDUP((E228*'Project Materials'!$D$18),0)</f>
        <v>0</v>
      </c>
      <c r="J228" s="559">
        <f t="shared" si="18"/>
        <v>0</v>
      </c>
    </row>
    <row r="229" spans="1:10" x14ac:dyDescent="0.4">
      <c r="A229" s="552" t="s">
        <v>450</v>
      </c>
      <c r="B229" s="78" t="str">
        <f>VLOOKUP('Area A'!B33,'Item List'!B:AJ,9,FALSE)</f>
        <v>None</v>
      </c>
      <c r="C229" s="78" t="str">
        <f>VLOOKUP(B229,'Item List'!B:AH,2,FALSE)</f>
        <v>None</v>
      </c>
      <c r="D229" s="78"/>
      <c r="E229" s="557">
        <f>VLOOKUP(B229,'Item List'!B:AM,33,FALSE)</f>
        <v>0</v>
      </c>
      <c r="F229" s="555">
        <f>VLOOKUP(B229,'Item List'!B:AJ,4,FALSE)</f>
        <v>0</v>
      </c>
      <c r="G229" s="555">
        <f t="shared" si="17"/>
        <v>0</v>
      </c>
      <c r="H229" s="593"/>
      <c r="I229" s="594">
        <f>ROUNDUP((E229*'Project Materials'!$D$18),0)</f>
        <v>0</v>
      </c>
      <c r="J229" s="559">
        <f t="shared" si="18"/>
        <v>0</v>
      </c>
    </row>
    <row r="230" spans="1:10" x14ac:dyDescent="0.4">
      <c r="A230" s="552" t="s">
        <v>450</v>
      </c>
      <c r="B230" s="78" t="str">
        <f>VLOOKUP('Area A'!B33,'Item List'!B:AJ,10,FALSE)</f>
        <v>None</v>
      </c>
      <c r="C230" s="78" t="str">
        <f>VLOOKUP(B230,'Item List'!B:AH,2,FALSE)</f>
        <v>None</v>
      </c>
      <c r="D230" s="78"/>
      <c r="E230" s="557">
        <f>VLOOKUP(B230,'Item List'!B:AM,33,FALSE)</f>
        <v>0</v>
      </c>
      <c r="F230" s="555">
        <f>VLOOKUP(B230,'Item List'!B:AJ,4,FALSE)</f>
        <v>0</v>
      </c>
      <c r="G230" s="555">
        <f t="shared" si="17"/>
        <v>0</v>
      </c>
      <c r="H230" s="593"/>
      <c r="I230" s="594">
        <f>ROUNDUP((E230*'Project Materials'!$D$18),0)</f>
        <v>0</v>
      </c>
      <c r="J230" s="559">
        <f t="shared" si="18"/>
        <v>0</v>
      </c>
    </row>
    <row r="231" spans="1:10" x14ac:dyDescent="0.4">
      <c r="A231" s="552" t="s">
        <v>450</v>
      </c>
      <c r="B231" s="78" t="str">
        <f>VLOOKUP('Area A'!B34,'Item List'!B:AJ,7,FALSE)</f>
        <v>None</v>
      </c>
      <c r="C231" s="78" t="str">
        <f>VLOOKUP(B231,'Item List'!B:AH,2,FALSE)</f>
        <v>None</v>
      </c>
      <c r="D231" s="78"/>
      <c r="E231" s="557">
        <f>VLOOKUP(B231,'Item List'!B:AM,33,FALSE)</f>
        <v>0</v>
      </c>
      <c r="F231" s="555">
        <f>VLOOKUP(B231,'Item List'!B:AJ,4,FALSE)</f>
        <v>0</v>
      </c>
      <c r="G231" s="555">
        <f t="shared" ref="G231:G250" si="19">F231*E231</f>
        <v>0</v>
      </c>
      <c r="H231" s="593"/>
      <c r="I231" s="594">
        <f>ROUNDUP((E231*'Project Materials'!$D$18),0)</f>
        <v>0</v>
      </c>
      <c r="J231" s="559">
        <f t="shared" si="18"/>
        <v>0</v>
      </c>
    </row>
    <row r="232" spans="1:10" x14ac:dyDescent="0.4">
      <c r="A232" s="552" t="s">
        <v>450</v>
      </c>
      <c r="B232" s="78" t="str">
        <f>VLOOKUP('Area A'!B34,'Item List'!B:AJ,8,FALSE)</f>
        <v>None</v>
      </c>
      <c r="C232" s="78" t="str">
        <f>VLOOKUP(B232,'Item List'!B:AH,2,FALSE)</f>
        <v>None</v>
      </c>
      <c r="D232" s="78"/>
      <c r="E232" s="557">
        <f>VLOOKUP(B232,'Item List'!B:AM,33,FALSE)</f>
        <v>0</v>
      </c>
      <c r="F232" s="555">
        <f>VLOOKUP(B232,'Item List'!B:AJ,4,FALSE)</f>
        <v>0</v>
      </c>
      <c r="G232" s="555">
        <f t="shared" si="19"/>
        <v>0</v>
      </c>
      <c r="H232" s="593"/>
      <c r="I232" s="594">
        <f>ROUNDUP((E232*'Project Materials'!$D$18),0)</f>
        <v>0</v>
      </c>
      <c r="J232" s="559">
        <f t="shared" si="18"/>
        <v>0</v>
      </c>
    </row>
    <row r="233" spans="1:10" x14ac:dyDescent="0.4">
      <c r="A233" s="552" t="s">
        <v>450</v>
      </c>
      <c r="B233" s="78" t="str">
        <f>VLOOKUP('Area A'!B34,'Item List'!B:AJ,9,FALSE)</f>
        <v>None</v>
      </c>
      <c r="C233" s="78" t="str">
        <f>VLOOKUP(B233,'Item List'!B:AH,2,FALSE)</f>
        <v>None</v>
      </c>
      <c r="D233" s="78"/>
      <c r="E233" s="557">
        <f>VLOOKUP(B233,'Item List'!B:AM,33,FALSE)</f>
        <v>0</v>
      </c>
      <c r="F233" s="555">
        <f>VLOOKUP(B233,'Item List'!B:AJ,4,FALSE)</f>
        <v>0</v>
      </c>
      <c r="G233" s="555">
        <f t="shared" si="19"/>
        <v>0</v>
      </c>
      <c r="H233" s="593"/>
      <c r="I233" s="594">
        <f>ROUNDUP((E233*'Project Materials'!$D$18),0)</f>
        <v>0</v>
      </c>
      <c r="J233" s="559">
        <f t="shared" si="18"/>
        <v>0</v>
      </c>
    </row>
    <row r="234" spans="1:10" x14ac:dyDescent="0.4">
      <c r="A234" s="552" t="s">
        <v>450</v>
      </c>
      <c r="B234" s="78" t="str">
        <f>VLOOKUP('Area A'!B34,'Item List'!B:AJ,10,FALSE)</f>
        <v>None</v>
      </c>
      <c r="C234" s="78" t="str">
        <f>VLOOKUP(B234,'Item List'!B:AH,2,FALSE)</f>
        <v>None</v>
      </c>
      <c r="D234" s="78"/>
      <c r="E234" s="557">
        <f>VLOOKUP(B234,'Item List'!B:AM,33,FALSE)</f>
        <v>0</v>
      </c>
      <c r="F234" s="555">
        <f>VLOOKUP(B234,'Item List'!B:AJ,4,FALSE)</f>
        <v>0</v>
      </c>
      <c r="G234" s="555">
        <f t="shared" si="19"/>
        <v>0</v>
      </c>
      <c r="H234" s="593"/>
      <c r="I234" s="594">
        <f>ROUNDUP((E234*'Project Materials'!$D$18),0)</f>
        <v>0</v>
      </c>
      <c r="J234" s="559">
        <f t="shared" si="18"/>
        <v>0</v>
      </c>
    </row>
    <row r="235" spans="1:10" x14ac:dyDescent="0.4">
      <c r="A235" s="552" t="s">
        <v>451</v>
      </c>
      <c r="B235" s="78" t="str">
        <f>VLOOKUP('Area A'!B35,'Item List'!B:AJ,7,FALSE)</f>
        <v>None</v>
      </c>
      <c r="C235" s="78" t="str">
        <f>VLOOKUP(B235,'Item List'!B:AH,2,FALSE)</f>
        <v>None</v>
      </c>
      <c r="D235" s="78"/>
      <c r="E235" s="557">
        <f>VLOOKUP(B235,'Item List'!B:AM,33,FALSE)</f>
        <v>0</v>
      </c>
      <c r="F235" s="555">
        <f>VLOOKUP(B235,'Item List'!B:AJ,4,FALSE)</f>
        <v>0</v>
      </c>
      <c r="G235" s="555">
        <f t="shared" si="19"/>
        <v>0</v>
      </c>
      <c r="H235" s="593"/>
      <c r="I235" s="594">
        <f>ROUNDUP((E235*'Project Materials'!$D$18),0)</f>
        <v>0</v>
      </c>
      <c r="J235" s="559">
        <f t="shared" si="18"/>
        <v>0</v>
      </c>
    </row>
    <row r="236" spans="1:10" x14ac:dyDescent="0.4">
      <c r="A236" s="552" t="s">
        <v>451</v>
      </c>
      <c r="B236" s="78" t="str">
        <f>VLOOKUP('Area A'!B35,'Item List'!B:AJ,8,FALSE)</f>
        <v>None</v>
      </c>
      <c r="C236" s="78" t="str">
        <f>VLOOKUP(B236,'Item List'!B:AH,2,FALSE)</f>
        <v>None</v>
      </c>
      <c r="D236" s="78"/>
      <c r="E236" s="557">
        <f>VLOOKUP(B236,'Item List'!B:AM,33,FALSE)</f>
        <v>0</v>
      </c>
      <c r="F236" s="555">
        <f>VLOOKUP(B236,'Item List'!B:AJ,4,FALSE)</f>
        <v>0</v>
      </c>
      <c r="G236" s="555">
        <f t="shared" si="19"/>
        <v>0</v>
      </c>
      <c r="H236" s="593"/>
      <c r="I236" s="594">
        <f>ROUNDUP((E236*'Project Materials'!$D$18),0)</f>
        <v>0</v>
      </c>
      <c r="J236" s="559">
        <f t="shared" si="18"/>
        <v>0</v>
      </c>
    </row>
    <row r="237" spans="1:10" x14ac:dyDescent="0.4">
      <c r="A237" s="552" t="s">
        <v>451</v>
      </c>
      <c r="B237" s="78" t="str">
        <f>VLOOKUP('Area A'!B35,'Item List'!B:AJ,9,FALSE)</f>
        <v>None</v>
      </c>
      <c r="C237" s="78" t="str">
        <f>VLOOKUP(B237,'Item List'!B:AH,2,FALSE)</f>
        <v>None</v>
      </c>
      <c r="D237" s="78"/>
      <c r="E237" s="557">
        <f>VLOOKUP(B237,'Item List'!B:AM,33,FALSE)</f>
        <v>0</v>
      </c>
      <c r="F237" s="555">
        <f>VLOOKUP(B237,'Item List'!B:AJ,4,FALSE)</f>
        <v>0</v>
      </c>
      <c r="G237" s="555">
        <f t="shared" si="19"/>
        <v>0</v>
      </c>
      <c r="H237" s="593"/>
      <c r="I237" s="594">
        <f>ROUNDUP((E237*'Project Materials'!$D$18),0)</f>
        <v>0</v>
      </c>
      <c r="J237" s="559">
        <f t="shared" si="18"/>
        <v>0</v>
      </c>
    </row>
    <row r="238" spans="1:10" x14ac:dyDescent="0.4">
      <c r="A238" s="552" t="s">
        <v>451</v>
      </c>
      <c r="B238" s="78" t="str">
        <f>VLOOKUP('Area A'!B35,'Item List'!B:AJ,10,FALSE)</f>
        <v>None</v>
      </c>
      <c r="C238" s="78" t="str">
        <f>VLOOKUP(B238,'Item List'!B:AH,2,FALSE)</f>
        <v>None</v>
      </c>
      <c r="D238" s="78"/>
      <c r="E238" s="557">
        <f>VLOOKUP(B238,'Item List'!B:AM,33,FALSE)</f>
        <v>0</v>
      </c>
      <c r="F238" s="555">
        <f>VLOOKUP(B238,'Item List'!B:AJ,4,FALSE)</f>
        <v>0</v>
      </c>
      <c r="G238" s="555">
        <f t="shared" si="19"/>
        <v>0</v>
      </c>
      <c r="H238" s="593"/>
      <c r="I238" s="594">
        <f>ROUNDUP((E238*'Project Materials'!$D$18),0)</f>
        <v>0</v>
      </c>
      <c r="J238" s="559">
        <f t="shared" si="18"/>
        <v>0</v>
      </c>
    </row>
    <row r="239" spans="1:10" x14ac:dyDescent="0.4">
      <c r="A239" s="552" t="s">
        <v>451</v>
      </c>
      <c r="B239" s="78" t="str">
        <f>VLOOKUP('Area A'!B36,'Item List'!B:AJ,7,FALSE)</f>
        <v>None</v>
      </c>
      <c r="C239" s="78" t="str">
        <f>VLOOKUP(B239,'Item List'!B:AH,2,FALSE)</f>
        <v>None</v>
      </c>
      <c r="D239" s="78"/>
      <c r="E239" s="557">
        <f>VLOOKUP(B239,'Item List'!B:AM,33,FALSE)</f>
        <v>0</v>
      </c>
      <c r="F239" s="555">
        <f>VLOOKUP(B239,'Item List'!B:AJ,4,FALSE)</f>
        <v>0</v>
      </c>
      <c r="G239" s="555">
        <f t="shared" si="19"/>
        <v>0</v>
      </c>
      <c r="H239" s="593"/>
      <c r="I239" s="594">
        <f>ROUNDUP((E239*'Project Materials'!$D$18),0)</f>
        <v>0</v>
      </c>
      <c r="J239" s="559">
        <f t="shared" si="18"/>
        <v>0</v>
      </c>
    </row>
    <row r="240" spans="1:10" x14ac:dyDescent="0.4">
      <c r="A240" s="552" t="s">
        <v>451</v>
      </c>
      <c r="B240" s="78" t="str">
        <f>VLOOKUP('Area A'!B36,'Item List'!B:AJ,8,FALSE)</f>
        <v>None</v>
      </c>
      <c r="C240" s="78" t="str">
        <f>VLOOKUP(B240,'Item List'!B:AH,2,FALSE)</f>
        <v>None</v>
      </c>
      <c r="D240" s="78"/>
      <c r="E240" s="557">
        <f>VLOOKUP(B240,'Item List'!B:AM,33,FALSE)</f>
        <v>0</v>
      </c>
      <c r="F240" s="555">
        <f>VLOOKUP(B240,'Item List'!B:AJ,4,FALSE)</f>
        <v>0</v>
      </c>
      <c r="G240" s="555">
        <f t="shared" si="19"/>
        <v>0</v>
      </c>
      <c r="H240" s="593"/>
      <c r="I240" s="594">
        <f>ROUNDUP((E240*'Project Materials'!$D$18),0)</f>
        <v>0</v>
      </c>
      <c r="J240" s="559">
        <f t="shared" si="18"/>
        <v>0</v>
      </c>
    </row>
    <row r="241" spans="1:68" x14ac:dyDescent="0.4">
      <c r="A241" s="552" t="s">
        <v>451</v>
      </c>
      <c r="B241" s="78" t="str">
        <f>VLOOKUP('Area A'!B36,'Item List'!B:AJ,9,FALSE)</f>
        <v>None</v>
      </c>
      <c r="C241" s="78" t="str">
        <f>VLOOKUP(B241,'Item List'!B:AH,2,FALSE)</f>
        <v>None</v>
      </c>
      <c r="D241" s="78"/>
      <c r="E241" s="557">
        <f>VLOOKUP(B241,'Item List'!B:AM,33,FALSE)</f>
        <v>0</v>
      </c>
      <c r="F241" s="555">
        <f>VLOOKUP(B241,'Item List'!B:AJ,4,FALSE)</f>
        <v>0</v>
      </c>
      <c r="G241" s="555">
        <f t="shared" si="19"/>
        <v>0</v>
      </c>
      <c r="H241" s="593"/>
      <c r="I241" s="594">
        <f>ROUNDUP((E241*'Project Materials'!$D$18),0)</f>
        <v>0</v>
      </c>
      <c r="J241" s="559">
        <f t="shared" si="18"/>
        <v>0</v>
      </c>
    </row>
    <row r="242" spans="1:68" x14ac:dyDescent="0.4">
      <c r="A242" s="552" t="s">
        <v>451</v>
      </c>
      <c r="B242" s="78" t="str">
        <f>VLOOKUP('Area A'!B36,'Item List'!B:AJ,10,FALSE)</f>
        <v>None</v>
      </c>
      <c r="C242" s="78" t="str">
        <f>VLOOKUP(B242,'Item List'!B:AH,2,FALSE)</f>
        <v>None</v>
      </c>
      <c r="D242" s="78"/>
      <c r="E242" s="557">
        <f>VLOOKUP(B242,'Item List'!B:AM,33,FALSE)</f>
        <v>0</v>
      </c>
      <c r="F242" s="555">
        <f>VLOOKUP(B242,'Item List'!B:AJ,4,FALSE)</f>
        <v>0</v>
      </c>
      <c r="G242" s="555">
        <f t="shared" si="19"/>
        <v>0</v>
      </c>
      <c r="H242" s="593"/>
      <c r="I242" s="594">
        <f>ROUNDUP((E242*'Project Materials'!$D$18),0)</f>
        <v>0</v>
      </c>
      <c r="J242" s="559">
        <f t="shared" si="18"/>
        <v>0</v>
      </c>
    </row>
    <row r="243" spans="1:68" s="98" customFormat="1" x14ac:dyDescent="0.4">
      <c r="A243" s="552" t="s">
        <v>452</v>
      </c>
      <c r="B243" s="78" t="str">
        <f>VLOOKUP('Area A'!B40,'Item List'!B:AJ,7,FALSE)</f>
        <v>None</v>
      </c>
      <c r="C243" s="78" t="str">
        <f>VLOOKUP(B243,'Item List'!B:AH,2,FALSE)</f>
        <v>None</v>
      </c>
      <c r="D243" s="78"/>
      <c r="E243" s="557">
        <f>VLOOKUP(B243,'Item List'!B:AM,33,FALSE)</f>
        <v>0</v>
      </c>
      <c r="F243" s="555">
        <f>VLOOKUP(B243,'Item List'!B:AJ,4,FALSE)</f>
        <v>0</v>
      </c>
      <c r="G243" s="555">
        <f t="shared" si="19"/>
        <v>0</v>
      </c>
      <c r="H243" s="593"/>
      <c r="I243" s="594">
        <f>ROUNDUP((E243*'Project Materials'!$D$18),0)</f>
        <v>0</v>
      </c>
      <c r="J243" s="559">
        <f t="shared" si="18"/>
        <v>0</v>
      </c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9"/>
      <c r="AW243" s="39"/>
      <c r="AX243" s="39"/>
      <c r="AY243" s="39"/>
      <c r="AZ243" s="39"/>
      <c r="BA243" s="39"/>
      <c r="BB243" s="39"/>
      <c r="BC243" s="39"/>
      <c r="BD243" s="39"/>
      <c r="BE243" s="39"/>
      <c r="BF243" s="39"/>
      <c r="BG243" s="39"/>
      <c r="BH243" s="39"/>
      <c r="BI243" s="39"/>
      <c r="BJ243" s="39"/>
      <c r="BK243" s="39"/>
      <c r="BL243" s="39"/>
      <c r="BM243" s="39"/>
      <c r="BN243" s="39"/>
      <c r="BO243" s="39"/>
      <c r="BP243"/>
    </row>
    <row r="244" spans="1:68" s="98" customFormat="1" x14ac:dyDescent="0.4">
      <c r="A244" s="552" t="s">
        <v>452</v>
      </c>
      <c r="B244" s="78" t="str">
        <f>VLOOKUP('Area A'!B40,'Item List'!B:AJ,8,FALSE)</f>
        <v>None</v>
      </c>
      <c r="C244" s="78" t="str">
        <f>VLOOKUP(B244,'Item List'!B:AH,2,FALSE)</f>
        <v>None</v>
      </c>
      <c r="D244" s="78"/>
      <c r="E244" s="557">
        <f>VLOOKUP(B244,'Item List'!B:AM,33,FALSE)</f>
        <v>0</v>
      </c>
      <c r="F244" s="555">
        <f>VLOOKUP(B244,'Item List'!B:AJ,4,FALSE)</f>
        <v>0</v>
      </c>
      <c r="G244" s="555">
        <f t="shared" si="19"/>
        <v>0</v>
      </c>
      <c r="H244" s="593"/>
      <c r="I244" s="594">
        <f>ROUNDUP((E244*'Project Materials'!$D$18),0)</f>
        <v>0</v>
      </c>
      <c r="J244" s="559">
        <f t="shared" si="18"/>
        <v>0</v>
      </c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9"/>
      <c r="AW244" s="39"/>
      <c r="AX244" s="39"/>
      <c r="AY244" s="39"/>
      <c r="AZ244" s="39"/>
      <c r="BA244" s="39"/>
      <c r="BB244" s="39"/>
      <c r="BC244" s="39"/>
      <c r="BD244" s="39"/>
      <c r="BE244" s="39"/>
      <c r="BF244" s="39"/>
      <c r="BG244" s="39"/>
      <c r="BH244" s="39"/>
      <c r="BI244" s="39"/>
      <c r="BJ244" s="39"/>
      <c r="BK244" s="39"/>
      <c r="BL244" s="39"/>
      <c r="BM244" s="39"/>
      <c r="BN244" s="39"/>
      <c r="BO244" s="39"/>
      <c r="BP244"/>
    </row>
    <row r="245" spans="1:68" s="98" customFormat="1" x14ac:dyDescent="0.4">
      <c r="A245" s="552" t="s">
        <v>452</v>
      </c>
      <c r="B245" s="78" t="str">
        <f>VLOOKUP('Area A'!B40,'Item List'!B:AJ,9,FALSE)</f>
        <v>None</v>
      </c>
      <c r="C245" s="78" t="str">
        <f>VLOOKUP(B245,'Item List'!B:AH,2,FALSE)</f>
        <v>None</v>
      </c>
      <c r="D245" s="78"/>
      <c r="E245" s="557">
        <f>VLOOKUP(B245,'Item List'!B:AM,33,FALSE)</f>
        <v>0</v>
      </c>
      <c r="F245" s="555">
        <f>VLOOKUP(B245,'Item List'!B:AJ,4,FALSE)</f>
        <v>0</v>
      </c>
      <c r="G245" s="555">
        <f t="shared" si="19"/>
        <v>0</v>
      </c>
      <c r="H245" s="593"/>
      <c r="I245" s="594">
        <f>ROUNDUP((E245*'Project Materials'!$D$18),0)</f>
        <v>0</v>
      </c>
      <c r="J245" s="559">
        <f t="shared" si="18"/>
        <v>0</v>
      </c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9"/>
      <c r="AW245" s="39"/>
      <c r="AX245" s="39"/>
      <c r="AY245" s="39"/>
      <c r="AZ245" s="39"/>
      <c r="BA245" s="39"/>
      <c r="BB245" s="39"/>
      <c r="BC245" s="39"/>
      <c r="BD245" s="39"/>
      <c r="BE245" s="39"/>
      <c r="BF245" s="39"/>
      <c r="BG245" s="39"/>
      <c r="BH245" s="39"/>
      <c r="BI245" s="39"/>
      <c r="BJ245" s="39"/>
      <c r="BK245" s="39"/>
      <c r="BL245" s="39"/>
      <c r="BM245" s="39"/>
      <c r="BN245" s="39"/>
      <c r="BO245" s="39"/>
      <c r="BP245"/>
    </row>
    <row r="246" spans="1:68" s="98" customFormat="1" x14ac:dyDescent="0.4">
      <c r="A246" s="552" t="s">
        <v>452</v>
      </c>
      <c r="B246" s="78" t="str">
        <f>VLOOKUP('Area A'!B40,'Item List'!B:AJ,10,FALSE)</f>
        <v>None</v>
      </c>
      <c r="C246" s="78" t="str">
        <f>VLOOKUP(B246,'Item List'!B:AH,2,FALSE)</f>
        <v>None</v>
      </c>
      <c r="D246" s="78"/>
      <c r="E246" s="557">
        <f>VLOOKUP(B246,'Item List'!B:AM,33,FALSE)</f>
        <v>0</v>
      </c>
      <c r="F246" s="555">
        <f>VLOOKUP(B246,'Item List'!B:AJ,4,FALSE)</f>
        <v>0</v>
      </c>
      <c r="G246" s="555">
        <f t="shared" si="19"/>
        <v>0</v>
      </c>
      <c r="H246" s="593"/>
      <c r="I246" s="594">
        <f>ROUNDUP((E246*'Project Materials'!$D$18),0)</f>
        <v>0</v>
      </c>
      <c r="J246" s="559">
        <f t="shared" si="18"/>
        <v>0</v>
      </c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9"/>
      <c r="AW246" s="39"/>
      <c r="AX246" s="39"/>
      <c r="AY246" s="39"/>
      <c r="AZ246" s="39"/>
      <c r="BA246" s="39"/>
      <c r="BB246" s="39"/>
      <c r="BC246" s="39"/>
      <c r="BD246" s="39"/>
      <c r="BE246" s="39"/>
      <c r="BF246" s="39"/>
      <c r="BG246" s="39"/>
      <c r="BH246" s="39"/>
      <c r="BI246" s="39"/>
      <c r="BJ246" s="39"/>
      <c r="BK246" s="39"/>
      <c r="BL246" s="39"/>
      <c r="BM246" s="39"/>
      <c r="BN246" s="39"/>
      <c r="BO246" s="39"/>
      <c r="BP246"/>
    </row>
    <row r="247" spans="1:68" x14ac:dyDescent="0.4">
      <c r="A247" s="552" t="s">
        <v>453</v>
      </c>
      <c r="B247" s="78" t="str">
        <f>VLOOKUP('Area A'!B41,'Item List'!B:AJ,7,FALSE)</f>
        <v>None</v>
      </c>
      <c r="C247" s="78" t="str">
        <f>VLOOKUP(B247,'Item List'!B:AH,2,FALSE)</f>
        <v>None</v>
      </c>
      <c r="D247" s="78"/>
      <c r="E247" s="557">
        <f>VLOOKUP(B247,'Item List'!B:AM,33,FALSE)</f>
        <v>0</v>
      </c>
      <c r="F247" s="555">
        <f>VLOOKUP(B247,'Item List'!B:AJ,4,FALSE)</f>
        <v>0</v>
      </c>
      <c r="G247" s="555">
        <f t="shared" si="19"/>
        <v>0</v>
      </c>
      <c r="H247" s="593"/>
      <c r="I247" s="594">
        <f>ROUNDUP((E247*'Project Materials'!$D$18),0)</f>
        <v>0</v>
      </c>
      <c r="J247" s="559">
        <f t="shared" si="18"/>
        <v>0</v>
      </c>
    </row>
    <row r="248" spans="1:68" x14ac:dyDescent="0.4">
      <c r="A248" s="552" t="s">
        <v>453</v>
      </c>
      <c r="B248" s="78" t="str">
        <f>VLOOKUP('Area A'!B41,'Item List'!B:AJ,8,FALSE)</f>
        <v>None</v>
      </c>
      <c r="C248" s="78" t="str">
        <f>VLOOKUP(B248,'Item List'!B:AH,2,FALSE)</f>
        <v>None</v>
      </c>
      <c r="D248" s="78"/>
      <c r="E248" s="557">
        <f>VLOOKUP(B248,'Item List'!B:AM,33,FALSE)</f>
        <v>0</v>
      </c>
      <c r="F248" s="555">
        <f>VLOOKUP(B248,'Item List'!B:AJ,4,FALSE)</f>
        <v>0</v>
      </c>
      <c r="G248" s="555">
        <f t="shared" si="19"/>
        <v>0</v>
      </c>
      <c r="H248" s="593"/>
      <c r="I248" s="594">
        <f>ROUNDUP((E248*'Project Materials'!$D$18),0)</f>
        <v>0</v>
      </c>
      <c r="J248" s="559">
        <f t="shared" si="18"/>
        <v>0</v>
      </c>
    </row>
    <row r="249" spans="1:68" x14ac:dyDescent="0.4">
      <c r="A249" s="552" t="s">
        <v>453</v>
      </c>
      <c r="B249" s="78" t="str">
        <f>VLOOKUP('Area A'!B41,'Item List'!B:AJ,9,FALSE)</f>
        <v>None</v>
      </c>
      <c r="C249" s="78" t="str">
        <f>VLOOKUP(B249,'Item List'!B:AH,2,FALSE)</f>
        <v>None</v>
      </c>
      <c r="D249" s="78"/>
      <c r="E249" s="557">
        <f>VLOOKUP(B249,'Item List'!B:AM,33,FALSE)</f>
        <v>0</v>
      </c>
      <c r="F249" s="555">
        <f>VLOOKUP(B249,'Item List'!B:AJ,4,FALSE)</f>
        <v>0</v>
      </c>
      <c r="G249" s="555">
        <f t="shared" si="19"/>
        <v>0</v>
      </c>
      <c r="H249" s="593"/>
      <c r="I249" s="594">
        <f>ROUNDUP((E249*'Project Materials'!$D$18),0)</f>
        <v>0</v>
      </c>
      <c r="J249" s="559">
        <f t="shared" si="18"/>
        <v>0</v>
      </c>
    </row>
    <row r="250" spans="1:68" x14ac:dyDescent="0.4">
      <c r="A250" s="552" t="s">
        <v>453</v>
      </c>
      <c r="B250" s="78" t="str">
        <f>VLOOKUP('Area A'!B41,'Item List'!B:AJ,10,FALSE)</f>
        <v>None</v>
      </c>
      <c r="C250" s="78" t="str">
        <f>VLOOKUP(B250,'Item List'!B:AH,2,FALSE)</f>
        <v>None</v>
      </c>
      <c r="D250" s="78"/>
      <c r="E250" s="557">
        <f>VLOOKUP(B250,'Item List'!B:AM,33,FALSE)</f>
        <v>0</v>
      </c>
      <c r="F250" s="555">
        <f>VLOOKUP(B250,'Item List'!B:AJ,4,FALSE)</f>
        <v>0</v>
      </c>
      <c r="G250" s="555">
        <f t="shared" si="19"/>
        <v>0</v>
      </c>
      <c r="H250" s="593"/>
      <c r="I250" s="594">
        <f>ROUNDUP((E250*'Project Materials'!$D$18),0)</f>
        <v>0</v>
      </c>
      <c r="J250" s="559">
        <f t="shared" si="18"/>
        <v>0</v>
      </c>
    </row>
    <row r="251" spans="1:68" x14ac:dyDescent="0.4">
      <c r="A251" s="552" t="s">
        <v>457</v>
      </c>
      <c r="B251" s="377" t="s">
        <v>418</v>
      </c>
      <c r="C251" s="582" t="str">
        <f>VLOOKUP(B251,'Item List'!B:AH,2,FALSE)</f>
        <v>None</v>
      </c>
      <c r="D251" s="643"/>
      <c r="E251" s="384">
        <v>0</v>
      </c>
      <c r="F251" s="555">
        <f>VLOOKUP(B251,'Item List'!B:AJ,4,FALSE)</f>
        <v>0</v>
      </c>
      <c r="G251" s="555">
        <f t="shared" ref="G251:G265" si="20">F251*E251</f>
        <v>0</v>
      </c>
      <c r="H251" s="593"/>
      <c r="I251" s="594">
        <f>ROUNDUP((E251*'Project Materials'!$D$18),0)</f>
        <v>0</v>
      </c>
      <c r="J251" s="559">
        <f t="shared" si="18"/>
        <v>0</v>
      </c>
    </row>
    <row r="252" spans="1:68" x14ac:dyDescent="0.4">
      <c r="A252" s="552" t="s">
        <v>457</v>
      </c>
      <c r="B252" s="377" t="s">
        <v>418</v>
      </c>
      <c r="C252" s="582" t="str">
        <f>VLOOKUP(B252,'Item List'!B:AH,2,FALSE)</f>
        <v>None</v>
      </c>
      <c r="D252" s="643"/>
      <c r="E252" s="384">
        <v>0</v>
      </c>
      <c r="F252" s="555">
        <f>VLOOKUP(B252,'Item List'!B:AJ,4,FALSE)</f>
        <v>0</v>
      </c>
      <c r="G252" s="555">
        <f t="shared" si="20"/>
        <v>0</v>
      </c>
      <c r="H252" s="593"/>
      <c r="I252" s="594">
        <f>ROUNDUP((E252*'Project Materials'!$D$18),0)</f>
        <v>0</v>
      </c>
      <c r="J252" s="559">
        <f t="shared" ref="J252:J265" si="21">G252+(I252*F252)</f>
        <v>0</v>
      </c>
    </row>
    <row r="253" spans="1:68" x14ac:dyDescent="0.4">
      <c r="A253" s="552" t="s">
        <v>457</v>
      </c>
      <c r="B253" s="377" t="s">
        <v>418</v>
      </c>
      <c r="C253" s="582" t="str">
        <f>VLOOKUP(B253,'Item List'!B:AH,2,FALSE)</f>
        <v>None</v>
      </c>
      <c r="D253" s="643"/>
      <c r="E253" s="384">
        <v>0</v>
      </c>
      <c r="F253" s="555">
        <f>VLOOKUP(B253,'Item List'!B:AJ,4,FALSE)</f>
        <v>0</v>
      </c>
      <c r="G253" s="555">
        <f t="shared" si="20"/>
        <v>0</v>
      </c>
      <c r="H253" s="593"/>
      <c r="I253" s="594">
        <f>ROUNDUP((E253*'Project Materials'!$D$18),0)</f>
        <v>0</v>
      </c>
      <c r="J253" s="559">
        <f t="shared" si="21"/>
        <v>0</v>
      </c>
    </row>
    <row r="254" spans="1:68" x14ac:dyDescent="0.4">
      <c r="A254" s="552" t="s">
        <v>457</v>
      </c>
      <c r="B254" s="377" t="s">
        <v>418</v>
      </c>
      <c r="C254" s="582" t="str">
        <f>VLOOKUP(B254,'Item List'!B:AH,2,FALSE)</f>
        <v>None</v>
      </c>
      <c r="D254" s="643"/>
      <c r="E254" s="384">
        <v>0</v>
      </c>
      <c r="F254" s="555">
        <f>VLOOKUP(B254,'Item List'!B:AJ,4,FALSE)</f>
        <v>0</v>
      </c>
      <c r="G254" s="555">
        <f t="shared" si="20"/>
        <v>0</v>
      </c>
      <c r="H254" s="593"/>
      <c r="I254" s="594">
        <f>ROUNDUP((E254*'Project Materials'!$D$18),0)</f>
        <v>0</v>
      </c>
      <c r="J254" s="559">
        <f t="shared" si="21"/>
        <v>0</v>
      </c>
    </row>
    <row r="255" spans="1:68" x14ac:dyDescent="0.4">
      <c r="A255" s="552" t="s">
        <v>457</v>
      </c>
      <c r="B255" s="377" t="s">
        <v>418</v>
      </c>
      <c r="C255" s="582" t="str">
        <f>VLOOKUP(B255,'Item List'!B:AH,2,FALSE)</f>
        <v>None</v>
      </c>
      <c r="D255" s="643"/>
      <c r="E255" s="384">
        <v>0</v>
      </c>
      <c r="F255" s="555">
        <f>VLOOKUP(B255,'Item List'!B:AJ,4,FALSE)</f>
        <v>0</v>
      </c>
      <c r="G255" s="555">
        <f t="shared" si="20"/>
        <v>0</v>
      </c>
      <c r="H255" s="593"/>
      <c r="I255" s="594">
        <f>ROUNDUP((E255*'Project Materials'!$D$18),0)</f>
        <v>0</v>
      </c>
      <c r="J255" s="559">
        <f t="shared" si="21"/>
        <v>0</v>
      </c>
    </row>
    <row r="256" spans="1:68" x14ac:dyDescent="0.4">
      <c r="A256" s="552" t="s">
        <v>457</v>
      </c>
      <c r="B256" s="377" t="s">
        <v>418</v>
      </c>
      <c r="C256" s="644" t="str">
        <f>VLOOKUP(B256,'Item List'!B:AH,2,FALSE)</f>
        <v>None</v>
      </c>
      <c r="D256" s="645"/>
      <c r="E256" s="384">
        <v>0</v>
      </c>
      <c r="F256" s="555">
        <f>VLOOKUP(B256,'Item List'!B:AJ,4,FALSE)</f>
        <v>0</v>
      </c>
      <c r="G256" s="555">
        <f t="shared" ref="G256:G263" si="22">F256*E256</f>
        <v>0</v>
      </c>
      <c r="H256" s="593"/>
      <c r="I256" s="594">
        <f>ROUNDUP((E256*'Project Materials'!$D$18),0)</f>
        <v>0</v>
      </c>
      <c r="J256" s="559">
        <f t="shared" si="21"/>
        <v>0</v>
      </c>
    </row>
    <row r="257" spans="1:67" s="98" customFormat="1" x14ac:dyDescent="0.4">
      <c r="A257" s="552" t="s">
        <v>498</v>
      </c>
      <c r="B257" s="382"/>
      <c r="C257" s="382"/>
      <c r="D257" s="375"/>
      <c r="E257" s="375"/>
      <c r="F257" s="383"/>
      <c r="G257" s="555">
        <f t="shared" si="22"/>
        <v>0</v>
      </c>
      <c r="H257" s="593"/>
      <c r="I257" s="594">
        <f>ROUNDUP((E257*'Project Materials'!$D$18),0)</f>
        <v>0</v>
      </c>
      <c r="J257" s="559">
        <f>G257+(I257*F257)</f>
        <v>0</v>
      </c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9"/>
      <c r="AW257" s="39"/>
      <c r="AX257" s="39"/>
      <c r="AY257" s="39"/>
      <c r="AZ257" s="39"/>
      <c r="BA257" s="39"/>
      <c r="BB257" s="39"/>
      <c r="BC257" s="39"/>
      <c r="BD257" s="39"/>
      <c r="BE257" s="39"/>
      <c r="BF257" s="39"/>
      <c r="BG257" s="39"/>
      <c r="BH257" s="39"/>
      <c r="BI257" s="39"/>
      <c r="BJ257" s="39"/>
      <c r="BK257" s="39"/>
      <c r="BL257" s="39"/>
      <c r="BM257" s="39"/>
      <c r="BN257" s="39"/>
      <c r="BO257" s="39"/>
    </row>
    <row r="258" spans="1:67" s="98" customFormat="1" ht="18" customHeight="1" x14ac:dyDescent="0.4">
      <c r="A258" s="552" t="s">
        <v>498</v>
      </c>
      <c r="B258" s="382"/>
      <c r="C258" s="382"/>
      <c r="D258" s="375"/>
      <c r="E258" s="375"/>
      <c r="F258" s="383"/>
      <c r="G258" s="555">
        <f t="shared" si="22"/>
        <v>0</v>
      </c>
      <c r="H258" s="593"/>
      <c r="I258" s="594">
        <f>ROUNDUP((E258*'Project Materials'!$D$18),0)</f>
        <v>0</v>
      </c>
      <c r="J258" s="559">
        <f>G258+(I258*F258)</f>
        <v>0</v>
      </c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9"/>
      <c r="AW258" s="39"/>
      <c r="AX258" s="39"/>
      <c r="AY258" s="39"/>
      <c r="AZ258" s="39"/>
      <c r="BA258" s="39"/>
      <c r="BB258" s="39"/>
      <c r="BC258" s="39"/>
      <c r="BD258" s="39"/>
      <c r="BE258" s="39"/>
      <c r="BF258" s="39"/>
      <c r="BG258" s="39"/>
      <c r="BH258" s="39"/>
      <c r="BI258" s="39"/>
      <c r="BJ258" s="39"/>
      <c r="BK258" s="39"/>
      <c r="BL258" s="39"/>
      <c r="BM258" s="39"/>
      <c r="BN258" s="39"/>
      <c r="BO258" s="39"/>
    </row>
    <row r="259" spans="1:67" s="98" customFormat="1" x14ac:dyDescent="0.4">
      <c r="A259" s="552" t="s">
        <v>498</v>
      </c>
      <c r="B259" s="382"/>
      <c r="C259" s="382"/>
      <c r="D259" s="375"/>
      <c r="E259" s="375"/>
      <c r="F259" s="383"/>
      <c r="G259" s="555">
        <f t="shared" si="22"/>
        <v>0</v>
      </c>
      <c r="H259" s="593"/>
      <c r="I259" s="594">
        <f>ROUNDUP((E259*'Project Materials'!$D$18),0)</f>
        <v>0</v>
      </c>
      <c r="J259" s="559">
        <f>G259+(I259*F259)</f>
        <v>0</v>
      </c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9"/>
      <c r="AW259" s="39"/>
      <c r="AX259" s="39"/>
      <c r="AY259" s="39"/>
      <c r="AZ259" s="39"/>
      <c r="BA259" s="39"/>
      <c r="BB259" s="39"/>
      <c r="BC259" s="39"/>
      <c r="BD259" s="39"/>
      <c r="BE259" s="39"/>
      <c r="BF259" s="39"/>
      <c r="BG259" s="39"/>
      <c r="BH259" s="39"/>
      <c r="BI259" s="39"/>
      <c r="BJ259" s="39"/>
      <c r="BK259" s="39"/>
      <c r="BL259" s="39"/>
      <c r="BM259" s="39"/>
      <c r="BN259" s="39"/>
      <c r="BO259" s="39"/>
    </row>
    <row r="260" spans="1:67" x14ac:dyDescent="0.4">
      <c r="A260" s="552" t="s">
        <v>498</v>
      </c>
      <c r="B260" s="382"/>
      <c r="C260" s="382"/>
      <c r="D260" s="375"/>
      <c r="E260" s="375"/>
      <c r="F260" s="383"/>
      <c r="G260" s="555">
        <f t="shared" si="22"/>
        <v>0</v>
      </c>
      <c r="H260" s="593"/>
      <c r="I260" s="594">
        <f>ROUNDUP((E260*'Project Materials'!$D$18),0)</f>
        <v>0</v>
      </c>
      <c r="J260" s="559">
        <f t="shared" si="21"/>
        <v>0</v>
      </c>
    </row>
    <row r="261" spans="1:67" s="98" customFormat="1" x14ac:dyDescent="0.4">
      <c r="A261" s="552" t="s">
        <v>498</v>
      </c>
      <c r="B261" s="382"/>
      <c r="C261" s="382"/>
      <c r="D261" s="375"/>
      <c r="E261" s="375"/>
      <c r="F261" s="383"/>
      <c r="G261" s="555">
        <f t="shared" si="22"/>
        <v>0</v>
      </c>
      <c r="H261" s="593"/>
      <c r="I261" s="594">
        <f>ROUNDUP((E261*'Project Materials'!$D$18),0)</f>
        <v>0</v>
      </c>
      <c r="J261" s="559">
        <f t="shared" si="21"/>
        <v>0</v>
      </c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9"/>
      <c r="AW261" s="39"/>
      <c r="AX261" s="39"/>
      <c r="AY261" s="39"/>
      <c r="AZ261" s="39"/>
      <c r="BA261" s="39"/>
      <c r="BB261" s="39"/>
      <c r="BC261" s="39"/>
      <c r="BD261" s="39"/>
      <c r="BE261" s="39"/>
      <c r="BF261" s="39"/>
      <c r="BG261" s="39"/>
      <c r="BH261" s="39"/>
      <c r="BI261" s="39"/>
      <c r="BJ261" s="39"/>
      <c r="BK261" s="39"/>
      <c r="BL261" s="39"/>
      <c r="BM261" s="39"/>
      <c r="BN261" s="39"/>
      <c r="BO261" s="39"/>
    </row>
    <row r="262" spans="1:67" s="98" customFormat="1" ht="18" customHeight="1" x14ac:dyDescent="0.4">
      <c r="A262" s="552" t="s">
        <v>498</v>
      </c>
      <c r="B262" s="382"/>
      <c r="C262" s="382"/>
      <c r="D262" s="375"/>
      <c r="E262" s="375"/>
      <c r="F262" s="383"/>
      <c r="G262" s="555">
        <f t="shared" si="22"/>
        <v>0</v>
      </c>
      <c r="H262" s="593"/>
      <c r="I262" s="594">
        <f>ROUNDUP((E262*'Project Materials'!$D$18),0)</f>
        <v>0</v>
      </c>
      <c r="J262" s="559">
        <f t="shared" si="21"/>
        <v>0</v>
      </c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9"/>
      <c r="AW262" s="39"/>
      <c r="AX262" s="39"/>
      <c r="AY262" s="39"/>
      <c r="AZ262" s="39"/>
      <c r="BA262" s="39"/>
      <c r="BB262" s="39"/>
      <c r="BC262" s="39"/>
      <c r="BD262" s="39"/>
      <c r="BE262" s="39"/>
      <c r="BF262" s="39"/>
      <c r="BG262" s="39"/>
      <c r="BH262" s="39"/>
      <c r="BI262" s="39"/>
      <c r="BJ262" s="39"/>
      <c r="BK262" s="39"/>
      <c r="BL262" s="39"/>
      <c r="BM262" s="39"/>
      <c r="BN262" s="39"/>
      <c r="BO262" s="39"/>
    </row>
    <row r="263" spans="1:67" s="98" customFormat="1" x14ac:dyDescent="0.4">
      <c r="A263" s="552" t="s">
        <v>498</v>
      </c>
      <c r="B263" s="382"/>
      <c r="C263" s="382"/>
      <c r="D263" s="375"/>
      <c r="E263" s="375"/>
      <c r="F263" s="383"/>
      <c r="G263" s="555">
        <f t="shared" si="22"/>
        <v>0</v>
      </c>
      <c r="H263" s="593"/>
      <c r="I263" s="594">
        <f>ROUNDUP((E263*'Project Materials'!$D$18),0)</f>
        <v>0</v>
      </c>
      <c r="J263" s="559">
        <f t="shared" si="21"/>
        <v>0</v>
      </c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9"/>
      <c r="AW263" s="39"/>
      <c r="AX263" s="39"/>
      <c r="AY263" s="39"/>
      <c r="AZ263" s="39"/>
      <c r="BA263" s="39"/>
      <c r="BB263" s="39"/>
      <c r="BC263" s="39"/>
      <c r="BD263" s="39"/>
      <c r="BE263" s="39"/>
      <c r="BF263" s="39"/>
      <c r="BG263" s="39"/>
      <c r="BH263" s="39"/>
      <c r="BI263" s="39"/>
      <c r="BJ263" s="39"/>
      <c r="BK263" s="39"/>
      <c r="BL263" s="39"/>
      <c r="BM263" s="39"/>
      <c r="BN263" s="39"/>
      <c r="BO263" s="39"/>
    </row>
    <row r="264" spans="1:67" ht="18" customHeight="1" x14ac:dyDescent="0.4">
      <c r="A264" s="552" t="s">
        <v>498</v>
      </c>
      <c r="B264" s="382"/>
      <c r="C264" s="382"/>
      <c r="D264" s="375"/>
      <c r="E264" s="375"/>
      <c r="F264" s="383"/>
      <c r="G264" s="555">
        <f t="shared" si="20"/>
        <v>0</v>
      </c>
      <c r="H264" s="593"/>
      <c r="I264" s="594">
        <f>ROUNDUP((E264*'Project Materials'!$D$18),0)</f>
        <v>0</v>
      </c>
      <c r="J264" s="559">
        <f t="shared" si="21"/>
        <v>0</v>
      </c>
    </row>
    <row r="265" spans="1:67" x14ac:dyDescent="0.4">
      <c r="A265" s="552" t="s">
        <v>498</v>
      </c>
      <c r="B265" s="382"/>
      <c r="C265" s="382"/>
      <c r="D265" s="375"/>
      <c r="E265" s="375"/>
      <c r="F265" s="383"/>
      <c r="G265" s="555">
        <f t="shared" si="20"/>
        <v>0</v>
      </c>
      <c r="H265" s="593"/>
      <c r="I265" s="594">
        <f>ROUNDUP((E265*'Project Materials'!$D$18),0)</f>
        <v>0</v>
      </c>
      <c r="J265" s="559">
        <f t="shared" si="21"/>
        <v>0</v>
      </c>
    </row>
    <row r="266" spans="1:67" ht="16.5" customHeight="1" thickBot="1" x14ac:dyDescent="0.45">
      <c r="A266" s="15"/>
      <c r="B266" s="379"/>
      <c r="C266" s="379"/>
      <c r="D266" s="380"/>
      <c r="E266" s="380"/>
      <c r="F266" s="381"/>
      <c r="G266" s="37">
        <f>SUM(G199:G265)</f>
        <v>0</v>
      </c>
      <c r="H266" s="47"/>
      <c r="I266" s="37"/>
      <c r="J266" s="37">
        <f>SUM(J199:J265)</f>
        <v>0</v>
      </c>
    </row>
    <row r="267" spans="1:67" ht="15" thickTop="1" x14ac:dyDescent="0.4">
      <c r="B267" s="64"/>
      <c r="C267" s="64"/>
      <c r="D267" s="48"/>
      <c r="E267" s="49"/>
    </row>
    <row r="277" spans="1:1" x14ac:dyDescent="0.4">
      <c r="A277" s="270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12:B18 B22:B25 B29:B36 B251:B256 E251:E256 B257:F265" name="Range1"/>
  </protectedRanges>
  <mergeCells count="9">
    <mergeCell ref="L21:O21"/>
    <mergeCell ref="L4:M4"/>
    <mergeCell ref="A1:G1"/>
    <mergeCell ref="D2:E2"/>
    <mergeCell ref="L5:M5"/>
    <mergeCell ref="O5:P5"/>
    <mergeCell ref="L6:M6"/>
    <mergeCell ref="H2:J2"/>
    <mergeCell ref="A3:J3"/>
  </mergeCells>
  <conditionalFormatting sqref="B47:B63 B94 B199:B242 B120:B195">
    <cfRule type="containsText" dxfId="128" priority="20" operator="containsText" text="none">
      <formula>NOT(ISERROR(SEARCH("none",B47)))</formula>
    </cfRule>
  </conditionalFormatting>
  <conditionalFormatting sqref="B243:B250">
    <cfRule type="containsText" dxfId="127" priority="19" operator="containsText" text="none">
      <formula>NOT(ISERROR(SEARCH("none",B243)))</formula>
    </cfRule>
  </conditionalFormatting>
  <conditionalFormatting sqref="E26">
    <cfRule type="expression" dxfId="126" priority="18">
      <formula>(E26-E19)&lt;&gt;0</formula>
    </cfRule>
  </conditionalFormatting>
  <conditionalFormatting sqref="E19">
    <cfRule type="expression" dxfId="125" priority="17">
      <formula>(E19-E26)&lt;&gt;0</formula>
    </cfRule>
  </conditionalFormatting>
  <conditionalFormatting sqref="B64:B69">
    <cfRule type="containsText" dxfId="124" priority="13" operator="containsText" text="none">
      <formula>NOT(ISERROR(SEARCH("none",B64)))</formula>
    </cfRule>
  </conditionalFormatting>
  <conditionalFormatting sqref="B70:B75">
    <cfRule type="containsText" dxfId="123" priority="12" operator="containsText" text="none">
      <formula>NOT(ISERROR(SEARCH("none",B70)))</formula>
    </cfRule>
  </conditionalFormatting>
  <conditionalFormatting sqref="B76:B81">
    <cfRule type="containsText" dxfId="122" priority="11" operator="containsText" text="none">
      <formula>NOT(ISERROR(SEARCH("none",B76)))</formula>
    </cfRule>
  </conditionalFormatting>
  <conditionalFormatting sqref="B82:B87">
    <cfRule type="containsText" dxfId="121" priority="9" operator="containsText" text="none">
      <formula>NOT(ISERROR(SEARCH("none",B82)))</formula>
    </cfRule>
  </conditionalFormatting>
  <conditionalFormatting sqref="B88:B93">
    <cfRule type="containsText" dxfId="120" priority="8" operator="containsText" text="none">
      <formula>NOT(ISERROR(SEARCH("none",B88)))</formula>
    </cfRule>
  </conditionalFormatting>
  <conditionalFormatting sqref="B95:B106">
    <cfRule type="containsText" dxfId="119" priority="6" operator="containsText" text="none">
      <formula>NOT(ISERROR(SEARCH("none",B95)))</formula>
    </cfRule>
  </conditionalFormatting>
  <conditionalFormatting sqref="B107:B112">
    <cfRule type="containsText" dxfId="118" priority="5" operator="containsText" text="none">
      <formula>NOT(ISERROR(SEARCH("none",B107)))</formula>
    </cfRule>
  </conditionalFormatting>
  <conditionalFormatting sqref="B113:B118">
    <cfRule type="containsText" dxfId="117" priority="4" operator="containsText" text="none">
      <formula>NOT(ISERROR(SEARCH("none",B113)))</formula>
    </cfRule>
  </conditionalFormatting>
  <conditionalFormatting sqref="B119">
    <cfRule type="containsText" dxfId="116" priority="3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F0FC4676-470B-4878-AC12-0FD78F4A78BC}">
          <x14:formula1>
            <xm:f>'Item List'!#REF!</xm:f>
          </x14:formula1>
          <xm:sqref>B36</xm:sqref>
        </x14:dataValidation>
        <x14:dataValidation type="list" allowBlank="1" showInputMessage="1" showErrorMessage="1" xr:uid="{A0D0D9BF-7BD4-4359-B2B1-2E8714B46B88}">
          <x14:formula1>
            <xm:f>'Item List'!$B$140:$B$149</xm:f>
          </x14:formula1>
          <xm:sqref>B32</xm:sqref>
        </x14:dataValidation>
        <x14:dataValidation type="list" allowBlank="1" showInputMessage="1" showErrorMessage="1" xr:uid="{AF7BA51D-0A50-46BB-9224-D32767B9F7AC}">
          <x14:formula1>
            <xm:f>'Item List'!$B$128:$B$139</xm:f>
          </x14:formula1>
          <xm:sqref>B31</xm:sqref>
        </x14:dataValidation>
        <x14:dataValidation type="list" allowBlank="1" showInputMessage="1" showErrorMessage="1" xr:uid="{0C856DFB-A6C0-425F-B442-3676C7EDC92C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FC74C09-89AE-44DB-A63E-011C13E73C3D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D129C480-4A3E-4F76-BD40-00460081BAA7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C552EF77-2C34-49AB-A2ED-1A4A97A84D4D}">
          <x14:formula1>
            <xm:f>'Item List'!$B$46:$B$56</xm:f>
          </x14:formula1>
          <xm:sqref>B12:B14</xm:sqref>
        </x14:dataValidation>
        <x14:dataValidation type="list" allowBlank="1" showInputMessage="1" showErrorMessage="1" xr:uid="{CB59AADC-0ECB-4254-A030-03B0CEE02834}">
          <x14:formula1>
            <xm:f>'Item List'!$B$30:$B$43</xm:f>
          </x14:formula1>
          <xm:sqref>B8</xm:sqref>
        </x14:dataValidation>
        <x14:dataValidation type="list" allowBlank="1" showInputMessage="1" showErrorMessage="1" xr:uid="{B6BB590F-954F-4DAB-9DD1-E3F4FC6A6BBE}">
          <x14:formula1>
            <xm:f>'Item List'!$B$3:$B$26</xm:f>
          </x14:formula1>
          <xm:sqref>B7</xm:sqref>
        </x14:dataValidation>
        <x14:dataValidation type="list" allowBlank="1" showInputMessage="1" showErrorMessage="1" xr:uid="{DDE53748-5C6A-4F85-A1F0-8FCCBAC6448C}">
          <x14:formula1>
            <xm:f>'Item List'!$B$3:$B$28</xm:f>
          </x14:formula1>
          <xm:sqref>B5</xm:sqref>
        </x14:dataValidation>
        <x14:dataValidation type="list" allowBlank="1" showInputMessage="1" showErrorMessage="1" xr:uid="{20527F24-8B0D-4D41-BF82-CA1DF2DB859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32EF7F35-4479-4422-B0E6-054C7F03FE03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78DB27A8-A984-4011-9221-E874B6C90BEB}">
          <x14:formula1>
            <xm:f>'Item List'!$B$30:$B$44</xm:f>
          </x14:formula1>
          <xm:sqref>B6</xm:sqref>
        </x14:dataValidation>
        <x14:dataValidation type="list" allowBlank="1" showInputMessage="1" showErrorMessage="1" xr:uid="{31BDEF0E-2E24-47A3-8E7E-82C988D171EE}">
          <x14:formula1>
            <xm:f>'Item List'!$B$126:$B$127</xm:f>
          </x14:formula1>
          <xm:sqref>B35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5DBE5D-8376-48D3-BD7A-A2845DF1B439}">
  <sheetPr codeName="Sheet11">
    <tabColor theme="7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1" t="str">
        <f>IF('Project Materials'!C26="","",'Project Materials'!C26)</f>
        <v/>
      </c>
      <c r="B1" s="1112"/>
      <c r="C1" s="1112"/>
      <c r="D1" s="1112"/>
      <c r="E1" s="1112"/>
      <c r="F1" s="1112"/>
      <c r="G1" s="1112"/>
      <c r="H1" s="647"/>
      <c r="I1" s="648"/>
      <c r="J1" s="647"/>
      <c r="K1" s="64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52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54" t="s">
        <v>0</v>
      </c>
      <c r="B5" s="377" t="s">
        <v>418</v>
      </c>
      <c r="C5" s="78" t="str">
        <f>VLOOKUP(B5,'Item List'!B:AH,2,FALSE)</f>
        <v>None</v>
      </c>
      <c r="D5" s="553">
        <f>IF(B5="none",0,SUM('Project Materials'!$O$26*'Project Materials'!$P$26))</f>
        <v>0</v>
      </c>
      <c r="E5" s="554">
        <f>IF(K5="",(CEILING(('Project Materials'!$O$26/20),L5)*'Project Materials'!$P$26),(CEILING(('Project Materials'!$O$26/K5),L5)*'Project Materials'!$P$26))</f>
        <v>0</v>
      </c>
      <c r="F5" s="555">
        <f>IF(K5&gt;0,K5/20*(VLOOKUP(B5,'Item List'!B:AH,4,FALSE)),IF(B5="None",0,VLOOKUP(B5,'Item List'!B:AH,4,FALSE)))</f>
        <v>0</v>
      </c>
      <c r="G5" s="556">
        <f>F5*E5</f>
        <v>0</v>
      </c>
      <c r="H5" s="557">
        <f>ROUNDUP(D5*'Project Materials'!$H$16,0)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54" t="s">
        <v>413</v>
      </c>
      <c r="B6" s="377" t="s">
        <v>418</v>
      </c>
      <c r="C6" s="78" t="str">
        <f>VLOOKUP(B6,'Item List'!B:AH,2,FALSE)</f>
        <v>None</v>
      </c>
      <c r="D6" s="553">
        <f>IF(B6="none",0,SUM('Project Materials'!$O$26*'Project Materials'!$P$26))</f>
        <v>0</v>
      </c>
      <c r="E6" s="554">
        <f>IFERROR(CEILING(IF(K6="",(CEILING(('Project Materials'!$O$26/VLOOKUP(B6,'Item List'!B:AM,3,FALSE)),L6)*'Project Materials'!$P$26),(CEILING(('Project Materials'!$O$26/K6),L6)*'Project Materials'!$P$26)),L6),0)</f>
        <v>0</v>
      </c>
      <c r="F6" s="555">
        <f>IF(B6="None",0,VLOOKUP(B6,'Item List'!B:AH,4,FALSE))</f>
        <v>0</v>
      </c>
      <c r="G6" s="556">
        <f>F6*E6</f>
        <v>0</v>
      </c>
      <c r="H6" s="557">
        <f>ROUNDUP(D6*'Project Materials'!$H$16,0)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54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Materials'!$O$26*'Project Materials'!$P$26))</f>
        <v>0</v>
      </c>
      <c r="E7" s="560">
        <f>IF(K7="",(CEILING(('Project Materials'!$O$26/20),0.5)*'Project Materials'!$P$26),(CEILING(('Project Materials'!$O$26/K7),0.5)*'Project Materials'!$P$26))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Materials'!$H$16,0)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54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Materials'!$O$26*'Project Materials'!$P$26))</f>
        <v>0</v>
      </c>
      <c r="E8" s="560">
        <f>CEILING(IF(K8="",(CEILING(('Project Materials'!$O$26/20),0.25)*'Project Materials'!$P$26),(CEILING(('Project Materials'!$O$26/K8),0.25)*'Project Materials'!$P$26)),0.5)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Materials'!$H$16,0)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52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56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Materials'!K26*('Project Materials'!H26/12))*'Project Materials'!P26)</f>
        <v>0</v>
      </c>
      <c r="E12" s="558">
        <f>IFERROR(IF(B12="none",0,'Project Materials'!K26/(ROUNDDOWN(1/('Project Materials'!$H$26/(VLOOKUP('Area B'!B12,'Item List'!B:AJ,3,FALSE)*12)),0)))*'Project Materials'!P26,0)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Materials'!$D$17,0)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56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Materials'!J26*('Project Materials'!H26/12))*'Project Materials'!P26)</f>
        <v>0</v>
      </c>
      <c r="E13" s="558">
        <f>IFERROR(IF(B13="none",0,'Project Materials'!J26/(ROUNDDOWN(1/('Project Materials'!$H$26/(VLOOKUP('Area B'!B13,'Item List'!B:AJ,3,FALSE)*12)),0)))*'Project Materials'!P26,0)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Materials'!$D$17,0)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56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Materials'!M26*('Project Materials'!H26/12))*'Project Materials'!P26)</f>
        <v>0</v>
      </c>
      <c r="E14" s="558">
        <f>IFERROR(IF(B14="none",0,('Project Materials'!L26+'Project Materials'!M26)/(ROUNDDOWN(1/('Project Materials'!$H$26/(VLOOKUP('Area B'!B14,'Item List'!B:AJ,3,FALSE)*12)),0)))*'Project Materials'!P26,0)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Materials'!$D$17,0)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56" t="s">
        <v>702</v>
      </c>
      <c r="B15" s="377" t="s">
        <v>418</v>
      </c>
      <c r="C15" s="78" t="str">
        <f>VLOOKUP(B15,'Item List'!B:AJ,2,FALSE)</f>
        <v>None</v>
      </c>
      <c r="D15" s="574"/>
      <c r="E15" s="575">
        <f>IF(B15="None",0,SUM('Project Materials'!K26*'Project Materials'!P26))</f>
        <v>0</v>
      </c>
      <c r="F15" s="555">
        <f>VLOOKUP(B15,'Item List'!B:AJ,4,FALSE)</f>
        <v>0</v>
      </c>
      <c r="G15" s="556">
        <f t="shared" si="0"/>
        <v>0</v>
      </c>
      <c r="H15" s="557">
        <f>ROUNDUP(E15*'Project Materials'!$D$17,0)</f>
        <v>0</v>
      </c>
      <c r="I15" s="576"/>
      <c r="J15" s="559">
        <f>G15+(H15*F15)</f>
        <v>0</v>
      </c>
    </row>
    <row r="16" spans="1:67" x14ac:dyDescent="0.4">
      <c r="A16" s="656" t="s">
        <v>703</v>
      </c>
      <c r="B16" s="377" t="s">
        <v>418</v>
      </c>
      <c r="C16" s="78" t="str">
        <f>VLOOKUP(B16,'Item List'!B:AJ,2,FALSE)</f>
        <v>None</v>
      </c>
      <c r="D16" s="574"/>
      <c r="E16" s="575">
        <f>IF(B16="None",0,SUM('Project Materials'!J26*'Project Materials'!P26))</f>
        <v>0</v>
      </c>
      <c r="F16" s="555">
        <f>VLOOKUP(B16,'Item List'!B:AJ,4,FALSE)</f>
        <v>0</v>
      </c>
      <c r="G16" s="556">
        <f t="shared" si="0"/>
        <v>0</v>
      </c>
      <c r="H16" s="557">
        <f>ROUNDUP(E16*'Project Materials'!$D$17,0)</f>
        <v>0</v>
      </c>
      <c r="I16" s="576"/>
      <c r="J16" s="559">
        <f>G16+(H16*F16)</f>
        <v>0</v>
      </c>
    </row>
    <row r="17" spans="1:11" x14ac:dyDescent="0.4">
      <c r="A17" s="656" t="s">
        <v>710</v>
      </c>
      <c r="B17" s="377" t="s">
        <v>418</v>
      </c>
      <c r="C17" s="78" t="str">
        <f>VLOOKUP(B17,'Item List'!B:AJ,2,FALSE)</f>
        <v>None</v>
      </c>
      <c r="D17" s="574"/>
      <c r="E17" s="575">
        <f>IF(B17="None",0,SUM('Project Materials'!L26*'Project Materials'!P26))</f>
        <v>0</v>
      </c>
      <c r="F17" s="555">
        <f>VLOOKUP(B17,'Item List'!B:AJ,4,FALSE)</f>
        <v>0</v>
      </c>
      <c r="G17" s="556">
        <f t="shared" si="0"/>
        <v>0</v>
      </c>
      <c r="H17" s="557">
        <f>ROUNDUP(E17*'Project Materials'!$D$17,0)</f>
        <v>0</v>
      </c>
      <c r="I17" s="576"/>
      <c r="J17" s="559">
        <f>G17+(H17*F17)</f>
        <v>0</v>
      </c>
    </row>
    <row r="18" spans="1:11" x14ac:dyDescent="0.4">
      <c r="A18" s="656" t="s">
        <v>711</v>
      </c>
      <c r="B18" s="377" t="s">
        <v>418</v>
      </c>
      <c r="C18" s="78" t="str">
        <f>VLOOKUP(B18,'Item List'!B:AJ,2,FALSE)</f>
        <v>None</v>
      </c>
      <c r="D18" s="574"/>
      <c r="E18" s="575">
        <f>IF(B18="None",0,SUM('Project Materials'!M26*'Project Materials'!P26))</f>
        <v>0</v>
      </c>
      <c r="F18" s="555">
        <f>VLOOKUP(B18,'Item List'!B:AJ,4,FALSE)</f>
        <v>0</v>
      </c>
      <c r="G18" s="556">
        <f t="shared" si="0"/>
        <v>0</v>
      </c>
      <c r="H18" s="557">
        <f>ROUNDUP(E18*'Project Materials'!$D$17,0)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57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56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List'!B:AJ,34,FALSE)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Materials'!$H$18),0)</f>
        <v>0</v>
      </c>
      <c r="J22" s="559">
        <f>G22+(I22*F22)</f>
        <v>0</v>
      </c>
    </row>
    <row r="23" spans="1:11" x14ac:dyDescent="0.4">
      <c r="A23" s="656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List'!B:AJ,34,FALSE)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Materials'!$H$18),0)</f>
        <v>0</v>
      </c>
      <c r="J23" s="559">
        <f>G23+(I23*F23)</f>
        <v>0</v>
      </c>
    </row>
    <row r="24" spans="1:11" x14ac:dyDescent="0.4">
      <c r="A24" s="656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List'!B:AJ,34,FALSE)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Materials'!$H$18),0)</f>
        <v>0</v>
      </c>
      <c r="J24" s="559">
        <f>G24+(I24*F24)</f>
        <v>0</v>
      </c>
    </row>
    <row r="25" spans="1:11" x14ac:dyDescent="0.4">
      <c r="A25" s="656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List'!B:AJ,34,FALSE)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Materials'!$H$18),0)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57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54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Materials'!$V$26*'Project Materials'!$I$26)/12),0)</f>
        <v>0</v>
      </c>
      <c r="E29" s="575">
        <f>IF(B29="None",0,ROUNDUP(SUM(('Project Materials'!O26*'Project Materials'!P26)*VLOOKUP(B29,'Item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Materials'!$H$17,0)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54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Materials'!$V$26*'Project Materials'!$I$26)/12)</f>
        <v>0</v>
      </c>
      <c r="E30" s="575">
        <f>IF(B30="None",0,ROUNDUP(SUM('Project Materials'!O26*VLOOKUP(B30,'Item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Materials'!$H$17,0)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54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Materials'!H12*'Project Materials'!H13),1)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Materials'!$H$18,0)</f>
        <v>0</v>
      </c>
      <c r="I31" s="589"/>
      <c r="J31" s="559">
        <f>G31+(H31*F31)</f>
        <v>0</v>
      </c>
    </row>
    <row r="32" spans="1:11" x14ac:dyDescent="0.4">
      <c r="A32" s="654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Materials'!Q26=0,(((('Project Materials'!O26/4)*(2*'Project Materials'!H10))+('Project Materials'!O26*2*12))*'Project Materials'!P26),('Project Materials'!H11*2+'Project Materials'!H10*2)*'Project Materials'!H13))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Materials'!$H$18,0)</f>
        <v>0</v>
      </c>
      <c r="I32" s="589"/>
      <c r="J32" s="559">
        <f>G32+(H32*F32)</f>
        <v>0</v>
      </c>
    </row>
    <row r="33" spans="1:10" x14ac:dyDescent="0.4">
      <c r="A33" s="654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Materials'!$H$7+2)*'Project Materials'!$H$8*'Project Materials'!H9)*'Project Materials'!$P$26)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54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Materials'!$P$26)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54" t="s">
        <v>446</v>
      </c>
      <c r="B35" s="377" t="s">
        <v>418</v>
      </c>
      <c r="C35" s="78" t="str">
        <f>VLOOKUP(B35,'Item List'!B:AH,2,FALSE)</f>
        <v>None</v>
      </c>
      <c r="D35" s="558"/>
      <c r="E35" s="575">
        <f>IF(B35="none",0,ROUNDUP(('Project Materials'!H14*3)/ROUNDDOWN(259/'Project Materials'!I26,0),0))</f>
        <v>0</v>
      </c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Materials'!$H$18,0)</f>
        <v>0</v>
      </c>
      <c r="J35" s="559">
        <f>G35+(I35*F35)</f>
        <v>0</v>
      </c>
    </row>
    <row r="36" spans="1:10" x14ac:dyDescent="0.4">
      <c r="A36" s="654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Materials'!$H$18,0)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52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54" t="s">
        <v>438</v>
      </c>
      <c r="B40" s="78" t="str">
        <f>VLOOKUP('Area B'!B5,'Item List'!B:AH,12,FALSE)</f>
        <v>None</v>
      </c>
      <c r="C40" s="78" t="str">
        <f>VLOOKUP(B40,'Item List'!B:AH,2,FALSE)</f>
        <v>None</v>
      </c>
      <c r="D40" s="78"/>
      <c r="E40" s="558">
        <f>IF(B40="none",0,'Project Materials'!$W$26)</f>
        <v>0</v>
      </c>
      <c r="F40" s="555">
        <f>IF(B40="None",0,VLOOKUP(B40,'Item List'!B:AH,4,FALSE))</f>
        <v>0</v>
      </c>
      <c r="G40" s="556">
        <f>F40*E40</f>
        <v>0</v>
      </c>
      <c r="H40" s="593"/>
      <c r="I40" s="594">
        <f>ROUNDUP((E40*'Project Materials'!$H$18),0)</f>
        <v>0</v>
      </c>
      <c r="J40" s="559">
        <f>G40+(I40*F40)</f>
        <v>0</v>
      </c>
    </row>
    <row r="41" spans="1:10" x14ac:dyDescent="0.4">
      <c r="A41" s="654" t="s">
        <v>439</v>
      </c>
      <c r="B41" s="78" t="str">
        <f>VLOOKUP('Area B'!B6,'Item List'!B:AH,12,FALSE)</f>
        <v>None</v>
      </c>
      <c r="C41" s="78" t="str">
        <f>VLOOKUP(B41,'Item List'!B:AH,2,FALSE)</f>
        <v>None</v>
      </c>
      <c r="D41" s="78"/>
      <c r="E41" s="558">
        <f>IF(B41="none",0,'Project Materials'!$X$26)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Materials'!$H$18),0)</f>
        <v>0</v>
      </c>
      <c r="J41" s="559">
        <f>G41+(I41*F41)</f>
        <v>0</v>
      </c>
    </row>
    <row r="42" spans="1:10" x14ac:dyDescent="0.4">
      <c r="A42" s="654" t="s">
        <v>438</v>
      </c>
      <c r="B42" s="78" t="str">
        <f>VLOOKUP('Area B'!B7,'Item List'!B:AH,12,FALSE)</f>
        <v>None</v>
      </c>
      <c r="C42" s="78" t="str">
        <f>VLOOKUP(B42,'Item List'!B:AH,2,FALSE)</f>
        <v>None</v>
      </c>
      <c r="D42" s="78"/>
      <c r="E42" s="558">
        <f>IF(B42="none",0,'Project Materials'!$W$26)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Materials'!$H$18),0)</f>
        <v>0</v>
      </c>
      <c r="J42" s="559">
        <f>G42+(I42*F42)</f>
        <v>0</v>
      </c>
    </row>
    <row r="43" spans="1:10" x14ac:dyDescent="0.4">
      <c r="A43" s="654" t="s">
        <v>439</v>
      </c>
      <c r="B43" s="78" t="str">
        <f>VLOOKUP('Area B'!B8,'Item List'!B:AH,12,FALSE)</f>
        <v>None</v>
      </c>
      <c r="C43" s="585" t="str">
        <f>VLOOKUP(B43,'Item List'!B:AH,2,FALSE)</f>
        <v>None</v>
      </c>
      <c r="D43" s="585"/>
      <c r="E43" s="558">
        <f>IF(B43="none",0,'Project Materials'!$X$26)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Materials'!$H$18),0)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52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54" t="s">
        <v>795</v>
      </c>
      <c r="B47" s="78" t="str">
        <f>IF('Area B'!B5="None","None",VLOOKUP('Area B'!$B$5,'Item List'!B:AL,13,FALSE))</f>
        <v>None</v>
      </c>
      <c r="C47" s="78" t="str">
        <f>VLOOKUP(B47,'Item List'!B:AH,2,FALSE)</f>
        <v>None</v>
      </c>
      <c r="D47" s="78"/>
      <c r="E47" s="575">
        <f>VLOOKUP(B47,'Item List'!B:AM,34,FALSE)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Materials'!$H$18),0)</f>
        <v>0</v>
      </c>
      <c r="J47" s="559">
        <f>G47+(I47*F47)</f>
        <v>0</v>
      </c>
    </row>
    <row r="48" spans="1:10" x14ac:dyDescent="0.4">
      <c r="A48" s="654" t="s">
        <v>796</v>
      </c>
      <c r="B48" s="78" t="str">
        <f>IF('Area B'!B6="None","None",VLOOKUP('Area B'!$B6,'Item List'!B:AL,13,FALSE))</f>
        <v>None</v>
      </c>
      <c r="C48" s="78" t="str">
        <f>VLOOKUP(B48,'Item List'!B:AH,2,FALSE)</f>
        <v>None</v>
      </c>
      <c r="D48" s="78"/>
      <c r="E48" s="575">
        <f>VLOOKUP(B48,'Item List'!B:AM,34,FALSE)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Materials'!$H$18),0)</f>
        <v>0</v>
      </c>
      <c r="J48" s="559">
        <f>G48+(I48*F48)</f>
        <v>0</v>
      </c>
    </row>
    <row r="49" spans="1:10" x14ac:dyDescent="0.4">
      <c r="A49" s="654" t="s">
        <v>795</v>
      </c>
      <c r="B49" s="78" t="str">
        <f>IF('Area B'!B7="None","None",VLOOKUP('Area B'!$B7,'Item List'!B:AL,13,FALSE))</f>
        <v>None</v>
      </c>
      <c r="C49" s="596" t="str">
        <f>VLOOKUP(B49,'Item List'!B:AH,2,FALSE)</f>
        <v>None</v>
      </c>
      <c r="D49" s="596"/>
      <c r="E49" s="575">
        <f>VLOOKUP(B49,'Item List'!B:AM,34,FALSE)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Materials'!$H$18),0)</f>
        <v>0</v>
      </c>
      <c r="J49" s="559">
        <f>G49+(I49*F49)</f>
        <v>0</v>
      </c>
    </row>
    <row r="50" spans="1:10" x14ac:dyDescent="0.4">
      <c r="A50" s="654" t="s">
        <v>796</v>
      </c>
      <c r="B50" s="585" t="str">
        <f>IF('Area B'!B8="None","None",VLOOKUP('Area B'!$B8,'Item List'!B:AL,13,FALSE))</f>
        <v>None</v>
      </c>
      <c r="C50" s="597" t="str">
        <f>VLOOKUP(B50,'Item List'!B:AH,2,FALSE)</f>
        <v>None</v>
      </c>
      <c r="D50" s="597"/>
      <c r="E50" s="598">
        <f>VLOOKUP(B50,'Item List'!B:AM,34,FALSE)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Materials'!$H$18),0)</f>
        <v>0</v>
      </c>
      <c r="J50" s="603">
        <f>G50+(I50*F50)</f>
        <v>0</v>
      </c>
    </row>
    <row r="51" spans="1:10" x14ac:dyDescent="0.4">
      <c r="A51" s="65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56" t="s">
        <v>699</v>
      </c>
      <c r="B52" s="78" t="str">
        <f>VLOOKUP('Area B'!$B$12,'Item List'!B:AL,13,FALSE)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Materials'!$H$18),0)</f>
        <v>0</v>
      </c>
      <c r="J52" s="559">
        <f>G52+(I52*F52)</f>
        <v>0</v>
      </c>
    </row>
    <row r="53" spans="1:10" x14ac:dyDescent="0.4">
      <c r="A53" s="656" t="s">
        <v>699</v>
      </c>
      <c r="B53" s="78" t="str">
        <f>VLOOKUP('Area B'!$B$12,'Item List'!B:AL,14,FALSE)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Materials'!$H$18),0)</f>
        <v>0</v>
      </c>
      <c r="J53" s="559">
        <f>G53+(I53*F53)</f>
        <v>0</v>
      </c>
    </row>
    <row r="54" spans="1:10" x14ac:dyDescent="0.4">
      <c r="A54" s="656" t="s">
        <v>699</v>
      </c>
      <c r="B54" s="78" t="str">
        <f>VLOOKUP('Area B'!$B$12,'Item List'!B:AL,15,FALSE)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Materials'!$H$18),0)</f>
        <v>0</v>
      </c>
      <c r="J54" s="559">
        <f>G54+(I54*F54)</f>
        <v>0</v>
      </c>
    </row>
    <row r="55" spans="1:10" x14ac:dyDescent="0.4">
      <c r="A55" s="656" t="s">
        <v>699</v>
      </c>
      <c r="B55" s="78" t="str">
        <f>VLOOKUP('Area B'!$B$12,'Item List'!B:AL,16,FALSE)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Materials'!$H$18),0)</f>
        <v>0</v>
      </c>
      <c r="J55" s="559">
        <f>G55+(I55*F55)</f>
        <v>0</v>
      </c>
    </row>
    <row r="56" spans="1:10" x14ac:dyDescent="0.4">
      <c r="A56" s="656" t="s">
        <v>699</v>
      </c>
      <c r="B56" s="78" t="str">
        <f>VLOOKUP('Area B'!$B$12,'Item List'!B:AL,17,FALSE)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Materials'!$H$18),0)</f>
        <v>0</v>
      </c>
      <c r="J56" s="559">
        <f t="shared" ref="J56:J93" si="2">G56+(I56*F56)</f>
        <v>0</v>
      </c>
    </row>
    <row r="57" spans="1:10" x14ac:dyDescent="0.4">
      <c r="A57" s="656" t="s">
        <v>699</v>
      </c>
      <c r="B57" s="585" t="str">
        <f>VLOOKUP('Area B'!$B$12,'Item List'!B:AL,18,FALSE)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Materials'!$H$18),0)</f>
        <v>0</v>
      </c>
      <c r="J57" s="603">
        <f t="shared" si="2"/>
        <v>0</v>
      </c>
    </row>
    <row r="58" spans="1:10" x14ac:dyDescent="0.4">
      <c r="A58" s="656" t="s">
        <v>700</v>
      </c>
      <c r="B58" s="78" t="str">
        <f>VLOOKUP('Area B'!$B$13,'Item List'!B:AL,13,FALSE)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Materials'!$H$18),0)</f>
        <v>0</v>
      </c>
      <c r="J58" s="559">
        <f t="shared" si="2"/>
        <v>0</v>
      </c>
    </row>
    <row r="59" spans="1:10" x14ac:dyDescent="0.4">
      <c r="A59" s="656" t="s">
        <v>700</v>
      </c>
      <c r="B59" s="78" t="str">
        <f>VLOOKUP('Area B'!$B$13,'Item List'!B:AL,14,FALSE)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Materials'!$H$18),0)</f>
        <v>0</v>
      </c>
      <c r="J59" s="559">
        <f t="shared" si="2"/>
        <v>0</v>
      </c>
    </row>
    <row r="60" spans="1:10" x14ac:dyDescent="0.4">
      <c r="A60" s="656" t="s">
        <v>700</v>
      </c>
      <c r="B60" s="78" t="str">
        <f>VLOOKUP('Area B'!$B$13,'Item List'!B:AL,15,FALSE)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Materials'!$H$18),0)</f>
        <v>0</v>
      </c>
      <c r="J60" s="559">
        <f t="shared" si="2"/>
        <v>0</v>
      </c>
    </row>
    <row r="61" spans="1:10" x14ac:dyDescent="0.4">
      <c r="A61" s="656" t="s">
        <v>700</v>
      </c>
      <c r="B61" s="78" t="str">
        <f>VLOOKUP('Area B'!$B$13,'Item List'!B:AL,16,FALSE)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Materials'!$H$18),0)</f>
        <v>0</v>
      </c>
      <c r="J61" s="559">
        <f t="shared" si="2"/>
        <v>0</v>
      </c>
    </row>
    <row r="62" spans="1:10" x14ac:dyDescent="0.4">
      <c r="A62" s="656" t="s">
        <v>700</v>
      </c>
      <c r="B62" s="78" t="str">
        <f>VLOOKUP('Area B'!$B$13,'Item List'!B:AL,17,FALSE)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Materials'!$H$18),0)</f>
        <v>0</v>
      </c>
      <c r="J62" s="559">
        <f t="shared" si="2"/>
        <v>0</v>
      </c>
    </row>
    <row r="63" spans="1:10" x14ac:dyDescent="0.4">
      <c r="A63" s="656" t="s">
        <v>700</v>
      </c>
      <c r="B63" s="615" t="str">
        <f>VLOOKUP('Area B'!$B$13,'Item List'!B:AL,18,FALSE)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Materials'!$H$18),0)</f>
        <v>0</v>
      </c>
      <c r="J63" s="619">
        <f t="shared" si="2"/>
        <v>0</v>
      </c>
    </row>
    <row r="64" spans="1:10" x14ac:dyDescent="0.4">
      <c r="A64" s="656" t="s">
        <v>701</v>
      </c>
      <c r="B64" s="78" t="str">
        <f>VLOOKUP('Area B'!$B$14,'Item List'!B:AL,13,FALSE)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Materials'!$H$18),0)</f>
        <v>0</v>
      </c>
      <c r="J64" s="559">
        <f t="shared" si="2"/>
        <v>0</v>
      </c>
    </row>
    <row r="65" spans="1:10" x14ac:dyDescent="0.4">
      <c r="A65" s="656" t="s">
        <v>701</v>
      </c>
      <c r="B65" s="78" t="str">
        <f>VLOOKUP('Area B'!$B$14,'Item List'!B:AL,14,FALSE)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Materials'!$H$18),0)</f>
        <v>0</v>
      </c>
      <c r="J65" s="559">
        <f t="shared" si="2"/>
        <v>0</v>
      </c>
    </row>
    <row r="66" spans="1:10" x14ac:dyDescent="0.4">
      <c r="A66" s="656" t="s">
        <v>701</v>
      </c>
      <c r="B66" s="78" t="str">
        <f>VLOOKUP('Area B'!$B$14,'Item List'!B:AL,15,FALSE)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Materials'!$H$18),0)</f>
        <v>0</v>
      </c>
      <c r="J66" s="559">
        <f t="shared" si="2"/>
        <v>0</v>
      </c>
    </row>
    <row r="67" spans="1:10" x14ac:dyDescent="0.4">
      <c r="A67" s="656" t="s">
        <v>701</v>
      </c>
      <c r="B67" s="78" t="str">
        <f>VLOOKUP('Area B'!$B$14,'Item List'!B:AL,16,FALSE)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Materials'!$H$18),0)</f>
        <v>0</v>
      </c>
      <c r="J67" s="559">
        <f t="shared" si="2"/>
        <v>0</v>
      </c>
    </row>
    <row r="68" spans="1:10" x14ac:dyDescent="0.4">
      <c r="A68" s="656" t="s">
        <v>701</v>
      </c>
      <c r="B68" s="78" t="str">
        <f>VLOOKUP('Area B'!$B$14,'Item List'!B:AL,17,FALSE)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Materials'!$H$18),0)</f>
        <v>0</v>
      </c>
      <c r="J68" s="559">
        <f t="shared" si="2"/>
        <v>0</v>
      </c>
    </row>
    <row r="69" spans="1:10" x14ac:dyDescent="0.4">
      <c r="A69" s="656" t="s">
        <v>701</v>
      </c>
      <c r="B69" s="585" t="str">
        <f>VLOOKUP('Area B'!$B$14,'Item List'!B:AL,18,FALSE)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Materials'!$H$18),0)</f>
        <v>0</v>
      </c>
      <c r="J69" s="603">
        <f t="shared" si="2"/>
        <v>0</v>
      </c>
    </row>
    <row r="70" spans="1:10" x14ac:dyDescent="0.4">
      <c r="A70" s="656" t="s">
        <v>702</v>
      </c>
      <c r="B70" s="78" t="str">
        <f>VLOOKUP('Area B'!$B$15,'Item List'!B:AL,13,FALSE)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Materials'!$H$18),0)</f>
        <v>0</v>
      </c>
      <c r="J70" s="559">
        <f t="shared" si="2"/>
        <v>0</v>
      </c>
    </row>
    <row r="71" spans="1:10" x14ac:dyDescent="0.4">
      <c r="A71" s="656" t="s">
        <v>702</v>
      </c>
      <c r="B71" s="78" t="str">
        <f>VLOOKUP('Area B'!$B$15,'Item List'!B:AL,14,FALSE)</f>
        <v>None</v>
      </c>
      <c r="C71" s="78" t="str">
        <f>VLOOKUP(B71,'Item List'!B:AH,2,FALSE)</f>
        <v>None</v>
      </c>
      <c r="D71" s="78"/>
      <c r="E71" s="575">
        <f>$E$15*VLOOKUP(B71,'Item List'!B:AM,38,FALSE)</f>
        <v>0</v>
      </c>
      <c r="F71" s="595">
        <f>VLOOKUP(B71,'Item List'!B:AH,4,FALSE)</f>
        <v>0</v>
      </c>
      <c r="G71" s="556">
        <f t="shared" si="1"/>
        <v>0</v>
      </c>
      <c r="H71" s="593"/>
      <c r="I71" s="594">
        <f>ROUNDUP((E71*'Project Materials'!$H$18),0)</f>
        <v>0</v>
      </c>
      <c r="J71" s="559">
        <f t="shared" si="2"/>
        <v>0</v>
      </c>
    </row>
    <row r="72" spans="1:10" x14ac:dyDescent="0.4">
      <c r="A72" s="656" t="s">
        <v>702</v>
      </c>
      <c r="B72" s="78" t="str">
        <f>VLOOKUP('Area B'!$B$15,'Item List'!B:AL,15,FALSE)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Materials'!$H$18),0)</f>
        <v>0</v>
      </c>
      <c r="J72" s="559">
        <f t="shared" si="2"/>
        <v>0</v>
      </c>
    </row>
    <row r="73" spans="1:10" x14ac:dyDescent="0.4">
      <c r="A73" s="656" t="s">
        <v>702</v>
      </c>
      <c r="B73" s="78" t="str">
        <f>VLOOKUP('Area B'!$B$15,'Item List'!B:AL,16,FALSE)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Materials'!$H$18),0)</f>
        <v>0</v>
      </c>
      <c r="J73" s="559">
        <f t="shared" si="2"/>
        <v>0</v>
      </c>
    </row>
    <row r="74" spans="1:10" x14ac:dyDescent="0.4">
      <c r="A74" s="656" t="s">
        <v>702</v>
      </c>
      <c r="B74" s="78" t="str">
        <f>VLOOKUP('Area B'!$B$15,'Item List'!B:AL,17,FALSE)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Materials'!$H$18),0)</f>
        <v>0</v>
      </c>
      <c r="J74" s="559">
        <f t="shared" si="2"/>
        <v>0</v>
      </c>
    </row>
    <row r="75" spans="1:10" x14ac:dyDescent="0.4">
      <c r="A75" s="656" t="s">
        <v>702</v>
      </c>
      <c r="B75" s="585" t="str">
        <f>VLOOKUP('Area B'!$B$15,'Item List'!B:AL,18,FALSE)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Materials'!$H$18),0)</f>
        <v>0</v>
      </c>
      <c r="J75" s="603">
        <f t="shared" si="2"/>
        <v>0</v>
      </c>
    </row>
    <row r="76" spans="1:10" x14ac:dyDescent="0.4">
      <c r="A76" s="656" t="s">
        <v>703</v>
      </c>
      <c r="B76" s="78" t="str">
        <f>VLOOKUP('Area B'!$B$16,'Item List'!B:AL,13,FALSE)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Materials'!$H$18),0)</f>
        <v>0</v>
      </c>
      <c r="J76" s="559">
        <f t="shared" si="2"/>
        <v>0</v>
      </c>
    </row>
    <row r="77" spans="1:10" x14ac:dyDescent="0.4">
      <c r="A77" s="656" t="s">
        <v>703</v>
      </c>
      <c r="B77" s="78" t="str">
        <f>VLOOKUP('Area B'!$B$16,'Item List'!B:AL,14,FALSE)</f>
        <v>None</v>
      </c>
      <c r="C77" s="78" t="str">
        <f>VLOOKUP(B77,'Item List'!B:AH,2,FALSE)</f>
        <v>None</v>
      </c>
      <c r="D77" s="78"/>
      <c r="E77" s="575">
        <f>$E$16*VLOOKUP(B77,'Item List'!B:AM,38,FALSE)</f>
        <v>0</v>
      </c>
      <c r="F77" s="595">
        <f>VLOOKUP(B77,'Item List'!B:AH,4,FALSE)</f>
        <v>0</v>
      </c>
      <c r="G77" s="556">
        <f t="shared" si="1"/>
        <v>0</v>
      </c>
      <c r="H77" s="593"/>
      <c r="I77" s="594">
        <f>ROUNDUP((E77*'Project Materials'!$H$18),0)</f>
        <v>0</v>
      </c>
      <c r="J77" s="559">
        <f t="shared" si="2"/>
        <v>0</v>
      </c>
    </row>
    <row r="78" spans="1:10" x14ac:dyDescent="0.4">
      <c r="A78" s="656" t="s">
        <v>703</v>
      </c>
      <c r="B78" s="78" t="str">
        <f>VLOOKUP('Area B'!$B$16,'Item List'!B:AL,15,FALSE)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Materials'!$H$18),0)</f>
        <v>0</v>
      </c>
      <c r="J78" s="559">
        <f t="shared" si="2"/>
        <v>0</v>
      </c>
    </row>
    <row r="79" spans="1:10" x14ac:dyDescent="0.4">
      <c r="A79" s="656" t="s">
        <v>703</v>
      </c>
      <c r="B79" s="78" t="str">
        <f>VLOOKUP('Area B'!$B$16,'Item List'!B:AL,16,FALSE)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Materials'!$H$18),0)</f>
        <v>0</v>
      </c>
      <c r="J79" s="559">
        <f t="shared" si="2"/>
        <v>0</v>
      </c>
    </row>
    <row r="80" spans="1:10" x14ac:dyDescent="0.4">
      <c r="A80" s="656" t="s">
        <v>703</v>
      </c>
      <c r="B80" s="78" t="str">
        <f>VLOOKUP('Area B'!$B$16,'Item List'!B:AL,17,FALSE)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Materials'!$H$18),0)</f>
        <v>0</v>
      </c>
      <c r="J80" s="559">
        <f t="shared" si="2"/>
        <v>0</v>
      </c>
    </row>
    <row r="81" spans="1:10" x14ac:dyDescent="0.4">
      <c r="A81" s="656" t="s">
        <v>703</v>
      </c>
      <c r="B81" s="585" t="str">
        <f>VLOOKUP('Area B'!$B$16,'Item List'!B:AL,18,FALSE)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Materials'!$H$18),0)</f>
        <v>0</v>
      </c>
      <c r="J81" s="603">
        <f t="shared" si="2"/>
        <v>0</v>
      </c>
    </row>
    <row r="82" spans="1:10" x14ac:dyDescent="0.4">
      <c r="A82" s="656" t="s">
        <v>710</v>
      </c>
      <c r="B82" s="78" t="str">
        <f>VLOOKUP('Area B'!$B$17,'Item List'!B:AL,13,FALSE)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Materials'!$H$18),0)</f>
        <v>0</v>
      </c>
      <c r="J82" s="559">
        <f t="shared" si="2"/>
        <v>0</v>
      </c>
    </row>
    <row r="83" spans="1:10" x14ac:dyDescent="0.4">
      <c r="A83" s="656" t="s">
        <v>710</v>
      </c>
      <c r="B83" s="78" t="str">
        <f>VLOOKUP('Area B'!$B$17,'Item List'!B:AL,14,FALSE)</f>
        <v>None</v>
      </c>
      <c r="C83" s="620" t="str">
        <f>VLOOKUP(B83,'Item List'!B:AH,2,FALSE)</f>
        <v>None</v>
      </c>
      <c r="D83" s="620"/>
      <c r="E83" s="575">
        <f>$E$17*VLOOKUP(B83,'Item List'!B:AM,38,FALSE)</f>
        <v>0</v>
      </c>
      <c r="F83" s="595">
        <f>VLOOKUP(B83,'Item List'!B:AH,4,FALSE)</f>
        <v>0</v>
      </c>
      <c r="G83" s="556">
        <f t="shared" si="1"/>
        <v>0</v>
      </c>
      <c r="H83" s="593"/>
      <c r="I83" s="594">
        <f>ROUNDUP((E83*'Project Materials'!$H$18),0)</f>
        <v>0</v>
      </c>
      <c r="J83" s="559">
        <f t="shared" si="2"/>
        <v>0</v>
      </c>
    </row>
    <row r="84" spans="1:10" x14ac:dyDescent="0.4">
      <c r="A84" s="656" t="s">
        <v>710</v>
      </c>
      <c r="B84" s="78" t="str">
        <f>VLOOKUP('Area B'!$B$17,'Item List'!B:AL,15,FALSE)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Materials'!$H$18),0)</f>
        <v>0</v>
      </c>
      <c r="J84" s="559">
        <f t="shared" si="2"/>
        <v>0</v>
      </c>
    </row>
    <row r="85" spans="1:10" x14ac:dyDescent="0.4">
      <c r="A85" s="656" t="s">
        <v>710</v>
      </c>
      <c r="B85" s="78" t="str">
        <f>VLOOKUP('Area B'!$B$17,'Item List'!B:AL,16,FALSE)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Materials'!$H$18),0)</f>
        <v>0</v>
      </c>
      <c r="J85" s="559">
        <f t="shared" si="2"/>
        <v>0</v>
      </c>
    </row>
    <row r="86" spans="1:10" x14ac:dyDescent="0.4">
      <c r="A86" s="656" t="s">
        <v>710</v>
      </c>
      <c r="B86" s="78" t="str">
        <f>VLOOKUP('Area B'!$B$17,'Item List'!B:AL,17,FALSE)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Materials'!$H$18),0)</f>
        <v>0</v>
      </c>
      <c r="J86" s="559">
        <f t="shared" si="2"/>
        <v>0</v>
      </c>
    </row>
    <row r="87" spans="1:10" x14ac:dyDescent="0.4">
      <c r="A87" s="656" t="s">
        <v>710</v>
      </c>
      <c r="B87" s="585" t="str">
        <f>VLOOKUP('Area B'!$B$17,'Item List'!B:AL,18,FALSE)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Materials'!$H$18),0)</f>
        <v>0</v>
      </c>
      <c r="J87" s="626">
        <f t="shared" si="2"/>
        <v>0</v>
      </c>
    </row>
    <row r="88" spans="1:10" x14ac:dyDescent="0.4">
      <c r="A88" s="656" t="s">
        <v>711</v>
      </c>
      <c r="B88" s="78" t="str">
        <f>VLOOKUP('Area B'!$B$18,'Item List'!B:AL,13,FALSE)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Materials'!$H$18),0)</f>
        <v>0</v>
      </c>
      <c r="J88" s="632">
        <f t="shared" si="2"/>
        <v>0</v>
      </c>
    </row>
    <row r="89" spans="1:10" x14ac:dyDescent="0.4">
      <c r="A89" s="656" t="s">
        <v>711</v>
      </c>
      <c r="B89" s="78" t="str">
        <f>VLOOKUP('Area B'!$B$18,'Item List'!B:AL,14,FALSE)</f>
        <v>None</v>
      </c>
      <c r="C89" s="620" t="str">
        <f>VLOOKUP(B89,'Item List'!B:AH,2,FALSE)</f>
        <v>None</v>
      </c>
      <c r="D89" s="620"/>
      <c r="E89" s="621">
        <f>$E$18*VLOOKUP(B89,'Item List'!B:AM,38,FALSE)</f>
        <v>0</v>
      </c>
      <c r="F89" s="622">
        <f>VLOOKUP(B89,'Item List'!B:AH,4,FALSE)</f>
        <v>0</v>
      </c>
      <c r="G89" s="623">
        <f t="shared" si="1"/>
        <v>0</v>
      </c>
      <c r="H89" s="624"/>
      <c r="I89" s="625">
        <f>ROUNDUP((E89*'Project Materials'!$H$18),0)</f>
        <v>0</v>
      </c>
      <c r="J89" s="626">
        <f t="shared" si="2"/>
        <v>0</v>
      </c>
    </row>
    <row r="90" spans="1:10" x14ac:dyDescent="0.4">
      <c r="A90" s="656" t="s">
        <v>711</v>
      </c>
      <c r="B90" s="78" t="str">
        <f>VLOOKUP('Area B'!$B$18,'Item List'!B:AL,15,FALSE)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Materials'!$H$18),0)</f>
        <v>0</v>
      </c>
      <c r="J90" s="626">
        <f t="shared" si="2"/>
        <v>0</v>
      </c>
    </row>
    <row r="91" spans="1:10" x14ac:dyDescent="0.4">
      <c r="A91" s="656" t="s">
        <v>711</v>
      </c>
      <c r="B91" s="78" t="str">
        <f>VLOOKUP('Area B'!$B$18,'Item List'!B:AL,16,FALSE)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Materials'!$H$18),0)</f>
        <v>0</v>
      </c>
      <c r="J91" s="626">
        <f t="shared" si="2"/>
        <v>0</v>
      </c>
    </row>
    <row r="92" spans="1:10" x14ac:dyDescent="0.4">
      <c r="A92" s="656" t="s">
        <v>711</v>
      </c>
      <c r="B92" s="78" t="str">
        <f>VLOOKUP('Area B'!$B$18,'Item List'!B:AL,17,FALSE)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Materials'!$H$18),0)</f>
        <v>0</v>
      </c>
      <c r="J92" s="626">
        <f t="shared" si="2"/>
        <v>0</v>
      </c>
    </row>
    <row r="93" spans="1:10" x14ac:dyDescent="0.4">
      <c r="A93" s="656" t="s">
        <v>711</v>
      </c>
      <c r="B93" s="585" t="str">
        <f>VLOOKUP('Area B'!$B$18,'Item List'!B:AL,18,FALSE)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Materials'!$H$18),0)</f>
        <v>0</v>
      </c>
      <c r="J93" s="603">
        <f t="shared" si="2"/>
        <v>0</v>
      </c>
    </row>
    <row r="94" spans="1:10" x14ac:dyDescent="0.4">
      <c r="A94" s="65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54" t="s">
        <v>6</v>
      </c>
      <c r="B95" s="78" t="str">
        <f>VLOOKUP('Area B'!$B$22,'Item List'!B:AL,13,FALSE)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Materials'!$H$18),0)</f>
        <v>0</v>
      </c>
      <c r="J95" s="559">
        <f>G95+(I95*F95)</f>
        <v>0</v>
      </c>
    </row>
    <row r="96" spans="1:10" x14ac:dyDescent="0.4">
      <c r="A96" s="654" t="s">
        <v>6</v>
      </c>
      <c r="B96" s="78" t="str">
        <f>VLOOKUP('Area B'!$B$22,'Item List'!B:AL,14,FALSE)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Materials'!$H$18),0)</f>
        <v>0</v>
      </c>
      <c r="J96" s="559">
        <f>G96+(I96*F96)</f>
        <v>0</v>
      </c>
    </row>
    <row r="97" spans="1:10" x14ac:dyDescent="0.4">
      <c r="A97" s="654" t="s">
        <v>6</v>
      </c>
      <c r="B97" s="78" t="str">
        <f>VLOOKUP('Area B'!$B$22,'Item List'!B:AL,15,FALSE)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Materials'!$H$18),0)</f>
        <v>0</v>
      </c>
      <c r="J97" s="559">
        <f>G97+(I97*F97)</f>
        <v>0</v>
      </c>
    </row>
    <row r="98" spans="1:10" x14ac:dyDescent="0.4">
      <c r="A98" s="654" t="s">
        <v>6</v>
      </c>
      <c r="B98" s="78" t="str">
        <f>VLOOKUP('Area B'!$B$22,'Item List'!B:AL,16,FALSE)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Materials'!$H$18),0)</f>
        <v>0</v>
      </c>
      <c r="J98" s="559">
        <f>G98+(I98*F98)</f>
        <v>0</v>
      </c>
    </row>
    <row r="99" spans="1:10" x14ac:dyDescent="0.4">
      <c r="A99" s="654" t="s">
        <v>6</v>
      </c>
      <c r="B99" s="78" t="str">
        <f>VLOOKUP('Area B'!$B$22,'Item List'!B:AL,17,FALSE)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Materials'!$H$18),0)</f>
        <v>0</v>
      </c>
      <c r="J99" s="559">
        <f t="shared" ref="J99:J118" si="4">G99+(I99*F99)</f>
        <v>0</v>
      </c>
    </row>
    <row r="100" spans="1:10" x14ac:dyDescent="0.4">
      <c r="A100" s="659" t="s">
        <v>6</v>
      </c>
      <c r="B100" s="585" t="str">
        <f>VLOOKUP('Area B'!$B$22,'Item List'!B:AL,18,FALSE)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Materials'!$H$18),0)</f>
        <v>0</v>
      </c>
      <c r="J100" s="603">
        <f t="shared" si="4"/>
        <v>0</v>
      </c>
    </row>
    <row r="101" spans="1:10" x14ac:dyDescent="0.4">
      <c r="A101" s="654" t="s">
        <v>6</v>
      </c>
      <c r="B101" s="78" t="str">
        <f>VLOOKUP('Area B'!$B$23,'Item List'!B:AL,13,FALSE)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Materials'!$H$18),0)</f>
        <v>0</v>
      </c>
      <c r="J101" s="559">
        <f t="shared" si="4"/>
        <v>0</v>
      </c>
    </row>
    <row r="102" spans="1:10" x14ac:dyDescent="0.4">
      <c r="A102" s="654" t="s">
        <v>6</v>
      </c>
      <c r="B102" s="78" t="str">
        <f>VLOOKUP('Area B'!$B$23,'Item List'!B:AL,14,FALSE)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Materials'!$H$18),0)</f>
        <v>0</v>
      </c>
      <c r="J102" s="559">
        <f t="shared" si="4"/>
        <v>0</v>
      </c>
    </row>
    <row r="103" spans="1:10" x14ac:dyDescent="0.4">
      <c r="A103" s="654" t="s">
        <v>6</v>
      </c>
      <c r="B103" s="78" t="str">
        <f>VLOOKUP('Area B'!$B$23,'Item List'!B:AL,15,FALSE)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Materials'!$H$18),0)</f>
        <v>0</v>
      </c>
      <c r="J103" s="559">
        <f t="shared" si="4"/>
        <v>0</v>
      </c>
    </row>
    <row r="104" spans="1:10" x14ac:dyDescent="0.4">
      <c r="A104" s="654" t="s">
        <v>6</v>
      </c>
      <c r="B104" s="78" t="str">
        <f>VLOOKUP('Area B'!$B$23,'Item List'!B:AL,16,FALSE)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Materials'!$H$18),0)</f>
        <v>0</v>
      </c>
      <c r="J104" s="559">
        <f t="shared" si="4"/>
        <v>0</v>
      </c>
    </row>
    <row r="105" spans="1:10" x14ac:dyDescent="0.4">
      <c r="A105" s="654" t="s">
        <v>6</v>
      </c>
      <c r="B105" s="78" t="str">
        <f>VLOOKUP('Area B'!$B$23,'Item List'!B:AL,17,FALSE)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Materials'!$H$18),0)</f>
        <v>0</v>
      </c>
      <c r="J105" s="559">
        <f t="shared" si="4"/>
        <v>0</v>
      </c>
    </row>
    <row r="106" spans="1:10" x14ac:dyDescent="0.4">
      <c r="A106" s="659" t="s">
        <v>6</v>
      </c>
      <c r="B106" s="615" t="str">
        <f>VLOOKUP('Area B'!$B$23,'Item List'!B:AL,18,FALSE)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Materials'!$H$18),0)</f>
        <v>0</v>
      </c>
      <c r="J106" s="619">
        <f t="shared" si="4"/>
        <v>0</v>
      </c>
    </row>
    <row r="107" spans="1:10" x14ac:dyDescent="0.4">
      <c r="A107" s="654" t="s">
        <v>6</v>
      </c>
      <c r="B107" s="78" t="str">
        <f>VLOOKUP('Area B'!$B$24,'Item List'!B:AL,13,FALSE)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Materials'!$H$18),0)</f>
        <v>0</v>
      </c>
      <c r="J107" s="559">
        <f t="shared" si="4"/>
        <v>0</v>
      </c>
    </row>
    <row r="108" spans="1:10" x14ac:dyDescent="0.4">
      <c r="A108" s="654" t="s">
        <v>6</v>
      </c>
      <c r="B108" s="78" t="str">
        <f>VLOOKUP('Area B'!$B$24,'Item List'!B:AL,14,FALSE)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Materials'!$H$18),0)</f>
        <v>0</v>
      </c>
      <c r="J108" s="559">
        <f t="shared" si="4"/>
        <v>0</v>
      </c>
    </row>
    <row r="109" spans="1:10" x14ac:dyDescent="0.4">
      <c r="A109" s="654" t="s">
        <v>6</v>
      </c>
      <c r="B109" s="78" t="str">
        <f>VLOOKUP('Area B'!$B$24,'Item List'!B:AL,15,FALSE)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Materials'!$H$18),0)</f>
        <v>0</v>
      </c>
      <c r="J109" s="559">
        <f t="shared" si="4"/>
        <v>0</v>
      </c>
    </row>
    <row r="110" spans="1:10" x14ac:dyDescent="0.4">
      <c r="A110" s="654" t="s">
        <v>6</v>
      </c>
      <c r="B110" s="78" t="str">
        <f>VLOOKUP('Area B'!$B$24,'Item List'!B:AL,16,FALSE)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Materials'!$H$18),0)</f>
        <v>0</v>
      </c>
      <c r="J110" s="559">
        <f t="shared" si="4"/>
        <v>0</v>
      </c>
    </row>
    <row r="111" spans="1:10" x14ac:dyDescent="0.4">
      <c r="A111" s="654" t="s">
        <v>6</v>
      </c>
      <c r="B111" s="78" t="str">
        <f>VLOOKUP('Area B'!$B$24,'Item List'!B:AL,17,FALSE)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Materials'!$H$18),0)</f>
        <v>0</v>
      </c>
      <c r="J111" s="559">
        <f t="shared" si="4"/>
        <v>0</v>
      </c>
    </row>
    <row r="112" spans="1:10" x14ac:dyDescent="0.4">
      <c r="A112" s="659" t="s">
        <v>6</v>
      </c>
      <c r="B112" s="585" t="str">
        <f>VLOOKUP('Area B'!$B$24,'Item List'!B:AL,18,FALSE)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Materials'!$H$18),0)</f>
        <v>0</v>
      </c>
      <c r="J112" s="603">
        <f t="shared" si="4"/>
        <v>0</v>
      </c>
    </row>
    <row r="113" spans="1:10" x14ac:dyDescent="0.4">
      <c r="A113" s="654" t="s">
        <v>6</v>
      </c>
      <c r="B113" s="78" t="str">
        <f>VLOOKUP('Area B'!$B$25,'Item List'!B:AL,13,FALSE)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Materials'!$H$18),0)</f>
        <v>0</v>
      </c>
      <c r="J113" s="559">
        <f t="shared" si="4"/>
        <v>0</v>
      </c>
    </row>
    <row r="114" spans="1:10" x14ac:dyDescent="0.4">
      <c r="A114" s="654" t="s">
        <v>6</v>
      </c>
      <c r="B114" s="78" t="str">
        <f>VLOOKUP('Area B'!$B$25,'Item List'!B:AL,14,FALSE)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Materials'!$H$18),0)</f>
        <v>0</v>
      </c>
      <c r="J114" s="559">
        <f t="shared" si="4"/>
        <v>0</v>
      </c>
    </row>
    <row r="115" spans="1:10" x14ac:dyDescent="0.4">
      <c r="A115" s="654" t="s">
        <v>6</v>
      </c>
      <c r="B115" s="78" t="str">
        <f>VLOOKUP('Area B'!$B$25,'Item List'!B:AL,15,FALSE)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Materials'!$H$18),0)</f>
        <v>0</v>
      </c>
      <c r="J115" s="559">
        <f t="shared" si="4"/>
        <v>0</v>
      </c>
    </row>
    <row r="116" spans="1:10" x14ac:dyDescent="0.4">
      <c r="A116" s="654" t="s">
        <v>6</v>
      </c>
      <c r="B116" s="78" t="str">
        <f>VLOOKUP('Area B'!$B$25,'Item List'!B:AL,16,FALSE)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Materials'!$H$18),0)</f>
        <v>0</v>
      </c>
      <c r="J116" s="559">
        <f t="shared" si="4"/>
        <v>0</v>
      </c>
    </row>
    <row r="117" spans="1:10" x14ac:dyDescent="0.4">
      <c r="A117" s="654" t="s">
        <v>6</v>
      </c>
      <c r="B117" s="78" t="str">
        <f>VLOOKUP('Area B'!$B$25,'Item List'!B:AL,17,FALSE)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Materials'!$H$18),0)</f>
        <v>0</v>
      </c>
      <c r="J117" s="559">
        <f t="shared" si="4"/>
        <v>0</v>
      </c>
    </row>
    <row r="118" spans="1:10" x14ac:dyDescent="0.4">
      <c r="A118" s="654" t="s">
        <v>6</v>
      </c>
      <c r="B118" s="585" t="str">
        <f>VLOOKUP('Area B'!$B$25,'Item List'!B:AL,18,FALSE)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Materials'!$H$18),0)</f>
        <v>0</v>
      </c>
      <c r="J118" s="603">
        <f t="shared" si="4"/>
        <v>0</v>
      </c>
    </row>
    <row r="119" spans="1:10" x14ac:dyDescent="0.4">
      <c r="A119" s="65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54" t="s">
        <v>448</v>
      </c>
      <c r="B120" s="78" t="str">
        <f>VLOOKUP('Area B'!B29,'Item List'!B:AL,13,FALSE)</f>
        <v>None</v>
      </c>
      <c r="C120" s="78" t="str">
        <f>VLOOKUP(B120,'Item List'!B:AH,2,FALSE)</f>
        <v>None</v>
      </c>
      <c r="D120" s="78"/>
      <c r="E120" s="575">
        <f>VLOOKUP(B120,'Item List'!B:AM,34,FALSE)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Materials'!$H$18),0)</f>
        <v>0</v>
      </c>
      <c r="J120" s="559">
        <f t="shared" ref="J120:J131" si="6">G120+(I120*F120)</f>
        <v>0</v>
      </c>
    </row>
    <row r="121" spans="1:10" x14ac:dyDescent="0.4">
      <c r="A121" s="659" t="s">
        <v>448</v>
      </c>
      <c r="B121" s="585" t="str">
        <f>VLOOKUP('Area B'!B30,'Item List'!B:AL,13,FALSE)</f>
        <v>None</v>
      </c>
      <c r="C121" s="585" t="str">
        <f>VLOOKUP(B121,'Item List'!B:AH,2,FALSE)</f>
        <v>None</v>
      </c>
      <c r="D121" s="585"/>
      <c r="E121" s="598">
        <f>VLOOKUP(B121,'Item List'!B:AM,34,FALSE)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Materials'!$H$18),0)</f>
        <v>0</v>
      </c>
      <c r="J121" s="603">
        <f t="shared" si="6"/>
        <v>0</v>
      </c>
    </row>
    <row r="122" spans="1:10" x14ac:dyDescent="0.4">
      <c r="A122" s="654" t="s">
        <v>449</v>
      </c>
      <c r="B122" s="78" t="str">
        <f>VLOOKUP('Area B'!B31,'Item List'!B:AL,13,FALSE)</f>
        <v>None</v>
      </c>
      <c r="C122" s="78" t="str">
        <f>VLOOKUP(B122,'Item List'!B:AH,2,FALSE)</f>
        <v>None</v>
      </c>
      <c r="D122" s="78"/>
      <c r="E122" s="575">
        <f>VLOOKUP(B122,'Item List'!B:AM,34,FALSE)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Materials'!$H$18),0)</f>
        <v>0</v>
      </c>
      <c r="J122" s="559">
        <f t="shared" si="6"/>
        <v>0</v>
      </c>
    </row>
    <row r="123" spans="1:10" x14ac:dyDescent="0.4">
      <c r="A123" s="659" t="s">
        <v>449</v>
      </c>
      <c r="B123" s="585" t="str">
        <f>VLOOKUP('Area B'!B32,'Item List'!B:AL,13,FALSE)</f>
        <v>None</v>
      </c>
      <c r="C123" s="585" t="str">
        <f>VLOOKUP(B123,'Item List'!B:AH,2,FALSE)</f>
        <v>None</v>
      </c>
      <c r="D123" s="585"/>
      <c r="E123" s="598">
        <f>VLOOKUP(B123,'Item List'!B:AM,34,FALSE)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Materials'!$H$18),0)</f>
        <v>0</v>
      </c>
      <c r="J123" s="603">
        <f t="shared" si="6"/>
        <v>0</v>
      </c>
    </row>
    <row r="124" spans="1:10" x14ac:dyDescent="0.4">
      <c r="A124" s="654" t="s">
        <v>450</v>
      </c>
      <c r="B124" s="78" t="str">
        <f>VLOOKUP('Area B'!B33,'Item List'!B:AL,13,FALSE)</f>
        <v>None</v>
      </c>
      <c r="C124" s="78" t="str">
        <f>VLOOKUP(B124,'Item List'!B:AH,2,FALSE)</f>
        <v>None</v>
      </c>
      <c r="D124" s="78"/>
      <c r="E124" s="575">
        <f>VLOOKUP(B124,'Item List'!B:AM,34,FALSE)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Materials'!$H$18),0)</f>
        <v>0</v>
      </c>
      <c r="J124" s="559">
        <f t="shared" si="6"/>
        <v>0</v>
      </c>
    </row>
    <row r="125" spans="1:10" x14ac:dyDescent="0.4">
      <c r="A125" s="659" t="s">
        <v>450</v>
      </c>
      <c r="B125" s="585" t="str">
        <f>VLOOKUP('Area B'!B34,'Item List'!B:AL,13,FALSE)</f>
        <v>None</v>
      </c>
      <c r="C125" s="585" t="str">
        <f>VLOOKUP(B125,'Item List'!B:AH,2,FALSE)</f>
        <v>None</v>
      </c>
      <c r="D125" s="585"/>
      <c r="E125" s="598">
        <f>VLOOKUP(B125,'Item List'!B:AM,34,FALSE)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Materials'!$H$18),0)</f>
        <v>0</v>
      </c>
      <c r="J125" s="603">
        <f t="shared" si="6"/>
        <v>0</v>
      </c>
    </row>
    <row r="126" spans="1:10" x14ac:dyDescent="0.4">
      <c r="A126" s="654" t="s">
        <v>451</v>
      </c>
      <c r="B126" s="78" t="str">
        <f>VLOOKUP('Area B'!B35,'Item List'!B:AL,13,FALSE)</f>
        <v>None</v>
      </c>
      <c r="C126" s="78" t="str">
        <f>VLOOKUP(B126,'Item List'!B:AH,2,FALSE)</f>
        <v>None</v>
      </c>
      <c r="D126" s="78"/>
      <c r="E126" s="575">
        <f>VLOOKUP(B126,'Item List'!B:AM,34,FALSE)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Materials'!$H$18),0)</f>
        <v>0</v>
      </c>
      <c r="J126" s="559">
        <f t="shared" si="6"/>
        <v>0</v>
      </c>
    </row>
    <row r="127" spans="1:10" x14ac:dyDescent="0.4">
      <c r="A127" s="659" t="s">
        <v>451</v>
      </c>
      <c r="B127" s="585" t="str">
        <f>VLOOKUP('Area B'!B36,'Item List'!B:AL,13,FALSE)</f>
        <v>None</v>
      </c>
      <c r="C127" s="585" t="str">
        <f>VLOOKUP(B127,'Item List'!B:AH,2,FALSE)</f>
        <v>None</v>
      </c>
      <c r="D127" s="585"/>
      <c r="E127" s="598">
        <f>VLOOKUP(B127,'Item List'!B:AM,34,FALSE)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Materials'!$H$18),0)</f>
        <v>0</v>
      </c>
      <c r="J127" s="603">
        <f t="shared" si="6"/>
        <v>0</v>
      </c>
    </row>
    <row r="128" spans="1:10" x14ac:dyDescent="0.4">
      <c r="A128" s="654" t="s">
        <v>363</v>
      </c>
      <c r="B128" s="78" t="str">
        <f>VLOOKUP('Area B'!B40,'Item List'!B:AL,13,FALSE)</f>
        <v>None</v>
      </c>
      <c r="C128" s="78" t="str">
        <f>VLOOKUP(B128,'Item List'!B:AH,2,FALSE)</f>
        <v>None</v>
      </c>
      <c r="D128" s="78"/>
      <c r="E128" s="575">
        <f>E40*VLOOKUP(B128,'Item List'!B:AM,38,FALSE)</f>
        <v>0</v>
      </c>
      <c r="F128" s="595">
        <f>VLOOKUP(B128,'Item List'!B:AH,4,FALSE)</f>
        <v>0</v>
      </c>
      <c r="G128" s="556">
        <f t="shared" si="5"/>
        <v>0</v>
      </c>
      <c r="H128" s="593"/>
      <c r="I128" s="594">
        <f>ROUNDUP((E128*'Project Materials'!$H$18),0)</f>
        <v>0</v>
      </c>
      <c r="J128" s="559">
        <f t="shared" si="6"/>
        <v>0</v>
      </c>
    </row>
    <row r="129" spans="1:10" x14ac:dyDescent="0.4">
      <c r="A129" s="659" t="s">
        <v>363</v>
      </c>
      <c r="B129" s="585" t="str">
        <f>VLOOKUP('Area B'!B41,'Item List'!B:AL,13,FALSE)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Materials'!$H$18),0)</f>
        <v>0</v>
      </c>
      <c r="J129" s="603">
        <f t="shared" si="6"/>
        <v>0</v>
      </c>
    </row>
    <row r="130" spans="1:10" x14ac:dyDescent="0.4">
      <c r="A130" s="654" t="s">
        <v>7</v>
      </c>
      <c r="B130" s="78" t="str">
        <f>VLOOKUP('Area B'!B47,'Item List'!B:AL,13,FALSE)</f>
        <v>None</v>
      </c>
      <c r="C130" s="78" t="str">
        <f>VLOOKUP(B130,'Item List'!B:AH,2,FALSE)</f>
        <v>None</v>
      </c>
      <c r="D130" s="78"/>
      <c r="E130" s="575">
        <f>VLOOKUP(B130,'Item List'!B:AM,34,FALSE)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Materials'!$H$18),0)</f>
        <v>0</v>
      </c>
      <c r="J130" s="559">
        <f t="shared" si="6"/>
        <v>0</v>
      </c>
    </row>
    <row r="131" spans="1:10" x14ac:dyDescent="0.4">
      <c r="A131" s="654" t="s">
        <v>7</v>
      </c>
      <c r="B131" s="78" t="str">
        <f>VLOOKUP('Area B'!B47,'Item List'!B:AL,18,FALSE)</f>
        <v>None</v>
      </c>
      <c r="C131" s="78" t="str">
        <f>VLOOKUP(B131,'Item List'!B:AH,2,FALSE)</f>
        <v>None</v>
      </c>
      <c r="D131" s="78"/>
      <c r="E131" s="575">
        <f>VLOOKUP(B131,'Item List'!B:AM,34,FALSE)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Materials'!$H$18),0)</f>
        <v>0</v>
      </c>
      <c r="J131" s="559">
        <f t="shared" si="6"/>
        <v>0</v>
      </c>
    </row>
    <row r="132" spans="1:10" x14ac:dyDescent="0.4">
      <c r="A132" s="654" t="s">
        <v>7</v>
      </c>
      <c r="B132" s="78" t="str">
        <f>VLOOKUP('Area B'!B48,'Item List'!B:AL,13,FALSE)</f>
        <v>None</v>
      </c>
      <c r="C132" s="78" t="str">
        <f>VLOOKUP(B132,'Item List'!B:AH,2,FALSE)</f>
        <v>None</v>
      </c>
      <c r="D132" s="78"/>
      <c r="E132" s="575">
        <f>VLOOKUP(B132,'Item List'!B:AM,34,FALSE)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Materials'!$H$18),0)</f>
        <v>0</v>
      </c>
      <c r="J132" s="559">
        <f t="shared" ref="J132:J143" si="8">G132+(I132*F132)</f>
        <v>0</v>
      </c>
    </row>
    <row r="133" spans="1:10" x14ac:dyDescent="0.4">
      <c r="A133" s="654" t="s">
        <v>7</v>
      </c>
      <c r="B133" s="78" t="str">
        <f>VLOOKUP('Area B'!B48,'Item List'!B:AL,18,FALSE)</f>
        <v>None</v>
      </c>
      <c r="C133" s="78" t="str">
        <f>VLOOKUP(B133,'Item List'!B:AH,2,FALSE)</f>
        <v>None</v>
      </c>
      <c r="D133" s="78"/>
      <c r="E133" s="575">
        <f>VLOOKUP(B134,'Item List'!B:AM,34,FALSE)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Materials'!$H$18),0)</f>
        <v>0</v>
      </c>
      <c r="J133" s="559">
        <f t="shared" si="8"/>
        <v>0</v>
      </c>
    </row>
    <row r="134" spans="1:10" x14ac:dyDescent="0.4">
      <c r="A134" s="654" t="s">
        <v>7</v>
      </c>
      <c r="B134" s="78" t="str">
        <f>VLOOKUP('Area B'!B49,'Item List'!B:AL,13,FALSE)</f>
        <v>None</v>
      </c>
      <c r="C134" s="78" t="str">
        <f>VLOOKUP(B134,'Item List'!B:AH,2,FALSE)</f>
        <v>None</v>
      </c>
      <c r="D134" s="78"/>
      <c r="E134" s="575">
        <f>VLOOKUP(B134,'Item List'!B:AM,34,FALSE)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Materials'!$H$18),0)</f>
        <v>0</v>
      </c>
      <c r="J134" s="559">
        <f t="shared" si="8"/>
        <v>0</v>
      </c>
    </row>
    <row r="135" spans="1:10" x14ac:dyDescent="0.4">
      <c r="A135" s="654" t="s">
        <v>7</v>
      </c>
      <c r="B135" s="78" t="str">
        <f>VLOOKUP('Area B'!B49,'Item List'!B:AL,18,FALSE)</f>
        <v>None</v>
      </c>
      <c r="C135" s="78" t="str">
        <f>VLOOKUP(B135,'Item List'!B:AH,2,FALSE)</f>
        <v>None</v>
      </c>
      <c r="D135" s="78"/>
      <c r="E135" s="575">
        <f>VLOOKUP(B135,'Item List'!B:AM,34,FALSE)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Materials'!$H$18),0)</f>
        <v>0</v>
      </c>
      <c r="J135" s="559">
        <f t="shared" si="8"/>
        <v>0</v>
      </c>
    </row>
    <row r="136" spans="1:10" x14ac:dyDescent="0.4">
      <c r="A136" s="654" t="s">
        <v>7</v>
      </c>
      <c r="B136" s="78" t="str">
        <f>VLOOKUP('Area B'!B50,'Item List'!B:AL,13,FALSE)</f>
        <v>None</v>
      </c>
      <c r="C136" s="78" t="str">
        <f>VLOOKUP(B136,'Item List'!B:AH,2,FALSE)</f>
        <v>None</v>
      </c>
      <c r="D136" s="78"/>
      <c r="E136" s="575">
        <f>VLOOKUP(B136,'Item List'!B:AM,34,FALSE)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Materials'!$H$18),0)</f>
        <v>0</v>
      </c>
      <c r="J136" s="559">
        <f t="shared" si="8"/>
        <v>0</v>
      </c>
    </row>
    <row r="137" spans="1:10" x14ac:dyDescent="0.4">
      <c r="A137" s="654" t="s">
        <v>7</v>
      </c>
      <c r="B137" s="78" t="str">
        <f>VLOOKUP('Area B'!B50,'Item List'!B:AL,18,FALSE)</f>
        <v>None</v>
      </c>
      <c r="C137" s="78" t="str">
        <f>VLOOKUP(B137,'Item List'!B:AH,2,FALSE)</f>
        <v>None</v>
      </c>
      <c r="D137" s="78"/>
      <c r="E137" s="575">
        <f>VLOOKUP(B137,'Item List'!B:AM,34,FALSE)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Materials'!$H$18),0)</f>
        <v>0</v>
      </c>
      <c r="J137" s="559">
        <f t="shared" si="8"/>
        <v>0</v>
      </c>
    </row>
    <row r="138" spans="1:10" x14ac:dyDescent="0.4">
      <c r="A138" s="654" t="s">
        <v>7</v>
      </c>
      <c r="B138" s="78" t="str">
        <f>VLOOKUP('Area B'!B52,'Item List'!B:AL,13,FALSE)</f>
        <v>None</v>
      </c>
      <c r="C138" s="78" t="str">
        <f>VLOOKUP(B138,'Item List'!B:AH,2,FALSE)</f>
        <v>None</v>
      </c>
      <c r="D138" s="78"/>
      <c r="E138" s="575">
        <f>VLOOKUP(B138,'Item List'!B:AM,34,FALSE)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Materials'!$H$18),0)</f>
        <v>0</v>
      </c>
      <c r="J138" s="559">
        <f t="shared" si="8"/>
        <v>0</v>
      </c>
    </row>
    <row r="139" spans="1:10" x14ac:dyDescent="0.4">
      <c r="A139" s="654" t="s">
        <v>7</v>
      </c>
      <c r="B139" s="78" t="str">
        <f>VLOOKUP('Area B'!B52,'Item List'!B:AL,18,FALSE)</f>
        <v>None</v>
      </c>
      <c r="C139" s="78" t="str">
        <f>VLOOKUP(B139,'Item List'!B:AH,2,FALSE)</f>
        <v>None</v>
      </c>
      <c r="D139" s="78"/>
      <c r="E139" s="575">
        <f>VLOOKUP(B139,'Item List'!B:AM,34,FALSE)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Materials'!$H$18),0)</f>
        <v>0</v>
      </c>
      <c r="J139" s="559">
        <f t="shared" si="8"/>
        <v>0</v>
      </c>
    </row>
    <row r="140" spans="1:10" x14ac:dyDescent="0.4">
      <c r="A140" s="654" t="s">
        <v>7</v>
      </c>
      <c r="B140" s="78" t="str">
        <f>VLOOKUP('Area B'!B53,'Item List'!B:AL,13,FALSE)</f>
        <v>None</v>
      </c>
      <c r="C140" s="78" t="str">
        <f>VLOOKUP(B140,'Item List'!B:AH,2,FALSE)</f>
        <v>None</v>
      </c>
      <c r="D140" s="78"/>
      <c r="E140" s="575">
        <f>VLOOKUP(B140,'Item List'!B:AM,34,FALSE)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Materials'!$H$18),0)</f>
        <v>0</v>
      </c>
      <c r="J140" s="559">
        <f t="shared" si="8"/>
        <v>0</v>
      </c>
    </row>
    <row r="141" spans="1:10" x14ac:dyDescent="0.4">
      <c r="A141" s="654" t="s">
        <v>7</v>
      </c>
      <c r="B141" s="78" t="str">
        <f>VLOOKUP('Area B'!B53,'Item List'!B:AL,18,FALSE)</f>
        <v>None</v>
      </c>
      <c r="C141" s="78" t="str">
        <f>VLOOKUP(B141,'Item List'!B:AH,2,FALSE)</f>
        <v>None</v>
      </c>
      <c r="D141" s="78"/>
      <c r="E141" s="575">
        <f>VLOOKUP(B141,'Item List'!B:AM,34,FALSE)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Materials'!$H$18),0)</f>
        <v>0</v>
      </c>
      <c r="J141" s="559">
        <f t="shared" si="8"/>
        <v>0</v>
      </c>
    </row>
    <row r="142" spans="1:10" x14ac:dyDescent="0.4">
      <c r="A142" s="654" t="s">
        <v>7</v>
      </c>
      <c r="B142" s="78" t="str">
        <f>VLOOKUP('Area B'!B54,'Item List'!B:AL,13,FALSE)</f>
        <v>None</v>
      </c>
      <c r="C142" s="78" t="str">
        <f>VLOOKUP(B142,'Item List'!B:AH,2,FALSE)</f>
        <v>None</v>
      </c>
      <c r="D142" s="78"/>
      <c r="E142" s="575">
        <f>VLOOKUP(B142,'Item List'!B:AM,34,FALSE)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Materials'!$H$18),0)</f>
        <v>0</v>
      </c>
      <c r="J142" s="559">
        <f t="shared" si="8"/>
        <v>0</v>
      </c>
    </row>
    <row r="143" spans="1:10" x14ac:dyDescent="0.4">
      <c r="A143" s="654" t="s">
        <v>7</v>
      </c>
      <c r="B143" s="78" t="str">
        <f>VLOOKUP('Area B'!B54,'Item List'!B:AL,18,FALSE)</f>
        <v>None</v>
      </c>
      <c r="C143" s="78" t="str">
        <f>VLOOKUP(B143,'Item List'!B:AH,2,FALSE)</f>
        <v>None</v>
      </c>
      <c r="D143" s="78"/>
      <c r="E143" s="575">
        <f>VLOOKUP(B143,'Item List'!B:AM,34,FALSE)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Materials'!$H$18),0)</f>
        <v>0</v>
      </c>
      <c r="J143" s="559">
        <f t="shared" si="8"/>
        <v>0</v>
      </c>
    </row>
    <row r="144" spans="1:10" x14ac:dyDescent="0.4">
      <c r="A144" s="654" t="s">
        <v>429</v>
      </c>
      <c r="B144" s="78" t="str">
        <f>VLOOKUP('Area B'!B199,'Item List'!B:AJ,13,FALSE)</f>
        <v>None</v>
      </c>
      <c r="C144" s="78" t="str">
        <f>VLOOKUP(B144,'Item List'!B:AH,2,FALSE)</f>
        <v>None</v>
      </c>
      <c r="D144" s="78"/>
      <c r="E144" s="575">
        <f>VLOOKUP(B144,'Item List'!B:AM,34,FALSE)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Materials'!$H$18),0)</f>
        <v>0</v>
      </c>
      <c r="J144" s="559">
        <f t="shared" ref="J144:J178" si="9">G144+(I144*F144)</f>
        <v>0</v>
      </c>
    </row>
    <row r="145" spans="1:10" x14ac:dyDescent="0.4">
      <c r="A145" s="654" t="s">
        <v>429</v>
      </c>
      <c r="B145" s="78" t="str">
        <f>VLOOKUP('Area B'!B200,'Item List'!B:AJ,13,FALSE)</f>
        <v>None</v>
      </c>
      <c r="C145" s="78" t="str">
        <f>VLOOKUP(B145,'Item List'!B:AH,2,FALSE)</f>
        <v>None</v>
      </c>
      <c r="D145" s="78"/>
      <c r="E145" s="575">
        <f>VLOOKUP(B145,'Item List'!B:AM,34,FALSE)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Materials'!$H$18),0)</f>
        <v>0</v>
      </c>
      <c r="J145" s="559">
        <f t="shared" si="9"/>
        <v>0</v>
      </c>
    </row>
    <row r="146" spans="1:10" x14ac:dyDescent="0.4">
      <c r="A146" s="654" t="s">
        <v>429</v>
      </c>
      <c r="B146" s="78" t="str">
        <f>VLOOKUP('Area B'!B201,'Item List'!B:AJ,13,FALSE)</f>
        <v>None</v>
      </c>
      <c r="C146" s="78" t="str">
        <f>VLOOKUP(B146,'Item List'!B:AH,2,FALSE)</f>
        <v>None</v>
      </c>
      <c r="D146" s="78"/>
      <c r="E146" s="575">
        <f>VLOOKUP(B146,'Item List'!B:AM,34,FALSE)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Materials'!$H$18),0)</f>
        <v>0</v>
      </c>
      <c r="J146" s="559">
        <f t="shared" si="9"/>
        <v>0</v>
      </c>
    </row>
    <row r="147" spans="1:10" x14ac:dyDescent="0.4">
      <c r="A147" s="654" t="s">
        <v>429</v>
      </c>
      <c r="B147" s="78" t="str">
        <f>VLOOKUP('Area B'!B202,'Item List'!B:AJ,13,FALSE)</f>
        <v>None</v>
      </c>
      <c r="C147" s="78" t="str">
        <f>VLOOKUP(B147,'Item List'!B:AH,2,FALSE)</f>
        <v>None</v>
      </c>
      <c r="D147" s="78"/>
      <c r="E147" s="575">
        <f>VLOOKUP(B147,'Item List'!B:AM,34,FALSE)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Materials'!$H$18),0)</f>
        <v>0</v>
      </c>
      <c r="J147" s="559">
        <f t="shared" si="9"/>
        <v>0</v>
      </c>
    </row>
    <row r="148" spans="1:10" x14ac:dyDescent="0.4">
      <c r="A148" s="654" t="s">
        <v>429</v>
      </c>
      <c r="B148" s="78" t="str">
        <f>VLOOKUP('Area B'!B203,'Item List'!B:AJ,13,FALSE)</f>
        <v>None</v>
      </c>
      <c r="C148" s="78" t="str">
        <f>VLOOKUP(B148,'Item List'!B:AH,2,FALSE)</f>
        <v>None</v>
      </c>
      <c r="D148" s="78"/>
      <c r="E148" s="575">
        <f>VLOOKUP(B148,'Item List'!B:AM,34,FALSE)</f>
        <v>0</v>
      </c>
      <c r="F148" s="595">
        <f>VLOOKUP(B148,'Item List'!B:AH,4,FALSE)</f>
        <v>0</v>
      </c>
      <c r="G148" s="556">
        <f t="shared" si="10"/>
        <v>0</v>
      </c>
      <c r="H148" s="593"/>
      <c r="I148" s="594">
        <f>ROUNDUP((E148*'Project Materials'!$H$18),0)</f>
        <v>0</v>
      </c>
      <c r="J148" s="559">
        <f t="shared" si="9"/>
        <v>0</v>
      </c>
    </row>
    <row r="149" spans="1:10" x14ac:dyDescent="0.4">
      <c r="A149" s="654" t="s">
        <v>429</v>
      </c>
      <c r="B149" s="78" t="str">
        <f>VLOOKUP('Area B'!B204,'Item List'!B:AJ,13,FALSE)</f>
        <v>None</v>
      </c>
      <c r="C149" s="78" t="str">
        <f>VLOOKUP(B149,'Item List'!B:AH,2,FALSE)</f>
        <v>None</v>
      </c>
      <c r="D149" s="78"/>
      <c r="E149" s="575">
        <f>VLOOKUP(B149,'Item List'!B:AM,34,FALSE)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Materials'!$H$18),0)</f>
        <v>0</v>
      </c>
      <c r="J149" s="559">
        <f t="shared" si="9"/>
        <v>0</v>
      </c>
    </row>
    <row r="150" spans="1:10" x14ac:dyDescent="0.4">
      <c r="A150" s="654" t="s">
        <v>429</v>
      </c>
      <c r="B150" s="78" t="str">
        <f>VLOOKUP('Area B'!B205,'Item List'!B:AJ,13,FALSE)</f>
        <v>None</v>
      </c>
      <c r="C150" s="78" t="str">
        <f>VLOOKUP(B150,'Item List'!B:AH,2,FALSE)</f>
        <v>None</v>
      </c>
      <c r="D150" s="78"/>
      <c r="E150" s="575">
        <f>VLOOKUP(B150,'Item List'!B:AM,34,FALSE)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Materials'!$H$18),0)</f>
        <v>0</v>
      </c>
      <c r="J150" s="559">
        <f t="shared" si="9"/>
        <v>0</v>
      </c>
    </row>
    <row r="151" spans="1:10" x14ac:dyDescent="0.4">
      <c r="A151" s="654" t="s">
        <v>429</v>
      </c>
      <c r="B151" s="78" t="str">
        <f>VLOOKUP('Area B'!B206,'Item List'!B:AJ,13,FALSE)</f>
        <v>None</v>
      </c>
      <c r="C151" s="78" t="str">
        <f>VLOOKUP(B151,'Item List'!B:AH,2,FALSE)</f>
        <v>None</v>
      </c>
      <c r="D151" s="78"/>
      <c r="E151" s="575">
        <f>VLOOKUP(B151,'Item List'!B:AM,34,FALSE)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Materials'!$H$18),0)</f>
        <v>0</v>
      </c>
      <c r="J151" s="559">
        <f t="shared" si="9"/>
        <v>0</v>
      </c>
    </row>
    <row r="152" spans="1:10" x14ac:dyDescent="0.4">
      <c r="A152" s="654" t="s">
        <v>429</v>
      </c>
      <c r="B152" s="78" t="str">
        <f>VLOOKUP('Area B'!B207,'Item List'!B:AJ,13,FALSE)</f>
        <v>None</v>
      </c>
      <c r="C152" s="78" t="str">
        <f>VLOOKUP(B152,'Item List'!B:AH,2,FALSE)</f>
        <v>None</v>
      </c>
      <c r="D152" s="78"/>
      <c r="E152" s="575">
        <f>VLOOKUP(B152,'Item List'!B:AM,34,FALSE)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Materials'!$H$18),0)</f>
        <v>0</v>
      </c>
      <c r="J152" s="559">
        <f t="shared" si="9"/>
        <v>0</v>
      </c>
    </row>
    <row r="153" spans="1:10" x14ac:dyDescent="0.4">
      <c r="A153" s="654" t="s">
        <v>429</v>
      </c>
      <c r="B153" s="78" t="str">
        <f>VLOOKUP('Area B'!B208,'Item List'!B:AJ,13,FALSE)</f>
        <v>None</v>
      </c>
      <c r="C153" s="78" t="str">
        <f>VLOOKUP(B153,'Item List'!B:AH,2,FALSE)</f>
        <v>None</v>
      </c>
      <c r="D153" s="78"/>
      <c r="E153" s="575">
        <f>VLOOKUP(B153,'Item List'!B:AM,34,FALSE)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Materials'!$H$18),0)</f>
        <v>0</v>
      </c>
      <c r="J153" s="559">
        <f t="shared" si="9"/>
        <v>0</v>
      </c>
    </row>
    <row r="154" spans="1:10" x14ac:dyDescent="0.4">
      <c r="A154" s="654" t="s">
        <v>429</v>
      </c>
      <c r="B154" s="78" t="str">
        <f>VLOOKUP('Area B'!B209,'Item List'!B:AJ,13,FALSE)</f>
        <v>None</v>
      </c>
      <c r="C154" s="78" t="str">
        <f>VLOOKUP(B154,'Item List'!B:AH,2,FALSE)</f>
        <v>None</v>
      </c>
      <c r="D154" s="78"/>
      <c r="E154" s="575">
        <f>VLOOKUP(B154,'Item List'!B:AM,34,FALSE)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Materials'!$H$18),0)</f>
        <v>0</v>
      </c>
      <c r="J154" s="559">
        <f t="shared" si="9"/>
        <v>0</v>
      </c>
    </row>
    <row r="155" spans="1:10" x14ac:dyDescent="0.4">
      <c r="A155" s="654" t="s">
        <v>429</v>
      </c>
      <c r="B155" s="78" t="str">
        <f>VLOOKUP('Area B'!B210,'Item List'!B:AJ,13,FALSE)</f>
        <v>None</v>
      </c>
      <c r="C155" s="78" t="str">
        <f>VLOOKUP(B155,'Item List'!B:AH,2,FALSE)</f>
        <v>None</v>
      </c>
      <c r="D155" s="78"/>
      <c r="E155" s="575">
        <f>VLOOKUP(B155,'Item List'!B:AM,34,FALSE)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Materials'!$H$18),0)</f>
        <v>0</v>
      </c>
      <c r="J155" s="559">
        <f t="shared" si="9"/>
        <v>0</v>
      </c>
    </row>
    <row r="156" spans="1:10" x14ac:dyDescent="0.4">
      <c r="A156" s="654" t="s">
        <v>429</v>
      </c>
      <c r="B156" s="78" t="str">
        <f>VLOOKUP('Area B'!B211,'Item List'!B:AJ,13,FALSE)</f>
        <v>None</v>
      </c>
      <c r="C156" s="78" t="str">
        <f>VLOOKUP(B156,'Item List'!B:AH,2,FALSE)</f>
        <v>None</v>
      </c>
      <c r="D156" s="78"/>
      <c r="E156" s="575">
        <f>VLOOKUP(B156,'Item List'!B:AM,34,FALSE)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Materials'!$H$18),0)</f>
        <v>0</v>
      </c>
      <c r="J156" s="559">
        <f t="shared" si="9"/>
        <v>0</v>
      </c>
    </row>
    <row r="157" spans="1:10" x14ac:dyDescent="0.4">
      <c r="A157" s="654" t="s">
        <v>429</v>
      </c>
      <c r="B157" s="78" t="str">
        <f>VLOOKUP('Area B'!B212,'Item List'!B:AJ,13,FALSE)</f>
        <v>None</v>
      </c>
      <c r="C157" s="78" t="str">
        <f>VLOOKUP(B157,'Item List'!B:AH,2,FALSE)</f>
        <v>None</v>
      </c>
      <c r="D157" s="78"/>
      <c r="E157" s="575">
        <f>VLOOKUP(B157,'Item List'!B:AM,34,FALSE)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Materials'!$H$18),0)</f>
        <v>0</v>
      </c>
      <c r="J157" s="559">
        <f t="shared" si="9"/>
        <v>0</v>
      </c>
    </row>
    <row r="158" spans="1:10" x14ac:dyDescent="0.4">
      <c r="A158" s="654" t="s">
        <v>429</v>
      </c>
      <c r="B158" s="78" t="str">
        <f>VLOOKUP('Area B'!B213,'Item List'!B:AJ,13,FALSE)</f>
        <v>None</v>
      </c>
      <c r="C158" s="78" t="str">
        <f>VLOOKUP(B158,'Item List'!B:AH,2,FALSE)</f>
        <v>None</v>
      </c>
      <c r="D158" s="78"/>
      <c r="E158" s="575">
        <f>VLOOKUP(B158,'Item List'!B:AM,34,FALSE)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Materials'!$H$18),0)</f>
        <v>0</v>
      </c>
      <c r="J158" s="559">
        <f t="shared" si="9"/>
        <v>0</v>
      </c>
    </row>
    <row r="159" spans="1:10" x14ac:dyDescent="0.4">
      <c r="A159" s="654" t="s">
        <v>429</v>
      </c>
      <c r="B159" s="78" t="str">
        <f>VLOOKUP('Area B'!B214,'Item List'!B:AJ,13,FALSE)</f>
        <v>None</v>
      </c>
      <c r="C159" s="78" t="str">
        <f>VLOOKUP(B159,'Item List'!B:AH,2,FALSE)</f>
        <v>None</v>
      </c>
      <c r="D159" s="78"/>
      <c r="E159" s="575">
        <f>VLOOKUP(B159,'Item List'!B:AM,34,FALSE)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Materials'!$H$18),0)</f>
        <v>0</v>
      </c>
      <c r="J159" s="559">
        <f t="shared" si="9"/>
        <v>0</v>
      </c>
    </row>
    <row r="160" spans="1:10" x14ac:dyDescent="0.4">
      <c r="A160" s="654" t="s">
        <v>429</v>
      </c>
      <c r="B160" s="78" t="str">
        <f>VLOOKUP('Area B'!B215,'Item List'!B:AJ,13,FALSE)</f>
        <v>None</v>
      </c>
      <c r="C160" s="78" t="str">
        <f>VLOOKUP(B160,'Item List'!B:AH,2,FALSE)</f>
        <v>None</v>
      </c>
      <c r="D160" s="78"/>
      <c r="E160" s="575">
        <f>VLOOKUP(B160,'Item List'!B:AM,34,FALSE)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Materials'!$H$18),0)</f>
        <v>0</v>
      </c>
      <c r="J160" s="559">
        <f t="shared" si="9"/>
        <v>0</v>
      </c>
    </row>
    <row r="161" spans="1:10" x14ac:dyDescent="0.4">
      <c r="A161" s="654" t="s">
        <v>429</v>
      </c>
      <c r="B161" s="78" t="str">
        <f>VLOOKUP('Area B'!B216,'Item List'!B:AJ,13,FALSE)</f>
        <v>None</v>
      </c>
      <c r="C161" s="78" t="str">
        <f>VLOOKUP(B161,'Item List'!B:AH,2,FALSE)</f>
        <v>None</v>
      </c>
      <c r="D161" s="78"/>
      <c r="E161" s="575">
        <f>VLOOKUP(B161,'Item List'!B:AM,34,FALSE)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Materials'!$H$18),0)</f>
        <v>0</v>
      </c>
      <c r="J161" s="559">
        <f t="shared" si="9"/>
        <v>0</v>
      </c>
    </row>
    <row r="162" spans="1:10" x14ac:dyDescent="0.4">
      <c r="A162" s="654" t="s">
        <v>429</v>
      </c>
      <c r="B162" s="78" t="str">
        <f>VLOOKUP('Area B'!B217,'Item List'!B:AJ,13,FALSE)</f>
        <v>None</v>
      </c>
      <c r="C162" s="78" t="str">
        <f>VLOOKUP(B162,'Item List'!B:AH,2,FALSE)</f>
        <v>None</v>
      </c>
      <c r="D162" s="78"/>
      <c r="E162" s="575">
        <f>VLOOKUP(B162,'Item List'!B:AM,34,FALSE)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Materials'!$H$18),0)</f>
        <v>0</v>
      </c>
      <c r="J162" s="559">
        <f t="shared" si="9"/>
        <v>0</v>
      </c>
    </row>
    <row r="163" spans="1:10" x14ac:dyDescent="0.4">
      <c r="A163" s="654" t="s">
        <v>429</v>
      </c>
      <c r="B163" s="78" t="str">
        <f>VLOOKUP('Area B'!B218,'Item List'!B:AJ,13,FALSE)</f>
        <v>None</v>
      </c>
      <c r="C163" s="78" t="str">
        <f>VLOOKUP(B163,'Item List'!B:AH,2,FALSE)</f>
        <v>None</v>
      </c>
      <c r="D163" s="78"/>
      <c r="E163" s="575">
        <f>VLOOKUP(B163,'Item List'!B:AM,34,FALSE)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Materials'!$H$18),0)</f>
        <v>0</v>
      </c>
      <c r="J163" s="559">
        <f t="shared" si="9"/>
        <v>0</v>
      </c>
    </row>
    <row r="164" spans="1:10" x14ac:dyDescent="0.4">
      <c r="A164" s="654" t="s">
        <v>429</v>
      </c>
      <c r="B164" s="78" t="str">
        <f>VLOOKUP('Area B'!B219,'Item List'!B:AJ,13,FALSE)</f>
        <v>None</v>
      </c>
      <c r="C164" s="78" t="str">
        <f>VLOOKUP(B164,'Item List'!B:AH,2,FALSE)</f>
        <v>None</v>
      </c>
      <c r="D164" s="78"/>
      <c r="E164" s="575">
        <f>VLOOKUP(B164,'Item List'!B:AM,34,FALSE)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Materials'!$H$18),0)</f>
        <v>0</v>
      </c>
      <c r="J164" s="559">
        <f t="shared" si="9"/>
        <v>0</v>
      </c>
    </row>
    <row r="165" spans="1:10" x14ac:dyDescent="0.4">
      <c r="A165" s="654" t="s">
        <v>429</v>
      </c>
      <c r="B165" s="78" t="str">
        <f>VLOOKUP('Area B'!B220,'Item List'!B:AJ,13,FALSE)</f>
        <v>None</v>
      </c>
      <c r="C165" s="78" t="str">
        <f>VLOOKUP(B165,'Item List'!B:AH,2,FALSE)</f>
        <v>None</v>
      </c>
      <c r="D165" s="78"/>
      <c r="E165" s="575">
        <f>VLOOKUP(B165,'Item List'!B:AM,34,FALSE)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Materials'!$H$18),0)</f>
        <v>0</v>
      </c>
      <c r="J165" s="559">
        <f t="shared" si="9"/>
        <v>0</v>
      </c>
    </row>
    <row r="166" spans="1:10" x14ac:dyDescent="0.4">
      <c r="A166" s="654" t="s">
        <v>429</v>
      </c>
      <c r="B166" s="78" t="str">
        <f>VLOOKUP('Area B'!B221,'Item List'!B:AJ,13,FALSE)</f>
        <v>None</v>
      </c>
      <c r="C166" s="78" t="str">
        <f>VLOOKUP(B166,'Item List'!B:AH,2,FALSE)</f>
        <v>None</v>
      </c>
      <c r="D166" s="78"/>
      <c r="E166" s="575">
        <f>VLOOKUP(B166,'Item List'!B:AM,34,FALSE)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Materials'!$H$18),0)</f>
        <v>0</v>
      </c>
      <c r="J166" s="559">
        <f t="shared" si="9"/>
        <v>0</v>
      </c>
    </row>
    <row r="167" spans="1:10" x14ac:dyDescent="0.4">
      <c r="A167" s="654" t="s">
        <v>429</v>
      </c>
      <c r="B167" s="78" t="str">
        <f>VLOOKUP('Area B'!B222,'Item List'!B:AJ,13,FALSE)</f>
        <v>None</v>
      </c>
      <c r="C167" s="78" t="str">
        <f>VLOOKUP(B167,'Item List'!B:AH,2,FALSE)</f>
        <v>None</v>
      </c>
      <c r="D167" s="78"/>
      <c r="E167" s="575">
        <f>VLOOKUP(B167,'Item List'!B:AM,34,FALSE)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Materials'!$H$18),0)</f>
        <v>0</v>
      </c>
      <c r="J167" s="559">
        <f t="shared" si="9"/>
        <v>0</v>
      </c>
    </row>
    <row r="168" spans="1:10" x14ac:dyDescent="0.4">
      <c r="A168" s="654" t="s">
        <v>429</v>
      </c>
      <c r="B168" s="78" t="str">
        <f>VLOOKUP('Area B'!B223,'Item List'!B:AJ,13,FALSE)</f>
        <v>None</v>
      </c>
      <c r="C168" s="78" t="str">
        <f>VLOOKUP(B168,'Item List'!B:AH,2,FALSE)</f>
        <v>None</v>
      </c>
      <c r="D168" s="78"/>
      <c r="E168" s="575">
        <f>VLOOKUP(B168,'Item List'!B:AM,34,FALSE)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Materials'!$H$18),0)</f>
        <v>0</v>
      </c>
      <c r="J168" s="559">
        <f t="shared" si="9"/>
        <v>0</v>
      </c>
    </row>
    <row r="169" spans="1:10" x14ac:dyDescent="0.4">
      <c r="A169" s="654" t="s">
        <v>429</v>
      </c>
      <c r="B169" s="78" t="str">
        <f>VLOOKUP('Area B'!B224,'Item List'!B:AJ,13,FALSE)</f>
        <v>None</v>
      </c>
      <c r="C169" s="78" t="str">
        <f>VLOOKUP(B169,'Item List'!B:AH,2,FALSE)</f>
        <v>None</v>
      </c>
      <c r="D169" s="78"/>
      <c r="E169" s="575">
        <f>VLOOKUP(B169,'Item List'!B:AM,34,FALSE)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Materials'!$H$18),0)</f>
        <v>0</v>
      </c>
      <c r="J169" s="559">
        <f t="shared" si="9"/>
        <v>0</v>
      </c>
    </row>
    <row r="170" spans="1:10" x14ac:dyDescent="0.4">
      <c r="A170" s="654" t="s">
        <v>429</v>
      </c>
      <c r="B170" s="78" t="str">
        <f>VLOOKUP('Area B'!B225,'Item List'!B:AJ,13,FALSE)</f>
        <v>None</v>
      </c>
      <c r="C170" s="78" t="str">
        <f>VLOOKUP(B170,'Item List'!B:AH,2,FALSE)</f>
        <v>None</v>
      </c>
      <c r="D170" s="78"/>
      <c r="E170" s="575">
        <f>VLOOKUP(B170,'Item List'!B:AM,34,FALSE)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Materials'!$H$18),0)</f>
        <v>0</v>
      </c>
      <c r="J170" s="559">
        <f t="shared" si="9"/>
        <v>0</v>
      </c>
    </row>
    <row r="171" spans="1:10" x14ac:dyDescent="0.4">
      <c r="A171" s="654" t="s">
        <v>429</v>
      </c>
      <c r="B171" s="78" t="str">
        <f>VLOOKUP('Area B'!B226,'Item List'!B:AJ,13,FALSE)</f>
        <v>None</v>
      </c>
      <c r="C171" s="78" t="str">
        <f>VLOOKUP(B171,'Item List'!B:AH,2,FALSE)</f>
        <v>None</v>
      </c>
      <c r="D171" s="78"/>
      <c r="E171" s="575">
        <f>VLOOKUP(B171,'Item List'!B:AM,34,FALSE)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Materials'!$H$18),0)</f>
        <v>0</v>
      </c>
      <c r="J171" s="559">
        <f t="shared" si="9"/>
        <v>0</v>
      </c>
    </row>
    <row r="172" spans="1:10" x14ac:dyDescent="0.4">
      <c r="A172" s="654" t="s">
        <v>429</v>
      </c>
      <c r="B172" s="78" t="str">
        <f>VLOOKUP('Area B'!B227,'Item List'!B:AJ,13,FALSE)</f>
        <v>None</v>
      </c>
      <c r="C172" s="78" t="str">
        <f>VLOOKUP(B172,'Item List'!B:AH,2,FALSE)</f>
        <v>None</v>
      </c>
      <c r="D172" s="78"/>
      <c r="E172" s="575">
        <f>VLOOKUP(B172,'Item List'!B:AM,34,FALSE)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Materials'!$H$18),0)</f>
        <v>0</v>
      </c>
      <c r="J172" s="559">
        <f t="shared" si="9"/>
        <v>0</v>
      </c>
    </row>
    <row r="173" spans="1:10" x14ac:dyDescent="0.4">
      <c r="A173" s="654" t="s">
        <v>429</v>
      </c>
      <c r="B173" s="78" t="str">
        <f>VLOOKUP('Area B'!B228,'Item List'!B:AJ,13,FALSE)</f>
        <v>None</v>
      </c>
      <c r="C173" s="78" t="str">
        <f>VLOOKUP(B173,'Item List'!B:AH,2,FALSE)</f>
        <v>None</v>
      </c>
      <c r="D173" s="78"/>
      <c r="E173" s="575">
        <f>VLOOKUP(B173,'Item List'!B:AM,34,FALSE)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Materials'!$H$18),0)</f>
        <v>0</v>
      </c>
      <c r="J173" s="559">
        <f t="shared" si="9"/>
        <v>0</v>
      </c>
    </row>
    <row r="174" spans="1:10" x14ac:dyDescent="0.4">
      <c r="A174" s="654" t="s">
        <v>429</v>
      </c>
      <c r="B174" s="78" t="str">
        <f>VLOOKUP('Area B'!B229,'Item List'!B:AJ,13,FALSE)</f>
        <v>None</v>
      </c>
      <c r="C174" s="78" t="str">
        <f>VLOOKUP(B174,'Item List'!B:AH,2,FALSE)</f>
        <v>None</v>
      </c>
      <c r="D174" s="78"/>
      <c r="E174" s="575">
        <f>VLOOKUP(B174,'Item List'!B:AM,34,FALSE)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Materials'!$H$18),0)</f>
        <v>0</v>
      </c>
      <c r="J174" s="559">
        <f t="shared" si="9"/>
        <v>0</v>
      </c>
    </row>
    <row r="175" spans="1:10" x14ac:dyDescent="0.4">
      <c r="A175" s="654" t="s">
        <v>429</v>
      </c>
      <c r="B175" s="78" t="str">
        <f>VLOOKUP('Area B'!B230,'Item List'!B:AJ,13,FALSE)</f>
        <v>None</v>
      </c>
      <c r="C175" s="78" t="str">
        <f>VLOOKUP(B175,'Item List'!B:AH,2,FALSE)</f>
        <v>None</v>
      </c>
      <c r="D175" s="78"/>
      <c r="E175" s="575">
        <f>VLOOKUP(B175,'Item List'!B:AM,34,FALSE)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Materials'!$H$18),0)</f>
        <v>0</v>
      </c>
      <c r="J175" s="559">
        <f t="shared" si="9"/>
        <v>0</v>
      </c>
    </row>
    <row r="176" spans="1:10" x14ac:dyDescent="0.4">
      <c r="A176" s="654" t="s">
        <v>429</v>
      </c>
      <c r="B176" s="78" t="str">
        <f>VLOOKUP('Area B'!B231,'Item List'!B:AJ,13,FALSE)</f>
        <v>None</v>
      </c>
      <c r="C176" s="78" t="str">
        <f>VLOOKUP(B176,'Item List'!B:AH,2,FALSE)</f>
        <v>None</v>
      </c>
      <c r="D176" s="78"/>
      <c r="E176" s="575">
        <f>VLOOKUP(B176,'Item List'!B:AM,34,FALSE)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Materials'!$H$18),0)</f>
        <v>0</v>
      </c>
      <c r="J176" s="559">
        <f t="shared" si="9"/>
        <v>0</v>
      </c>
    </row>
    <row r="177" spans="1:10" x14ac:dyDescent="0.4">
      <c r="A177" s="654" t="s">
        <v>429</v>
      </c>
      <c r="B177" s="78" t="str">
        <f>VLOOKUP('Area B'!B232,'Item List'!B:AJ,13,FALSE)</f>
        <v>None</v>
      </c>
      <c r="C177" s="78" t="str">
        <f>VLOOKUP(B177,'Item List'!B:AH,2,FALSE)</f>
        <v>None</v>
      </c>
      <c r="D177" s="78"/>
      <c r="E177" s="575">
        <f>VLOOKUP(B177,'Item List'!B:AM,34,FALSE)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Materials'!$H$18),0)</f>
        <v>0</v>
      </c>
      <c r="J177" s="559">
        <f t="shared" si="9"/>
        <v>0</v>
      </c>
    </row>
    <row r="178" spans="1:10" x14ac:dyDescent="0.4">
      <c r="A178" s="654" t="s">
        <v>429</v>
      </c>
      <c r="B178" s="78" t="str">
        <f>VLOOKUP('Area B'!B233,'Item List'!B:AJ,13,FALSE)</f>
        <v>None</v>
      </c>
      <c r="C178" s="78" t="str">
        <f>VLOOKUP(B178,'Item List'!B:AH,2,FALSE)</f>
        <v>None</v>
      </c>
      <c r="D178" s="78"/>
      <c r="E178" s="575">
        <f>VLOOKUP(B178,'Item List'!B:AM,34,FALSE)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Materials'!$H$18),0)</f>
        <v>0</v>
      </c>
      <c r="J178" s="559">
        <f t="shared" si="9"/>
        <v>0</v>
      </c>
    </row>
    <row r="179" spans="1:10" x14ac:dyDescent="0.4">
      <c r="A179" s="654" t="s">
        <v>429</v>
      </c>
      <c r="B179" s="78" t="str">
        <f>VLOOKUP('Area B'!B234,'Item List'!B:AJ,13,FALSE)</f>
        <v>None</v>
      </c>
      <c r="C179" s="78" t="str">
        <f>VLOOKUP(B179,'Item List'!B:AH,2,FALSE)</f>
        <v>None</v>
      </c>
      <c r="D179" s="78"/>
      <c r="E179" s="575">
        <f>VLOOKUP(B179,'Item List'!B:AM,34,FALSE)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Materials'!$H$18),0)</f>
        <v>0</v>
      </c>
      <c r="J179" s="559">
        <f t="shared" ref="J179:J195" si="11">G179+(I179*F179)</f>
        <v>0</v>
      </c>
    </row>
    <row r="180" spans="1:10" x14ac:dyDescent="0.4">
      <c r="A180" s="654" t="s">
        <v>429</v>
      </c>
      <c r="B180" s="78" t="str">
        <f>VLOOKUP('Area B'!B235,'Item List'!B:AJ,13,FALSE)</f>
        <v>None</v>
      </c>
      <c r="C180" s="78" t="str">
        <f>VLOOKUP(B180,'Item List'!B:AH,2,FALSE)</f>
        <v>None</v>
      </c>
      <c r="D180" s="78"/>
      <c r="E180" s="575">
        <f>VLOOKUP(B180,'Item List'!B:AM,34,FALSE)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Materials'!$H$18),0)</f>
        <v>0</v>
      </c>
      <c r="J180" s="559">
        <f t="shared" si="11"/>
        <v>0</v>
      </c>
    </row>
    <row r="181" spans="1:10" x14ac:dyDescent="0.4">
      <c r="A181" s="654" t="s">
        <v>429</v>
      </c>
      <c r="B181" s="78" t="str">
        <f>VLOOKUP('Area B'!B236,'Item List'!B:AJ,13,FALSE)</f>
        <v>None</v>
      </c>
      <c r="C181" s="78" t="str">
        <f>VLOOKUP(B181,'Item List'!B:AH,2,FALSE)</f>
        <v>None</v>
      </c>
      <c r="D181" s="78"/>
      <c r="E181" s="575">
        <f>VLOOKUP(B181,'Item List'!B:AM,34,FALSE)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Materials'!$H$18),0)</f>
        <v>0</v>
      </c>
      <c r="J181" s="559">
        <f t="shared" si="11"/>
        <v>0</v>
      </c>
    </row>
    <row r="182" spans="1:10" x14ac:dyDescent="0.4">
      <c r="A182" s="654" t="s">
        <v>429</v>
      </c>
      <c r="B182" s="78" t="str">
        <f>VLOOKUP('Area B'!B237,'Item List'!B:AJ,13,FALSE)</f>
        <v>None</v>
      </c>
      <c r="C182" s="78" t="str">
        <f>VLOOKUP(B182,'Item List'!B:AH,2,FALSE)</f>
        <v>None</v>
      </c>
      <c r="D182" s="78"/>
      <c r="E182" s="575">
        <f>VLOOKUP(B182,'Item List'!B:AM,34,FALSE)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Materials'!$H$18),0)</f>
        <v>0</v>
      </c>
      <c r="J182" s="559">
        <f t="shared" si="11"/>
        <v>0</v>
      </c>
    </row>
    <row r="183" spans="1:10" x14ac:dyDescent="0.4">
      <c r="A183" s="654" t="s">
        <v>429</v>
      </c>
      <c r="B183" s="78" t="str">
        <f>VLOOKUP('Area B'!B238,'Item List'!B:AJ,13,FALSE)</f>
        <v>None</v>
      </c>
      <c r="C183" s="78" t="str">
        <f>VLOOKUP(B183,'Item List'!B:AH,2,FALSE)</f>
        <v>None</v>
      </c>
      <c r="D183" s="78"/>
      <c r="E183" s="575">
        <f>VLOOKUP(B183,'Item List'!B:AM,34,FALSE)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Materials'!$H$18),0)</f>
        <v>0</v>
      </c>
      <c r="J183" s="559">
        <f t="shared" si="11"/>
        <v>0</v>
      </c>
    </row>
    <row r="184" spans="1:10" x14ac:dyDescent="0.4">
      <c r="A184" s="654" t="s">
        <v>429</v>
      </c>
      <c r="B184" s="78" t="str">
        <f>VLOOKUP('Area B'!B239,'Item List'!B:AJ,13,FALSE)</f>
        <v>None</v>
      </c>
      <c r="C184" s="78" t="str">
        <f>VLOOKUP(B184,'Item List'!B:AH,2,FALSE)</f>
        <v>None</v>
      </c>
      <c r="D184" s="78"/>
      <c r="E184" s="575">
        <f>VLOOKUP(B184,'Item List'!B:AM,34,FALSE)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Materials'!$H$18),0)</f>
        <v>0</v>
      </c>
      <c r="J184" s="559">
        <f t="shared" si="11"/>
        <v>0</v>
      </c>
    </row>
    <row r="185" spans="1:10" x14ac:dyDescent="0.4">
      <c r="A185" s="654" t="s">
        <v>429</v>
      </c>
      <c r="B185" s="78" t="str">
        <f>VLOOKUP('Area B'!B240,'Item List'!B:AJ,13,FALSE)</f>
        <v>None</v>
      </c>
      <c r="C185" s="78" t="str">
        <f>VLOOKUP(B185,'Item List'!B:AH,2,FALSE)</f>
        <v>None</v>
      </c>
      <c r="D185" s="78"/>
      <c r="E185" s="575">
        <f>VLOOKUP(B185,'Item List'!B:AM,34,FALSE)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Materials'!$H$18),0)</f>
        <v>0</v>
      </c>
      <c r="J185" s="559">
        <f t="shared" si="11"/>
        <v>0</v>
      </c>
    </row>
    <row r="186" spans="1:10" x14ac:dyDescent="0.4">
      <c r="A186" s="654" t="s">
        <v>429</v>
      </c>
      <c r="B186" s="78" t="str">
        <f>VLOOKUP('Area B'!B241,'Item List'!B:AJ,13,FALSE)</f>
        <v>None</v>
      </c>
      <c r="C186" s="78" t="str">
        <f>VLOOKUP(B186,'Item List'!B:AH,2,FALSE)</f>
        <v>None</v>
      </c>
      <c r="D186" s="78"/>
      <c r="E186" s="575">
        <f>VLOOKUP(B186,'Item List'!B:AM,34,FALSE)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Materials'!$H$18),0)</f>
        <v>0</v>
      </c>
      <c r="J186" s="559">
        <f t="shared" si="11"/>
        <v>0</v>
      </c>
    </row>
    <row r="187" spans="1:10" x14ac:dyDescent="0.4">
      <c r="A187" s="654" t="s">
        <v>429</v>
      </c>
      <c r="B187" s="78" t="str">
        <f>VLOOKUP('Area B'!B242,'Item List'!B:AJ,13,FALSE)</f>
        <v>None</v>
      </c>
      <c r="C187" s="78" t="str">
        <f>VLOOKUP(B187,'Item List'!B:AH,2,FALSE)</f>
        <v>None</v>
      </c>
      <c r="D187" s="78"/>
      <c r="E187" s="575">
        <f>VLOOKUP(B187,'Item List'!B:AM,34,FALSE)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Materials'!$H$18),0)</f>
        <v>0</v>
      </c>
      <c r="J187" s="559">
        <f t="shared" si="11"/>
        <v>0</v>
      </c>
    </row>
    <row r="188" spans="1:10" x14ac:dyDescent="0.4">
      <c r="A188" s="654" t="s">
        <v>429</v>
      </c>
      <c r="B188" s="78" t="str">
        <f>VLOOKUP('Area B'!B243,'Item List'!B:AJ,13,FALSE)</f>
        <v>None</v>
      </c>
      <c r="C188" s="78" t="str">
        <f>VLOOKUP(B188,'Item List'!B:AH,2,FALSE)</f>
        <v>None</v>
      </c>
      <c r="D188" s="78"/>
      <c r="E188" s="575">
        <f>VLOOKUP(B188,'Item List'!B:AM,34,FALSE)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Materials'!$H$18),0)</f>
        <v>0</v>
      </c>
      <c r="J188" s="559">
        <f t="shared" si="11"/>
        <v>0</v>
      </c>
    </row>
    <row r="189" spans="1:10" x14ac:dyDescent="0.4">
      <c r="A189" s="654" t="s">
        <v>429</v>
      </c>
      <c r="B189" s="78" t="str">
        <f>VLOOKUP('Area B'!B244,'Item List'!B:AJ,13,FALSE)</f>
        <v>None</v>
      </c>
      <c r="C189" s="78" t="str">
        <f>VLOOKUP(B189,'Item List'!B:AH,2,FALSE)</f>
        <v>None</v>
      </c>
      <c r="D189" s="78"/>
      <c r="E189" s="575">
        <f>VLOOKUP(B189,'Item List'!B:AM,34,FALSE)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Materials'!$H$18),0)</f>
        <v>0</v>
      </c>
      <c r="J189" s="559">
        <f t="shared" si="11"/>
        <v>0</v>
      </c>
    </row>
    <row r="190" spans="1:10" x14ac:dyDescent="0.4">
      <c r="A190" s="654" t="s">
        <v>429</v>
      </c>
      <c r="B190" s="78" t="str">
        <f>VLOOKUP('Area B'!B245,'Item List'!B:AJ,13,FALSE)</f>
        <v>None</v>
      </c>
      <c r="C190" s="78" t="str">
        <f>VLOOKUP(B190,'Item List'!B:AH,2,FALSE)</f>
        <v>None</v>
      </c>
      <c r="D190" s="78"/>
      <c r="E190" s="575">
        <f>VLOOKUP(B190,'Item List'!B:AM,34,FALSE)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Materials'!$H$18),0)</f>
        <v>0</v>
      </c>
      <c r="J190" s="559">
        <f t="shared" si="11"/>
        <v>0</v>
      </c>
    </row>
    <row r="191" spans="1:10" x14ac:dyDescent="0.4">
      <c r="A191" s="654" t="s">
        <v>429</v>
      </c>
      <c r="B191" s="78" t="str">
        <f>VLOOKUP('Area B'!B246,'Item List'!B:AJ,13,FALSE)</f>
        <v>None</v>
      </c>
      <c r="C191" s="78" t="str">
        <f>VLOOKUP(B191,'Item List'!B:AH,2,FALSE)</f>
        <v>None</v>
      </c>
      <c r="D191" s="78"/>
      <c r="E191" s="575">
        <f>VLOOKUP(B191,'Item List'!B:AM,34,FALSE)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Materials'!$H$18),0)</f>
        <v>0</v>
      </c>
      <c r="J191" s="559">
        <f t="shared" si="11"/>
        <v>0</v>
      </c>
    </row>
    <row r="192" spans="1:10" x14ac:dyDescent="0.4">
      <c r="A192" s="654" t="s">
        <v>429</v>
      </c>
      <c r="B192" s="78" t="str">
        <f>VLOOKUP('Area B'!B247,'Item List'!B:AJ,13,FALSE)</f>
        <v>None</v>
      </c>
      <c r="C192" s="78" t="str">
        <f>VLOOKUP(B192,'Item List'!B:AH,2,FALSE)</f>
        <v>None</v>
      </c>
      <c r="D192" s="78"/>
      <c r="E192" s="575">
        <f>VLOOKUP(B192,'Item List'!B:AM,34,FALSE)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Materials'!$H$18),0)</f>
        <v>0</v>
      </c>
      <c r="J192" s="559">
        <f t="shared" si="11"/>
        <v>0</v>
      </c>
    </row>
    <row r="193" spans="1:10" x14ac:dyDescent="0.4">
      <c r="A193" s="654" t="s">
        <v>429</v>
      </c>
      <c r="B193" s="78" t="str">
        <f>VLOOKUP('Area B'!B248,'Item List'!B:AJ,13,FALSE)</f>
        <v>None</v>
      </c>
      <c r="C193" s="78" t="str">
        <f>VLOOKUP(B193,'Item List'!B:AH,2,FALSE)</f>
        <v>None</v>
      </c>
      <c r="D193" s="78"/>
      <c r="E193" s="575">
        <f>VLOOKUP(B193,'Item List'!B:AM,34,FALSE)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Materials'!$H$18),0)</f>
        <v>0</v>
      </c>
      <c r="J193" s="559">
        <f t="shared" si="11"/>
        <v>0</v>
      </c>
    </row>
    <row r="194" spans="1:10" x14ac:dyDescent="0.4">
      <c r="A194" s="654" t="s">
        <v>429</v>
      </c>
      <c r="B194" s="78" t="str">
        <f>VLOOKUP('Area B'!B249,'Item List'!B:AJ,13,FALSE)</f>
        <v>None</v>
      </c>
      <c r="C194" s="78" t="str">
        <f>VLOOKUP(B194,'Item List'!B:AH,2,FALSE)</f>
        <v>None</v>
      </c>
      <c r="D194" s="78"/>
      <c r="E194" s="575">
        <f>VLOOKUP(B194,'Item List'!B:AM,34,FALSE)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Materials'!$H$18),0)</f>
        <v>0</v>
      </c>
      <c r="J194" s="559">
        <f t="shared" si="11"/>
        <v>0</v>
      </c>
    </row>
    <row r="195" spans="1:10" x14ac:dyDescent="0.4">
      <c r="A195" s="654" t="s">
        <v>429</v>
      </c>
      <c r="B195" s="78" t="str">
        <f>VLOOKUP('Area B'!B250,'Item List'!B:AJ,13,FALSE)</f>
        <v>None</v>
      </c>
      <c r="C195" s="585" t="str">
        <f>VLOOKUP(B195,'Item List'!B:AH,2,FALSE)</f>
        <v>None</v>
      </c>
      <c r="D195" s="585"/>
      <c r="E195" s="575">
        <f>VLOOKUP(B195,'Item List'!B:AM,34,FALSE)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Materials'!$H$18),0)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57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54" t="s">
        <v>0</v>
      </c>
      <c r="B199" s="78" t="str">
        <f>VLOOKUP('Area B'!$B$5,'Item List'!B:AJ,14,FALSE)</f>
        <v>None</v>
      </c>
      <c r="C199" s="78" t="str">
        <f>VLOOKUP(B199,'Item List'!B:AH,2,FALSE)</f>
        <v>None</v>
      </c>
      <c r="D199" s="78"/>
      <c r="E199" s="557">
        <f>VLOOKUP(B199,'Item List'!B:AM,34,FALSE)</f>
        <v>0</v>
      </c>
      <c r="F199" s="555">
        <f>VLOOKUP(B199,'Item List'!B:AJ,4,FALSE)</f>
        <v>0</v>
      </c>
      <c r="G199" s="555">
        <f t="shared" ref="G199:G246" si="12">F199*E199</f>
        <v>0</v>
      </c>
      <c r="H199" s="593"/>
      <c r="I199" s="594">
        <f>ROUNDUP((E199*'Project Materials'!$H$18),0)</f>
        <v>0</v>
      </c>
      <c r="J199" s="559">
        <f>G199+(I199*F199)</f>
        <v>0</v>
      </c>
    </row>
    <row r="200" spans="1:10" x14ac:dyDescent="0.4">
      <c r="A200" s="654" t="s">
        <v>0</v>
      </c>
      <c r="B200" s="78" t="str">
        <f>VLOOKUP('Area B'!$B$5,'Item List'!B:AJ,15,FALSE)</f>
        <v>None</v>
      </c>
      <c r="C200" s="78" t="str">
        <f>VLOOKUP(B200,'Item List'!B:AH,2,FALSE)</f>
        <v>None</v>
      </c>
      <c r="D200" s="78"/>
      <c r="E200" s="557">
        <f>VLOOKUP(B200,'Item List'!B:AM,34,FALSE)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Materials'!$H$18),0)</f>
        <v>0</v>
      </c>
      <c r="J200" s="559">
        <f t="shared" ref="J200:J251" si="13">G200+(I200*F200)</f>
        <v>0</v>
      </c>
    </row>
    <row r="201" spans="1:10" x14ac:dyDescent="0.4">
      <c r="A201" s="654" t="s">
        <v>0</v>
      </c>
      <c r="B201" s="78" t="str">
        <f>VLOOKUP('Area B'!$B$5,'Item List'!B:AJ,16,FALSE)</f>
        <v>None</v>
      </c>
      <c r="C201" s="78" t="str">
        <f>VLOOKUP(B201,'Item List'!B:AH,2,FALSE)</f>
        <v>None</v>
      </c>
      <c r="D201" s="78"/>
      <c r="E201" s="557">
        <f>IF(B201="none",0,2+'Project Materials'!H13*VLOOKUP(B201,'Item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Materials'!$H$18),0)</f>
        <v>0</v>
      </c>
      <c r="J201" s="559">
        <f t="shared" si="13"/>
        <v>0</v>
      </c>
    </row>
    <row r="202" spans="1:10" x14ac:dyDescent="0.4">
      <c r="A202" s="654" t="s">
        <v>0</v>
      </c>
      <c r="B202" s="78" t="str">
        <f>VLOOKUP('Area B'!$B$5,'Item List'!B:AJ,17,FALSE)</f>
        <v>None</v>
      </c>
      <c r="C202" s="78" t="str">
        <f>VLOOKUP(B202,'Item List'!B:AH,2,FALSE)</f>
        <v>None</v>
      </c>
      <c r="D202" s="78"/>
      <c r="E202" s="557">
        <f>VLOOKUP(B202,'Item List'!B:AM,34,FALSE)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Materials'!$H$18),0)</f>
        <v>0</v>
      </c>
      <c r="J202" s="559">
        <f t="shared" si="13"/>
        <v>0</v>
      </c>
    </row>
    <row r="203" spans="1:10" x14ac:dyDescent="0.4">
      <c r="A203" s="654" t="s">
        <v>413</v>
      </c>
      <c r="B203" s="642" t="str">
        <f>VLOOKUP('Area B'!$B$6,'Item List'!B:AJ,14,FALSE)</f>
        <v>None</v>
      </c>
      <c r="C203" s="78" t="str">
        <f>VLOOKUP(B203,'Item List'!B:AH,2,FALSE)</f>
        <v>None</v>
      </c>
      <c r="D203" s="78"/>
      <c r="E203" s="557">
        <f>VLOOKUP(B203,'Item List'!B:AM,34,FALSE)</f>
        <v>0</v>
      </c>
      <c r="F203" s="555">
        <f>VLOOKUP(B203,'Item List'!B:AJ,4,FALSE)</f>
        <v>0</v>
      </c>
      <c r="G203" s="555">
        <f t="shared" si="12"/>
        <v>0</v>
      </c>
      <c r="H203" s="593"/>
      <c r="I203" s="594">
        <f>ROUNDUP((E203*'Project Materials'!$H$18),0)</f>
        <v>0</v>
      </c>
      <c r="J203" s="559">
        <f t="shared" si="13"/>
        <v>0</v>
      </c>
    </row>
    <row r="204" spans="1:10" x14ac:dyDescent="0.4">
      <c r="A204" s="654" t="s">
        <v>413</v>
      </c>
      <c r="B204" s="78" t="str">
        <f>VLOOKUP('Area B'!$B$6,'Item List'!B:AJ,15,FALSE)</f>
        <v>None</v>
      </c>
      <c r="C204" s="78" t="str">
        <f>VLOOKUP(B204,'Item List'!B:AH,2,FALSE)</f>
        <v>None</v>
      </c>
      <c r="D204" s="78"/>
      <c r="E204" s="557">
        <f>VLOOKUP(B204,'Item List'!B:AM,34,FALSE)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Materials'!$H$18),0)</f>
        <v>0</v>
      </c>
      <c r="J204" s="559">
        <f t="shared" si="13"/>
        <v>0</v>
      </c>
    </row>
    <row r="205" spans="1:10" x14ac:dyDescent="0.4">
      <c r="A205" s="654" t="s">
        <v>413</v>
      </c>
      <c r="B205" s="78" t="str">
        <f>VLOOKUP('Area B'!$B$6,'Item List'!B:AJ,16,FALSE)</f>
        <v>None</v>
      </c>
      <c r="C205" s="78" t="str">
        <f>VLOOKUP(B205,'Item List'!B:AH,2,FALSE)</f>
        <v>None</v>
      </c>
      <c r="D205" s="78"/>
      <c r="E205" s="557">
        <f>VLOOKUP(B205,'Item List'!B:AM,34,FALSE)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Materials'!$H$18),0)</f>
        <v>0</v>
      </c>
      <c r="J205" s="559">
        <f t="shared" si="13"/>
        <v>0</v>
      </c>
    </row>
    <row r="206" spans="1:10" x14ac:dyDescent="0.4">
      <c r="A206" s="654" t="s">
        <v>413</v>
      </c>
      <c r="B206" s="78" t="str">
        <f>VLOOKUP('Area B'!$B$6,'Item List'!B:AJ,17,FALSE)</f>
        <v>None</v>
      </c>
      <c r="C206" s="78" t="str">
        <f>VLOOKUP(B206,'Item List'!B:AH,2,FALSE)</f>
        <v>None</v>
      </c>
      <c r="D206" s="78"/>
      <c r="E206" s="557">
        <f>VLOOKUP(B206,'Item List'!B:AM,34,FALSE)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Materials'!$H$18),0)</f>
        <v>0</v>
      </c>
      <c r="J206" s="559">
        <f t="shared" si="13"/>
        <v>0</v>
      </c>
    </row>
    <row r="207" spans="1:10" x14ac:dyDescent="0.4">
      <c r="A207" s="654" t="s">
        <v>4</v>
      </c>
      <c r="B207" s="78" t="str">
        <f>VLOOKUP('Area B'!B12,'Item List'!B:AJ,14,FALSE)</f>
        <v>None</v>
      </c>
      <c r="C207" s="78" t="str">
        <f>VLOOKUP(B207,'Item List'!B:AH,2,FALSE)</f>
        <v>None</v>
      </c>
      <c r="D207" s="78"/>
      <c r="E207" s="557">
        <f>VLOOKUP(B207,'Item List'!B:AM,34,FALSE)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Materials'!$H$18),0)</f>
        <v>0</v>
      </c>
      <c r="J207" s="559">
        <f t="shared" si="13"/>
        <v>0</v>
      </c>
    </row>
    <row r="208" spans="1:10" x14ac:dyDescent="0.4">
      <c r="A208" s="654" t="s">
        <v>4</v>
      </c>
      <c r="B208" s="78" t="str">
        <f>VLOOKUP('Area B'!B12,'Item List'!B:AJ,15,FALSE)</f>
        <v>None</v>
      </c>
      <c r="C208" s="78" t="str">
        <f>VLOOKUP(B208,'Item List'!B:AH,2,FALSE)</f>
        <v>None</v>
      </c>
      <c r="D208" s="78"/>
      <c r="E208" s="557">
        <f>VLOOKUP(B208,'Item List'!B:AM,34,FALSE)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Materials'!$H$18),0)</f>
        <v>0</v>
      </c>
      <c r="J208" s="559">
        <f t="shared" si="13"/>
        <v>0</v>
      </c>
    </row>
    <row r="209" spans="1:10" x14ac:dyDescent="0.4">
      <c r="A209" s="654" t="s">
        <v>4</v>
      </c>
      <c r="B209" s="78" t="str">
        <f>VLOOKUP('Area B'!B12,'Item List'!B:AJ,16,FALSE)</f>
        <v>None</v>
      </c>
      <c r="C209" s="78" t="str">
        <f>VLOOKUP(B209,'Item List'!B:AH,2,FALSE)</f>
        <v>None</v>
      </c>
      <c r="D209" s="78"/>
      <c r="E209" s="557">
        <f>VLOOKUP(B209,'Item List'!B:AM,34,FALSE)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Materials'!$H$18),0)</f>
        <v>0</v>
      </c>
      <c r="J209" s="559">
        <f t="shared" si="13"/>
        <v>0</v>
      </c>
    </row>
    <row r="210" spans="1:10" x14ac:dyDescent="0.4">
      <c r="A210" s="654" t="s">
        <v>4</v>
      </c>
      <c r="B210" s="78" t="str">
        <f>VLOOKUP('Area B'!B12,'Item List'!B:AJ,17,FALSE)</f>
        <v>None</v>
      </c>
      <c r="C210" s="78" t="str">
        <f>VLOOKUP(B210,'Item List'!B:AH,2,FALSE)</f>
        <v>None</v>
      </c>
      <c r="D210" s="78"/>
      <c r="E210" s="557">
        <f>VLOOKUP(B210,'Item List'!B:AM,34,FALSE)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Materials'!$H$18),0)</f>
        <v>0</v>
      </c>
      <c r="J210" s="559">
        <f t="shared" si="13"/>
        <v>0</v>
      </c>
    </row>
    <row r="211" spans="1:10" x14ac:dyDescent="0.4">
      <c r="A211" s="654" t="s">
        <v>448</v>
      </c>
      <c r="B211" s="78" t="str">
        <f>VLOOKUP('Area B'!B29,'Item List'!B:AJ,14,FALSE)</f>
        <v>None</v>
      </c>
      <c r="C211" s="78" t="str">
        <f>VLOOKUP(B211,'Item List'!B:AH,2,FALSE)</f>
        <v>None</v>
      </c>
      <c r="D211" s="78"/>
      <c r="E211" s="557">
        <f>VLOOKUP(B211,'Item List'!B:AM,34,FALSE)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Materials'!$H$18),0)</f>
        <v>0</v>
      </c>
      <c r="J211" s="559">
        <f t="shared" si="13"/>
        <v>0</v>
      </c>
    </row>
    <row r="212" spans="1:10" x14ac:dyDescent="0.4">
      <c r="A212" s="654" t="s">
        <v>448</v>
      </c>
      <c r="B212" s="78" t="str">
        <f>VLOOKUP('Area B'!B29,'Item List'!B:AJ,15,FALSE)</f>
        <v>None</v>
      </c>
      <c r="C212" s="78" t="str">
        <f>VLOOKUP(B212,'Item List'!B:AH,2,FALSE)</f>
        <v>None</v>
      </c>
      <c r="D212" s="78"/>
      <c r="E212" s="557">
        <f>VLOOKUP(B212,'Item List'!B:AM,34,FALSE)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Materials'!$H$18),0)</f>
        <v>0</v>
      </c>
      <c r="J212" s="559">
        <f t="shared" si="13"/>
        <v>0</v>
      </c>
    </row>
    <row r="213" spans="1:10" x14ac:dyDescent="0.4">
      <c r="A213" s="654" t="s">
        <v>448</v>
      </c>
      <c r="B213" s="78" t="str">
        <f>VLOOKUP('Area B'!B29,'Item List'!B:AJ,16,FALSE)</f>
        <v>None</v>
      </c>
      <c r="C213" s="78" t="str">
        <f>VLOOKUP(B213,'Item List'!B:AH,2,FALSE)</f>
        <v>None</v>
      </c>
      <c r="D213" s="78"/>
      <c r="E213" s="557">
        <f>VLOOKUP(B213,'Item List'!B:AM,34,FALSE)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Materials'!$H$18),0)</f>
        <v>0</v>
      </c>
      <c r="J213" s="559">
        <f t="shared" si="13"/>
        <v>0</v>
      </c>
    </row>
    <row r="214" spans="1:10" x14ac:dyDescent="0.4">
      <c r="A214" s="654" t="s">
        <v>448</v>
      </c>
      <c r="B214" s="78" t="str">
        <f>VLOOKUP('Area B'!B29,'Item List'!B:AJ,17,FALSE)</f>
        <v>None</v>
      </c>
      <c r="C214" s="78" t="str">
        <f>VLOOKUP(B214,'Item List'!B:AH,2,FALSE)</f>
        <v>None</v>
      </c>
      <c r="D214" s="78"/>
      <c r="E214" s="557">
        <f>VLOOKUP(B214,'Item List'!B:AM,34,FALSE)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Materials'!$H$18),0)</f>
        <v>0</v>
      </c>
      <c r="J214" s="559">
        <f t="shared" si="13"/>
        <v>0</v>
      </c>
    </row>
    <row r="215" spans="1:10" x14ac:dyDescent="0.4">
      <c r="A215" s="654" t="s">
        <v>448</v>
      </c>
      <c r="B215" s="78" t="str">
        <f>VLOOKUP('Area B'!B30,'Item List'!B:AJ,14,FALSE)</f>
        <v>None</v>
      </c>
      <c r="C215" s="78" t="str">
        <f>VLOOKUP(B215,'Item List'!B:AH,2,FALSE)</f>
        <v>None</v>
      </c>
      <c r="D215" s="78"/>
      <c r="E215" s="557">
        <f>VLOOKUP(B215,'Item List'!B:AM,34,FALSE)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Materials'!$H$18),0)</f>
        <v>0</v>
      </c>
      <c r="J215" s="559">
        <f t="shared" si="13"/>
        <v>0</v>
      </c>
    </row>
    <row r="216" spans="1:10" x14ac:dyDescent="0.4">
      <c r="A216" s="654" t="s">
        <v>448</v>
      </c>
      <c r="B216" s="78" t="str">
        <f>VLOOKUP('Area B'!B30,'Item List'!B:AJ,15,FALSE)</f>
        <v>None</v>
      </c>
      <c r="C216" s="78" t="str">
        <f>VLOOKUP(B216,'Item List'!B:AH,2,FALSE)</f>
        <v>None</v>
      </c>
      <c r="D216" s="78"/>
      <c r="E216" s="557">
        <f>VLOOKUP(B216,'Item List'!B:AM,34,FALSE)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Materials'!$H$18),0)</f>
        <v>0</v>
      </c>
      <c r="J216" s="559">
        <f t="shared" si="13"/>
        <v>0</v>
      </c>
    </row>
    <row r="217" spans="1:10" x14ac:dyDescent="0.4">
      <c r="A217" s="654" t="s">
        <v>448</v>
      </c>
      <c r="B217" s="78" t="str">
        <f>VLOOKUP('Area B'!B30,'Item List'!B:AJ,16,FALSE)</f>
        <v>None</v>
      </c>
      <c r="C217" s="78" t="str">
        <f>VLOOKUP(B217,'Item List'!B:AH,2,FALSE)</f>
        <v>None</v>
      </c>
      <c r="D217" s="78"/>
      <c r="E217" s="557">
        <f>VLOOKUP(B217,'Item List'!B:AM,34,FALSE)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Materials'!$H$18),0)</f>
        <v>0</v>
      </c>
      <c r="J217" s="559">
        <f t="shared" si="13"/>
        <v>0</v>
      </c>
    </row>
    <row r="218" spans="1:10" x14ac:dyDescent="0.4">
      <c r="A218" s="654" t="s">
        <v>448</v>
      </c>
      <c r="B218" s="78" t="str">
        <f>VLOOKUP('Area B'!B30,'Item List'!B:AJ,17,FALSE)</f>
        <v>None</v>
      </c>
      <c r="C218" s="78" t="str">
        <f>VLOOKUP(B218,'Item List'!B:AH,2,FALSE)</f>
        <v>None</v>
      </c>
      <c r="D218" s="78"/>
      <c r="E218" s="557">
        <f>VLOOKUP(B218,'Item List'!B:AM,34,FALSE)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Materials'!$H$18),0)</f>
        <v>0</v>
      </c>
      <c r="J218" s="559">
        <f t="shared" si="13"/>
        <v>0</v>
      </c>
    </row>
    <row r="219" spans="1:10" x14ac:dyDescent="0.4">
      <c r="A219" s="654" t="s">
        <v>449</v>
      </c>
      <c r="B219" s="78" t="str">
        <f>VLOOKUP('Area B'!B31,'Item List'!B:AJ,14,FALSE)</f>
        <v>None</v>
      </c>
      <c r="C219" s="78" t="str">
        <f>VLOOKUP(B219,'Item List'!B:AH,2,FALSE)</f>
        <v>None</v>
      </c>
      <c r="D219" s="78"/>
      <c r="E219" s="557">
        <f>VLOOKUP(B219,'Item List'!B:AM,34,FALSE)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Materials'!$H$18),0)</f>
        <v>0</v>
      </c>
      <c r="J219" s="559">
        <f t="shared" si="13"/>
        <v>0</v>
      </c>
    </row>
    <row r="220" spans="1:10" x14ac:dyDescent="0.4">
      <c r="A220" s="654" t="s">
        <v>449</v>
      </c>
      <c r="B220" s="78" t="str">
        <f>VLOOKUP('Area B'!B31,'Item List'!B:AJ,15,FALSE)</f>
        <v>None</v>
      </c>
      <c r="C220" s="78" t="str">
        <f>VLOOKUP(B220,'Item List'!B:AH,2,FALSE)</f>
        <v>None</v>
      </c>
      <c r="D220" s="78"/>
      <c r="E220" s="557">
        <f>VLOOKUP(B220,'Item List'!B:AM,34,FALSE)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Materials'!$H$18),0)</f>
        <v>0</v>
      </c>
      <c r="J220" s="559">
        <f t="shared" si="13"/>
        <v>0</v>
      </c>
    </row>
    <row r="221" spans="1:10" x14ac:dyDescent="0.4">
      <c r="A221" s="654" t="s">
        <v>449</v>
      </c>
      <c r="B221" s="78" t="str">
        <f>VLOOKUP('Area B'!B31,'Item List'!B:AJ,16,FALSE)</f>
        <v>None</v>
      </c>
      <c r="C221" s="78" t="str">
        <f>VLOOKUP(B221,'Item List'!B:AH,2,FALSE)</f>
        <v>None</v>
      </c>
      <c r="D221" s="78"/>
      <c r="E221" s="557">
        <f>VLOOKUP(B222,'Item List'!B:AM,34,FALSE)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Materials'!$H$18),0)</f>
        <v>0</v>
      </c>
      <c r="J221" s="559">
        <f t="shared" si="13"/>
        <v>0</v>
      </c>
    </row>
    <row r="222" spans="1:10" x14ac:dyDescent="0.4">
      <c r="A222" s="654" t="s">
        <v>449</v>
      </c>
      <c r="B222" s="78" t="str">
        <f>VLOOKUP('Area B'!B31,'Item List'!B:AJ,17,FALSE)</f>
        <v>None</v>
      </c>
      <c r="C222" s="78" t="str">
        <f>VLOOKUP(B222,'Item List'!B:AH,2,FALSE)</f>
        <v>None</v>
      </c>
      <c r="D222" s="78"/>
      <c r="E222" s="557">
        <f>VLOOKUP(B222,'Item List'!B:AM,34,FALSE)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Materials'!$H$18),0)</f>
        <v>0</v>
      </c>
      <c r="J222" s="559">
        <f t="shared" si="13"/>
        <v>0</v>
      </c>
    </row>
    <row r="223" spans="1:10" x14ac:dyDescent="0.4">
      <c r="A223" s="654" t="s">
        <v>449</v>
      </c>
      <c r="B223" s="78" t="str">
        <f>VLOOKUP('Area B'!B32,'Item List'!B:AJ,14,FALSE)</f>
        <v>None</v>
      </c>
      <c r="C223" s="78" t="str">
        <f>VLOOKUP(B223,'Item List'!B:AH,2,FALSE)</f>
        <v>None</v>
      </c>
      <c r="D223" s="78"/>
      <c r="E223" s="557">
        <f>VLOOKUP(B223,'Item List'!B:AM,34,FALSE)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Materials'!$H$18),0)</f>
        <v>0</v>
      </c>
      <c r="J223" s="559">
        <f t="shared" si="13"/>
        <v>0</v>
      </c>
    </row>
    <row r="224" spans="1:10" x14ac:dyDescent="0.4">
      <c r="A224" s="654" t="s">
        <v>449</v>
      </c>
      <c r="B224" s="78" t="str">
        <f>VLOOKUP('Area B'!B32,'Item List'!B:AJ,15,FALSE)</f>
        <v>None</v>
      </c>
      <c r="C224" s="78" t="str">
        <f>VLOOKUP(B224,'Item List'!B:AH,2,FALSE)</f>
        <v>None</v>
      </c>
      <c r="D224" s="78"/>
      <c r="E224" s="557">
        <f>VLOOKUP(B224,'Item List'!B:AM,34,FALSE)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Materials'!$H$18),0)</f>
        <v>0</v>
      </c>
      <c r="J224" s="559">
        <f t="shared" si="13"/>
        <v>0</v>
      </c>
    </row>
    <row r="225" spans="1:10" x14ac:dyDescent="0.4">
      <c r="A225" s="654" t="s">
        <v>449</v>
      </c>
      <c r="B225" s="78" t="str">
        <f>VLOOKUP('Area B'!B32,'Item List'!B:AJ,16,FALSE)</f>
        <v>None</v>
      </c>
      <c r="C225" s="78" t="str">
        <f>VLOOKUP(B225,'Item List'!B:AH,2,FALSE)</f>
        <v>None</v>
      </c>
      <c r="D225" s="78"/>
      <c r="E225" s="557">
        <f>VLOOKUP(B225,'Item List'!B:AM,34,FALSE)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Materials'!$H$18),0)</f>
        <v>0</v>
      </c>
      <c r="J225" s="559">
        <f t="shared" si="13"/>
        <v>0</v>
      </c>
    </row>
    <row r="226" spans="1:10" x14ac:dyDescent="0.4">
      <c r="A226" s="654" t="s">
        <v>449</v>
      </c>
      <c r="B226" s="78" t="str">
        <f>VLOOKUP('Area B'!B32,'Item List'!B:AJ,17,FALSE)</f>
        <v>None</v>
      </c>
      <c r="C226" s="78" t="str">
        <f>VLOOKUP(B226,'Item List'!B:AH,2,FALSE)</f>
        <v>None</v>
      </c>
      <c r="D226" s="78"/>
      <c r="E226" s="557">
        <f>VLOOKUP(B226,'Item List'!B:AM,34,FALSE)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Materials'!$H$18),0)</f>
        <v>0</v>
      </c>
      <c r="J226" s="559">
        <f t="shared" si="13"/>
        <v>0</v>
      </c>
    </row>
    <row r="227" spans="1:10" x14ac:dyDescent="0.4">
      <c r="A227" s="654" t="s">
        <v>450</v>
      </c>
      <c r="B227" s="78" t="str">
        <f>VLOOKUP('Area B'!B33,'Item List'!B:AJ,14,FALSE)</f>
        <v>None</v>
      </c>
      <c r="C227" s="78" t="str">
        <f>VLOOKUP(B227,'Item List'!B:AH,2,FALSE)</f>
        <v>None</v>
      </c>
      <c r="D227" s="78"/>
      <c r="E227" s="557">
        <f>VLOOKUP(B227,'Item List'!B:AM,34,FALSE)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Materials'!$H$18),0)</f>
        <v>0</v>
      </c>
      <c r="J227" s="559">
        <f t="shared" si="13"/>
        <v>0</v>
      </c>
    </row>
    <row r="228" spans="1:10" x14ac:dyDescent="0.4">
      <c r="A228" s="654" t="s">
        <v>450</v>
      </c>
      <c r="B228" s="78" t="str">
        <f>VLOOKUP('Area B'!B33,'Item List'!B:AJ,15,FALSE)</f>
        <v>None</v>
      </c>
      <c r="C228" s="78" t="str">
        <f>VLOOKUP(B228,'Item List'!B:AH,2,FALSE)</f>
        <v>None</v>
      </c>
      <c r="D228" s="78"/>
      <c r="E228" s="557">
        <f>VLOOKUP(B228,'Item List'!B:AM,34,FALSE)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Materials'!$H$18),0)</f>
        <v>0</v>
      </c>
      <c r="J228" s="559">
        <f t="shared" si="13"/>
        <v>0</v>
      </c>
    </row>
    <row r="229" spans="1:10" x14ac:dyDescent="0.4">
      <c r="A229" s="654" t="s">
        <v>450</v>
      </c>
      <c r="B229" s="78" t="str">
        <f>VLOOKUP('Area B'!B33,'Item List'!B:AJ,16,FALSE)</f>
        <v>None</v>
      </c>
      <c r="C229" s="78" t="str">
        <f>VLOOKUP(B229,'Item List'!B:AH,2,FALSE)</f>
        <v>None</v>
      </c>
      <c r="D229" s="78"/>
      <c r="E229" s="557">
        <f>VLOOKUP(B229,'Item List'!B:AM,34,FALSE)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Materials'!$H$18),0)</f>
        <v>0</v>
      </c>
      <c r="J229" s="559">
        <f t="shared" si="13"/>
        <v>0</v>
      </c>
    </row>
    <row r="230" spans="1:10" x14ac:dyDescent="0.4">
      <c r="A230" s="654" t="s">
        <v>450</v>
      </c>
      <c r="B230" s="78" t="str">
        <f>VLOOKUP('Area B'!B33,'Item List'!B:AJ,17,FALSE)</f>
        <v>None</v>
      </c>
      <c r="C230" s="78" t="str">
        <f>VLOOKUP(B230,'Item List'!B:AH,2,FALSE)</f>
        <v>None</v>
      </c>
      <c r="D230" s="78"/>
      <c r="E230" s="557">
        <f>VLOOKUP(B230,'Item List'!B:AM,34,FALSE)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Materials'!$H$18),0)</f>
        <v>0</v>
      </c>
      <c r="J230" s="559">
        <f t="shared" si="13"/>
        <v>0</v>
      </c>
    </row>
    <row r="231" spans="1:10" x14ac:dyDescent="0.4">
      <c r="A231" s="654" t="s">
        <v>450</v>
      </c>
      <c r="B231" s="78" t="str">
        <f>VLOOKUP('Area B'!B34,'Item List'!B:AJ,14,FALSE)</f>
        <v>None</v>
      </c>
      <c r="C231" s="78" t="str">
        <f>VLOOKUP(B231,'Item List'!B:AH,2,FALSE)</f>
        <v>None</v>
      </c>
      <c r="D231" s="78"/>
      <c r="E231" s="557">
        <f>VLOOKUP(B231,'Item List'!B:AM,34,FALSE)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Materials'!$H$18),0)</f>
        <v>0</v>
      </c>
      <c r="J231" s="559">
        <f t="shared" si="13"/>
        <v>0</v>
      </c>
    </row>
    <row r="232" spans="1:10" x14ac:dyDescent="0.4">
      <c r="A232" s="654" t="s">
        <v>450</v>
      </c>
      <c r="B232" s="78" t="str">
        <f>VLOOKUP('Area B'!B34,'Item List'!B:AJ,15,FALSE)</f>
        <v>None</v>
      </c>
      <c r="C232" s="78" t="str">
        <f>VLOOKUP(B232,'Item List'!B:AH,2,FALSE)</f>
        <v>None</v>
      </c>
      <c r="D232" s="78"/>
      <c r="E232" s="557">
        <f>VLOOKUP(B232,'Item List'!B:AM,34,FALSE)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Materials'!$H$18),0)</f>
        <v>0</v>
      </c>
      <c r="J232" s="559">
        <f t="shared" si="13"/>
        <v>0</v>
      </c>
    </row>
    <row r="233" spans="1:10" x14ac:dyDescent="0.4">
      <c r="A233" s="654" t="s">
        <v>450</v>
      </c>
      <c r="B233" s="78" t="str">
        <f>VLOOKUP('Area B'!B34,'Item List'!B:AJ,16,FALSE)</f>
        <v>None</v>
      </c>
      <c r="C233" s="78" t="str">
        <f>VLOOKUP(B233,'Item List'!B:AH,2,FALSE)</f>
        <v>None</v>
      </c>
      <c r="D233" s="78"/>
      <c r="E233" s="557">
        <f>VLOOKUP(B233,'Item List'!B:AM,34,FALSE)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Materials'!$H$18),0)</f>
        <v>0</v>
      </c>
      <c r="J233" s="559">
        <f t="shared" si="13"/>
        <v>0</v>
      </c>
    </row>
    <row r="234" spans="1:10" x14ac:dyDescent="0.4">
      <c r="A234" s="654" t="s">
        <v>450</v>
      </c>
      <c r="B234" s="78" t="str">
        <f>VLOOKUP('Area B'!B34,'Item List'!B:AJ,17,FALSE)</f>
        <v>None</v>
      </c>
      <c r="C234" s="78" t="str">
        <f>VLOOKUP(B234,'Item List'!B:AH,2,FALSE)</f>
        <v>None</v>
      </c>
      <c r="D234" s="78"/>
      <c r="E234" s="557">
        <f>VLOOKUP(B234,'Item List'!B:AM,34,FALSE)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Materials'!$H$18),0)</f>
        <v>0</v>
      </c>
      <c r="J234" s="559">
        <f t="shared" si="13"/>
        <v>0</v>
      </c>
    </row>
    <row r="235" spans="1:10" x14ac:dyDescent="0.4">
      <c r="A235" s="654" t="s">
        <v>451</v>
      </c>
      <c r="B235" s="78" t="str">
        <f>VLOOKUP('Area B'!B35,'Item List'!B:AJ,14,FALSE)</f>
        <v>None</v>
      </c>
      <c r="C235" s="78" t="str">
        <f>VLOOKUP(B235,'Item List'!B:AH,2,FALSE)</f>
        <v>None</v>
      </c>
      <c r="D235" s="78"/>
      <c r="E235" s="557">
        <f>VLOOKUP(B235,'Item List'!B:AM,34,FALSE)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Materials'!$H$18),0)</f>
        <v>0</v>
      </c>
      <c r="J235" s="559">
        <f t="shared" si="13"/>
        <v>0</v>
      </c>
    </row>
    <row r="236" spans="1:10" x14ac:dyDescent="0.4">
      <c r="A236" s="654" t="s">
        <v>451</v>
      </c>
      <c r="B236" s="78" t="str">
        <f>VLOOKUP('Area B'!B35,'Item List'!B:AJ,15,FALSE)</f>
        <v>None</v>
      </c>
      <c r="C236" s="78" t="str">
        <f>VLOOKUP(B236,'Item List'!B:AH,2,FALSE)</f>
        <v>None</v>
      </c>
      <c r="D236" s="78"/>
      <c r="E236" s="557">
        <f>VLOOKUP(B236,'Item List'!B:AM,34,FALSE)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Materials'!$H$18),0)</f>
        <v>0</v>
      </c>
      <c r="J236" s="559">
        <f t="shared" si="13"/>
        <v>0</v>
      </c>
    </row>
    <row r="237" spans="1:10" x14ac:dyDescent="0.4">
      <c r="A237" s="654" t="s">
        <v>451</v>
      </c>
      <c r="B237" s="78" t="str">
        <f>VLOOKUP('Area B'!B35,'Item List'!B:AJ,16,FALSE)</f>
        <v>None</v>
      </c>
      <c r="C237" s="78" t="str">
        <f>VLOOKUP(B237,'Item List'!B:AH,2,FALSE)</f>
        <v>None</v>
      </c>
      <c r="D237" s="78"/>
      <c r="E237" s="557">
        <f>VLOOKUP(B237,'Item List'!B:AM,34,FALSE)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Materials'!$H$18),0)</f>
        <v>0</v>
      </c>
      <c r="J237" s="559">
        <f t="shared" si="13"/>
        <v>0</v>
      </c>
    </row>
    <row r="238" spans="1:10" x14ac:dyDescent="0.4">
      <c r="A238" s="654" t="s">
        <v>451</v>
      </c>
      <c r="B238" s="78" t="str">
        <f>VLOOKUP('Area B'!B35,'Item List'!B:AJ,17,FALSE)</f>
        <v>None</v>
      </c>
      <c r="C238" s="78" t="str">
        <f>VLOOKUP(B238,'Item List'!B:AH,2,FALSE)</f>
        <v>None</v>
      </c>
      <c r="D238" s="78"/>
      <c r="E238" s="557">
        <f>VLOOKUP(B238,'Item List'!B:AM,34,FALSE)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Materials'!$H$18),0)</f>
        <v>0</v>
      </c>
      <c r="J238" s="559">
        <f t="shared" si="13"/>
        <v>0</v>
      </c>
    </row>
    <row r="239" spans="1:10" x14ac:dyDescent="0.4">
      <c r="A239" s="654" t="s">
        <v>451</v>
      </c>
      <c r="B239" s="78" t="str">
        <f>VLOOKUP('Area B'!B36,'Item List'!B:AJ,14,FALSE)</f>
        <v>None</v>
      </c>
      <c r="C239" s="78" t="str">
        <f>VLOOKUP(B239,'Item List'!B:AH,2,FALSE)</f>
        <v>None</v>
      </c>
      <c r="D239" s="78"/>
      <c r="E239" s="557">
        <f>VLOOKUP(B239,'Item List'!B:AM,34,FALSE)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Materials'!$H$18),0)</f>
        <v>0</v>
      </c>
      <c r="J239" s="559">
        <f t="shared" si="13"/>
        <v>0</v>
      </c>
    </row>
    <row r="240" spans="1:10" x14ac:dyDescent="0.4">
      <c r="A240" s="654" t="s">
        <v>451</v>
      </c>
      <c r="B240" s="78" t="str">
        <f>VLOOKUP('Area B'!B36,'Item List'!B:AJ,15,FALSE)</f>
        <v>None</v>
      </c>
      <c r="C240" s="78" t="str">
        <f>VLOOKUP(B240,'Item List'!B:AH,2,FALSE)</f>
        <v>None</v>
      </c>
      <c r="D240" s="78"/>
      <c r="E240" s="557">
        <f>VLOOKUP(B240,'Item List'!B:AM,34,FALSE)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Materials'!$H$18),0)</f>
        <v>0</v>
      </c>
      <c r="J240" s="559">
        <f t="shared" si="13"/>
        <v>0</v>
      </c>
    </row>
    <row r="241" spans="1:10" x14ac:dyDescent="0.4">
      <c r="A241" s="654" t="s">
        <v>451</v>
      </c>
      <c r="B241" s="78" t="str">
        <f>VLOOKUP('Area B'!B36,'Item List'!B:AJ,16,FALSE)</f>
        <v>None</v>
      </c>
      <c r="C241" s="78" t="str">
        <f>VLOOKUP(B241,'Item List'!B:AH,2,FALSE)</f>
        <v>None</v>
      </c>
      <c r="D241" s="78"/>
      <c r="E241" s="557">
        <f>VLOOKUP(B241,'Item List'!B:AM,34,FALSE)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Materials'!$H$18),0)</f>
        <v>0</v>
      </c>
      <c r="J241" s="559">
        <f t="shared" si="13"/>
        <v>0</v>
      </c>
    </row>
    <row r="242" spans="1:10" x14ac:dyDescent="0.4">
      <c r="A242" s="654" t="s">
        <v>451</v>
      </c>
      <c r="B242" s="78" t="str">
        <f>VLOOKUP('Area B'!B36,'Item List'!B:AJ,17,FALSE)</f>
        <v>None</v>
      </c>
      <c r="C242" s="78" t="str">
        <f>VLOOKUP(B242,'Item List'!B:AH,2,FALSE)</f>
        <v>None</v>
      </c>
      <c r="D242" s="78"/>
      <c r="E242" s="557">
        <f>VLOOKUP(B242,'Item List'!B:AM,34,FALSE)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Materials'!$H$18),0)</f>
        <v>0</v>
      </c>
      <c r="J242" s="559">
        <f t="shared" si="13"/>
        <v>0</v>
      </c>
    </row>
    <row r="243" spans="1:10" x14ac:dyDescent="0.4">
      <c r="A243" s="654" t="s">
        <v>452</v>
      </c>
      <c r="B243" s="78" t="str">
        <f>VLOOKUP('Area B'!B40,'Item List'!B:AJ,14,FALSE)</f>
        <v>None</v>
      </c>
      <c r="C243" s="78" t="str">
        <f>VLOOKUP(B243,'Item List'!B:AH,2,FALSE)</f>
        <v>None</v>
      </c>
      <c r="D243" s="78"/>
      <c r="E243" s="557">
        <f>VLOOKUP(B243,'Item List'!B:AM,34,FALSE)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Materials'!$H$18),0)</f>
        <v>0</v>
      </c>
      <c r="J243" s="559">
        <f t="shared" si="13"/>
        <v>0</v>
      </c>
    </row>
    <row r="244" spans="1:10" x14ac:dyDescent="0.4">
      <c r="A244" s="654" t="s">
        <v>452</v>
      </c>
      <c r="B244" s="78" t="str">
        <f>VLOOKUP('Area B'!B40,'Item List'!B:AJ,15,FALSE)</f>
        <v>None</v>
      </c>
      <c r="C244" s="78" t="str">
        <f>VLOOKUP(B244,'Item List'!B:AH,2,FALSE)</f>
        <v>None</v>
      </c>
      <c r="D244" s="78"/>
      <c r="E244" s="557">
        <f>VLOOKUP(B244,'Item List'!B:AM,34,FALSE)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Materials'!$H$18),0)</f>
        <v>0</v>
      </c>
      <c r="J244" s="559">
        <f t="shared" si="13"/>
        <v>0</v>
      </c>
    </row>
    <row r="245" spans="1:10" x14ac:dyDescent="0.4">
      <c r="A245" s="654" t="s">
        <v>452</v>
      </c>
      <c r="B245" s="78" t="str">
        <f>VLOOKUP('Area B'!B40,'Item List'!B:AJ,16,FALSE)</f>
        <v>None</v>
      </c>
      <c r="C245" s="78" t="str">
        <f>VLOOKUP(B245,'Item List'!B:AH,2,FALSE)</f>
        <v>None</v>
      </c>
      <c r="D245" s="78"/>
      <c r="E245" s="557">
        <f>VLOOKUP(B245,'Item List'!B:AM,34,FALSE)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Materials'!$H$18),0)</f>
        <v>0</v>
      </c>
      <c r="J245" s="559">
        <f t="shared" si="13"/>
        <v>0</v>
      </c>
    </row>
    <row r="246" spans="1:10" x14ac:dyDescent="0.4">
      <c r="A246" s="654" t="s">
        <v>452</v>
      </c>
      <c r="B246" s="78" t="str">
        <f>VLOOKUP('Area B'!B40,'Item List'!B:AJ,17,FALSE)</f>
        <v>None</v>
      </c>
      <c r="C246" s="78" t="str">
        <f>VLOOKUP(B246,'Item List'!B:AH,2,FALSE)</f>
        <v>None</v>
      </c>
      <c r="D246" s="78"/>
      <c r="E246" s="557">
        <f>VLOOKUP(B246,'Item List'!B:AM,34,FALSE)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Materials'!$H$18),0)</f>
        <v>0</v>
      </c>
      <c r="J246" s="559">
        <f t="shared" si="13"/>
        <v>0</v>
      </c>
    </row>
    <row r="247" spans="1:10" x14ac:dyDescent="0.4">
      <c r="A247" s="654" t="s">
        <v>453</v>
      </c>
      <c r="B247" s="78" t="str">
        <f>VLOOKUP('Area B'!B41,'Item List'!B:AJ,14,FALSE)</f>
        <v>None</v>
      </c>
      <c r="C247" s="78" t="str">
        <f>VLOOKUP(B247,'Item List'!B:AH,2,FALSE)</f>
        <v>None</v>
      </c>
      <c r="D247" s="78"/>
      <c r="E247" s="557">
        <f>VLOOKUP(B247,'Item List'!B:AM,34,FALSE)</f>
        <v>0</v>
      </c>
      <c r="F247" s="555">
        <f>VLOOKUP(B247,'Item List'!B:AJ,4,FALSE)</f>
        <v>0</v>
      </c>
      <c r="G247" s="555">
        <f t="shared" ref="G247:G265" si="14">F247*E247</f>
        <v>0</v>
      </c>
      <c r="H247" s="593"/>
      <c r="I247" s="594">
        <f>ROUNDUP((E247*'Project Materials'!$H$18),0)</f>
        <v>0</v>
      </c>
      <c r="J247" s="559">
        <f t="shared" si="13"/>
        <v>0</v>
      </c>
    </row>
    <row r="248" spans="1:10" x14ac:dyDescent="0.4">
      <c r="A248" s="654" t="s">
        <v>453</v>
      </c>
      <c r="B248" s="78" t="str">
        <f>VLOOKUP('Area B'!B41,'Item List'!B:AJ,15,FALSE)</f>
        <v>None</v>
      </c>
      <c r="C248" s="78" t="str">
        <f>VLOOKUP(B248,'Item List'!B:AH,2,FALSE)</f>
        <v>None</v>
      </c>
      <c r="D248" s="78"/>
      <c r="E248" s="557">
        <f>VLOOKUP(B248,'Item List'!B:AM,34,FALSE)</f>
        <v>0</v>
      </c>
      <c r="F248" s="555">
        <f>VLOOKUP(B248,'Item List'!B:AJ,4,FALSE)</f>
        <v>0</v>
      </c>
      <c r="G248" s="555">
        <f t="shared" si="14"/>
        <v>0</v>
      </c>
      <c r="H248" s="593"/>
      <c r="I248" s="594">
        <f>ROUNDUP((E248*'Project Materials'!$H$18),0)</f>
        <v>0</v>
      </c>
      <c r="J248" s="559">
        <f t="shared" si="13"/>
        <v>0</v>
      </c>
    </row>
    <row r="249" spans="1:10" x14ac:dyDescent="0.4">
      <c r="A249" s="654" t="s">
        <v>453</v>
      </c>
      <c r="B249" s="78" t="str">
        <f>VLOOKUP('Area B'!B41,'Item List'!B:AJ,16,FALSE)</f>
        <v>None</v>
      </c>
      <c r="C249" s="78" t="str">
        <f>VLOOKUP(B249,'Item List'!B:AH,2,FALSE)</f>
        <v>None</v>
      </c>
      <c r="D249" s="78"/>
      <c r="E249" s="557">
        <f>VLOOKUP(B249,'Item List'!B:AM,34,FALSE)</f>
        <v>0</v>
      </c>
      <c r="F249" s="555">
        <f>VLOOKUP(B249,'Item List'!B:AJ,4,FALSE)</f>
        <v>0</v>
      </c>
      <c r="G249" s="555">
        <f t="shared" si="14"/>
        <v>0</v>
      </c>
      <c r="H249" s="593"/>
      <c r="I249" s="594">
        <f>ROUNDUP((E249*'Project Materials'!$H$18),0)</f>
        <v>0</v>
      </c>
      <c r="J249" s="559">
        <f t="shared" si="13"/>
        <v>0</v>
      </c>
    </row>
    <row r="250" spans="1:10" x14ac:dyDescent="0.4">
      <c r="A250" s="654" t="s">
        <v>453</v>
      </c>
      <c r="B250" s="78" t="str">
        <f>VLOOKUP('Area B'!B41,'Item List'!B:AJ,17,FALSE)</f>
        <v>None</v>
      </c>
      <c r="C250" s="78" t="str">
        <f>VLOOKUP(B250,'Item List'!B:AH,2,FALSE)</f>
        <v>None</v>
      </c>
      <c r="D250" s="78"/>
      <c r="E250" s="557">
        <f>VLOOKUP(B250,'Item List'!B:AM,34,FALSE)</f>
        <v>0</v>
      </c>
      <c r="F250" s="555">
        <f>VLOOKUP(B250,'Item List'!B:AJ,4,FALSE)</f>
        <v>0</v>
      </c>
      <c r="G250" s="555">
        <f t="shared" si="14"/>
        <v>0</v>
      </c>
      <c r="H250" s="593"/>
      <c r="I250" s="594">
        <f>ROUNDUP((E250*'Project Materials'!$H$18),0)</f>
        <v>0</v>
      </c>
      <c r="J250" s="559">
        <f t="shared" si="13"/>
        <v>0</v>
      </c>
    </row>
    <row r="251" spans="1:10" x14ac:dyDescent="0.4">
      <c r="A251" s="654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4"/>
        <v>0</v>
      </c>
      <c r="H251" s="593"/>
      <c r="I251" s="594">
        <f>ROUNDUP((E251*'Project Materials'!$H$18),0)</f>
        <v>0</v>
      </c>
      <c r="J251" s="559">
        <f t="shared" si="13"/>
        <v>0</v>
      </c>
    </row>
    <row r="252" spans="1:10" x14ac:dyDescent="0.4">
      <c r="A252" s="654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4"/>
        <v>0</v>
      </c>
      <c r="H252" s="593"/>
      <c r="I252" s="594">
        <f>ROUNDUP((E252*'Project Materials'!$H$18),0)</f>
        <v>0</v>
      </c>
      <c r="J252" s="559">
        <f t="shared" ref="J252:J265" si="15">G252+(I252*F252)</f>
        <v>0</v>
      </c>
    </row>
    <row r="253" spans="1:10" x14ac:dyDescent="0.4">
      <c r="A253" s="654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4"/>
        <v>0</v>
      </c>
      <c r="H253" s="593"/>
      <c r="I253" s="594">
        <f>ROUNDUP((E253*'Project Materials'!$H$18),0)</f>
        <v>0</v>
      </c>
      <c r="J253" s="559">
        <f t="shared" si="15"/>
        <v>0</v>
      </c>
    </row>
    <row r="254" spans="1:10" x14ac:dyDescent="0.4">
      <c r="A254" s="654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4"/>
        <v>0</v>
      </c>
      <c r="H254" s="593"/>
      <c r="I254" s="594">
        <f>ROUNDUP((E254*'Project Materials'!$H$18),0)</f>
        <v>0</v>
      </c>
      <c r="J254" s="559">
        <f t="shared" si="15"/>
        <v>0</v>
      </c>
    </row>
    <row r="255" spans="1:10" x14ac:dyDescent="0.4">
      <c r="A255" s="654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4"/>
        <v>0</v>
      </c>
      <c r="H255" s="593"/>
      <c r="I255" s="594">
        <f>ROUNDUP((E255*'Project Materials'!$H$18),0)</f>
        <v>0</v>
      </c>
      <c r="J255" s="559">
        <f t="shared" si="15"/>
        <v>0</v>
      </c>
    </row>
    <row r="256" spans="1:10" x14ac:dyDescent="0.4">
      <c r="A256" s="654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3" si="16">F256*E256</f>
        <v>0</v>
      </c>
      <c r="H256" s="593"/>
      <c r="I256" s="594">
        <f>ROUNDUP((E256*'Project Materials'!$H$18),0)</f>
        <v>0</v>
      </c>
      <c r="J256" s="559">
        <f t="shared" si="15"/>
        <v>0</v>
      </c>
    </row>
    <row r="257" spans="1:10" x14ac:dyDescent="0.4">
      <c r="A257" s="654" t="s">
        <v>498</v>
      </c>
      <c r="B257" s="382"/>
      <c r="C257" s="382"/>
      <c r="D257" s="375"/>
      <c r="E257" s="375"/>
      <c r="F257" s="383"/>
      <c r="G257" s="555">
        <f t="shared" si="16"/>
        <v>0</v>
      </c>
      <c r="H257" s="593"/>
      <c r="I257" s="594">
        <f>ROUNDUP((E257*'Project Materials'!$H$18),0)</f>
        <v>0</v>
      </c>
      <c r="J257" s="559">
        <f t="shared" si="15"/>
        <v>0</v>
      </c>
    </row>
    <row r="258" spans="1:10" ht="18" customHeight="1" x14ac:dyDescent="0.4">
      <c r="A258" s="654" t="s">
        <v>498</v>
      </c>
      <c r="B258" s="382"/>
      <c r="C258" s="382"/>
      <c r="D258" s="375"/>
      <c r="E258" s="375"/>
      <c r="F258" s="383"/>
      <c r="G258" s="555">
        <f t="shared" si="16"/>
        <v>0</v>
      </c>
      <c r="H258" s="593"/>
      <c r="I258" s="594">
        <f>ROUNDUP((E258*'Project Materials'!$H$18),0)</f>
        <v>0</v>
      </c>
      <c r="J258" s="559">
        <f t="shared" si="15"/>
        <v>0</v>
      </c>
    </row>
    <row r="259" spans="1:10" x14ac:dyDescent="0.4">
      <c r="A259" s="654" t="s">
        <v>498</v>
      </c>
      <c r="B259" s="382"/>
      <c r="C259" s="382"/>
      <c r="D259" s="375"/>
      <c r="E259" s="375"/>
      <c r="F259" s="383"/>
      <c r="G259" s="555">
        <f t="shared" si="16"/>
        <v>0</v>
      </c>
      <c r="H259" s="593"/>
      <c r="I259" s="594">
        <f>ROUNDUP((E259*'Project Materials'!$H$18),0)</f>
        <v>0</v>
      </c>
      <c r="J259" s="559">
        <f t="shared" si="15"/>
        <v>0</v>
      </c>
    </row>
    <row r="260" spans="1:10" x14ac:dyDescent="0.4">
      <c r="A260" s="654" t="s">
        <v>498</v>
      </c>
      <c r="B260" s="382"/>
      <c r="C260" s="382"/>
      <c r="D260" s="375"/>
      <c r="E260" s="375"/>
      <c r="F260" s="383"/>
      <c r="G260" s="555">
        <f t="shared" si="16"/>
        <v>0</v>
      </c>
      <c r="H260" s="593"/>
      <c r="I260" s="594">
        <f>ROUNDUP((E260*'Project Materials'!$H$18),0)</f>
        <v>0</v>
      </c>
      <c r="J260" s="559">
        <f t="shared" si="15"/>
        <v>0</v>
      </c>
    </row>
    <row r="261" spans="1:10" x14ac:dyDescent="0.4">
      <c r="A261" s="654" t="s">
        <v>498</v>
      </c>
      <c r="B261" s="382"/>
      <c r="C261" s="382"/>
      <c r="D261" s="375"/>
      <c r="E261" s="375"/>
      <c r="F261" s="383"/>
      <c r="G261" s="555">
        <f t="shared" si="16"/>
        <v>0</v>
      </c>
      <c r="H261" s="593"/>
      <c r="I261" s="594">
        <f>ROUNDUP((E261*'Project Materials'!$H$18),0)</f>
        <v>0</v>
      </c>
      <c r="J261" s="559">
        <f t="shared" si="15"/>
        <v>0</v>
      </c>
    </row>
    <row r="262" spans="1:10" ht="18" customHeight="1" x14ac:dyDescent="0.4">
      <c r="A262" s="654" t="s">
        <v>498</v>
      </c>
      <c r="B262" s="382"/>
      <c r="C262" s="382"/>
      <c r="D262" s="375"/>
      <c r="E262" s="375"/>
      <c r="F262" s="383"/>
      <c r="G262" s="555">
        <f t="shared" si="16"/>
        <v>0</v>
      </c>
      <c r="H262" s="593"/>
      <c r="I262" s="594">
        <f>ROUNDUP((E262*'Project Materials'!$H$18),0)</f>
        <v>0</v>
      </c>
      <c r="J262" s="559">
        <f t="shared" si="15"/>
        <v>0</v>
      </c>
    </row>
    <row r="263" spans="1:10" x14ac:dyDescent="0.4">
      <c r="A263" s="654" t="s">
        <v>498</v>
      </c>
      <c r="B263" s="382"/>
      <c r="C263" s="382"/>
      <c r="D263" s="375"/>
      <c r="E263" s="375"/>
      <c r="F263" s="383"/>
      <c r="G263" s="555">
        <f t="shared" si="16"/>
        <v>0</v>
      </c>
      <c r="H263" s="593"/>
      <c r="I263" s="594">
        <f>ROUNDUP((E263*'Project Materials'!$H$18),0)</f>
        <v>0</v>
      </c>
      <c r="J263" s="559">
        <f t="shared" si="15"/>
        <v>0</v>
      </c>
    </row>
    <row r="264" spans="1:10" ht="18" customHeight="1" x14ac:dyDescent="0.4">
      <c r="A264" s="654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Materials'!$H$18),0)</f>
        <v>0</v>
      </c>
      <c r="J264" s="559">
        <f t="shared" si="15"/>
        <v>0</v>
      </c>
    </row>
    <row r="265" spans="1:10" x14ac:dyDescent="0.4">
      <c r="A265" s="654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Materials'!$H$18),0)</f>
        <v>0</v>
      </c>
      <c r="J265" s="559">
        <f t="shared" si="15"/>
        <v>0</v>
      </c>
    </row>
    <row r="266" spans="1:10" ht="16.5" customHeight="1" x14ac:dyDescent="0.4">
      <c r="A266" s="660"/>
      <c r="B266" s="620"/>
      <c r="C266" s="620"/>
      <c r="D266" s="661"/>
      <c r="E266" s="661"/>
      <c r="F266" s="662"/>
      <c r="G266" s="663">
        <f>SUM(G199:G265)</f>
        <v>0</v>
      </c>
      <c r="H266" s="664"/>
      <c r="I266" s="663"/>
      <c r="J266" s="663">
        <f>SUM(J199:J265)</f>
        <v>0</v>
      </c>
    </row>
    <row r="267" spans="1:10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5:B8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4"/>
  </protectedRanges>
  <mergeCells count="7">
    <mergeCell ref="L5:M5"/>
    <mergeCell ref="L6:M6"/>
    <mergeCell ref="A1:G1"/>
    <mergeCell ref="D2:E2"/>
    <mergeCell ref="H2:J2"/>
    <mergeCell ref="A3:J3"/>
    <mergeCell ref="L4:M4"/>
  </mergeCells>
  <conditionalFormatting sqref="B47:B63 B94 B120:B195">
    <cfRule type="containsText" dxfId="104" priority="14" operator="containsText" text="none">
      <formula>NOT(ISERROR(SEARCH("none",B47)))</formula>
    </cfRule>
  </conditionalFormatting>
  <conditionalFormatting sqref="B199:B250">
    <cfRule type="containsText" dxfId="103" priority="13" operator="containsText" text="none">
      <formula>NOT(ISERROR(SEARCH("none",B199)))</formula>
    </cfRule>
  </conditionalFormatting>
  <conditionalFormatting sqref="E26">
    <cfRule type="expression" dxfId="102" priority="12">
      <formula>(E26-E19)&lt;&gt;0</formula>
    </cfRule>
  </conditionalFormatting>
  <conditionalFormatting sqref="E19">
    <cfRule type="expression" dxfId="101" priority="11">
      <formula>(E19-E26)&lt;&gt;0</formula>
    </cfRule>
  </conditionalFormatting>
  <conditionalFormatting sqref="B64:B69">
    <cfRule type="containsText" dxfId="100" priority="10" operator="containsText" text="none">
      <formula>NOT(ISERROR(SEARCH("none",B64)))</formula>
    </cfRule>
  </conditionalFormatting>
  <conditionalFormatting sqref="B70:B75">
    <cfRule type="containsText" dxfId="99" priority="9" operator="containsText" text="none">
      <formula>NOT(ISERROR(SEARCH("none",B70)))</formula>
    </cfRule>
  </conditionalFormatting>
  <conditionalFormatting sqref="B76:B81">
    <cfRule type="containsText" dxfId="98" priority="8" operator="containsText" text="none">
      <formula>NOT(ISERROR(SEARCH("none",B76)))</formula>
    </cfRule>
  </conditionalFormatting>
  <conditionalFormatting sqref="B82:B87">
    <cfRule type="containsText" dxfId="97" priority="7" operator="containsText" text="none">
      <formula>NOT(ISERROR(SEARCH("none",B82)))</formula>
    </cfRule>
  </conditionalFormatting>
  <conditionalFormatting sqref="B88:B93">
    <cfRule type="containsText" dxfId="96" priority="6" operator="containsText" text="none">
      <formula>NOT(ISERROR(SEARCH("none",B88)))</formula>
    </cfRule>
  </conditionalFormatting>
  <conditionalFormatting sqref="B95:B106">
    <cfRule type="containsText" dxfId="95" priority="4" operator="containsText" text="none">
      <formula>NOT(ISERROR(SEARCH("none",B95)))</formula>
    </cfRule>
  </conditionalFormatting>
  <conditionalFormatting sqref="B107:B112">
    <cfRule type="containsText" dxfId="94" priority="3" operator="containsText" text="none">
      <formula>NOT(ISERROR(SEARCH("none",B107)))</formula>
    </cfRule>
  </conditionalFormatting>
  <conditionalFormatting sqref="B113:B118">
    <cfRule type="containsText" dxfId="93" priority="2" operator="containsText" text="none">
      <formula>NOT(ISERROR(SEARCH("none",B113)))</formula>
    </cfRule>
  </conditionalFormatting>
  <conditionalFormatting sqref="B119">
    <cfRule type="containsText" dxfId="92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C3B578EE-1B52-41E8-B70B-ED6A13BD8E99}">
          <x14:formula1>
            <xm:f>'Item List'!#REF!</xm:f>
          </x14:formula1>
          <xm:sqref>B36</xm:sqref>
        </x14:dataValidation>
        <x14:dataValidation type="list" allowBlank="1" showInputMessage="1" showErrorMessage="1" xr:uid="{1F317AA3-5EB5-4524-AD13-857E7D8C8337}">
          <x14:formula1>
            <xm:f>'Item List'!$B$3:$B$26</xm:f>
          </x14:formula1>
          <xm:sqref>B7</xm:sqref>
        </x14:dataValidation>
        <x14:dataValidation type="list" allowBlank="1" showInputMessage="1" showErrorMessage="1" xr:uid="{ECC9F6F9-700A-4354-9777-4FCAB6338474}">
          <x14:formula1>
            <xm:f>'Item List'!$B$30:$B$43</xm:f>
          </x14:formula1>
          <xm:sqref>B8</xm:sqref>
        </x14:dataValidation>
        <x14:dataValidation type="list" allowBlank="1" showInputMessage="1" showErrorMessage="1" xr:uid="{F0983B23-CAF2-46BF-B84B-4F0959994676}">
          <x14:formula1>
            <xm:f>'Item List'!$B$46:$B$56</xm:f>
          </x14:formula1>
          <xm:sqref>B12:B14</xm:sqref>
        </x14:dataValidation>
        <x14:dataValidation type="list" allowBlank="1" showInputMessage="1" showErrorMessage="1" xr:uid="{699CBF61-A9A0-45BD-94E1-5FD5E40C5036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5AFF1BA2-AD4C-42F6-B75A-1AE8B8767E2F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223DB9E1-1FE4-4A92-86C0-E7212C2D50E4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387557A8-B222-436D-ACFC-3EB4186BCE13}">
          <x14:formula1>
            <xm:f>'Item List'!$B$128:$B$139</xm:f>
          </x14:formula1>
          <xm:sqref>B31</xm:sqref>
        </x14:dataValidation>
        <x14:dataValidation type="list" allowBlank="1" showInputMessage="1" showErrorMessage="1" xr:uid="{E437C826-ABBA-4072-AC3D-56BCE9B3B84D}">
          <x14:formula1>
            <xm:f>'Item List'!$B$140:$B$149</xm:f>
          </x14:formula1>
          <xm:sqref>B32</xm:sqref>
        </x14:dataValidation>
        <x14:dataValidation type="list" allowBlank="1" showInputMessage="1" showErrorMessage="1" xr:uid="{A8DA7272-CAE3-4B8E-A323-CF0CD73CB912}">
          <x14:formula1>
            <xm:f>'Item List'!$B$3:$B$28</xm:f>
          </x14:formula1>
          <xm:sqref>B5</xm:sqref>
        </x14:dataValidation>
        <x14:dataValidation type="list" allowBlank="1" showInputMessage="1" showErrorMessage="1" xr:uid="{D0D11995-20E3-4CBB-AAF2-DD05E8077BEA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8B73DC9A-57DF-45E0-B179-BACB9AA18FB8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0D59A2EE-47E6-4A3C-AAB3-D8CDD6C139A6}">
          <x14:formula1>
            <xm:f>'Item List'!$B$30:$B$44</xm:f>
          </x14:formula1>
          <xm:sqref>B6</xm:sqref>
        </x14:dataValidation>
        <x14:dataValidation type="list" allowBlank="1" showInputMessage="1" showErrorMessage="1" xr:uid="{8BE065BD-AE20-486E-9C59-90227AEDF4A0}">
          <x14:formula1>
            <xm:f>'Item List'!$B$126:$B$127</xm:f>
          </x14:formula1>
          <xm:sqref>B35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9BF0E-8BEF-4968-9A76-086615E756D1}">
  <sheetPr codeName="Sheet12">
    <tabColor theme="8" tint="0.39997558519241921"/>
  </sheetPr>
  <dimension ref="A1:BO267"/>
  <sheetViews>
    <sheetView zoomScaleNormal="100" workbookViewId="0">
      <selection activeCell="B34" sqref="B34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17" t="str">
        <f>IF('Project Materials'!C27="","",'Project Materials'!C27)</f>
        <v/>
      </c>
      <c r="B1" s="1118"/>
      <c r="C1" s="1118"/>
      <c r="D1" s="1118"/>
      <c r="E1" s="1118"/>
      <c r="F1" s="1118"/>
      <c r="G1" s="1118"/>
      <c r="H1" s="1118"/>
      <c r="I1" s="1118"/>
      <c r="J1" s="1118"/>
      <c r="K1" s="1119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68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87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Materials'!$O$27*'Project Materials'!$P$27))</f>
        <v>0</v>
      </c>
      <c r="E5" s="554">
        <f>IF(K5="",(CEILING(('Project Materials'!$O$27/20),L5)*'Project Materials'!$P$27),(CEILING(('Project Materials'!$O$27/K5),L5)*'Project Materials'!$P$27))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87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Materials'!$O$27*'Project Materials'!$P$27))</f>
        <v>0</v>
      </c>
      <c r="E6" s="554">
        <f>IFERROR(CEILING(IF(K6="",(CEILING(('Project Materials'!$O$27/VLOOKUP(B6,'Item List'!B:AM,3,FALSE)),L6)*'Project Materials'!$P$27),(CEILING(('Project Materials'!$O$27/K6),L6)*'Project Materials'!$P$27)),L6),0)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87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Materials'!$O$27*'Project Materials'!$P$27))</f>
        <v>0</v>
      </c>
      <c r="E7" s="560">
        <f>IF(K7="",(CEILING(('Project Materials'!$O$27/20),0.5)*'Project Materials'!$P$27),(CEILING(('Project Materials'!$O$27/K7),0.5)*'Project Materials'!$P$27))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87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Materials'!$O$27*'Project Materials'!$P$27))</f>
        <v>0</v>
      </c>
      <c r="E8" s="560">
        <f>CEILING(IF(K8="",(CEILING(('Project Materials'!$O$27/20),0.25)*'Project Materials'!$P$27),(CEILING(('Project Materials'!$O$27/K8),0.25)*'Project Materials'!$P$27)),0.5)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>
        <f>SUM(G5:G8)</f>
        <v>0</v>
      </c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68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69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Materials'!K27/(ROUNDDOWN(1/('Project Materials'!$H$27/(VLOOKUP('Area C'!B12,'Item List'!B:AJ,3,FALSE)*12)),0)))*'Project Materials'!P27,0)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69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Materials'!J27/(ROUNDDOWN(1/('Project Materials'!$H$27/(VLOOKUP('Area C'!B13,'Item List'!B:AJ,3,FALSE)*12)),0)))*'Project Materials'!P27,0)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69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Materials'!L27+'Project Materials'!M27)/(ROUNDDOWN(1/('Project Materials'!$H$27/(VLOOKUP('Area C'!B14,'Item List'!B:AJ,3,FALSE)*12)),0)))*'Project Materials'!P27,0)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69" t="s">
        <v>702</v>
      </c>
      <c r="B15" s="377" t="s">
        <v>574</v>
      </c>
      <c r="C15" s="78" t="str">
        <f>VLOOKUP(B15,'Item List'!B:AJ,2,FALSE)</f>
        <v>Post-42" with 5" x 5"  Base Plate  (42 5/8")- Black Unlined</v>
      </c>
      <c r="D15" s="574"/>
      <c r="E15" s="575">
        <f>IF(B15="None",0,SUM('Project Materials'!K27*'Project Materials'!P27))</f>
        <v>0</v>
      </c>
      <c r="F15" s="555">
        <f>VLOOKUP(B15,'Item List'!B:AJ,4,FALSE)</f>
        <v>25.01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69" t="s">
        <v>703</v>
      </c>
      <c r="B16" s="377" t="s">
        <v>574</v>
      </c>
      <c r="C16" s="78" t="str">
        <f>VLOOKUP(B16,'Item List'!B:AJ,2,FALSE)</f>
        <v>Post-42" with 5" x 5"  Base Plate  (42 5/8")- Black Unlined</v>
      </c>
      <c r="D16" s="574"/>
      <c r="E16" s="575">
        <f>IF(B16="None",0,SUM('Project Materials'!J27*'Project Materials'!P27))</f>
        <v>0</v>
      </c>
      <c r="F16" s="555">
        <f>VLOOKUP(B16,'Item List'!B:AJ,4,FALSE)</f>
        <v>25.01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69" t="s">
        <v>710</v>
      </c>
      <c r="B17" s="377" t="s">
        <v>574</v>
      </c>
      <c r="C17" s="78" t="str">
        <f>VLOOKUP(B17,'Item List'!B:AJ,2,FALSE)</f>
        <v>Post-42" with 5" x 5"  Base Plate  (42 5/8")- Black Unlined</v>
      </c>
      <c r="D17" s="574"/>
      <c r="E17" s="575">
        <f>IF(B17="None",0,SUM('Project Materials'!L27*'Project Materials'!P27))</f>
        <v>0</v>
      </c>
      <c r="F17" s="555">
        <f>VLOOKUP(B17,'Item List'!B:AJ,4,FALSE)</f>
        <v>25.01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69" t="s">
        <v>711</v>
      </c>
      <c r="B18" s="377" t="s">
        <v>574</v>
      </c>
      <c r="C18" s="78" t="str">
        <f>VLOOKUP(B18,'Item List'!B:AJ,2,FALSE)</f>
        <v>Post-42" with 5" x 5"  Base Plate  (42 5/8")- Black Unlined</v>
      </c>
      <c r="D18" s="574"/>
      <c r="E18" s="575">
        <f>IF(B18="None",0,SUM('Project Materials'!M27*'Project Materials'!P27))</f>
        <v>0</v>
      </c>
      <c r="F18" s="555">
        <f>VLOOKUP(B18,'Item List'!B:AJ,4,FALSE)</f>
        <v>25.01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70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69" t="s">
        <v>6</v>
      </c>
      <c r="B22" s="377" t="s">
        <v>418</v>
      </c>
      <c r="C22" s="78" t="str">
        <f>VLOOKUP(B22,'Item List'!B:AH,2,FALSE)</f>
        <v>None</v>
      </c>
      <c r="D22" s="78"/>
      <c r="E22" s="575">
        <f>VLOOKUP(B22,'Item List'!B:AJ,35,FALSE)</f>
        <v>0</v>
      </c>
      <c r="F22" s="555">
        <f>IF(B22="None",0,VLOOKUP(B22,'Item List'!B:AH,4,FALSE))</f>
        <v>0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69" t="s">
        <v>6</v>
      </c>
      <c r="B23" s="377" t="s">
        <v>418</v>
      </c>
      <c r="C23" s="78" t="str">
        <f>VLOOKUP(B23,'Item List'!B:AH,2,FALSE)</f>
        <v>None</v>
      </c>
      <c r="D23" s="78"/>
      <c r="E23" s="575">
        <f>VLOOKUP(B23,'Item List'!B:AJ,35,FALSE)</f>
        <v>0</v>
      </c>
      <c r="F23" s="555">
        <f>IF(B23="None",0,VLOOKUP(B23,'Item List'!B:AH,4,FALSE))</f>
        <v>0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69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List'!B:AJ,35,FALSE)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69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List'!B:AJ,35,FALSE)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70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87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Materials'!$V$27*'Project Materials'!$I$27)/12),0)</f>
        <v>0</v>
      </c>
      <c r="E29" s="575">
        <f>IF(B29="None",0,ROUNDUP(SUM(('Project Materials'!O27*'Project Materials'!P27)*VLOOKUP(B29,'Item List'!B:AJ,3,FALSE)),0))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87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Materials'!$V$27*'Project Materials'!$I$27)/12)</f>
        <v>0</v>
      </c>
      <c r="E30" s="575">
        <f>IF(B30="None",0,ROUNDUP(SUM('Project Materials'!O27*VLOOKUP(B30,'Item List'!B:AJ,3,FALSE)),0))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87" t="s">
        <v>444</v>
      </c>
      <c r="B31" s="377" t="s">
        <v>469</v>
      </c>
      <c r="C31" s="78" t="str">
        <f>VLOOKUP(B31,'Item List'!B:AH,2,FALSE)</f>
        <v>1/4" Clear Tempered Glass per Sq Ft</v>
      </c>
      <c r="D31" s="573">
        <f>ROUNDUP(IF(B31="None",0,'Project Materials'!L12*'Project Materials'!L13),1)</f>
        <v>0</v>
      </c>
      <c r="F31" s="555">
        <f>IF(B31="None",0,VLOOKUP(B31,'Item List'!B:AH,4,FALSE))</f>
        <v>2.37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87" t="s">
        <v>497</v>
      </c>
      <c r="B32" s="377" t="s">
        <v>472</v>
      </c>
      <c r="C32" s="78" t="str">
        <f>VLOOKUP(B32,'Item List'!B:AH,2,FALSE)</f>
        <v>Polished Edges 1/4" Glass, per inch</v>
      </c>
      <c r="D32" s="590">
        <f>IF(B32="none",0,IF('Project Materials'!Q27=0,(((('Project Materials'!O27/4)*(2*'Project Materials'!L10))+('Project Materials'!O27*2*12))*'Project Materials'!P27),('Project Materials'!L11*2+'Project Materials'!L10*2)*'Project Materials'!L13))</f>
        <v>0</v>
      </c>
      <c r="F32" s="555">
        <f>IF(B32="None",0,VLOOKUP(B32,'Item List'!B:AH,4,FALSE))</f>
        <v>7.0000000000000007E-2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87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Materials'!$L$7+2)*'Project Materials'!$L$8*'Project Materials'!L9)*'Project Materials'!$P$27)</f>
        <v/>
      </c>
      <c r="E33" s="558">
        <f>IF(B33="None",0,(ROUNDUP((D33/(VLOOKUP(B33,'Item List'!B:AJ,3,FALSE))),0)))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87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Materials'!$H$7+2)*'Project Materials'!$H$8*'Project Materials'!H9)*'Project Materials'!$P$27)</f>
        <v/>
      </c>
      <c r="E34" s="558">
        <f>IF(B34="None",0,(ROUNDUP((D34/(VLOOKUP(B34,'Item List'!B:AJ,3,FALSE))),0)))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87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87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68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87" t="s">
        <v>438</v>
      </c>
      <c r="B40" s="78" t="str">
        <f>VLOOKUP('Area C'!B5,'Item List'!B:AH,19,FALSE)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Materials'!$W$27)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87" t="s">
        <v>439</v>
      </c>
      <c r="B41" s="78" t="str">
        <f>VLOOKUP('Area C'!B6,'Item List'!B:AH,19,FALSE)</f>
        <v>None</v>
      </c>
      <c r="C41" s="78" t="str">
        <f>VLOOKUP(B41,'Item List'!B:AH,2,FALSE)</f>
        <v>None</v>
      </c>
      <c r="D41" s="78"/>
      <c r="E41" s="558">
        <f>IF(B41="none",0,'Project Materials'!$X$27)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87" t="s">
        <v>438</v>
      </c>
      <c r="B42" s="78" t="str">
        <f>VLOOKUP('Area C'!B7,'Item List'!B:AH,19,FALSE)</f>
        <v>None</v>
      </c>
      <c r="C42" s="78" t="str">
        <f>VLOOKUP(B42,'Item List'!B:AH,2,FALSE)</f>
        <v>None</v>
      </c>
      <c r="D42" s="78"/>
      <c r="E42" s="558">
        <f>IF(B42="none",0,'Project Materials'!$W$27)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87" t="s">
        <v>439</v>
      </c>
      <c r="B43" s="78" t="str">
        <f>VLOOKUP('Area C'!B8,'Item List'!B:AH,19,FALSE)</f>
        <v>None</v>
      </c>
      <c r="C43" s="585" t="str">
        <f>VLOOKUP(B43,'Item List'!B:AH,2,FALSE)</f>
        <v>None</v>
      </c>
      <c r="D43" s="585"/>
      <c r="E43" s="558">
        <f>IF(B43="none",0,'Project Materials'!$X$27)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565" t="s">
        <v>7</v>
      </c>
      <c r="B45" s="565"/>
      <c r="C45" s="565"/>
      <c r="D45" s="565"/>
      <c r="E45" s="565"/>
      <c r="F45" s="565"/>
      <c r="G45" s="565"/>
      <c r="H45" s="565"/>
      <c r="I45" s="565"/>
      <c r="J45" s="565"/>
    </row>
    <row r="46" spans="1:10" x14ac:dyDescent="0.4">
      <c r="A46" s="668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87" t="s">
        <v>795</v>
      </c>
      <c r="B47" s="78" t="str">
        <f>IF('Area C'!B5="None","None",VLOOKUP('Area C'!$B$5,'Item List'!B:AL,20,FALSE))</f>
        <v>None</v>
      </c>
      <c r="C47" s="78" t="str">
        <f>VLOOKUP(B47,'Item List'!B:AH,2,FALSE)</f>
        <v>None</v>
      </c>
      <c r="D47" s="78"/>
      <c r="E47" s="575">
        <f>VLOOKUP(B47,'Item List'!B:AM,35,FALSE)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87" t="s">
        <v>796</v>
      </c>
      <c r="B48" s="78" t="str">
        <f>IF('Area C'!B6="None","None",VLOOKUP('Area C'!$B6,'Item List'!B:AL,20,FALSE))</f>
        <v>none</v>
      </c>
      <c r="C48" s="78" t="str">
        <f>VLOOKUP(B48,'Item List'!B:AH,2,FALSE)</f>
        <v>None</v>
      </c>
      <c r="D48" s="78"/>
      <c r="E48" s="575">
        <f>VLOOKUP(B48,'Item List'!B:AM,35,FALSE)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87" t="s">
        <v>795</v>
      </c>
      <c r="B49" s="78" t="str">
        <f>IF('Area C'!B7="None","None",VLOOKUP('Area C'!$B7,'Item List'!B:AL,20,FALSE))</f>
        <v>None</v>
      </c>
      <c r="C49" s="596" t="str">
        <f>VLOOKUP(B49,'Item List'!B:AH,2,FALSE)</f>
        <v>None</v>
      </c>
      <c r="D49" s="596"/>
      <c r="E49" s="575">
        <f>VLOOKUP(B49,'Item List'!B:AM,35,FALSE)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87" t="s">
        <v>796</v>
      </c>
      <c r="B50" s="585" t="str">
        <f>IF('Area C'!B8="None","None",VLOOKUP('Area C'!$B8,'Item List'!B:AL,20,FALSE))</f>
        <v>None</v>
      </c>
      <c r="C50" s="597" t="str">
        <f>VLOOKUP(B50,'Item List'!B:AH,2,FALSE)</f>
        <v>None</v>
      </c>
      <c r="D50" s="597"/>
      <c r="E50" s="598">
        <f>VLOOKUP(B50,'Item List'!B:AM,35,FALSE)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69" t="s">
        <v>699</v>
      </c>
      <c r="B52" s="78" t="str">
        <f>VLOOKUP('Area C'!$B$12,'Item List'!B:AL,20,FALSE)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69" t="s">
        <v>699</v>
      </c>
      <c r="B53" s="78" t="str">
        <f>VLOOKUP('Area C'!$B$12,'Item List'!B:AL,21,FALSE)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69" t="s">
        <v>699</v>
      </c>
      <c r="B54" s="78" t="str">
        <f>VLOOKUP('Area C'!$B$12,'Item List'!B:AL,22,FALSE)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69" t="s">
        <v>699</v>
      </c>
      <c r="B55" s="78" t="str">
        <f>VLOOKUP('Area C'!$B$12,'Item List'!B:AL,23,FALSE)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69" t="s">
        <v>699</v>
      </c>
      <c r="B56" s="78" t="str">
        <f>VLOOKUP('Area C'!$B$12,'Item List'!B:AL,24,FALSE)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69" t="s">
        <v>699</v>
      </c>
      <c r="B57" s="585" t="str">
        <f>VLOOKUP('Area C'!$B$12,'Item List'!B:AL,25,FALSE)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69" t="s">
        <v>700</v>
      </c>
      <c r="B58" s="78" t="str">
        <f>VLOOKUP('Area C'!$B$13,'Item List'!B:AL,20,FALSE)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69" t="s">
        <v>700</v>
      </c>
      <c r="B59" s="78" t="str">
        <f>VLOOKUP('Area C'!$B$13,'Item List'!B:AL,21,FALSE)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69" t="s">
        <v>700</v>
      </c>
      <c r="B60" s="78" t="str">
        <f>VLOOKUP('Area C'!$B$13,'Item List'!B:AL,22,FALSE)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69" t="s">
        <v>700</v>
      </c>
      <c r="B61" s="78" t="str">
        <f>VLOOKUP('Area C'!$B$13,'Item List'!B:AL,23,FALSE)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69" t="s">
        <v>700</v>
      </c>
      <c r="B62" s="78" t="str">
        <f>VLOOKUP('Area C'!$B$13,'Item List'!B:AL,24,FALSE)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69" t="s">
        <v>700</v>
      </c>
      <c r="B63" s="615" t="str">
        <f>VLOOKUP('Area C'!$B$13,'Item List'!B:AL,25,FALSE)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69" t="s">
        <v>701</v>
      </c>
      <c r="B64" s="78" t="str">
        <f>VLOOKUP('Area C'!$B$14,'Item List'!B:AL,20,FALSE)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69" t="s">
        <v>701</v>
      </c>
      <c r="B65" s="78" t="str">
        <f>VLOOKUP('Area C'!$B$14,'Item List'!B:AL,21,FALSE)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69" t="s">
        <v>701</v>
      </c>
      <c r="B66" s="78" t="str">
        <f>VLOOKUP('Area C'!$B$14,'Item List'!B:AL,22,FALSE)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69" t="s">
        <v>701</v>
      </c>
      <c r="B67" s="78" t="str">
        <f>VLOOKUP('Area C'!$B$14,'Item List'!B:AL,23,FALSE)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69" t="s">
        <v>701</v>
      </c>
      <c r="B68" s="78" t="str">
        <f>VLOOKUP('Area C'!$B$14,'Item List'!B:AL,24,FALSE)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69" t="s">
        <v>701</v>
      </c>
      <c r="B69" s="585" t="str">
        <f>VLOOKUP('Area C'!$B$14,'Item List'!B:AL,25,FALSE)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69" t="s">
        <v>702</v>
      </c>
      <c r="B70" s="78" t="str">
        <f>VLOOKUP('Area C'!$B$15,'Item List'!B:AL,20,FALSE)</f>
        <v>3/8" x 5" SS Lag Screw</v>
      </c>
      <c r="C70" s="78" t="str">
        <f>VLOOKUP(B70,'Item List'!B:AH,2,FALSE)</f>
        <v>3/8" x 5" Stainless Steel Lag Screw</v>
      </c>
      <c r="D70" s="78"/>
      <c r="E70" s="575">
        <f>$E$15*VLOOKUP(B70,'Item List'!B:AM,38,FALSE)</f>
        <v>0</v>
      </c>
      <c r="F70" s="595">
        <f>VLOOKUP(B70,'Item List'!B:AH,4,FALSE)</f>
        <v>0.6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69" t="s">
        <v>702</v>
      </c>
      <c r="B71" s="78" t="str">
        <f>VLOOKUP('Area C'!$B$15,'Item List'!B:AL,21,FALSE)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69" t="s">
        <v>702</v>
      </c>
      <c r="B72" s="78" t="str">
        <f>VLOOKUP('Area C'!$B$15,'Item List'!B:AL,22,FALSE)</f>
        <v>NC- Blk</v>
      </c>
      <c r="C72" s="78" t="str">
        <f>VLOOKUP(B72,'Item List'!B:AH,2,FALSE)</f>
        <v>Nylon Bolt Cap- Black</v>
      </c>
      <c r="D72" s="78"/>
      <c r="E72" s="575">
        <f>$E$15*VLOOKUP(B72,'Item List'!B:AM,38,FALSE)</f>
        <v>0</v>
      </c>
      <c r="F72" s="595">
        <f>VLOOKUP(B72,'Item List'!B:AH,4,FALSE)</f>
        <v>7.1279999999999996E-2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69" t="s">
        <v>702</v>
      </c>
      <c r="B73" s="78" t="str">
        <f>VLOOKUP('Area C'!$B$15,'Item List'!B:AL,23,FALSE)</f>
        <v>CW POW</v>
      </c>
      <c r="C73" s="78" t="str">
        <f>VLOOKUP(B73,'Item List'!B:AH,2,FALSE)</f>
        <v>Washer - Bolt Head Cover</v>
      </c>
      <c r="D73" s="78"/>
      <c r="E73" s="575">
        <f>$E$15*VLOOKUP(B73,'Item List'!B:AM,38,FALSE)</f>
        <v>0</v>
      </c>
      <c r="F73" s="595">
        <f>VLOOKUP(B73,'Item List'!B:AH,4,FALSE)</f>
        <v>0.11799999999999999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69" t="s">
        <v>702</v>
      </c>
      <c r="B74" s="78" t="str">
        <f>VLOOKUP('Area C'!$B$15,'Item List'!B:AL,24,FALSE)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69" t="s">
        <v>702</v>
      </c>
      <c r="B75" s="585" t="str">
        <f>VLOOKUP('Area C'!$B$15,'Item List'!B:AL,25,FALSE)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69" t="s">
        <v>703</v>
      </c>
      <c r="B76" s="78" t="str">
        <f>VLOOKUP('Area C'!$B$16,'Item List'!B:AL,20,FALSE)</f>
        <v>3/8" x 5" SS Lag Screw</v>
      </c>
      <c r="C76" s="78" t="str">
        <f>VLOOKUP(B76,'Item List'!B:AH,2,FALSE)</f>
        <v>3/8" x 5" Stainless Steel Lag Screw</v>
      </c>
      <c r="D76" s="78"/>
      <c r="E76" s="575">
        <f>$E$16*VLOOKUP(B76,'Item List'!B:AM,38,FALSE)</f>
        <v>0</v>
      </c>
      <c r="F76" s="595">
        <f>VLOOKUP(B76,'Item List'!B:AH,4,FALSE)</f>
        <v>0.6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69" t="s">
        <v>703</v>
      </c>
      <c r="B77" s="78" t="str">
        <f>VLOOKUP('Area C'!$B$16,'Item List'!B:AL,21,FALSE)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69" t="s">
        <v>703</v>
      </c>
      <c r="B78" s="78" t="str">
        <f>VLOOKUP('Area C'!$B$16,'Item List'!B:AL,22,FALSE)</f>
        <v>NC- Blk</v>
      </c>
      <c r="C78" s="78" t="str">
        <f>VLOOKUP(B78,'Item List'!B:AH,2,FALSE)</f>
        <v>Nylon Bolt Cap- Black</v>
      </c>
      <c r="D78" s="78"/>
      <c r="E78" s="575">
        <f>$E$16*VLOOKUP(B78,'Item List'!B:AM,38,FALSE)</f>
        <v>0</v>
      </c>
      <c r="F78" s="595">
        <f>VLOOKUP(B78,'Item List'!B:AH,4,FALSE)</f>
        <v>7.1279999999999996E-2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69" t="s">
        <v>703</v>
      </c>
      <c r="B79" s="78" t="str">
        <f>VLOOKUP('Area C'!$B$16,'Item List'!B:AL,23,FALSE)</f>
        <v>CW POW</v>
      </c>
      <c r="C79" s="78" t="str">
        <f>VLOOKUP(B79,'Item List'!B:AH,2,FALSE)</f>
        <v>Washer - Bolt Head Cover</v>
      </c>
      <c r="D79" s="78"/>
      <c r="E79" s="575">
        <f>$E$16*VLOOKUP(B79,'Item List'!B:AM,38,FALSE)</f>
        <v>0</v>
      </c>
      <c r="F79" s="595">
        <f>VLOOKUP(B79,'Item List'!B:AH,4,FALSE)</f>
        <v>0.11799999999999999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69" t="s">
        <v>703</v>
      </c>
      <c r="B80" s="78" t="str">
        <f>VLOOKUP('Area C'!$B$16,'Item List'!B:AL,24,FALSE)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69" t="s">
        <v>703</v>
      </c>
      <c r="B81" s="585" t="str">
        <f>VLOOKUP('Area C'!$B$16,'Item List'!B:AL,25,FALSE)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69" t="s">
        <v>710</v>
      </c>
      <c r="B82" s="78" t="str">
        <f>VLOOKUP('Area C'!$B$17,'Item List'!B:AL,20,FALSE)</f>
        <v>3/8" x 5" SS Lag Screw</v>
      </c>
      <c r="C82" s="620" t="str">
        <f>VLOOKUP(B82,'Item List'!B:AH,2,FALSE)</f>
        <v>3/8" x 5" Stainless Steel Lag Screw</v>
      </c>
      <c r="D82" s="620"/>
      <c r="E82" s="575">
        <f>$E$17*VLOOKUP(B82,'Item List'!B:AM,38,FALSE)</f>
        <v>0</v>
      </c>
      <c r="F82" s="595">
        <f>VLOOKUP(B82,'Item List'!B:AH,4,FALSE)</f>
        <v>0.6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69" t="s">
        <v>710</v>
      </c>
      <c r="B83" s="78" t="str">
        <f>VLOOKUP('Area C'!$B$17,'Item List'!B:AL,21,FALSE)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69" t="s">
        <v>710</v>
      </c>
      <c r="B84" s="78" t="str">
        <f>VLOOKUP('Area C'!$B$17,'Item List'!B:AL,22,FALSE)</f>
        <v>NC- Blk</v>
      </c>
      <c r="C84" s="620" t="str">
        <f>VLOOKUP(B84,'Item List'!B:AH,2,FALSE)</f>
        <v>Nylon Bolt Cap- Black</v>
      </c>
      <c r="D84" s="620"/>
      <c r="E84" s="575">
        <f>$E$17*VLOOKUP(B84,'Item List'!B:AM,38,FALSE)</f>
        <v>0</v>
      </c>
      <c r="F84" s="595">
        <f>VLOOKUP(B84,'Item List'!B:AH,4,FALSE)</f>
        <v>7.1279999999999996E-2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69" t="s">
        <v>710</v>
      </c>
      <c r="B85" s="78" t="str">
        <f>VLOOKUP('Area C'!$B$17,'Item List'!B:AL,23,FALSE)</f>
        <v>CW POW</v>
      </c>
      <c r="C85" s="620" t="str">
        <f>VLOOKUP(B85,'Item List'!B:AH,2,FALSE)</f>
        <v>Washer - Bolt Head Cover</v>
      </c>
      <c r="D85" s="620"/>
      <c r="E85" s="575">
        <f>$E$17*VLOOKUP(B85,'Item List'!B:AM,38,FALSE)</f>
        <v>0</v>
      </c>
      <c r="F85" s="595">
        <f>VLOOKUP(B85,'Item List'!B:AH,4,FALSE)</f>
        <v>0.11799999999999999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69" t="s">
        <v>710</v>
      </c>
      <c r="B86" s="78" t="str">
        <f>VLOOKUP('Area C'!$B$17,'Item List'!B:AL,24,FALSE)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69" t="s">
        <v>710</v>
      </c>
      <c r="B87" s="585" t="str">
        <f>VLOOKUP('Area C'!$B$17,'Item List'!B:AL,25,FALSE)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69" t="s">
        <v>711</v>
      </c>
      <c r="B88" s="78" t="str">
        <f>VLOOKUP('Area C'!$B$18,'Item List'!B:AL,20,FALSE)</f>
        <v>3/8" x 5" SS Lag Screw</v>
      </c>
      <c r="C88" s="614" t="str">
        <f>VLOOKUP(B88,'Item List'!B:AH,2,FALSE)</f>
        <v>3/8" x 5" Stainless Steel Lag Screw</v>
      </c>
      <c r="D88" s="614"/>
      <c r="E88" s="627">
        <f>$E$18*VLOOKUP(B88,'Item List'!B:AM,38,FALSE)</f>
        <v>0</v>
      </c>
      <c r="F88" s="628">
        <f>VLOOKUP(B88,'Item List'!B:AH,4,FALSE)</f>
        <v>0.6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69" t="s">
        <v>711</v>
      </c>
      <c r="B89" s="78" t="str">
        <f>VLOOKUP('Area C'!$B$18,'Item List'!B:AL,21,FALSE)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69" t="s">
        <v>711</v>
      </c>
      <c r="B90" s="78" t="str">
        <f>VLOOKUP('Area C'!$B$18,'Item List'!B:AL,22,FALSE)</f>
        <v>NC- Blk</v>
      </c>
      <c r="C90" s="620" t="str">
        <f>VLOOKUP(B90,'Item List'!B:AH,2,FALSE)</f>
        <v>Nylon Bolt Cap- Black</v>
      </c>
      <c r="D90" s="620"/>
      <c r="E90" s="621">
        <f>$E$18*VLOOKUP(B90,'Item List'!B:AM,38,FALSE)</f>
        <v>0</v>
      </c>
      <c r="F90" s="622">
        <f>VLOOKUP(B90,'Item List'!B:AH,4,FALSE)</f>
        <v>7.1279999999999996E-2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69" t="s">
        <v>711</v>
      </c>
      <c r="B91" s="78" t="str">
        <f>VLOOKUP('Area C'!$B$18,'Item List'!B:AL,23,FALSE)</f>
        <v>CW POW</v>
      </c>
      <c r="C91" s="620" t="str">
        <f>VLOOKUP(B91,'Item List'!B:AH,2,FALSE)</f>
        <v>Washer - Bolt Head Cover</v>
      </c>
      <c r="D91" s="620"/>
      <c r="E91" s="621">
        <f>$E$18*VLOOKUP(B91,'Item List'!B:AM,38,FALSE)</f>
        <v>0</v>
      </c>
      <c r="F91" s="622">
        <f>VLOOKUP(B91,'Item List'!B:AH,4,FALSE)</f>
        <v>0.11799999999999999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69" t="s">
        <v>711</v>
      </c>
      <c r="B92" s="78" t="str">
        <f>VLOOKUP('Area C'!$B$18,'Item List'!B:AL,24,FALSE)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69" t="s">
        <v>711</v>
      </c>
      <c r="B93" s="585" t="str">
        <f>VLOOKUP('Area C'!$B$18,'Item List'!B:AL,25,FALSE)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87" t="s">
        <v>6</v>
      </c>
      <c r="B95" s="78" t="str">
        <f>VLOOKUP('Area C'!$B$22,'Item List'!B:AL,20,FALSE)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87" t="s">
        <v>6</v>
      </c>
      <c r="B96" s="78" t="str">
        <f>VLOOKUP('Area C'!$B$22,'Item List'!B:AL,21,FALSE)</f>
        <v>None</v>
      </c>
      <c r="C96" s="78" t="str">
        <f>VLOOKUP(B96,'Item List'!B:AH,2,FALSE)</f>
        <v>None</v>
      </c>
      <c r="D96" s="78"/>
      <c r="E96" s="612">
        <f>$E$22*VLOOKUP(B96,'Item List'!B:AM,38,FALSE)</f>
        <v>0</v>
      </c>
      <c r="F96" s="595">
        <f>VLOOKUP(B96,'Item List'!B:AH,4,FALSE)</f>
        <v>0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87" t="s">
        <v>6</v>
      </c>
      <c r="B97" s="78" t="str">
        <f>VLOOKUP('Area C'!$B$22,'Item List'!B:AL,22,FALSE)</f>
        <v>None</v>
      </c>
      <c r="C97" s="78" t="str">
        <f>VLOOKUP(B97,'Item List'!B:AH,2,FALSE)</f>
        <v>None</v>
      </c>
      <c r="D97" s="78"/>
      <c r="E97" s="612">
        <f>$E$22*VLOOKUP(B97,'Item List'!B:AM,38,FALSE)</f>
        <v>0</v>
      </c>
      <c r="F97" s="595">
        <f>VLOOKUP(B97,'Item List'!B:AH,4,FALSE)</f>
        <v>0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87" t="s">
        <v>6</v>
      </c>
      <c r="B98" s="78" t="str">
        <f>VLOOKUP('Area C'!$B$22,'Item List'!B:AL,23,FALSE)</f>
        <v>None</v>
      </c>
      <c r="C98" s="78" t="str">
        <f>VLOOKUP(B98,'Item List'!B:AH,2,FALSE)</f>
        <v>None</v>
      </c>
      <c r="D98" s="78"/>
      <c r="E98" s="612">
        <f>$E$22*VLOOKUP(B98,'Item List'!B:AM,38,FALSE)</f>
        <v>0</v>
      </c>
      <c r="F98" s="595">
        <f>VLOOKUP(B98,'Item List'!B:AH,4,FALSE)</f>
        <v>0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87" t="s">
        <v>6</v>
      </c>
      <c r="B99" s="78" t="str">
        <f>VLOOKUP('Area C'!$B$22,'Item List'!B:AL,24,FALSE)</f>
        <v>None</v>
      </c>
      <c r="C99" s="78" t="str">
        <f>VLOOKUP(B99,'Item List'!B:AH,2,FALSE)</f>
        <v>None</v>
      </c>
      <c r="D99" s="78"/>
      <c r="E99" s="612">
        <f>$E$22*VLOOKUP(B99,'Item List'!B:AM,38,FALSE)</f>
        <v>0</v>
      </c>
      <c r="F99" s="595">
        <f>VLOOKUP(B99,'Item List'!B:AH,4,FALSE)</f>
        <v>0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71" t="s">
        <v>6</v>
      </c>
      <c r="B100" s="585" t="str">
        <f>VLOOKUP('Area C'!$B$22,'Item List'!B:AL,25,FALSE)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87" t="s">
        <v>6</v>
      </c>
      <c r="B101" s="78" t="str">
        <f>VLOOKUP('Area C'!$B$23,'Item List'!B:AL,20,FALSE)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87" t="s">
        <v>6</v>
      </c>
      <c r="B102" s="78" t="str">
        <f>VLOOKUP('Area C'!$B$23,'Item List'!B:AL,21,FALSE)</f>
        <v>None</v>
      </c>
      <c r="C102" s="78" t="str">
        <f>VLOOKUP(B102,'Item List'!B:AH,2,FALSE)</f>
        <v>None</v>
      </c>
      <c r="D102" s="78"/>
      <c r="E102" s="612">
        <f>$E$23*VLOOKUP(B102,'Item List'!B:AM,38,FALSE)</f>
        <v>0</v>
      </c>
      <c r="F102" s="595">
        <f>VLOOKUP(B102,'Item List'!B:AH,4,FALSE)</f>
        <v>0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87" t="s">
        <v>6</v>
      </c>
      <c r="B103" s="78" t="str">
        <f>VLOOKUP('Area C'!$B$23,'Item List'!B:AL,22,FALSE)</f>
        <v>None</v>
      </c>
      <c r="C103" s="78" t="str">
        <f>VLOOKUP(B103,'Item List'!B:AH,2,FALSE)</f>
        <v>None</v>
      </c>
      <c r="D103" s="78"/>
      <c r="E103" s="612">
        <f>$E$23*VLOOKUP(B103,'Item List'!B:AM,38,FALSE)</f>
        <v>0</v>
      </c>
      <c r="F103" s="595">
        <f>VLOOKUP(B103,'Item List'!B:AH,4,FALSE)</f>
        <v>0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87" t="s">
        <v>6</v>
      </c>
      <c r="B104" s="78" t="str">
        <f>VLOOKUP('Area C'!$B$23,'Item List'!B:AL,23,FALSE)</f>
        <v>None</v>
      </c>
      <c r="C104" s="78" t="str">
        <f>VLOOKUP(B104,'Item List'!B:AH,2,FALSE)</f>
        <v>None</v>
      </c>
      <c r="D104" s="78"/>
      <c r="E104" s="612">
        <f>$E$23*VLOOKUP(B104,'Item List'!B:AM,38,FALSE)</f>
        <v>0</v>
      </c>
      <c r="F104" s="595">
        <f>VLOOKUP(B104,'Item List'!B:AH,4,FALSE)</f>
        <v>0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87" t="s">
        <v>6</v>
      </c>
      <c r="B105" s="78" t="str">
        <f>VLOOKUP('Area C'!$B$23,'Item List'!B:AL,24,FALSE)</f>
        <v>None</v>
      </c>
      <c r="C105" s="78" t="str">
        <f>VLOOKUP(B105,'Item List'!B:AH,2,FALSE)</f>
        <v>None</v>
      </c>
      <c r="D105" s="78"/>
      <c r="E105" s="612">
        <f>$E$23*VLOOKUP(B105,'Item List'!B:AM,38,FALSE)</f>
        <v>0</v>
      </c>
      <c r="F105" s="595">
        <f>VLOOKUP(B105,'Item List'!B:AH,4,FALSE)</f>
        <v>0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71" t="s">
        <v>6</v>
      </c>
      <c r="B106" s="615" t="str">
        <f>VLOOKUP('Area C'!$B$23,'Item List'!B:AL,25,FALSE)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87" t="s">
        <v>6</v>
      </c>
      <c r="B107" s="78" t="str">
        <f>VLOOKUP('Area C'!$B$24,'Item List'!B:AL,20,FALSE)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87" t="s">
        <v>6</v>
      </c>
      <c r="B108" s="78" t="str">
        <f>VLOOKUP('Area C'!$B$24,'Item List'!B:AL,21,FALSE)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87" t="s">
        <v>6</v>
      </c>
      <c r="B109" s="78" t="str">
        <f>VLOOKUP('Area C'!$B$24,'Item List'!B:AL,22,FALSE)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87" t="s">
        <v>6</v>
      </c>
      <c r="B110" s="78" t="str">
        <f>VLOOKUP('Area C'!$B$24,'Item List'!B:AL,23,FALSE)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87" t="s">
        <v>6</v>
      </c>
      <c r="B111" s="78" t="str">
        <f>VLOOKUP('Area C'!$B$24,'Item List'!B:AL,24,FALSE)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71" t="s">
        <v>6</v>
      </c>
      <c r="B112" s="585" t="str">
        <f>VLOOKUP('Area C'!$B$24,'Item List'!B:AL,25,FALSE)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87" t="s">
        <v>6</v>
      </c>
      <c r="B113" s="78" t="str">
        <f>VLOOKUP('Area C'!$B$25,'Item List'!B:AL,20,FALSE)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87" t="s">
        <v>6</v>
      </c>
      <c r="B114" s="78" t="str">
        <f>VLOOKUP('Area C'!$B$25,'Item List'!B:AL,21,FALSE)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87" t="s">
        <v>6</v>
      </c>
      <c r="B115" s="78" t="str">
        <f>VLOOKUP('Area C'!$B$25,'Item List'!B:AL,22,FALSE)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87" t="s">
        <v>6</v>
      </c>
      <c r="B116" s="78" t="str">
        <f>VLOOKUP('Area C'!$B$25,'Item List'!B:AL,23,FALSE)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87" t="s">
        <v>6</v>
      </c>
      <c r="B117" s="78" t="str">
        <f>VLOOKUP('Area C'!$B$25,'Item List'!B:AL,24,FALSE)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87" t="s">
        <v>6</v>
      </c>
      <c r="B118" s="585" t="str">
        <f>VLOOKUP('Area C'!$B$25,'Item List'!B:AL,25,FALSE)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87" t="s">
        <v>448</v>
      </c>
      <c r="B120" s="78" t="str">
        <f>VLOOKUP('Area C'!B29,'Item List'!B:AL,20,FALSE)</f>
        <v>None</v>
      </c>
      <c r="C120" s="78" t="str">
        <f>VLOOKUP(B120,'Item List'!B:AH,2,FALSE)</f>
        <v>None</v>
      </c>
      <c r="D120" s="78"/>
      <c r="E120" s="575">
        <f>VLOOKUP(B120,'Item List'!B:AM,35,FALSE)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71" t="s">
        <v>448</v>
      </c>
      <c r="B121" s="585" t="str">
        <f>VLOOKUP('Area C'!B30,'Item List'!B:AL,20,FALSE)</f>
        <v>None</v>
      </c>
      <c r="C121" s="585" t="str">
        <f>VLOOKUP(B121,'Item List'!B:AH,2,FALSE)</f>
        <v>None</v>
      </c>
      <c r="D121" s="585"/>
      <c r="E121" s="598">
        <f>VLOOKUP(B121,'Item List'!B:AM,35,FALSE)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87" t="s">
        <v>449</v>
      </c>
      <c r="B122" s="78" t="str">
        <f>VLOOKUP('Area C'!B31,'Item List'!B:AL,20,FALSE)</f>
        <v>None</v>
      </c>
      <c r="C122" s="78" t="str">
        <f>VLOOKUP(B122,'Item List'!B:AH,2,FALSE)</f>
        <v>None</v>
      </c>
      <c r="D122" s="78"/>
      <c r="E122" s="575">
        <f>VLOOKUP(B122,'Item List'!B:AM,35,FALSE)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71" t="s">
        <v>449</v>
      </c>
      <c r="B123" s="585" t="str">
        <f>VLOOKUP('Area C'!B32,'Item List'!B:AL,20,FALSE)</f>
        <v>None</v>
      </c>
      <c r="C123" s="585" t="str">
        <f>VLOOKUP(B123,'Item List'!B:AH,2,FALSE)</f>
        <v>None</v>
      </c>
      <c r="D123" s="585"/>
      <c r="E123" s="598">
        <f>VLOOKUP(B123,'Item List'!B:AM,35,FALSE)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87" t="s">
        <v>450</v>
      </c>
      <c r="B124" s="78" t="str">
        <f>VLOOKUP('Area C'!B33,'Item List'!B:AL,20,FALSE)</f>
        <v>None</v>
      </c>
      <c r="C124" s="78" t="str">
        <f>VLOOKUP(B124,'Item List'!B:AH,2,FALSE)</f>
        <v>None</v>
      </c>
      <c r="D124" s="78"/>
      <c r="E124" s="575">
        <f>VLOOKUP(B124,'Item List'!B:AM,35,FALSE)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71" t="s">
        <v>450</v>
      </c>
      <c r="B125" s="585" t="str">
        <f>VLOOKUP('Area C'!B34,'Item List'!B:AL,20,FALSE)</f>
        <v>None</v>
      </c>
      <c r="C125" s="585" t="str">
        <f>VLOOKUP(B125,'Item List'!B:AH,2,FALSE)</f>
        <v>None</v>
      </c>
      <c r="D125" s="585"/>
      <c r="E125" s="598">
        <f>VLOOKUP(B125,'Item List'!B:AM,35,FALSE)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87" t="s">
        <v>451</v>
      </c>
      <c r="B126" s="78" t="str">
        <f>VLOOKUP('Area C'!B35,'Item List'!B:AL,20,FALSE)</f>
        <v>None</v>
      </c>
      <c r="C126" s="78" t="str">
        <f>VLOOKUP(B126,'Item List'!B:AH,2,FALSE)</f>
        <v>None</v>
      </c>
      <c r="D126" s="78"/>
      <c r="E126" s="575">
        <f>VLOOKUP(B126,'Item List'!B:AM,35,FALSE)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71" t="s">
        <v>451</v>
      </c>
      <c r="B127" s="585" t="str">
        <f>VLOOKUP('Area C'!B36,'Item List'!B:AL,20,FALSE)</f>
        <v>None</v>
      </c>
      <c r="C127" s="585" t="str">
        <f>VLOOKUP(B127,'Item List'!B:AH,2,FALSE)</f>
        <v>None</v>
      </c>
      <c r="D127" s="585"/>
      <c r="E127" s="598">
        <f>VLOOKUP(B127,'Item List'!B:AM,35,FALSE)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87" t="s">
        <v>363</v>
      </c>
      <c r="B128" s="78" t="str">
        <f>VLOOKUP('Area C'!B40,'Item List'!B:AL,20,FALSE)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71" t="s">
        <v>363</v>
      </c>
      <c r="B129" s="585" t="str">
        <f>VLOOKUP('Area C'!B41,'Item List'!B:AL,20,FALSE)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87" t="s">
        <v>7</v>
      </c>
      <c r="B130" s="78" t="str">
        <f>VLOOKUP('Area C'!B47,'Item List'!B:AL,20,FALSE)</f>
        <v>None</v>
      </c>
      <c r="C130" s="78" t="str">
        <f>VLOOKUP(B130,'Item List'!B:AH,2,FALSE)</f>
        <v>None</v>
      </c>
      <c r="D130" s="78"/>
      <c r="E130" s="575">
        <f>VLOOKUP(B130,'Item List'!B:AM,35,FALSE)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87" t="s">
        <v>7</v>
      </c>
      <c r="B131" s="78" t="str">
        <f>VLOOKUP('Area C'!B47,'Item List'!B:AL,25,FALSE)</f>
        <v>None</v>
      </c>
      <c r="C131" s="78" t="str">
        <f>VLOOKUP(B131,'Item List'!B:AH,2,FALSE)</f>
        <v>None</v>
      </c>
      <c r="D131" s="78"/>
      <c r="E131" s="575">
        <f>VLOOKUP(B131,'Item List'!B:AM,35,FALSE)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87" t="s">
        <v>7</v>
      </c>
      <c r="B132" s="78" t="str">
        <f>VLOOKUP('Area C'!B48,'Item List'!B:AL,20,FALSE)</f>
        <v>None</v>
      </c>
      <c r="C132" s="78" t="str">
        <f>VLOOKUP(B132,'Item List'!B:AH,2,FALSE)</f>
        <v>None</v>
      </c>
      <c r="D132" s="78"/>
      <c r="E132" s="575">
        <f>VLOOKUP(B132,'Item List'!B:AM,35,FALSE)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87" t="s">
        <v>7</v>
      </c>
      <c r="B133" s="78" t="str">
        <f>VLOOKUP('Area C'!B48,'Item List'!B:AL,25,FALSE)</f>
        <v>None</v>
      </c>
      <c r="C133" s="78" t="str">
        <f>VLOOKUP(B133,'Item List'!B:AH,2,FALSE)</f>
        <v>None</v>
      </c>
      <c r="D133" s="78"/>
      <c r="E133" s="575">
        <f>VLOOKUP(B135,'Item List'!B:AM,35,FALSE)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87" t="s">
        <v>7</v>
      </c>
      <c r="B134" s="78" t="str">
        <f>VLOOKUP('Area C'!B49,'Item List'!B:AL,20,FALSE)</f>
        <v>None</v>
      </c>
      <c r="C134" s="78" t="str">
        <f>VLOOKUP(B134,'Item List'!B:AH,2,FALSE)</f>
        <v>None</v>
      </c>
      <c r="D134" s="78"/>
      <c r="E134" s="575">
        <f>VLOOKUP(B134,'Item List'!B:AM,35,FALSE)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87" t="s">
        <v>7</v>
      </c>
      <c r="B135" s="78" t="str">
        <f>VLOOKUP('Area C'!B49,'Item List'!B:AL,25,FALSE)</f>
        <v>None</v>
      </c>
      <c r="C135" s="78" t="str">
        <f>VLOOKUP(B135,'Item List'!B:AH,2,FALSE)</f>
        <v>None</v>
      </c>
      <c r="D135" s="78"/>
      <c r="E135" s="575">
        <f>VLOOKUP(B135,'Item List'!B:AM,35,FALSE)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87" t="s">
        <v>7</v>
      </c>
      <c r="B136" s="78" t="str">
        <f>VLOOKUP('Area C'!B50,'Item List'!B:AL,20,FALSE)</f>
        <v>None</v>
      </c>
      <c r="C136" s="78" t="str">
        <f>VLOOKUP(B136,'Item List'!B:AH,2,FALSE)</f>
        <v>None</v>
      </c>
      <c r="D136" s="78"/>
      <c r="E136" s="575">
        <f>VLOOKUP(B136,'Item List'!B:AM,35,FALSE)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87" t="s">
        <v>7</v>
      </c>
      <c r="B137" s="78" t="str">
        <f>VLOOKUP('Area C'!B50,'Item List'!B:AL,25,FALSE)</f>
        <v>None</v>
      </c>
      <c r="C137" s="78" t="str">
        <f>VLOOKUP(B137,'Item List'!B:AH,2,FALSE)</f>
        <v>None</v>
      </c>
      <c r="D137" s="78"/>
      <c r="E137" s="575">
        <f>VLOOKUP(B137,'Item List'!B:AM,35,FALSE)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87" t="s">
        <v>7</v>
      </c>
      <c r="B138" s="78" t="str">
        <f>VLOOKUP('Area C'!B52,'Item List'!B:AL,20,FALSE)</f>
        <v>None</v>
      </c>
      <c r="C138" s="78" t="str">
        <f>VLOOKUP(B138,'Item List'!B:AH,2,FALSE)</f>
        <v>None</v>
      </c>
      <c r="D138" s="78"/>
      <c r="E138" s="575">
        <f>VLOOKUP(B138,'Item List'!B:AM,35,FALSE)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87" t="s">
        <v>7</v>
      </c>
      <c r="B139" s="78" t="str">
        <f>VLOOKUP('Area C'!B52,'Item List'!B:AL,25,FALSE)</f>
        <v>None</v>
      </c>
      <c r="C139" s="78" t="str">
        <f>VLOOKUP(B139,'Item List'!B:AH,2,FALSE)</f>
        <v>None</v>
      </c>
      <c r="D139" s="78"/>
      <c r="E139" s="575">
        <f>VLOOKUP(B139,'Item List'!B:AM,35,FALSE)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87" t="s">
        <v>7</v>
      </c>
      <c r="B140" s="78" t="str">
        <f>VLOOKUP('Area C'!B53,'Item List'!B:AL,20,FALSE)</f>
        <v>None</v>
      </c>
      <c r="C140" s="78" t="str">
        <f>VLOOKUP(B140,'Item List'!B:AH,2,FALSE)</f>
        <v>None</v>
      </c>
      <c r="D140" s="78"/>
      <c r="E140" s="575">
        <f>VLOOKUP(B140,'Item List'!B:AM,35,FALSE)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87" t="s">
        <v>7</v>
      </c>
      <c r="B141" s="78" t="str">
        <f>VLOOKUP('Area C'!B53,'Item List'!B:AL,25,FALSE)</f>
        <v>None</v>
      </c>
      <c r="C141" s="78" t="str">
        <f>VLOOKUP(B141,'Item List'!B:AH,2,FALSE)</f>
        <v>None</v>
      </c>
      <c r="D141" s="78"/>
      <c r="E141" s="575">
        <f>VLOOKUP(B141,'Item List'!B:AM,35,FALSE)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87" t="s">
        <v>7</v>
      </c>
      <c r="B142" s="78" t="str">
        <f>VLOOKUP('Area C'!B54,'Item List'!B:AL,20,FALSE)</f>
        <v>None</v>
      </c>
      <c r="C142" s="78" t="str">
        <f>VLOOKUP(B142,'Item List'!B:AH,2,FALSE)</f>
        <v>None</v>
      </c>
      <c r="D142" s="78"/>
      <c r="E142" s="575">
        <f>VLOOKUP(B142,'Item List'!B:AM,35,FALSE)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87" t="s">
        <v>7</v>
      </c>
      <c r="B143" s="78" t="str">
        <f>VLOOKUP('Area C'!B54,'Item List'!B:AL,25,FALSE)</f>
        <v>None</v>
      </c>
      <c r="C143" s="78" t="str">
        <f>VLOOKUP(B143,'Item List'!B:AH,2,FALSE)</f>
        <v>None</v>
      </c>
      <c r="D143" s="78"/>
      <c r="E143" s="575">
        <f>VLOOKUP(B143,'Item List'!B:AM,35,FALSE)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87" t="s">
        <v>429</v>
      </c>
      <c r="B144" s="78" t="str">
        <f>VLOOKUP('Area C'!B199,'Item List'!B:AJ,20,FALSE)</f>
        <v>None</v>
      </c>
      <c r="C144" s="78" t="str">
        <f>VLOOKUP(B144,'Item List'!B:AH,2,FALSE)</f>
        <v>None</v>
      </c>
      <c r="D144" s="78"/>
      <c r="E144" s="575">
        <f>VLOOKUP(B144,'Item List'!B:AM,35,FALSE)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87" t="s">
        <v>429</v>
      </c>
      <c r="B145" s="78" t="str">
        <f>VLOOKUP('Area C'!B200,'Item List'!B:AJ,20,FALSE)</f>
        <v>None</v>
      </c>
      <c r="C145" s="78" t="str">
        <f>VLOOKUP(B145,'Item List'!B:AH,2,FALSE)</f>
        <v>None</v>
      </c>
      <c r="D145" s="78"/>
      <c r="E145" s="575">
        <f>VLOOKUP(B145,'Item List'!B:AM,35,FALSE)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87" t="s">
        <v>429</v>
      </c>
      <c r="B146" s="78" t="str">
        <f>VLOOKUP('Area C'!B201,'Item List'!B:AJ,20,FALSE)</f>
        <v>None</v>
      </c>
      <c r="C146" s="78" t="str">
        <f>VLOOKUP(B146,'Item List'!B:AH,2,FALSE)</f>
        <v>None</v>
      </c>
      <c r="D146" s="78"/>
      <c r="E146" s="575">
        <f>VLOOKUP(B146,'Item List'!B:AM,35,FALSE)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87" t="s">
        <v>429</v>
      </c>
      <c r="B147" s="78" t="str">
        <f>VLOOKUP('Area C'!B202,'Item List'!B:AJ,20,FALSE)</f>
        <v>None</v>
      </c>
      <c r="C147" s="78" t="str">
        <f>VLOOKUP(B147,'Item List'!B:AH,2,FALSE)</f>
        <v>None</v>
      </c>
      <c r="D147" s="78"/>
      <c r="E147" s="575">
        <f>VLOOKUP(B147,'Item List'!B:AM,35,FALSE)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87" t="s">
        <v>429</v>
      </c>
      <c r="B148" s="78" t="str">
        <f>VLOOKUP('Area C'!B203,'Item List'!B:AJ,20,FALSE)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List'!B:AM,35,FALSE)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87" t="s">
        <v>429</v>
      </c>
      <c r="B149" s="78" t="str">
        <f>VLOOKUP('Area C'!B204,'Item List'!B:AJ,20,FALSE)</f>
        <v>None</v>
      </c>
      <c r="C149" s="78" t="str">
        <f>VLOOKUP(B149,'Item List'!B:AH,2,FALSE)</f>
        <v>None</v>
      </c>
      <c r="D149" s="78"/>
      <c r="E149" s="575">
        <f>VLOOKUP(B149,'Item List'!B:AM,35,FALSE)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87" t="s">
        <v>429</v>
      </c>
      <c r="B150" s="78" t="str">
        <f>VLOOKUP('Area C'!B205,'Item List'!B:AJ,20,FALSE)</f>
        <v>None</v>
      </c>
      <c r="C150" s="78" t="str">
        <f>VLOOKUP(B150,'Item List'!B:AH,2,FALSE)</f>
        <v>None</v>
      </c>
      <c r="D150" s="78"/>
      <c r="E150" s="575">
        <f>VLOOKUP(B150,'Item List'!B:AM,35,FALSE)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87" t="s">
        <v>429</v>
      </c>
      <c r="B151" s="78" t="str">
        <f>VLOOKUP('Area C'!B206,'Item List'!B:AJ,20,FALSE)</f>
        <v>None</v>
      </c>
      <c r="C151" s="78" t="str">
        <f>VLOOKUP(B151,'Item List'!B:AH,2,FALSE)</f>
        <v>None</v>
      </c>
      <c r="D151" s="78"/>
      <c r="E151" s="575">
        <f>VLOOKUP(B151,'Item List'!B:AM,35,FALSE)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87" t="s">
        <v>429</v>
      </c>
      <c r="B152" s="78" t="str">
        <f>VLOOKUP('Area C'!B207,'Item List'!B:AJ,20,FALSE)</f>
        <v>None</v>
      </c>
      <c r="C152" s="78" t="str">
        <f>VLOOKUP(B152,'Item List'!B:AH,2,FALSE)</f>
        <v>None</v>
      </c>
      <c r="D152" s="78"/>
      <c r="E152" s="575">
        <f>VLOOKUP(B152,'Item List'!B:AM,35,FALSE)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87" t="s">
        <v>429</v>
      </c>
      <c r="B153" s="78" t="str">
        <f>VLOOKUP('Area C'!B208,'Item List'!B:AJ,20,FALSE)</f>
        <v>None</v>
      </c>
      <c r="C153" s="78" t="str">
        <f>VLOOKUP(B153,'Item List'!B:AH,2,FALSE)</f>
        <v>None</v>
      </c>
      <c r="D153" s="78"/>
      <c r="E153" s="575">
        <f>VLOOKUP(B153,'Item List'!B:AM,35,FALSE)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87" t="s">
        <v>429</v>
      </c>
      <c r="B154" s="78" t="str">
        <f>VLOOKUP('Area C'!B209,'Item List'!B:AJ,20,FALSE)</f>
        <v>None</v>
      </c>
      <c r="C154" s="78" t="str">
        <f>VLOOKUP(B154,'Item List'!B:AH,2,FALSE)</f>
        <v>None</v>
      </c>
      <c r="D154" s="78"/>
      <c r="E154" s="575">
        <f>VLOOKUP(B154,'Item List'!B:AM,35,FALSE)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87" t="s">
        <v>429</v>
      </c>
      <c r="B155" s="78" t="str">
        <f>VLOOKUP('Area C'!B210,'Item List'!B:AJ,20,FALSE)</f>
        <v>None</v>
      </c>
      <c r="C155" s="78" t="str">
        <f>VLOOKUP(B155,'Item List'!B:AH,2,FALSE)</f>
        <v>None</v>
      </c>
      <c r="D155" s="78"/>
      <c r="E155" s="575">
        <f>VLOOKUP(B155,'Item List'!B:AM,35,FALSE)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87" t="s">
        <v>429</v>
      </c>
      <c r="B156" s="78" t="str">
        <f>VLOOKUP('Area C'!B211,'Item List'!B:AJ,20,FALSE)</f>
        <v>None</v>
      </c>
      <c r="C156" s="78" t="str">
        <f>VLOOKUP(B156,'Item List'!B:AH,2,FALSE)</f>
        <v>None</v>
      </c>
      <c r="D156" s="78"/>
      <c r="E156" s="575">
        <f>VLOOKUP(B156,'Item List'!B:AM,35,FALSE)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87" t="s">
        <v>429</v>
      </c>
      <c r="B157" s="78" t="str">
        <f>VLOOKUP('Area C'!B212,'Item List'!B:AJ,20,FALSE)</f>
        <v>None</v>
      </c>
      <c r="C157" s="78" t="str">
        <f>VLOOKUP(B157,'Item List'!B:AH,2,FALSE)</f>
        <v>None</v>
      </c>
      <c r="D157" s="78"/>
      <c r="E157" s="575">
        <f>VLOOKUP(B157,'Item List'!B:AM,35,FALSE)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87" t="s">
        <v>429</v>
      </c>
      <c r="B158" s="78" t="str">
        <f>VLOOKUP('Area C'!B213,'Item List'!B:AJ,20,FALSE)</f>
        <v>None</v>
      </c>
      <c r="C158" s="78" t="str">
        <f>VLOOKUP(B158,'Item List'!B:AH,2,FALSE)</f>
        <v>None</v>
      </c>
      <c r="D158" s="78"/>
      <c r="E158" s="575">
        <f>VLOOKUP(B158,'Item List'!B:AM,35,FALSE)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87" t="s">
        <v>429</v>
      </c>
      <c r="B159" s="78" t="str">
        <f>VLOOKUP('Area C'!B214,'Item List'!B:AJ,20,FALSE)</f>
        <v>None</v>
      </c>
      <c r="C159" s="78" t="str">
        <f>VLOOKUP(B159,'Item List'!B:AH,2,FALSE)</f>
        <v>None</v>
      </c>
      <c r="D159" s="78"/>
      <c r="E159" s="575">
        <f>VLOOKUP(B159,'Item List'!B:AM,35,FALSE)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87" t="s">
        <v>429</v>
      </c>
      <c r="B160" s="78" t="str">
        <f>VLOOKUP('Area C'!B215,'Item List'!B:AJ,20,FALSE)</f>
        <v>None</v>
      </c>
      <c r="C160" s="78" t="str">
        <f>VLOOKUP(B160,'Item List'!B:AH,2,FALSE)</f>
        <v>None</v>
      </c>
      <c r="D160" s="78"/>
      <c r="E160" s="575">
        <f>VLOOKUP(B160,'Item List'!B:AM,35,FALSE)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87" t="s">
        <v>429</v>
      </c>
      <c r="B161" s="78" t="str">
        <f>VLOOKUP('Area C'!B216,'Item List'!B:AJ,20,FALSE)</f>
        <v>None</v>
      </c>
      <c r="C161" s="78" t="str">
        <f>VLOOKUP(B161,'Item List'!B:AH,2,FALSE)</f>
        <v>None</v>
      </c>
      <c r="D161" s="78"/>
      <c r="E161" s="575">
        <f>VLOOKUP(B161,'Item List'!B:AM,35,FALSE)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87" t="s">
        <v>429</v>
      </c>
      <c r="B162" s="78" t="str">
        <f>VLOOKUP('Area C'!B217,'Item List'!B:AJ,20,FALSE)</f>
        <v>None</v>
      </c>
      <c r="C162" s="78" t="str">
        <f>VLOOKUP(B162,'Item List'!B:AH,2,FALSE)</f>
        <v>None</v>
      </c>
      <c r="D162" s="78"/>
      <c r="E162" s="575">
        <f>VLOOKUP(B162,'Item List'!B:AM,35,FALSE)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87" t="s">
        <v>429</v>
      </c>
      <c r="B163" s="78" t="str">
        <f>VLOOKUP('Area C'!B218,'Item List'!B:AJ,20,FALSE)</f>
        <v>None</v>
      </c>
      <c r="C163" s="78" t="str">
        <f>VLOOKUP(B163,'Item List'!B:AH,2,FALSE)</f>
        <v>None</v>
      </c>
      <c r="D163" s="78"/>
      <c r="E163" s="575">
        <f>VLOOKUP(B163,'Item List'!B:AM,35,FALSE)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87" t="s">
        <v>429</v>
      </c>
      <c r="B164" s="78" t="str">
        <f>VLOOKUP('Area C'!B219,'Item List'!B:AJ,20,FALSE)</f>
        <v>None</v>
      </c>
      <c r="C164" s="78" t="str">
        <f>VLOOKUP(B164,'Item List'!B:AH,2,FALSE)</f>
        <v>None</v>
      </c>
      <c r="D164" s="78"/>
      <c r="E164" s="575">
        <f>VLOOKUP(B164,'Item List'!B:AM,35,FALSE)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87" t="s">
        <v>429</v>
      </c>
      <c r="B165" s="78" t="str">
        <f>VLOOKUP('Area C'!B220,'Item List'!B:AJ,20,FALSE)</f>
        <v>None</v>
      </c>
      <c r="C165" s="78" t="str">
        <f>VLOOKUP(B165,'Item List'!B:AH,2,FALSE)</f>
        <v>None</v>
      </c>
      <c r="D165" s="78"/>
      <c r="E165" s="575">
        <f>VLOOKUP(B165,'Item List'!B:AM,35,FALSE)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87" t="s">
        <v>429</v>
      </c>
      <c r="B166" s="78" t="str">
        <f>VLOOKUP('Area C'!B221,'Item List'!B:AJ,20,FALSE)</f>
        <v>None</v>
      </c>
      <c r="C166" s="78" t="str">
        <f>VLOOKUP(B166,'Item List'!B:AH,2,FALSE)</f>
        <v>None</v>
      </c>
      <c r="D166" s="78"/>
      <c r="E166" s="575">
        <f>VLOOKUP(B166,'Item List'!B:AM,35,FALSE)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87" t="s">
        <v>429</v>
      </c>
      <c r="B167" s="78" t="str">
        <f>VLOOKUP('Area C'!B222,'Item List'!B:AJ,20,FALSE)</f>
        <v>None</v>
      </c>
      <c r="C167" s="78" t="str">
        <f>VLOOKUP(B167,'Item List'!B:AH,2,FALSE)</f>
        <v>None</v>
      </c>
      <c r="D167" s="78"/>
      <c r="E167" s="575">
        <f>VLOOKUP(B167,'Item List'!B:AM,35,FALSE)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87" t="s">
        <v>429</v>
      </c>
      <c r="B168" s="78" t="str">
        <f>VLOOKUP('Area C'!B223,'Item List'!B:AJ,20,FALSE)</f>
        <v>None</v>
      </c>
      <c r="C168" s="78" t="str">
        <f>VLOOKUP(B168,'Item List'!B:AH,2,FALSE)</f>
        <v>None</v>
      </c>
      <c r="D168" s="78"/>
      <c r="E168" s="575">
        <f>VLOOKUP(B168,'Item List'!B:AM,35,FALSE)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87" t="s">
        <v>429</v>
      </c>
      <c r="B169" s="78" t="str">
        <f>VLOOKUP('Area C'!B224,'Item List'!B:AJ,20,FALSE)</f>
        <v>None</v>
      </c>
      <c r="C169" s="78" t="str">
        <f>VLOOKUP(B169,'Item List'!B:AH,2,FALSE)</f>
        <v>None</v>
      </c>
      <c r="D169" s="78"/>
      <c r="E169" s="575">
        <f>VLOOKUP(B169,'Item List'!B:AM,35,FALSE)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87" t="s">
        <v>429</v>
      </c>
      <c r="B170" s="78" t="str">
        <f>VLOOKUP('Area C'!B225,'Item List'!B:AJ,20,FALSE)</f>
        <v>None</v>
      </c>
      <c r="C170" s="78" t="str">
        <f>VLOOKUP(B170,'Item List'!B:AH,2,FALSE)</f>
        <v>None</v>
      </c>
      <c r="D170" s="78"/>
      <c r="E170" s="575">
        <f>VLOOKUP(B170,'Item List'!B:AM,35,FALSE)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87" t="s">
        <v>429</v>
      </c>
      <c r="B171" s="78" t="str">
        <f>VLOOKUP('Area C'!B226,'Item List'!B:AJ,20,FALSE)</f>
        <v>None</v>
      </c>
      <c r="C171" s="78" t="str">
        <f>VLOOKUP(B171,'Item List'!B:AH,2,FALSE)</f>
        <v>None</v>
      </c>
      <c r="D171" s="78"/>
      <c r="E171" s="575">
        <f>VLOOKUP(B171,'Item List'!B:AM,35,FALSE)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87" t="s">
        <v>429</v>
      </c>
      <c r="B172" s="78" t="str">
        <f>VLOOKUP('Area C'!B227,'Item List'!B:AJ,20,FALSE)</f>
        <v>None</v>
      </c>
      <c r="C172" s="78" t="str">
        <f>VLOOKUP(B172,'Item List'!B:AH,2,FALSE)</f>
        <v>None</v>
      </c>
      <c r="D172" s="78"/>
      <c r="E172" s="575">
        <f>VLOOKUP(B172,'Item List'!B:AM,35,FALSE)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87" t="s">
        <v>429</v>
      </c>
      <c r="B173" s="78" t="str">
        <f>VLOOKUP('Area C'!B228,'Item List'!B:AJ,20,FALSE)</f>
        <v>None</v>
      </c>
      <c r="C173" s="78" t="str">
        <f>VLOOKUP(B173,'Item List'!B:AH,2,FALSE)</f>
        <v>None</v>
      </c>
      <c r="D173" s="78"/>
      <c r="E173" s="575">
        <f>VLOOKUP(B173,'Item List'!B:AM,35,FALSE)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87" t="s">
        <v>429</v>
      </c>
      <c r="B174" s="78" t="str">
        <f>VLOOKUP('Area C'!B229,'Item List'!B:AJ,20,FALSE)</f>
        <v>None</v>
      </c>
      <c r="C174" s="78" t="str">
        <f>VLOOKUP(B174,'Item List'!B:AH,2,FALSE)</f>
        <v>None</v>
      </c>
      <c r="D174" s="78"/>
      <c r="E174" s="575">
        <f>VLOOKUP(B174,'Item List'!B:AM,35,FALSE)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87" t="s">
        <v>429</v>
      </c>
      <c r="B175" s="78" t="str">
        <f>VLOOKUP('Area C'!B230,'Item List'!B:AJ,20,FALSE)</f>
        <v>None</v>
      </c>
      <c r="C175" s="78" t="str">
        <f>VLOOKUP(B175,'Item List'!B:AH,2,FALSE)</f>
        <v>None</v>
      </c>
      <c r="D175" s="78"/>
      <c r="E175" s="575">
        <f>VLOOKUP(B175,'Item List'!B:AM,35,FALSE)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87" t="s">
        <v>429</v>
      </c>
      <c r="B176" s="78" t="str">
        <f>VLOOKUP('Area C'!B231,'Item List'!B:AJ,20,FALSE)</f>
        <v>None</v>
      </c>
      <c r="C176" s="78" t="str">
        <f>VLOOKUP(B176,'Item List'!B:AH,2,FALSE)</f>
        <v>None</v>
      </c>
      <c r="D176" s="78"/>
      <c r="E176" s="575">
        <f>VLOOKUP(B176,'Item List'!B:AM,35,FALSE)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87" t="s">
        <v>429</v>
      </c>
      <c r="B177" s="78" t="str">
        <f>VLOOKUP('Area C'!B232,'Item List'!B:AJ,20,FALSE)</f>
        <v>None</v>
      </c>
      <c r="C177" s="78" t="str">
        <f>VLOOKUP(B177,'Item List'!B:AH,2,FALSE)</f>
        <v>None</v>
      </c>
      <c r="D177" s="78"/>
      <c r="E177" s="575">
        <f>VLOOKUP(B177,'Item List'!B:AM,35,FALSE)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87" t="s">
        <v>429</v>
      </c>
      <c r="B178" s="78" t="str">
        <f>VLOOKUP('Area C'!B233,'Item List'!B:AJ,20,FALSE)</f>
        <v>None</v>
      </c>
      <c r="C178" s="78" t="str">
        <f>VLOOKUP(B178,'Item List'!B:AH,2,FALSE)</f>
        <v>None</v>
      </c>
      <c r="D178" s="78"/>
      <c r="E178" s="575">
        <f>VLOOKUP(B178,'Item List'!B:AM,35,FALSE)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87" t="s">
        <v>429</v>
      </c>
      <c r="B179" s="78" t="str">
        <f>VLOOKUP('Area C'!B234,'Item List'!B:AJ,20,FALSE)</f>
        <v>None</v>
      </c>
      <c r="C179" s="78" t="str">
        <f>VLOOKUP(B179,'Item List'!B:AH,2,FALSE)</f>
        <v>None</v>
      </c>
      <c r="D179" s="78"/>
      <c r="E179" s="575">
        <f>VLOOKUP(B179,'Item List'!B:AM,35,FALSE)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87" t="s">
        <v>429</v>
      </c>
      <c r="B180" s="78" t="str">
        <f>VLOOKUP('Area C'!B235,'Item List'!B:AJ,20,FALSE)</f>
        <v>None</v>
      </c>
      <c r="C180" s="78" t="str">
        <f>VLOOKUP(B180,'Item List'!B:AH,2,FALSE)</f>
        <v>None</v>
      </c>
      <c r="D180" s="78"/>
      <c r="E180" s="575">
        <f>VLOOKUP(B180,'Item List'!B:AM,35,FALSE)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87" t="s">
        <v>429</v>
      </c>
      <c r="B181" s="78" t="str">
        <f>VLOOKUP('Area C'!B236,'Item List'!B:AJ,20,FALSE)</f>
        <v>None</v>
      </c>
      <c r="C181" s="78" t="str">
        <f>VLOOKUP(B181,'Item List'!B:AH,2,FALSE)</f>
        <v>None</v>
      </c>
      <c r="D181" s="78"/>
      <c r="E181" s="575">
        <f>VLOOKUP(B181,'Item List'!B:AM,35,FALSE)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87" t="s">
        <v>429</v>
      </c>
      <c r="B182" s="78" t="str">
        <f>VLOOKUP('Area C'!B237,'Item List'!B:AJ,20,FALSE)</f>
        <v>None</v>
      </c>
      <c r="C182" s="78" t="str">
        <f>VLOOKUP(B182,'Item List'!B:AH,2,FALSE)</f>
        <v>None</v>
      </c>
      <c r="D182" s="78"/>
      <c r="E182" s="575">
        <f>VLOOKUP(B182,'Item List'!B:AM,35,FALSE)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87" t="s">
        <v>429</v>
      </c>
      <c r="B183" s="78" t="str">
        <f>VLOOKUP('Area C'!B238,'Item List'!B:AJ,20,FALSE)</f>
        <v>None</v>
      </c>
      <c r="C183" s="78" t="str">
        <f>VLOOKUP(B183,'Item List'!B:AH,2,FALSE)</f>
        <v>None</v>
      </c>
      <c r="D183" s="78"/>
      <c r="E183" s="575">
        <f>VLOOKUP(B183,'Item List'!B:AM,35,FALSE)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87" t="s">
        <v>429</v>
      </c>
      <c r="B184" s="78" t="str">
        <f>VLOOKUP('Area C'!B239,'Item List'!B:AJ,20,FALSE)</f>
        <v>None</v>
      </c>
      <c r="C184" s="78" t="str">
        <f>VLOOKUP(B184,'Item List'!B:AH,2,FALSE)</f>
        <v>None</v>
      </c>
      <c r="D184" s="78"/>
      <c r="E184" s="575">
        <f>VLOOKUP(B184,'Item List'!B:AM,35,FALSE)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87" t="s">
        <v>429</v>
      </c>
      <c r="B185" s="78" t="str">
        <f>VLOOKUP('Area C'!B240,'Item List'!B:AJ,20,FALSE)</f>
        <v>None</v>
      </c>
      <c r="C185" s="78" t="str">
        <f>VLOOKUP(B185,'Item List'!B:AH,2,FALSE)</f>
        <v>None</v>
      </c>
      <c r="D185" s="78"/>
      <c r="E185" s="575">
        <f>VLOOKUP(B185,'Item List'!B:AM,35,FALSE)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87" t="s">
        <v>429</v>
      </c>
      <c r="B186" s="78" t="str">
        <f>VLOOKUP('Area C'!B241,'Item List'!B:AJ,20,FALSE)</f>
        <v>None</v>
      </c>
      <c r="C186" s="78" t="str">
        <f>VLOOKUP(B186,'Item List'!B:AH,2,FALSE)</f>
        <v>None</v>
      </c>
      <c r="D186" s="78"/>
      <c r="E186" s="575">
        <f>VLOOKUP(B186,'Item List'!B:AM,35,FALSE)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87" t="s">
        <v>429</v>
      </c>
      <c r="B187" s="78" t="str">
        <f>VLOOKUP('Area C'!B242,'Item List'!B:AJ,20,FALSE)</f>
        <v>None</v>
      </c>
      <c r="C187" s="78" t="str">
        <f>VLOOKUP(B187,'Item List'!B:AH,2,FALSE)</f>
        <v>None</v>
      </c>
      <c r="D187" s="78"/>
      <c r="E187" s="575">
        <f>VLOOKUP(B187,'Item List'!B:AM,35,FALSE)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87" t="s">
        <v>429</v>
      </c>
      <c r="B188" s="78" t="str">
        <f>VLOOKUP('Area C'!B243,'Item List'!B:AJ,20,FALSE)</f>
        <v>None</v>
      </c>
      <c r="C188" s="78" t="str">
        <f>VLOOKUP(B188,'Item List'!B:AH,2,FALSE)</f>
        <v>None</v>
      </c>
      <c r="D188" s="78"/>
      <c r="E188" s="575">
        <f>VLOOKUP(B188,'Item List'!B:AM,35,FALSE)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87" t="s">
        <v>429</v>
      </c>
      <c r="B189" s="78" t="str">
        <f>VLOOKUP('Area C'!B244,'Item List'!B:AJ,20,FALSE)</f>
        <v>None</v>
      </c>
      <c r="C189" s="78" t="str">
        <f>VLOOKUP(B189,'Item List'!B:AH,2,FALSE)</f>
        <v>None</v>
      </c>
      <c r="D189" s="78"/>
      <c r="E189" s="575">
        <f>VLOOKUP(B189,'Item List'!B:AM,35,FALSE)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87" t="s">
        <v>429</v>
      </c>
      <c r="B190" s="78" t="str">
        <f>VLOOKUP('Area C'!B245,'Item List'!B:AJ,20,FALSE)</f>
        <v>None</v>
      </c>
      <c r="C190" s="78" t="str">
        <f>VLOOKUP(B190,'Item List'!B:AH,2,FALSE)</f>
        <v>None</v>
      </c>
      <c r="D190" s="78"/>
      <c r="E190" s="575">
        <f>VLOOKUP(B190,'Item List'!B:AM,35,FALSE)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87" t="s">
        <v>429</v>
      </c>
      <c r="B191" s="78" t="str">
        <f>VLOOKUP('Area C'!B246,'Item List'!B:AJ,20,FALSE)</f>
        <v>None</v>
      </c>
      <c r="C191" s="78" t="str">
        <f>VLOOKUP(B191,'Item List'!B:AH,2,FALSE)</f>
        <v>None</v>
      </c>
      <c r="D191" s="78"/>
      <c r="E191" s="575">
        <f>VLOOKUP(B191,'Item List'!B:AM,35,FALSE)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87" t="s">
        <v>429</v>
      </c>
      <c r="B192" s="78" t="str">
        <f>VLOOKUP('Area C'!B247,'Item List'!B:AJ,20,FALSE)</f>
        <v>None</v>
      </c>
      <c r="C192" s="78" t="str">
        <f>VLOOKUP(B192,'Item List'!B:AH,2,FALSE)</f>
        <v>None</v>
      </c>
      <c r="D192" s="78"/>
      <c r="E192" s="575">
        <f>VLOOKUP(B192,'Item List'!B:AM,35,FALSE)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87" t="s">
        <v>429</v>
      </c>
      <c r="B193" s="78" t="str">
        <f>VLOOKUP('Area C'!B248,'Item List'!B:AJ,20,FALSE)</f>
        <v>None</v>
      </c>
      <c r="C193" s="78" t="str">
        <f>VLOOKUP(B193,'Item List'!B:AH,2,FALSE)</f>
        <v>None</v>
      </c>
      <c r="D193" s="78"/>
      <c r="E193" s="575">
        <f>VLOOKUP(B193,'Item List'!B:AM,35,FALSE)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87" t="s">
        <v>429</v>
      </c>
      <c r="B194" s="78" t="str">
        <f>VLOOKUP('Area C'!B249,'Item List'!B:AJ,20,FALSE)</f>
        <v>None</v>
      </c>
      <c r="C194" s="78" t="str">
        <f>VLOOKUP(B194,'Item List'!B:AH,2,FALSE)</f>
        <v>None</v>
      </c>
      <c r="D194" s="78"/>
      <c r="E194" s="575">
        <f>VLOOKUP(B194,'Item List'!B:AM,35,FALSE)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87" t="s">
        <v>429</v>
      </c>
      <c r="B195" s="78" t="str">
        <f>VLOOKUP('Area C'!B250,'Item List'!B:AJ,20,FALSE)</f>
        <v>None</v>
      </c>
      <c r="C195" s="585" t="str">
        <f>VLOOKUP(B195,'Item List'!B:AH,2,FALSE)</f>
        <v>None</v>
      </c>
      <c r="D195" s="585"/>
      <c r="E195" s="575">
        <f>VLOOKUP(B195,'Item List'!B:AM,35,FALSE)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565" t="s">
        <v>429</v>
      </c>
      <c r="B197" s="565"/>
      <c r="C197" s="565"/>
      <c r="D197" s="565"/>
      <c r="E197" s="565"/>
      <c r="F197" s="565"/>
      <c r="G197" s="565"/>
      <c r="H197" s="565"/>
      <c r="I197" s="565"/>
      <c r="J197" s="565"/>
    </row>
    <row r="198" spans="1:10" x14ac:dyDescent="0.4">
      <c r="A198" s="670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87" t="s">
        <v>0</v>
      </c>
      <c r="B199" s="78" t="str">
        <f>VLOOKUP('Area C'!$B$5,'Item List'!B:AJ,21,FALSE)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List'!B:AM,35,FALSE)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87" t="s">
        <v>0</v>
      </c>
      <c r="B200" s="78" t="str">
        <f>VLOOKUP('Area C'!$B$5,'Item List'!B:AJ,22,FALSE)</f>
        <v>None</v>
      </c>
      <c r="C200" s="78" t="str">
        <f>VLOOKUP(B200,'Item List'!B:AH,2,FALSE)</f>
        <v>None</v>
      </c>
      <c r="D200" s="78"/>
      <c r="E200" s="557">
        <f>VLOOKUP(B200,'Item List'!B:AM,35,FALSE)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87" t="s">
        <v>0</v>
      </c>
      <c r="B201" s="78" t="str">
        <f>VLOOKUP('Area C'!$B$5,'Item List'!B:AJ,23,FALSE)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87" t="s">
        <v>0</v>
      </c>
      <c r="B202" s="78" t="str">
        <f>VLOOKUP('Area C'!$B$5,'Item List'!B:AJ,24,FALSE)</f>
        <v>None</v>
      </c>
      <c r="C202" s="78" t="str">
        <f>VLOOKUP(B202,'Item List'!B:AH,2,FALSE)</f>
        <v>None</v>
      </c>
      <c r="D202" s="78"/>
      <c r="E202" s="557">
        <f>VLOOKUP(B202,'Item List'!B:AM,35,FALSE)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87" t="s">
        <v>413</v>
      </c>
      <c r="B203" s="642" t="str">
        <f>VLOOKUP('Area C'!$B$6,'Item List'!B:AJ,21,FALSE)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List'!B:AM,35,FALSE)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87" t="s">
        <v>413</v>
      </c>
      <c r="B204" s="78" t="str">
        <f>VLOOKUP('Area C'!$B$6,'Item List'!B:AJ,22,FALSE)</f>
        <v>None</v>
      </c>
      <c r="C204" s="78" t="str">
        <f>VLOOKUP(B204,'Item List'!B:AH,2,FALSE)</f>
        <v>None</v>
      </c>
      <c r="D204" s="78"/>
      <c r="E204" s="557">
        <f>VLOOKUP(B204,'Item List'!B:AM,35,FALSE)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87" t="s">
        <v>413</v>
      </c>
      <c r="B205" s="78" t="str">
        <f>VLOOKUP('Area C'!$B$6,'Item List'!B:AJ,23,FALSE)</f>
        <v>None</v>
      </c>
      <c r="C205" s="78" t="str">
        <f>VLOOKUP(B205,'Item List'!B:AH,2,FALSE)</f>
        <v>None</v>
      </c>
      <c r="D205" s="78"/>
      <c r="E205" s="557">
        <f>VLOOKUP(B205,'Item List'!B:AM,35,FALSE)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87" t="s">
        <v>413</v>
      </c>
      <c r="B206" s="78" t="str">
        <f>VLOOKUP('Area C'!$B$6,'Item List'!B:AJ,24,FALSE)</f>
        <v>None</v>
      </c>
      <c r="C206" s="78" t="str">
        <f>VLOOKUP(B206,'Item List'!B:AH,2,FALSE)</f>
        <v>None</v>
      </c>
      <c r="D206" s="78"/>
      <c r="E206" s="557">
        <f>VLOOKUP(B206,'Item List'!B:AM,35,FALSE)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87" t="s">
        <v>4</v>
      </c>
      <c r="B207" s="78" t="str">
        <f>VLOOKUP('Area C'!B12,'Item List'!B:AJ,21,FALSE)</f>
        <v>None</v>
      </c>
      <c r="C207" s="78" t="str">
        <f>VLOOKUP(B207,'Item List'!B:AH,2,FALSE)</f>
        <v>None</v>
      </c>
      <c r="D207" s="78"/>
      <c r="E207" s="557">
        <f>VLOOKUP(B207,'Item List'!B:AM,35,FALSE)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87" t="s">
        <v>4</v>
      </c>
      <c r="B208" s="78" t="str">
        <f>VLOOKUP('Area C'!B12,'Item List'!B:AJ,22,FALSE)</f>
        <v>None</v>
      </c>
      <c r="C208" s="78" t="str">
        <f>VLOOKUP(B208,'Item List'!B:AH,2,FALSE)</f>
        <v>None</v>
      </c>
      <c r="D208" s="78"/>
      <c r="E208" s="557">
        <f>VLOOKUP(B208,'Item List'!B:AM,35,FALSE)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87" t="s">
        <v>4</v>
      </c>
      <c r="B209" s="78" t="str">
        <f>VLOOKUP('Area C'!B12,'Item List'!B:AJ,23,FALSE)</f>
        <v>None</v>
      </c>
      <c r="C209" s="78" t="str">
        <f>VLOOKUP(B209,'Item List'!B:AH,2,FALSE)</f>
        <v>None</v>
      </c>
      <c r="D209" s="78"/>
      <c r="E209" s="557">
        <f>VLOOKUP(B209,'Item List'!B:AM,35,FALSE)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87" t="s">
        <v>4</v>
      </c>
      <c r="B210" s="78" t="str">
        <f>VLOOKUP('Area C'!B12,'Item List'!B:AJ,24,FALSE)</f>
        <v>None</v>
      </c>
      <c r="C210" s="78" t="str">
        <f>VLOOKUP(B210,'Item List'!B:AH,2,FALSE)</f>
        <v>None</v>
      </c>
      <c r="D210" s="78"/>
      <c r="E210" s="557">
        <f>VLOOKUP(B210,'Item List'!B:AM,35,FALSE)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87" t="s">
        <v>448</v>
      </c>
      <c r="B211" s="78" t="str">
        <f>VLOOKUP('Area C'!B29,'Item List'!B:AJ,21,FALSE)</f>
        <v>None</v>
      </c>
      <c r="C211" s="78" t="str">
        <f>VLOOKUP(B211,'Item List'!B:AH,2,FALSE)</f>
        <v>None</v>
      </c>
      <c r="D211" s="78"/>
      <c r="E211" s="557">
        <f>VLOOKUP(B211,'Item List'!B:AM,35,FALSE)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87" t="s">
        <v>448</v>
      </c>
      <c r="B212" s="78" t="str">
        <f>VLOOKUP('Area C'!B29,'Item List'!B:AJ,22,FALSE)</f>
        <v>None</v>
      </c>
      <c r="C212" s="78" t="str">
        <f>VLOOKUP(B212,'Item List'!B:AH,2,FALSE)</f>
        <v>None</v>
      </c>
      <c r="D212" s="78"/>
      <c r="E212" s="557">
        <f>VLOOKUP(B212,'Item List'!B:AM,35,FALSE)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87" t="s">
        <v>448</v>
      </c>
      <c r="B213" s="78" t="str">
        <f>VLOOKUP('Area C'!B29,'Item List'!B:AJ,23,FALSE)</f>
        <v>None</v>
      </c>
      <c r="C213" s="78" t="str">
        <f>VLOOKUP(B213,'Item List'!B:AH,2,FALSE)</f>
        <v>None</v>
      </c>
      <c r="D213" s="78"/>
      <c r="E213" s="557">
        <f>VLOOKUP(B213,'Item List'!B:AM,35,FALSE)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87" t="s">
        <v>448</v>
      </c>
      <c r="B214" s="78" t="str">
        <f>VLOOKUP('Area C'!B29,'Item List'!B:AJ,24,FALSE)</f>
        <v>None</v>
      </c>
      <c r="C214" s="78" t="str">
        <f>VLOOKUP(B214,'Item List'!B:AH,2,FALSE)</f>
        <v>None</v>
      </c>
      <c r="D214" s="78"/>
      <c r="E214" s="557">
        <f>VLOOKUP(B214,'Item List'!B:AM,35,FALSE)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87" t="s">
        <v>448</v>
      </c>
      <c r="B215" s="78" t="str">
        <f>VLOOKUP('Area C'!B30,'Item List'!B:AJ,21,FALSE)</f>
        <v>None</v>
      </c>
      <c r="C215" s="78" t="str">
        <f>VLOOKUP(B215,'Item List'!B:AH,2,FALSE)</f>
        <v>None</v>
      </c>
      <c r="D215" s="78"/>
      <c r="E215" s="557">
        <f>VLOOKUP(B215,'Item List'!B:AM,35,FALSE)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87" t="s">
        <v>448</v>
      </c>
      <c r="B216" s="78" t="str">
        <f>VLOOKUP('Area C'!B30,'Item List'!B:AJ,22,FALSE)</f>
        <v>None</v>
      </c>
      <c r="C216" s="78" t="str">
        <f>VLOOKUP(B216,'Item List'!B:AH,2,FALSE)</f>
        <v>None</v>
      </c>
      <c r="D216" s="78"/>
      <c r="E216" s="557">
        <f>VLOOKUP(B216,'Item List'!B:AM,35,FALSE)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87" t="s">
        <v>448</v>
      </c>
      <c r="B217" s="78" t="str">
        <f>VLOOKUP('Area C'!B30,'Item List'!B:AJ,23,FALSE)</f>
        <v>None</v>
      </c>
      <c r="C217" s="78" t="str">
        <f>VLOOKUP(B217,'Item List'!B:AH,2,FALSE)</f>
        <v>None</v>
      </c>
      <c r="D217" s="78"/>
      <c r="E217" s="557">
        <f>VLOOKUP(B217,'Item List'!B:AM,35,FALSE)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87" t="s">
        <v>448</v>
      </c>
      <c r="B218" s="78" t="str">
        <f>VLOOKUP('Area C'!B30,'Item List'!B:AJ,24,FALSE)</f>
        <v>None</v>
      </c>
      <c r="C218" s="78" t="str">
        <f>VLOOKUP(B218,'Item List'!B:AH,2,FALSE)</f>
        <v>None</v>
      </c>
      <c r="D218" s="78"/>
      <c r="E218" s="557">
        <f>VLOOKUP(B218,'Item List'!B:AM,35,FALSE)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87" t="s">
        <v>449</v>
      </c>
      <c r="B219" s="78" t="str">
        <f>VLOOKUP('Area C'!B31,'Item List'!B:AJ,21,FALSE)</f>
        <v>None</v>
      </c>
      <c r="C219" s="78" t="str">
        <f>VLOOKUP(B219,'Item List'!B:AH,2,FALSE)</f>
        <v>None</v>
      </c>
      <c r="D219" s="78"/>
      <c r="E219" s="557">
        <f>VLOOKUP(B219,'Item List'!B:AM,35,FALSE)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87" t="s">
        <v>449</v>
      </c>
      <c r="B220" s="78" t="str">
        <f>VLOOKUP('Area C'!B31,'Item List'!B:AJ,22,FALSE)</f>
        <v>None</v>
      </c>
      <c r="C220" s="78" t="str">
        <f>VLOOKUP(B220,'Item List'!B:AH,2,FALSE)</f>
        <v>None</v>
      </c>
      <c r="D220" s="78"/>
      <c r="E220" s="557">
        <f>VLOOKUP(B220,'Item List'!B:AM,35,FALSE)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87" t="s">
        <v>449</v>
      </c>
      <c r="B221" s="78" t="str">
        <f>VLOOKUP('Area C'!B31,'Item List'!B:AJ,23,FALSE)</f>
        <v>None</v>
      </c>
      <c r="C221" s="78" t="str">
        <f>VLOOKUP(B221,'Item List'!B:AH,2,FALSE)</f>
        <v>None</v>
      </c>
      <c r="D221" s="78"/>
      <c r="E221" s="557">
        <f>VLOOKUP(B222,'Item List'!B:AM,35,FALSE)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87" t="s">
        <v>449</v>
      </c>
      <c r="B222" s="78" t="str">
        <f>VLOOKUP('Area C'!B31,'Item List'!B:AJ,24,FALSE)</f>
        <v>None</v>
      </c>
      <c r="C222" s="78" t="str">
        <f>VLOOKUP(B222,'Item List'!B:AH,2,FALSE)</f>
        <v>None</v>
      </c>
      <c r="D222" s="78"/>
      <c r="E222" s="557">
        <f>VLOOKUP(B222,'Item List'!B:AM,35,FALSE)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87" t="s">
        <v>449</v>
      </c>
      <c r="B223" s="78" t="str">
        <f>VLOOKUP('Area C'!B32,'Item List'!B:AJ,21,FALSE)</f>
        <v>None</v>
      </c>
      <c r="C223" s="78" t="str">
        <f>VLOOKUP(B223,'Item List'!B:AH,2,FALSE)</f>
        <v>None</v>
      </c>
      <c r="D223" s="78"/>
      <c r="E223" s="557">
        <f>VLOOKUP(B223,'Item List'!B:AM,35,FALSE)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87" t="s">
        <v>449</v>
      </c>
      <c r="B224" s="78" t="str">
        <f>VLOOKUP('Area C'!B32,'Item List'!B:AJ,22,FALSE)</f>
        <v>None</v>
      </c>
      <c r="C224" s="78" t="str">
        <f>VLOOKUP(B224,'Item List'!B:AH,2,FALSE)</f>
        <v>None</v>
      </c>
      <c r="D224" s="78"/>
      <c r="E224" s="557">
        <f>VLOOKUP(B224,'Item List'!B:AM,35,FALSE)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87" t="s">
        <v>449</v>
      </c>
      <c r="B225" s="78" t="str">
        <f>VLOOKUP('Area C'!B32,'Item List'!B:AJ,23,FALSE)</f>
        <v>None</v>
      </c>
      <c r="C225" s="78" t="str">
        <f>VLOOKUP(B225,'Item List'!B:AH,2,FALSE)</f>
        <v>None</v>
      </c>
      <c r="D225" s="78"/>
      <c r="E225" s="557">
        <f>VLOOKUP(B225,'Item List'!B:AM,35,FALSE)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87" t="s">
        <v>449</v>
      </c>
      <c r="B226" s="78" t="str">
        <f>VLOOKUP('Area C'!B32,'Item List'!B:AJ,24,FALSE)</f>
        <v>None</v>
      </c>
      <c r="C226" s="78" t="str">
        <f>VLOOKUP(B226,'Item List'!B:AH,2,FALSE)</f>
        <v>None</v>
      </c>
      <c r="D226" s="78"/>
      <c r="E226" s="557">
        <f>VLOOKUP(B226,'Item List'!B:AM,35,FALSE)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87" t="s">
        <v>450</v>
      </c>
      <c r="B227" s="78" t="str">
        <f>VLOOKUP('Area C'!B33,'Item List'!B:AJ,21,FALSE)</f>
        <v>None</v>
      </c>
      <c r="C227" s="78" t="str">
        <f>VLOOKUP(B227,'Item List'!B:AH,2,FALSE)</f>
        <v>None</v>
      </c>
      <c r="D227" s="78"/>
      <c r="E227" s="557">
        <f>VLOOKUP(B227,'Item List'!B:AM,35,FALSE)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87" t="s">
        <v>450</v>
      </c>
      <c r="B228" s="78" t="str">
        <f>VLOOKUP('Area C'!B33,'Item List'!B:AJ,22,FALSE)</f>
        <v>None</v>
      </c>
      <c r="C228" s="78" t="str">
        <f>VLOOKUP(B228,'Item List'!B:AH,2,FALSE)</f>
        <v>None</v>
      </c>
      <c r="D228" s="78"/>
      <c r="E228" s="557">
        <f>VLOOKUP(B228,'Item List'!B:AM,35,FALSE)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87" t="s">
        <v>450</v>
      </c>
      <c r="B229" s="78" t="str">
        <f>VLOOKUP('Area C'!B33,'Item List'!B:AJ,23,FALSE)</f>
        <v>None</v>
      </c>
      <c r="C229" s="78" t="str">
        <f>VLOOKUP(B229,'Item List'!B:AH,2,FALSE)</f>
        <v>None</v>
      </c>
      <c r="D229" s="78"/>
      <c r="E229" s="557">
        <f>VLOOKUP(B229,'Item List'!B:AM,35,FALSE)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87" t="s">
        <v>450</v>
      </c>
      <c r="B230" s="78" t="str">
        <f>VLOOKUP('Area C'!B33,'Item List'!B:AJ,24,FALSE)</f>
        <v>None</v>
      </c>
      <c r="C230" s="78" t="str">
        <f>VLOOKUP(B230,'Item List'!B:AH,2,FALSE)</f>
        <v>None</v>
      </c>
      <c r="D230" s="78"/>
      <c r="E230" s="557">
        <f>VLOOKUP(B230,'Item List'!B:AM,35,FALSE)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87" t="s">
        <v>450</v>
      </c>
      <c r="B231" s="78" t="str">
        <f>VLOOKUP('Area C'!B34,'Item List'!B:AJ,21,FALSE)</f>
        <v>None</v>
      </c>
      <c r="C231" s="78" t="str">
        <f>VLOOKUP(B231,'Item List'!B:AH,2,FALSE)</f>
        <v>None</v>
      </c>
      <c r="D231" s="78"/>
      <c r="E231" s="557">
        <f>VLOOKUP(B231,'Item List'!B:AM,35,FALSE)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87" t="s">
        <v>450</v>
      </c>
      <c r="B232" s="78" t="str">
        <f>VLOOKUP('Area C'!B34,'Item List'!B:AJ,22,FALSE)</f>
        <v>None</v>
      </c>
      <c r="C232" s="78" t="str">
        <f>VLOOKUP(B232,'Item List'!B:AH,2,FALSE)</f>
        <v>None</v>
      </c>
      <c r="D232" s="78"/>
      <c r="E232" s="557">
        <f>VLOOKUP(B232,'Item List'!B:AM,35,FALSE)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87" t="s">
        <v>450</v>
      </c>
      <c r="B233" s="78" t="str">
        <f>VLOOKUP('Area C'!B34,'Item List'!B:AJ,23,FALSE)</f>
        <v>None</v>
      </c>
      <c r="C233" s="78" t="str">
        <f>VLOOKUP(B233,'Item List'!B:AH,2,FALSE)</f>
        <v>None</v>
      </c>
      <c r="D233" s="78"/>
      <c r="E233" s="557">
        <f>VLOOKUP(B233,'Item List'!B:AM,35,FALSE)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87" t="s">
        <v>450</v>
      </c>
      <c r="B234" s="78" t="str">
        <f>VLOOKUP('Area C'!B34,'Item List'!B:AJ,24,FALSE)</f>
        <v>None</v>
      </c>
      <c r="C234" s="78" t="str">
        <f>VLOOKUP(B234,'Item List'!B:AH,2,FALSE)</f>
        <v>None</v>
      </c>
      <c r="D234" s="78"/>
      <c r="E234" s="557">
        <f>VLOOKUP(B234,'Item List'!B:AM,35,FALSE)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87" t="s">
        <v>451</v>
      </c>
      <c r="B235" s="78" t="str">
        <f>VLOOKUP('Area C'!B35,'Item List'!B:AJ,21,FALSE)</f>
        <v>None</v>
      </c>
      <c r="C235" s="78" t="str">
        <f>VLOOKUP(B235,'Item List'!B:AH,2,FALSE)</f>
        <v>None</v>
      </c>
      <c r="D235" s="78"/>
      <c r="E235" s="557">
        <f>VLOOKUP(B235,'Item List'!B:AM,35,FALSE)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87" t="s">
        <v>451</v>
      </c>
      <c r="B236" s="78" t="str">
        <f>VLOOKUP('Area C'!B35,'Item List'!B:AJ,22,FALSE)</f>
        <v>None</v>
      </c>
      <c r="C236" s="78" t="str">
        <f>VLOOKUP(B236,'Item List'!B:AH,2,FALSE)</f>
        <v>None</v>
      </c>
      <c r="D236" s="78"/>
      <c r="E236" s="557">
        <f>VLOOKUP(B236,'Item List'!B:AM,35,FALSE)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87" t="s">
        <v>451</v>
      </c>
      <c r="B237" s="78" t="str">
        <f>VLOOKUP('Area C'!B35,'Item List'!B:AJ,23,FALSE)</f>
        <v>None</v>
      </c>
      <c r="C237" s="78" t="str">
        <f>VLOOKUP(B237,'Item List'!B:AH,2,FALSE)</f>
        <v>None</v>
      </c>
      <c r="D237" s="78"/>
      <c r="E237" s="557">
        <f>VLOOKUP(B237,'Item List'!B:AM,35,FALSE)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87" t="s">
        <v>451</v>
      </c>
      <c r="B238" s="78" t="str">
        <f>VLOOKUP('Area C'!B35,'Item List'!B:AJ,24,FALSE)</f>
        <v>None</v>
      </c>
      <c r="C238" s="78" t="str">
        <f>VLOOKUP(B238,'Item List'!B:AH,2,FALSE)</f>
        <v>None</v>
      </c>
      <c r="D238" s="78"/>
      <c r="E238" s="557">
        <f>VLOOKUP(B238,'Item List'!B:AM,35,FALSE)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87" t="s">
        <v>451</v>
      </c>
      <c r="B239" s="78" t="str">
        <f>VLOOKUP('Area C'!B36,'Item List'!B:AJ,21,FALSE)</f>
        <v>None</v>
      </c>
      <c r="C239" s="78" t="str">
        <f>VLOOKUP(B239,'Item List'!B:AH,2,FALSE)</f>
        <v>None</v>
      </c>
      <c r="D239" s="78"/>
      <c r="E239" s="557">
        <f>VLOOKUP(B239,'Item List'!B:AM,35,FALSE)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87" t="s">
        <v>451</v>
      </c>
      <c r="B240" s="78" t="str">
        <f>VLOOKUP('Area C'!B36,'Item List'!B:AJ,22,FALSE)</f>
        <v>None</v>
      </c>
      <c r="C240" s="78" t="str">
        <f>VLOOKUP(B240,'Item List'!B:AH,2,FALSE)</f>
        <v>None</v>
      </c>
      <c r="D240" s="78"/>
      <c r="E240" s="557">
        <f>VLOOKUP(B240,'Item List'!B:AM,35,FALSE)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87" t="s">
        <v>451</v>
      </c>
      <c r="B241" s="78" t="str">
        <f>VLOOKUP('Area C'!B36,'Item List'!B:AJ,23,FALSE)</f>
        <v>None</v>
      </c>
      <c r="C241" s="78" t="str">
        <f>VLOOKUP(B241,'Item List'!B:AH,2,FALSE)</f>
        <v>None</v>
      </c>
      <c r="D241" s="78"/>
      <c r="E241" s="557">
        <f>VLOOKUP(B241,'Item List'!B:AM,35,FALSE)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87" t="s">
        <v>451</v>
      </c>
      <c r="B242" s="78" t="str">
        <f>VLOOKUP('Area C'!B36,'Item List'!B:AJ,24,FALSE)</f>
        <v>None</v>
      </c>
      <c r="C242" s="78" t="str">
        <f>VLOOKUP(B242,'Item List'!B:AH,2,FALSE)</f>
        <v>None</v>
      </c>
      <c r="D242" s="78"/>
      <c r="E242" s="557">
        <f>VLOOKUP(B242,'Item List'!B:AM,35,FALSE)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87" t="s">
        <v>452</v>
      </c>
      <c r="B243" s="78" t="str">
        <f>VLOOKUP('Area C'!B40,'Item List'!B:AJ,21,FALSE)</f>
        <v>None</v>
      </c>
      <c r="C243" s="78" t="str">
        <f>VLOOKUP(B243,'Item List'!B:AH,2,FALSE)</f>
        <v>None</v>
      </c>
      <c r="D243" s="78"/>
      <c r="E243" s="557">
        <f>VLOOKUP(B243,'Item List'!B:AM,35,FALSE)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87" t="s">
        <v>452</v>
      </c>
      <c r="B244" s="78" t="str">
        <f>VLOOKUP('Area C'!B40,'Item List'!B:AJ,22,FALSE)</f>
        <v>None</v>
      </c>
      <c r="C244" s="78" t="str">
        <f>VLOOKUP(B244,'Item List'!B:AH,2,FALSE)</f>
        <v>None</v>
      </c>
      <c r="D244" s="78"/>
      <c r="E244" s="557">
        <f>VLOOKUP(B244,'Item List'!B:AM,35,FALSE)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87" t="s">
        <v>452</v>
      </c>
      <c r="B245" s="78" t="str">
        <f>VLOOKUP('Area C'!B40,'Item List'!B:AJ,23,FALSE)</f>
        <v>None</v>
      </c>
      <c r="C245" s="78" t="str">
        <f>VLOOKUP(B245,'Item List'!B:AH,2,FALSE)</f>
        <v>None</v>
      </c>
      <c r="D245" s="78"/>
      <c r="E245" s="557">
        <f>VLOOKUP(B245,'Item List'!B:AM,35,FALSE)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87" t="s">
        <v>452</v>
      </c>
      <c r="B246" s="78" t="str">
        <f>VLOOKUP('Area C'!B40,'Item List'!B:AJ,24,FALSE)</f>
        <v>None</v>
      </c>
      <c r="C246" s="78" t="str">
        <f>VLOOKUP(B246,'Item List'!B:AH,2,FALSE)</f>
        <v>None</v>
      </c>
      <c r="D246" s="78"/>
      <c r="E246" s="557">
        <f>VLOOKUP(B246,'Item List'!B:AM,35,FALSE)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87" t="s">
        <v>453</v>
      </c>
      <c r="B247" s="78" t="str">
        <f>VLOOKUP('Area C'!B41,'Item List'!B:AJ,21,FALSE)</f>
        <v>None</v>
      </c>
      <c r="C247" s="78" t="str">
        <f>VLOOKUP(B247,'Item List'!B:AH,2,FALSE)</f>
        <v>None</v>
      </c>
      <c r="D247" s="78"/>
      <c r="E247" s="557">
        <f>VLOOKUP(B247,'Item List'!B:AM,35,FALSE)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87" t="s">
        <v>453</v>
      </c>
      <c r="B248" s="78" t="str">
        <f>VLOOKUP('Area C'!B41,'Item List'!B:AJ,22,FALSE)</f>
        <v>None</v>
      </c>
      <c r="C248" s="78" t="str">
        <f>VLOOKUP(B248,'Item List'!B:AH,2,FALSE)</f>
        <v>None</v>
      </c>
      <c r="D248" s="78"/>
      <c r="E248" s="557">
        <f>VLOOKUP(B248,'Item List'!B:AM,35,FALSE)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87" t="s">
        <v>453</v>
      </c>
      <c r="B249" s="78" t="str">
        <f>VLOOKUP('Area C'!B41,'Item List'!B:AJ,23,FALSE)</f>
        <v>None</v>
      </c>
      <c r="C249" s="78" t="str">
        <f>VLOOKUP(B249,'Item List'!B:AH,2,FALSE)</f>
        <v>None</v>
      </c>
      <c r="D249" s="78"/>
      <c r="E249" s="557">
        <f>VLOOKUP(B249,'Item List'!B:AM,35,FALSE)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87" t="s">
        <v>453</v>
      </c>
      <c r="B250" s="78" t="str">
        <f>VLOOKUP('Area C'!B41,'Item List'!B:AJ,24,FALSE)</f>
        <v>None</v>
      </c>
      <c r="C250" s="78" t="str">
        <f>VLOOKUP(B250,'Item List'!B:AH,2,FALSE)</f>
        <v>None</v>
      </c>
      <c r="D250" s="78"/>
      <c r="E250" s="557">
        <f>VLOOKUP(B250,'Item List'!B:AM,35,FALSE)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87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87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87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87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87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87" t="s">
        <v>457</v>
      </c>
      <c r="B256" s="378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87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87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87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87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87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87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87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87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87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B5:B8 K5:K8 B251:B256 E251:E256 B257:F265" name="Range1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12:B18" name="Range1_2"/>
  </protectedRanges>
  <mergeCells count="7">
    <mergeCell ref="A1:K1"/>
    <mergeCell ref="L6:M6"/>
    <mergeCell ref="D2:E2"/>
    <mergeCell ref="H2:J2"/>
    <mergeCell ref="A3:J3"/>
    <mergeCell ref="L4:M4"/>
    <mergeCell ref="L5:M5"/>
  </mergeCells>
  <conditionalFormatting sqref="B47:B63 B94 B120:B195">
    <cfRule type="containsText" dxfId="78" priority="13" operator="containsText" text="none">
      <formula>NOT(ISERROR(SEARCH("none",B47)))</formula>
    </cfRule>
  </conditionalFormatting>
  <conditionalFormatting sqref="B199:B250">
    <cfRule type="containsText" dxfId="77" priority="12" operator="containsText" text="none">
      <formula>NOT(ISERROR(SEARCH("none",B199)))</formula>
    </cfRule>
  </conditionalFormatting>
  <conditionalFormatting sqref="E26">
    <cfRule type="expression" dxfId="76" priority="11">
      <formula>(E26-E19)&lt;&gt;0</formula>
    </cfRule>
  </conditionalFormatting>
  <conditionalFormatting sqref="E19">
    <cfRule type="expression" dxfId="75" priority="10">
      <formula>(E19-E26)&lt;&gt;0</formula>
    </cfRule>
  </conditionalFormatting>
  <conditionalFormatting sqref="B64:B69">
    <cfRule type="containsText" dxfId="74" priority="9" operator="containsText" text="none">
      <formula>NOT(ISERROR(SEARCH("none",B64)))</formula>
    </cfRule>
  </conditionalFormatting>
  <conditionalFormatting sqref="B70:B75">
    <cfRule type="containsText" dxfId="73" priority="8" operator="containsText" text="none">
      <formula>NOT(ISERROR(SEARCH("none",B70)))</formula>
    </cfRule>
  </conditionalFormatting>
  <conditionalFormatting sqref="B76:B81">
    <cfRule type="containsText" dxfId="72" priority="7" operator="containsText" text="none">
      <formula>NOT(ISERROR(SEARCH("none",B76)))</formula>
    </cfRule>
  </conditionalFormatting>
  <conditionalFormatting sqref="B82:B87">
    <cfRule type="containsText" dxfId="71" priority="6" operator="containsText" text="none">
      <formula>NOT(ISERROR(SEARCH("none",B82)))</formula>
    </cfRule>
  </conditionalFormatting>
  <conditionalFormatting sqref="B88:B93">
    <cfRule type="containsText" dxfId="70" priority="5" operator="containsText" text="none">
      <formula>NOT(ISERROR(SEARCH("none",B88)))</formula>
    </cfRule>
  </conditionalFormatting>
  <conditionalFormatting sqref="B95:B106">
    <cfRule type="containsText" dxfId="69" priority="4" operator="containsText" text="none">
      <formula>NOT(ISERROR(SEARCH("none",B95)))</formula>
    </cfRule>
  </conditionalFormatting>
  <conditionalFormatting sqref="B107:B112">
    <cfRule type="containsText" dxfId="68" priority="3" operator="containsText" text="none">
      <formula>NOT(ISERROR(SEARCH("none",B107)))</formula>
    </cfRule>
  </conditionalFormatting>
  <conditionalFormatting sqref="B113:B118">
    <cfRule type="containsText" dxfId="67" priority="2" operator="containsText" text="none">
      <formula>NOT(ISERROR(SEARCH("none",B113)))</formula>
    </cfRule>
  </conditionalFormatting>
  <conditionalFormatting sqref="B119">
    <cfRule type="containsText" dxfId="66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5B628B7D-CDCB-45D6-BA5E-8C0313006809}">
          <x14:formula1>
            <xm:f>'Item List'!#REF!</xm:f>
          </x14:formula1>
          <xm:sqref>B36</xm:sqref>
        </x14:dataValidation>
        <x14:dataValidation type="list" allowBlank="1" showInputMessage="1" showErrorMessage="1" xr:uid="{2BFBD277-227B-422E-9901-CAE2E7D89A7E}">
          <x14:formula1>
            <xm:f>'Item List'!$B$30:$B$44</xm:f>
          </x14:formula1>
          <xm:sqref>B6</xm:sqref>
        </x14:dataValidation>
        <x14:dataValidation type="list" allowBlank="1" showInputMessage="1" showErrorMessage="1" xr:uid="{4FD0AE2B-F228-4082-AE6D-6D36178FAA8C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A9BE13A-EBC5-46ED-9CB6-79D8A1CB6458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2A84BAEB-7614-4605-9550-EB19BB0779EA}">
          <x14:formula1>
            <xm:f>'Item List'!$B$3:$B$28</xm:f>
          </x14:formula1>
          <xm:sqref>B5</xm:sqref>
        </x14:dataValidation>
        <x14:dataValidation type="list" allowBlank="1" showInputMessage="1" showErrorMessage="1" xr:uid="{09A97925-452A-4B51-AFC1-7D7BC1B170B8}">
          <x14:formula1>
            <xm:f>'Item List'!$B$140:$B$149</xm:f>
          </x14:formula1>
          <xm:sqref>B32</xm:sqref>
        </x14:dataValidation>
        <x14:dataValidation type="list" allowBlank="1" showInputMessage="1" showErrorMessage="1" xr:uid="{D38F04CC-63A0-4FB1-9210-AC4B89D3631E}">
          <x14:formula1>
            <xm:f>'Item List'!$B$128:$B$139</xm:f>
          </x14:formula1>
          <xm:sqref>B31</xm:sqref>
        </x14:dataValidation>
        <x14:dataValidation type="list" allowBlank="1" showInputMessage="1" showErrorMessage="1" xr:uid="{395DAB6B-472F-4E78-915D-4DD3F91410D9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F0EEA12A-B2E1-4F08-A4E0-400B8275A786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54F9AF8-E149-4997-BCCC-0C5730FBDF6E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73F40350-23C1-4F3E-BC8F-5B95EFACC9FB}">
          <x14:formula1>
            <xm:f>'Item List'!$B$46:$B$56</xm:f>
          </x14:formula1>
          <xm:sqref>B12:B14</xm:sqref>
        </x14:dataValidation>
        <x14:dataValidation type="list" allowBlank="1" showInputMessage="1" showErrorMessage="1" xr:uid="{0D885AAF-9918-43E7-A738-BAC2FC91F4D4}">
          <x14:formula1>
            <xm:f>'Item List'!$B$30:$B$43</xm:f>
          </x14:formula1>
          <xm:sqref>B8</xm:sqref>
        </x14:dataValidation>
        <x14:dataValidation type="list" allowBlank="1" showInputMessage="1" showErrorMessage="1" xr:uid="{76CDE9B3-0711-4CC1-BB14-E4F10C3C0352}">
          <x14:formula1>
            <xm:f>'Item List'!$B$3:$B$26</xm:f>
          </x14:formula1>
          <xm:sqref>B7</xm:sqref>
        </x14:dataValidation>
        <x14:dataValidation type="list" allowBlank="1" showInputMessage="1" showErrorMessage="1" xr:uid="{9809CF29-A8B0-42A7-BCEE-21E116ACBDF2}">
          <x14:formula1>
            <xm:f>'Item List'!$B$126:$B$127</xm:f>
          </x14:formula1>
          <xm:sqref>B35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6C364-E1D9-4F4D-B272-C3E56A3698CF}">
  <sheetPr codeName="Sheet13">
    <tabColor theme="6" tint="0.39997558519241921"/>
  </sheetPr>
  <dimension ref="A1:BO267"/>
  <sheetViews>
    <sheetView topLeftCell="A4" zoomScaleNormal="100" workbookViewId="0">
      <selection activeCell="B32" sqref="B32"/>
    </sheetView>
  </sheetViews>
  <sheetFormatPr defaultColWidth="8.84375" defaultRowHeight="14.6" x14ac:dyDescent="0.4"/>
  <cols>
    <col min="1" max="1" width="30.84375" style="81" bestFit="1" customWidth="1"/>
    <col min="2" max="2" width="24.53515625" style="81" customWidth="1"/>
    <col min="3" max="3" width="62.15234375" style="81" customWidth="1"/>
    <col min="4" max="4" width="13.3046875" style="573" customWidth="1"/>
    <col min="5" max="5" width="12.69140625" style="558" customWidth="1"/>
    <col min="6" max="6" width="12.15234375" style="555" customWidth="1"/>
    <col min="7" max="7" width="15.84375" style="666" customWidth="1"/>
    <col min="8" max="8" width="15" style="650" customWidth="1"/>
    <col min="9" max="9" width="21.3828125" style="667" customWidth="1"/>
    <col min="10" max="10" width="15.3828125" style="650" customWidth="1"/>
    <col min="11" max="11" width="11.15234375" style="650" bestFit="1" customWidth="1"/>
    <col min="12" max="14" width="8.84375" style="650"/>
    <col min="15" max="15" width="11.3046875" style="650" bestFit="1" customWidth="1"/>
    <col min="16" max="67" width="8.84375" style="650"/>
    <col min="68" max="16384" width="8.84375" style="81"/>
  </cols>
  <sheetData>
    <row r="1" spans="1:67" ht="15" thickBot="1" x14ac:dyDescent="0.45">
      <c r="A1" s="1120" t="str">
        <f>IF('Project Materials'!C28="","",'Project Materials'!C28)</f>
        <v/>
      </c>
      <c r="B1" s="1121"/>
      <c r="C1" s="1121"/>
      <c r="D1" s="1121"/>
      <c r="E1" s="1121"/>
      <c r="F1" s="1121"/>
      <c r="G1" s="1121"/>
      <c r="H1" s="1121"/>
      <c r="I1" s="1121"/>
      <c r="J1" s="1121"/>
      <c r="K1" s="1122"/>
    </row>
    <row r="2" spans="1:67" ht="29.15" x14ac:dyDescent="0.4">
      <c r="A2" s="580" t="s">
        <v>491</v>
      </c>
      <c r="B2" s="78" t="str">
        <f>IF(ISBLANK('Project Materials'!D2),"",'Project Materials'!D2)</f>
        <v/>
      </c>
      <c r="C2" s="580" t="s">
        <v>490</v>
      </c>
      <c r="D2" s="1113" t="str">
        <f>IF(ISBLANK('Project Materials'!I2),"",'Project Materials'!I2)</f>
        <v/>
      </c>
      <c r="E2" s="1113"/>
      <c r="F2" s="581" t="s">
        <v>492</v>
      </c>
      <c r="G2" s="651" t="str">
        <f>IF(ISBLANK('Project Materials'!N2),"",'Project Materials'!N2)</f>
        <v/>
      </c>
      <c r="H2" s="1114"/>
      <c r="I2" s="1114"/>
      <c r="J2" s="1114"/>
    </row>
    <row r="3" spans="1:67" ht="15.9" x14ac:dyDescent="0.45">
      <c r="A3" s="1115" t="s">
        <v>479</v>
      </c>
      <c r="B3" s="1115"/>
      <c r="C3" s="1115"/>
      <c r="D3" s="1115"/>
      <c r="E3" s="1115"/>
      <c r="F3" s="1115"/>
      <c r="G3" s="1115"/>
      <c r="H3" s="1115"/>
      <c r="I3" s="1115"/>
      <c r="J3" s="1115"/>
    </row>
    <row r="4" spans="1:67" ht="43.75" x14ac:dyDescent="0.4">
      <c r="A4" s="679" t="s">
        <v>433</v>
      </c>
      <c r="B4" s="83" t="s">
        <v>11</v>
      </c>
      <c r="C4" s="83" t="s">
        <v>12</v>
      </c>
      <c r="D4" s="587" t="s">
        <v>435</v>
      </c>
      <c r="E4" s="571" t="s">
        <v>436</v>
      </c>
      <c r="F4" s="581" t="s">
        <v>437</v>
      </c>
      <c r="G4" s="588" t="s">
        <v>425</v>
      </c>
      <c r="H4" s="570" t="s">
        <v>501</v>
      </c>
      <c r="I4" s="571" t="s">
        <v>715</v>
      </c>
      <c r="J4" s="570" t="s">
        <v>500</v>
      </c>
      <c r="K4" s="653" t="s">
        <v>869</v>
      </c>
      <c r="L4" s="1116" t="s">
        <v>866</v>
      </c>
      <c r="M4" s="1116"/>
    </row>
    <row r="5" spans="1:67" x14ac:dyDescent="0.4">
      <c r="A5" s="680" t="s">
        <v>0</v>
      </c>
      <c r="B5" s="377" t="s">
        <v>256</v>
      </c>
      <c r="C5" s="78" t="str">
        <f>VLOOKUP(B5,'Item List'!B:AH,2,FALSE)</f>
        <v>Top Rail 200 ( 20' )- Black</v>
      </c>
      <c r="D5" s="553">
        <f>IF(B5="none",0,SUM('Project Materials'!$O$28*'Project Materials'!$P$28))</f>
        <v>0</v>
      </c>
      <c r="E5" s="554">
        <f>IF(K5="",(CEILING(('Project Materials'!$O$28/20),L5)*'Project Materials'!$P$28),(CEILING(('Project Materials'!$O$28/K5),L5)*'Project Materials'!$P$28))</f>
        <v>0</v>
      </c>
      <c r="F5" s="555">
        <f>IF(K5&gt;0,K5/20*(VLOOKUP(B5,'Item List'!B:AH,4,FALSE)),IF(B5="None",0,VLOOKUP(B5,'Item List'!B:AH,4,FALSE)))</f>
        <v>60.93</v>
      </c>
      <c r="G5" s="556">
        <f>F5*E5</f>
        <v>0</v>
      </c>
      <c r="H5" s="557">
        <f>ROUNDUP(D5*'Project Materials'!$L$16,0)</f>
        <v>0</v>
      </c>
      <c r="I5" s="558">
        <f>ROUNDUP(IF(B5="none",0,(SUM(H5/VLOOKUP(B5,'Item List'!B:AH,3,FALSE)))),0)</f>
        <v>0</v>
      </c>
      <c r="J5" s="559">
        <f>G5+(I5*F5)</f>
        <v>0</v>
      </c>
      <c r="K5" s="646"/>
      <c r="L5" s="1110">
        <v>0.5</v>
      </c>
      <c r="M5" s="1110"/>
      <c r="N5" s="650" t="s">
        <v>867</v>
      </c>
    </row>
    <row r="6" spans="1:67" x14ac:dyDescent="0.4">
      <c r="A6" s="680" t="s">
        <v>413</v>
      </c>
      <c r="B6" s="377" t="s">
        <v>24</v>
      </c>
      <c r="C6" s="78" t="str">
        <f>VLOOKUP(B6,'Item List'!B:AH,2,FALSE)</f>
        <v>Series 200 Bottom Rail (20')- Black</v>
      </c>
      <c r="D6" s="553">
        <f>IF(B6="none",0,SUM('Project Materials'!$O$28*'Project Materials'!$P$28))</f>
        <v>0</v>
      </c>
      <c r="E6" s="554">
        <f>IFERROR(CEILING(IF(K6="",(CEILING(('Project Materials'!$O$28/VLOOKUP(B6,'Item List'!B:AM,3,FALSE)),L6)*'Project Materials'!$P$28),(CEILING(('Project Materials'!$O$28/K6),L6)*'Project Materials'!$P$28)),L6),0)</f>
        <v>0</v>
      </c>
      <c r="F6" s="555">
        <f>IF(B6="None",0,VLOOKUP(B6,'Item List'!B:AH,4,FALSE))</f>
        <v>40.35</v>
      </c>
      <c r="G6" s="556">
        <f>F6*E6</f>
        <v>0</v>
      </c>
      <c r="H6" s="557">
        <f>ROUNDUP(D6*'Project Materials'!$L$16,0)</f>
        <v>0</v>
      </c>
      <c r="I6" s="558">
        <f>ROUNDUP(IF(B6="none",0,(SUM(H6/VLOOKUP(B6,'Item List'!B:AH,3,FALSE)))),0)</f>
        <v>0</v>
      </c>
      <c r="J6" s="559">
        <f>G6+(I6*F6)</f>
        <v>0</v>
      </c>
      <c r="K6" s="646"/>
      <c r="L6" s="1110">
        <v>0.25</v>
      </c>
      <c r="M6" s="1110"/>
      <c r="N6" s="650" t="s">
        <v>868</v>
      </c>
    </row>
    <row r="7" spans="1:67" x14ac:dyDescent="0.4">
      <c r="A7" s="680" t="s">
        <v>870</v>
      </c>
      <c r="B7" s="377" t="s">
        <v>418</v>
      </c>
      <c r="C7" s="78" t="str">
        <f>VLOOKUP(B7,'Item List'!B:AH,2,FALSE)</f>
        <v>None</v>
      </c>
      <c r="D7" s="553">
        <f>IF(B7="none",0,SUM('Project Materials'!$O$28*'Project Materials'!$P$28))</f>
        <v>0</v>
      </c>
      <c r="E7" s="560">
        <f>IF(K7="",(CEILING(('Project Materials'!$O$28/20),0.5)*'Project Materials'!$P$28),(CEILING(('Project Materials'!$O$28/K7),0.5)*'Project Materials'!$P$28))</f>
        <v>0</v>
      </c>
      <c r="F7" s="555">
        <f>IF(B7="None",0,VLOOKUP(B7,'Item List'!B:AH,4,FALSE))</f>
        <v>0</v>
      </c>
      <c r="G7" s="556">
        <f>F7*E7</f>
        <v>0</v>
      </c>
      <c r="H7" s="557">
        <f>ROUNDUP(D7*'Project Materials'!$L$16,0)</f>
        <v>0</v>
      </c>
      <c r="I7" s="558">
        <f>ROUNDUP(IF(B7="none",0,(SUM(H7/VLOOKUP(B7,'Item List'!B:AH,3,FALSE)))),0)</f>
        <v>0</v>
      </c>
      <c r="J7" s="559">
        <f>G7+(I7*F7)</f>
        <v>0</v>
      </c>
      <c r="K7" s="646"/>
      <c r="L7" s="655"/>
      <c r="M7" s="655"/>
    </row>
    <row r="8" spans="1:67" x14ac:dyDescent="0.4">
      <c r="A8" s="680" t="s">
        <v>413</v>
      </c>
      <c r="B8" s="377" t="s">
        <v>418</v>
      </c>
      <c r="C8" s="78" t="str">
        <f>VLOOKUP(B8,'Item List'!B:AH,2,FALSE)</f>
        <v>None</v>
      </c>
      <c r="D8" s="553">
        <f>IF(B8="none",0,SUM('Project Materials'!$O$28*'Project Materials'!$P$28))</f>
        <v>0</v>
      </c>
      <c r="E8" s="560">
        <f>CEILING(IF(K8="",(CEILING(('Project Materials'!$O$28/20),0.25)*'Project Materials'!$P$28),(CEILING(('Project Materials'!$O$28/K8),0.25)*'Project Materials'!$P$28)),0.5)</f>
        <v>0</v>
      </c>
      <c r="F8" s="555">
        <f>IF(B8="None",0,VLOOKUP(B8,'Item List'!B:AH,4,FALSE))</f>
        <v>0</v>
      </c>
      <c r="G8" s="556">
        <f>F8*E8</f>
        <v>0</v>
      </c>
      <c r="H8" s="557">
        <f>ROUNDUP(D8*'Project Materials'!$L$16,0)</f>
        <v>0</v>
      </c>
      <c r="I8" s="558">
        <f>ROUNDUP(IF(B8="none",0,(SUM(H8/VLOOKUP(B8,'Item List'!B:AH,3,FALSE)))),0)</f>
        <v>0</v>
      </c>
      <c r="J8" s="559">
        <f>G8+(I8*F8)</f>
        <v>0</v>
      </c>
      <c r="K8" s="646"/>
    </row>
    <row r="9" spans="1:67" ht="15" thickBot="1" x14ac:dyDescent="0.45">
      <c r="A9" s="561"/>
      <c r="B9" s="562"/>
      <c r="C9" s="561"/>
      <c r="D9" s="563"/>
      <c r="E9" s="564"/>
      <c r="F9" s="386"/>
      <c r="G9" s="386"/>
      <c r="H9" s="386"/>
      <c r="I9" s="386"/>
      <c r="J9" s="386">
        <f>SUM(J5:J8)</f>
        <v>0</v>
      </c>
      <c r="BO9" s="81"/>
    </row>
    <row r="10" spans="1:67" ht="16.3" thickTop="1" x14ac:dyDescent="0.45">
      <c r="A10" s="565" t="s">
        <v>4</v>
      </c>
      <c r="B10" s="565"/>
      <c r="C10" s="565"/>
      <c r="D10" s="565"/>
      <c r="E10" s="565"/>
      <c r="F10" s="565"/>
      <c r="G10" s="565"/>
      <c r="H10" s="565"/>
      <c r="I10" s="565"/>
      <c r="J10" s="565"/>
    </row>
    <row r="11" spans="1:67" x14ac:dyDescent="0.4">
      <c r="A11" s="679" t="s">
        <v>433</v>
      </c>
      <c r="B11" s="83" t="s">
        <v>11</v>
      </c>
      <c r="C11" s="83" t="s">
        <v>12</v>
      </c>
      <c r="D11" s="567" t="s">
        <v>435</v>
      </c>
      <c r="E11" s="568" t="s">
        <v>436</v>
      </c>
      <c r="F11" s="569" t="s">
        <v>437</v>
      </c>
      <c r="G11" s="570" t="s">
        <v>425</v>
      </c>
      <c r="H11" s="570" t="s">
        <v>501</v>
      </c>
      <c r="I11" s="571" t="s">
        <v>502</v>
      </c>
      <c r="J11" s="570" t="s">
        <v>500</v>
      </c>
    </row>
    <row r="12" spans="1:67" x14ac:dyDescent="0.4">
      <c r="A12" s="681" t="s">
        <v>699</v>
      </c>
      <c r="B12" s="377" t="s">
        <v>418</v>
      </c>
      <c r="C12" s="78" t="str">
        <f>VLOOKUP(B12,'Item List'!B:AJ,2,FALSE)</f>
        <v>None</v>
      </c>
      <c r="D12" s="573">
        <f>IF(B12="None",0,SUM('Project Materials'!K27*('Project Materials'!H27/12))*'Project Materials'!P27)</f>
        <v>0</v>
      </c>
      <c r="E12" s="558">
        <f>IFERROR(IF(B12="none",0,'Project Materials'!K28/(ROUNDDOWN(1/('Project Materials'!$H$28/(VLOOKUP('Area D'!B12,'Item List'!B:AK,3,FALSE)*12)),0)))*'Project Materials'!P28,0)</f>
        <v>0</v>
      </c>
      <c r="F12" s="555">
        <f>VLOOKUP(B12,'Item List'!B:AJ,4,FALSE)</f>
        <v>0</v>
      </c>
      <c r="G12" s="556">
        <f t="shared" ref="G12:G18" si="0">F12*E12</f>
        <v>0</v>
      </c>
      <c r="H12" s="557">
        <f>ROUNDUP(D12*'Project Materials'!$L$17,0)</f>
        <v>0</v>
      </c>
      <c r="I12" s="558">
        <f>ROUNDUP(IF(B12="none",0,(SUM(H12/VLOOKUP(B12,'Item List'!B:AH,3,FALSE)))),0)</f>
        <v>0</v>
      </c>
      <c r="J12" s="559">
        <f>G12+(I12*F12)</f>
        <v>0</v>
      </c>
    </row>
    <row r="13" spans="1:67" x14ac:dyDescent="0.4">
      <c r="A13" s="681" t="s">
        <v>700</v>
      </c>
      <c r="B13" s="377" t="s">
        <v>418</v>
      </c>
      <c r="C13" s="78" t="str">
        <f>VLOOKUP(B13,'Item List'!B:AJ,2,FALSE)</f>
        <v>None</v>
      </c>
      <c r="D13" s="573">
        <f>IF(B13="None",0,SUM('Project Materials'!J27*('Project Materials'!H27/12))*'Project Materials'!P27)</f>
        <v>0</v>
      </c>
      <c r="E13" s="558">
        <f>IFERROR(IF(B13="none",0,'Project Materials'!J28/(ROUNDDOWN(1/('Project Materials'!$H$28/(VLOOKUP('Area D'!B13,'Item List'!B:AK,3,FALSE)*12)),0)))*'Project Materials'!P28,0)</f>
        <v>0</v>
      </c>
      <c r="F13" s="555">
        <f>VLOOKUP(B13,'Item List'!B:AJ,4,FALSE)</f>
        <v>0</v>
      </c>
      <c r="G13" s="556">
        <f t="shared" si="0"/>
        <v>0</v>
      </c>
      <c r="H13" s="557">
        <f>ROUNDUP(D13*'Project Materials'!$L$17,0)</f>
        <v>0</v>
      </c>
      <c r="I13" s="558">
        <f>ROUNDUP(IF(B13="none",0,(SUM(H13/VLOOKUP(B13,'Item List'!B:AH,3,FALSE)))),0)</f>
        <v>0</v>
      </c>
      <c r="J13" s="559">
        <f>G13+(I13*F13)</f>
        <v>0</v>
      </c>
    </row>
    <row r="14" spans="1:67" x14ac:dyDescent="0.4">
      <c r="A14" s="681" t="s">
        <v>701</v>
      </c>
      <c r="B14" s="377" t="s">
        <v>418</v>
      </c>
      <c r="C14" s="78" t="str">
        <f>VLOOKUP(B14,'Item List'!B:AJ,2,FALSE)</f>
        <v>None</v>
      </c>
      <c r="D14" s="573">
        <f>IF(B14="None",0,SUM('Project Materials'!M27*('Project Materials'!H27/12))*'Project Materials'!P27)</f>
        <v>0</v>
      </c>
      <c r="E14" s="558">
        <f>IFERROR(IF(B14="none",0,('Project Materials'!L28+'Project Materials'!M28)/(ROUNDDOWN(1/('Project Materials'!$H$28/(VLOOKUP('Area D'!B14,'Item List'!B:AK,3,FALSE)*12)),0)))*'Project Materials'!P28,0)</f>
        <v>0</v>
      </c>
      <c r="F14" s="555">
        <f>VLOOKUP(B14,'Item List'!B:AJ,4,FALSE)</f>
        <v>0</v>
      </c>
      <c r="G14" s="556">
        <f t="shared" si="0"/>
        <v>0</v>
      </c>
      <c r="H14" s="557">
        <f>ROUNDUP(D14*'Project Materials'!$L$17,0)</f>
        <v>0</v>
      </c>
      <c r="I14" s="558">
        <f>ROUNDUP(IF(B14="none",0,(SUM(H14/VLOOKUP(B14,'Item List'!B:AH,3,FALSE)))),0)</f>
        <v>0</v>
      </c>
      <c r="J14" s="559">
        <f>G14+(I14*F14)</f>
        <v>0</v>
      </c>
    </row>
    <row r="15" spans="1:67" x14ac:dyDescent="0.4">
      <c r="A15" s="681" t="s">
        <v>702</v>
      </c>
      <c r="B15" s="377" t="s">
        <v>402</v>
      </c>
      <c r="C15" s="78" t="str">
        <f>VLOOKUP(B15,'Item List'!B:AJ,2,FALSE)</f>
        <v>56" Fascia Post- Black</v>
      </c>
      <c r="D15" s="574"/>
      <c r="E15" s="575">
        <f>IF(B15="None",0,SUM('Project Materials'!K28*'Project Materials'!P28))</f>
        <v>0</v>
      </c>
      <c r="F15" s="555">
        <f>VLOOKUP(B15,'Item List'!B:AJ,4,FALSE)</f>
        <v>21.5</v>
      </c>
      <c r="G15" s="556">
        <f t="shared" si="0"/>
        <v>0</v>
      </c>
      <c r="H15" s="557">
        <f>ROUNDUP(E15*'Project Materials'!$L$17,0)</f>
        <v>0</v>
      </c>
      <c r="I15" s="576"/>
      <c r="J15" s="559">
        <f>G15+(H15*F15)</f>
        <v>0</v>
      </c>
    </row>
    <row r="16" spans="1:67" x14ac:dyDescent="0.4">
      <c r="A16" s="681" t="s">
        <v>703</v>
      </c>
      <c r="B16" s="377" t="s">
        <v>402</v>
      </c>
      <c r="C16" s="78" t="str">
        <f>VLOOKUP(B16,'Item List'!B:AJ,2,FALSE)</f>
        <v>56" Fascia Post- Black</v>
      </c>
      <c r="D16" s="574"/>
      <c r="E16" s="575">
        <f>IF(B16="None",0,SUM('Project Materials'!J28*'Project Materials'!P28))</f>
        <v>0</v>
      </c>
      <c r="F16" s="555">
        <f>VLOOKUP(B16,'Item List'!B:AJ,4,FALSE)</f>
        <v>21.5</v>
      </c>
      <c r="G16" s="556">
        <f t="shared" si="0"/>
        <v>0</v>
      </c>
      <c r="H16" s="557">
        <f>ROUNDUP(E16*'Project Materials'!$L$17,0)</f>
        <v>0</v>
      </c>
      <c r="I16" s="576"/>
      <c r="J16" s="559">
        <f>G16+(H16*F16)</f>
        <v>0</v>
      </c>
    </row>
    <row r="17" spans="1:11" x14ac:dyDescent="0.4">
      <c r="A17" s="681" t="s">
        <v>710</v>
      </c>
      <c r="B17" s="377" t="s">
        <v>402</v>
      </c>
      <c r="C17" s="78" t="str">
        <f>VLOOKUP(B17,'Item List'!B:AJ,2,FALSE)</f>
        <v>56" Fascia Post- Black</v>
      </c>
      <c r="D17" s="574"/>
      <c r="E17" s="575">
        <f>IF(B17="None",0,SUM('Project Materials'!L28*'Project Materials'!P28))</f>
        <v>0</v>
      </c>
      <c r="F17" s="555">
        <f>VLOOKUP(B17,'Item List'!B:AJ,4,FALSE)</f>
        <v>21.5</v>
      </c>
      <c r="G17" s="556">
        <f t="shared" si="0"/>
        <v>0</v>
      </c>
      <c r="H17" s="557">
        <f>ROUNDUP(E17*'Project Materials'!$L$17,0)</f>
        <v>0</v>
      </c>
      <c r="I17" s="576"/>
      <c r="J17" s="559">
        <f>G17+(H17*F17)</f>
        <v>0</v>
      </c>
    </row>
    <row r="18" spans="1:11" x14ac:dyDescent="0.4">
      <c r="A18" s="681" t="s">
        <v>711</v>
      </c>
      <c r="B18" s="377" t="s">
        <v>402</v>
      </c>
      <c r="C18" s="78" t="str">
        <f>VLOOKUP(B18,'Item List'!B:AJ,2,FALSE)</f>
        <v>56" Fascia Post- Black</v>
      </c>
      <c r="D18" s="574"/>
      <c r="E18" s="575">
        <f>IF(B18="None",0,SUM('Project Materials'!M28*'Project Materials'!P28))</f>
        <v>0</v>
      </c>
      <c r="F18" s="555">
        <f>VLOOKUP(B18,'Item List'!B:AJ,4,FALSE)</f>
        <v>21.5</v>
      </c>
      <c r="G18" s="556">
        <f t="shared" si="0"/>
        <v>0</v>
      </c>
      <c r="H18" s="557">
        <f>ROUNDUP(E18*'Project Materials'!$L$17,0)</f>
        <v>0</v>
      </c>
      <c r="I18" s="576"/>
      <c r="J18" s="559">
        <f>G18+(H18*F18)</f>
        <v>0</v>
      </c>
    </row>
    <row r="19" spans="1:11" ht="15" thickBot="1" x14ac:dyDescent="0.45">
      <c r="A19" s="561" t="s">
        <v>713</v>
      </c>
      <c r="B19" s="562"/>
      <c r="C19" s="561"/>
      <c r="D19" s="577"/>
      <c r="E19" s="385">
        <f>SUM(E12:E18)</f>
        <v>0</v>
      </c>
      <c r="F19" s="578"/>
      <c r="G19" s="386">
        <f>SUM(G12:G18)</f>
        <v>0</v>
      </c>
      <c r="H19" s="578"/>
      <c r="I19" s="578"/>
      <c r="J19" s="386">
        <f>SUM(J12:J18)</f>
        <v>0</v>
      </c>
    </row>
    <row r="20" spans="1:11" ht="16.3" thickTop="1" x14ac:dyDescent="0.45">
      <c r="A20" s="565" t="s">
        <v>6</v>
      </c>
      <c r="B20" s="565"/>
      <c r="C20" s="565"/>
      <c r="D20" s="565"/>
      <c r="E20" s="565"/>
      <c r="F20" s="565"/>
      <c r="G20" s="565"/>
      <c r="H20" s="565"/>
      <c r="I20" s="565"/>
      <c r="J20" s="565"/>
    </row>
    <row r="21" spans="1:11" x14ac:dyDescent="0.4">
      <c r="A21" s="682" t="s">
        <v>433</v>
      </c>
      <c r="B21" s="580" t="s">
        <v>11</v>
      </c>
      <c r="C21" s="580" t="s">
        <v>12</v>
      </c>
      <c r="D21" s="580"/>
      <c r="E21" s="571" t="s">
        <v>436</v>
      </c>
      <c r="F21" s="581" t="s">
        <v>437</v>
      </c>
      <c r="G21" s="570" t="s">
        <v>425</v>
      </c>
      <c r="H21" s="570" t="s">
        <v>501</v>
      </c>
      <c r="I21" s="571" t="s">
        <v>502</v>
      </c>
      <c r="J21" s="570" t="s">
        <v>500</v>
      </c>
    </row>
    <row r="22" spans="1:11" x14ac:dyDescent="0.4">
      <c r="A22" s="681" t="s">
        <v>6</v>
      </c>
      <c r="B22" s="377" t="s">
        <v>128</v>
      </c>
      <c r="C22" s="78" t="str">
        <f>VLOOKUP(B22,'Item List'!B:AH,2,FALSE)</f>
        <v xml:space="preserve"> MBHT4512 – (HALFEN 4022 ANCHOR 12")</v>
      </c>
      <c r="D22" s="78"/>
      <c r="E22" s="575">
        <f>VLOOKUP(B22,'Item List'!B:AK,36,FALSE)</f>
        <v>0</v>
      </c>
      <c r="F22" s="555">
        <f>IF(B22="None",0,VLOOKUP(B22,'Item List'!B:AH,4,FALSE))</f>
        <v>10.95</v>
      </c>
      <c r="G22" s="556">
        <f>F22*E22</f>
        <v>0</v>
      </c>
      <c r="H22" s="78"/>
      <c r="I22" s="583">
        <f>ROUNDUP((E22*'Project Materials'!$L$18),0)</f>
        <v>0</v>
      </c>
      <c r="J22" s="559">
        <f>G22+(I22*F22)</f>
        <v>0</v>
      </c>
    </row>
    <row r="23" spans="1:11" x14ac:dyDescent="0.4">
      <c r="A23" s="681" t="s">
        <v>6</v>
      </c>
      <c r="B23" s="377" t="s">
        <v>20</v>
      </c>
      <c r="C23" s="78" t="str">
        <f>VLOOKUP(B23,'Item List'!B:AH,2,FALSE)</f>
        <v>HT4512 Corner</v>
      </c>
      <c r="D23" s="78"/>
      <c r="E23" s="575">
        <f>VLOOKUP(B23,'Item List'!B:AK,36,FALSE)</f>
        <v>0</v>
      </c>
      <c r="F23" s="555">
        <f>IF(B23="None",0,VLOOKUP(B23,'Item List'!B:AH,4,FALSE))</f>
        <v>24.96</v>
      </c>
      <c r="G23" s="556">
        <f>F23*E23</f>
        <v>0</v>
      </c>
      <c r="H23" s="78"/>
      <c r="I23" s="583">
        <f>ROUNDUP((E23*'Project Materials'!$L$18),0)</f>
        <v>0</v>
      </c>
      <c r="J23" s="559">
        <f>G23+(I23*F23)</f>
        <v>0</v>
      </c>
    </row>
    <row r="24" spans="1:11" x14ac:dyDescent="0.4">
      <c r="A24" s="681" t="s">
        <v>6</v>
      </c>
      <c r="B24" s="377" t="s">
        <v>418</v>
      </c>
      <c r="C24" s="78" t="str">
        <f>VLOOKUP(B24,'Item List'!B:AH,2,FALSE)</f>
        <v>None</v>
      </c>
      <c r="D24" s="78"/>
      <c r="E24" s="575">
        <f>VLOOKUP(B24,'Item List'!B:AK,36,FALSE)</f>
        <v>0</v>
      </c>
      <c r="F24" s="555">
        <f>IF(B24="None",0,VLOOKUP(B24,'Item List'!B:AH,4,FALSE))</f>
        <v>0</v>
      </c>
      <c r="G24" s="556">
        <f>F24*E24</f>
        <v>0</v>
      </c>
      <c r="H24" s="78"/>
      <c r="I24" s="583">
        <f>ROUNDUP((E24*'Project Materials'!$L$18),0)</f>
        <v>0</v>
      </c>
      <c r="J24" s="559">
        <f>G24+(I24*F24)</f>
        <v>0</v>
      </c>
    </row>
    <row r="25" spans="1:11" x14ac:dyDescent="0.4">
      <c r="A25" s="681" t="s">
        <v>6</v>
      </c>
      <c r="B25" s="377" t="s">
        <v>418</v>
      </c>
      <c r="C25" s="585" t="str">
        <f>VLOOKUP(B25,'Item List'!B:AH,2,FALSE)</f>
        <v>None</v>
      </c>
      <c r="D25" s="585"/>
      <c r="E25" s="575">
        <f>VLOOKUP(B25,'Item List'!B:AK,36,FALSE)</f>
        <v>0</v>
      </c>
      <c r="F25" s="555">
        <f>IF(B25="None",0,VLOOKUP(B25,'Item List'!B:AH,4,FALSE))</f>
        <v>0</v>
      </c>
      <c r="G25" s="556">
        <f>F25*E25</f>
        <v>0</v>
      </c>
      <c r="H25" s="78"/>
      <c r="I25" s="583">
        <f>ROUNDUP((E25*'Project Materials'!$L$18),0)</f>
        <v>0</v>
      </c>
      <c r="J25" s="559">
        <f>G25+(I25*F25)</f>
        <v>0</v>
      </c>
    </row>
    <row r="26" spans="1:11" ht="15" thickBot="1" x14ac:dyDescent="0.45">
      <c r="A26" s="561"/>
      <c r="B26" s="562"/>
      <c r="C26" s="561"/>
      <c r="D26" s="586"/>
      <c r="E26" s="385">
        <f>SUM(E22:E25)</f>
        <v>0</v>
      </c>
      <c r="F26" s="564"/>
      <c r="G26" s="386">
        <f>SUM(G22:G25)</f>
        <v>0</v>
      </c>
      <c r="H26" s="564"/>
      <c r="I26" s="564"/>
      <c r="J26" s="386">
        <f>SUM(J22:J25)</f>
        <v>0</v>
      </c>
    </row>
    <row r="27" spans="1:11" ht="16.3" thickTop="1" x14ac:dyDescent="0.45">
      <c r="A27" s="565" t="s">
        <v>8</v>
      </c>
      <c r="B27" s="565"/>
      <c r="C27" s="565"/>
      <c r="D27" s="565"/>
      <c r="E27" s="565"/>
      <c r="F27" s="565"/>
      <c r="G27" s="565"/>
      <c r="H27" s="565"/>
      <c r="I27" s="565"/>
      <c r="J27" s="565"/>
      <c r="K27" s="658"/>
    </row>
    <row r="28" spans="1:11" x14ac:dyDescent="0.4">
      <c r="A28" s="682" t="s">
        <v>433</v>
      </c>
      <c r="B28" s="83" t="s">
        <v>11</v>
      </c>
      <c r="C28" s="83" t="s">
        <v>12</v>
      </c>
      <c r="D28" s="587" t="s">
        <v>484</v>
      </c>
      <c r="E28" s="571" t="s">
        <v>436</v>
      </c>
      <c r="F28" s="581" t="s">
        <v>437</v>
      </c>
      <c r="G28" s="588" t="s">
        <v>425</v>
      </c>
      <c r="H28" s="570" t="s">
        <v>501</v>
      </c>
      <c r="I28" s="571" t="s">
        <v>502</v>
      </c>
      <c r="J28" s="570" t="s">
        <v>500</v>
      </c>
    </row>
    <row r="29" spans="1:11" x14ac:dyDescent="0.4">
      <c r="A29" s="680" t="s">
        <v>443</v>
      </c>
      <c r="B29" s="377" t="s">
        <v>418</v>
      </c>
      <c r="C29" s="78" t="str">
        <f>VLOOKUP(B29,'Item List'!B:AH,2,FALSE)</f>
        <v>None</v>
      </c>
      <c r="D29" s="573">
        <f>ROUNDUP(IF(B29="None",0,SUM('Project Materials'!$V$28*'Project Materials'!$I$28)/12),0)</f>
        <v>0</v>
      </c>
      <c r="E29" s="575">
        <f>IF(B29="None",0,ROUNDUP(SUM(('Project Materials'!O28*'Project Materials'!P28)*VLOOKUP(B29,'Item List'!B:AK,3,FALSE)),0))</f>
        <v>0</v>
      </c>
      <c r="F29" s="555">
        <f>IF(B29="None",0,VLOOKUP(B29,'Item List'!B:AH,4,FALSE))</f>
        <v>0</v>
      </c>
      <c r="G29" s="556">
        <f>F29*E29</f>
        <v>0</v>
      </c>
      <c r="H29" s="557">
        <f>ROUNDUP(D29*'Project Materials'!$L$17,0)</f>
        <v>0</v>
      </c>
      <c r="I29" s="558">
        <f>ROUNDUP(IF(B29="none",0,(SUM(H29/VLOOKUP(B29,'Item List'!B:AH,3,FALSE)))),0)</f>
        <v>0</v>
      </c>
      <c r="J29" s="559">
        <f>G29+(I29*F29)</f>
        <v>0</v>
      </c>
    </row>
    <row r="30" spans="1:11" x14ac:dyDescent="0.4">
      <c r="A30" s="680" t="s">
        <v>443</v>
      </c>
      <c r="B30" s="377" t="s">
        <v>418</v>
      </c>
      <c r="C30" s="78" t="str">
        <f>VLOOKUP(B30,'Item List'!B:AH,2,FALSE)</f>
        <v>None</v>
      </c>
      <c r="D30" s="573">
        <f>IF(B30="None",0,SUM('Project Materials'!$V$28*'Project Materials'!$I$28)/12)</f>
        <v>0</v>
      </c>
      <c r="E30" s="575">
        <f>IF(B30="None",0,ROUNDUP(SUM('Project Materials'!O27*VLOOKUP(B30,'Item List'!B:AK,3,FALSE)),0))</f>
        <v>0</v>
      </c>
      <c r="F30" s="555">
        <f>IF(B30="None",0,VLOOKUP(B30,'Item List'!B:AH,4,FALSE))</f>
        <v>0</v>
      </c>
      <c r="G30" s="556">
        <f>F30*E30</f>
        <v>0</v>
      </c>
      <c r="H30" s="557">
        <f>ROUNDUP(D30*'Project Materials'!$L$17,0)</f>
        <v>0</v>
      </c>
      <c r="I30" s="558">
        <f>ROUNDUP(IF(B30="none",0,(SUM(H30/VLOOKUP(B30,'Item List'!B:AH,3,FALSE)))),0)</f>
        <v>0</v>
      </c>
      <c r="J30" s="559">
        <f>G30+(I30*F30)</f>
        <v>0</v>
      </c>
    </row>
    <row r="31" spans="1:11" x14ac:dyDescent="0.4">
      <c r="A31" s="680" t="s">
        <v>444</v>
      </c>
      <c r="B31" s="377" t="s">
        <v>418</v>
      </c>
      <c r="C31" s="78" t="str">
        <f>VLOOKUP(B31,'Item List'!B:AH,2,FALSE)</f>
        <v>None</v>
      </c>
      <c r="D31" s="573">
        <f>ROUNDUP(IF(B31="None",0,'Project Materials'!P12*'Project Materials'!P13),1)</f>
        <v>0</v>
      </c>
      <c r="F31" s="555">
        <f>IF(B31="None",0,VLOOKUP(B31,'Item List'!B:AH,4,FALSE))</f>
        <v>0</v>
      </c>
      <c r="G31" s="556">
        <f>D31*F31</f>
        <v>0</v>
      </c>
      <c r="H31" s="557">
        <f>ROUNDUP(D31*'Project Materials'!$L$18,0)</f>
        <v>0</v>
      </c>
      <c r="I31" s="589"/>
      <c r="J31" s="559">
        <f>G31+(H31*F31)</f>
        <v>0</v>
      </c>
    </row>
    <row r="32" spans="1:11" x14ac:dyDescent="0.4">
      <c r="A32" s="680" t="s">
        <v>497</v>
      </c>
      <c r="B32" s="377" t="s">
        <v>418</v>
      </c>
      <c r="C32" s="78" t="str">
        <f>VLOOKUP(B32,'Item List'!B:AH,2,FALSE)</f>
        <v>None</v>
      </c>
      <c r="D32" s="590">
        <f>IF(B32="none",0,IF('Project Materials'!Q27=0,(((('Project Materials'!O27/4)*(2*'Project Materials'!P10))+('Project Materials'!O27*2*12))*'Project Materials'!P27),('Project Materials'!P11*2+'Project Materials'!P10*2)*'Project Materials'!P13))</f>
        <v>0</v>
      </c>
      <c r="F32" s="555">
        <f>IF(B32="None",0,VLOOKUP(B32,'Item List'!B:AH,4,FALSE))</f>
        <v>0</v>
      </c>
      <c r="G32" s="556">
        <f>D32*F32</f>
        <v>0</v>
      </c>
      <c r="H32" s="557">
        <f>ROUNDUP(D32*'Project Materials'!$L$18,0)</f>
        <v>0</v>
      </c>
      <c r="I32" s="589"/>
      <c r="J32" s="559">
        <f>G32+(H32*F32)</f>
        <v>0</v>
      </c>
    </row>
    <row r="33" spans="1:10" x14ac:dyDescent="0.4">
      <c r="A33" s="680" t="s">
        <v>445</v>
      </c>
      <c r="B33" s="377" t="s">
        <v>418</v>
      </c>
      <c r="C33" s="78" t="str">
        <f>VLOOKUP(B33,'Item List'!B:AH,2,FALSE)</f>
        <v>None</v>
      </c>
      <c r="D33" s="573" t="str">
        <f>IF(B33="None","",(('Project Materials'!$P$7+2)*'Project Materials'!$P$8*'Project Materials'!P9)*'Project Materials'!$P$28)</f>
        <v/>
      </c>
      <c r="E33" s="558">
        <f>IF(B33="None",0,(ROUNDUP((D33/(VLOOKUP(B33,'Item List'!B:AK,3,FALSE))),0)))</f>
        <v>0</v>
      </c>
      <c r="F33" s="555">
        <f>IF(B33="None",0,VLOOKUP(B33,'Item List'!B:AH,4,FALSE))</f>
        <v>0</v>
      </c>
      <c r="G33" s="556">
        <f>F33*E33</f>
        <v>0</v>
      </c>
      <c r="H33" s="591"/>
      <c r="I33" s="558">
        <f>ROUNDUP(IF(B33="none",0,(SUM(H33/VLOOKUP(B33,'Item List'!B:AH,3,FALSE)))),0)</f>
        <v>0</v>
      </c>
      <c r="J33" s="559">
        <f>G33+(I33*F33)</f>
        <v>0</v>
      </c>
    </row>
    <row r="34" spans="1:10" x14ac:dyDescent="0.4">
      <c r="A34" s="680" t="s">
        <v>445</v>
      </c>
      <c r="B34" s="377" t="s">
        <v>418</v>
      </c>
      <c r="C34" s="78" t="str">
        <f>VLOOKUP(B34,'Item List'!B:AH,2,FALSE)</f>
        <v>None</v>
      </c>
      <c r="D34" s="573" t="str">
        <f>IF(B34="None","",(('Project Materials'!$P$7+2)*'Project Materials'!$P$8*'Project Materials'!P9)*'Project Materials'!$P$28)</f>
        <v/>
      </c>
      <c r="E34" s="558">
        <f>IF(B34="None",0,(ROUNDUP((D34/(VLOOKUP(B34,'Item List'!B:AK,3,FALSE))),0)))</f>
        <v>0</v>
      </c>
      <c r="F34" s="555">
        <f>IF(B34="None",0,VLOOKUP(B34,'Item List'!B:AH,4,FALSE))</f>
        <v>0</v>
      </c>
      <c r="G34" s="556">
        <f>F34*E34</f>
        <v>0</v>
      </c>
      <c r="H34" s="591"/>
      <c r="I34" s="558">
        <f>ROUNDUP(IF(B34="none",0,(SUM(H34/VLOOKUP(B34,'Item List'!B:AH,3,FALSE)))),0)</f>
        <v>0</v>
      </c>
      <c r="J34" s="559">
        <f>G34+(I34*F34)</f>
        <v>0</v>
      </c>
    </row>
    <row r="35" spans="1:10" x14ac:dyDescent="0.4">
      <c r="A35" s="680" t="s">
        <v>446</v>
      </c>
      <c r="B35" s="377" t="s">
        <v>418</v>
      </c>
      <c r="C35" s="78" t="str">
        <f>VLOOKUP(B35,'Item List'!B:AH,2,FALSE)</f>
        <v>None</v>
      </c>
      <c r="D35" s="574"/>
      <c r="E35" s="592"/>
      <c r="F35" s="555">
        <f>IF(B35="None",0,VLOOKUP(B35,'Item List'!B:AH,4,FALSE))</f>
        <v>0</v>
      </c>
      <c r="G35" s="556">
        <f>F35*E35</f>
        <v>0</v>
      </c>
      <c r="H35" s="591"/>
      <c r="I35" s="573">
        <f>ROUNDUP(E35*'Project Materials'!$L$18,0)</f>
        <v>0</v>
      </c>
      <c r="J35" s="559">
        <f>G35+(I35*F35)</f>
        <v>0</v>
      </c>
    </row>
    <row r="36" spans="1:10" x14ac:dyDescent="0.4">
      <c r="A36" s="680" t="s">
        <v>446</v>
      </c>
      <c r="B36" s="377" t="s">
        <v>418</v>
      </c>
      <c r="C36" s="78" t="str">
        <f>VLOOKUP(B36,'Item List'!B:AH,2,FALSE)</f>
        <v>None</v>
      </c>
      <c r="D36" s="574"/>
      <c r="E36" s="592"/>
      <c r="F36" s="555">
        <f>IF(B36="None",0,VLOOKUP(B36,'Item List'!B:AH,4,FALSE))</f>
        <v>0</v>
      </c>
      <c r="G36" s="556">
        <f>F36*E36</f>
        <v>0</v>
      </c>
      <c r="H36" s="591"/>
      <c r="I36" s="573">
        <f>ROUNDUP(E36*'Project Materials'!$L$18,0)</f>
        <v>0</v>
      </c>
      <c r="J36" s="559">
        <f>G36+(I36*F36)</f>
        <v>0</v>
      </c>
    </row>
    <row r="37" spans="1:10" ht="15" thickBot="1" x14ac:dyDescent="0.45">
      <c r="A37" s="561"/>
      <c r="B37" s="562"/>
      <c r="C37" s="561"/>
      <c r="D37" s="563"/>
      <c r="E37" s="387"/>
      <c r="F37" s="564"/>
      <c r="G37" s="386">
        <f>SUM(G29:G36)</f>
        <v>0</v>
      </c>
      <c r="H37" s="564"/>
      <c r="I37" s="564"/>
      <c r="J37" s="386">
        <f>SUM(J29:J36)</f>
        <v>0</v>
      </c>
    </row>
    <row r="38" spans="1:10" ht="16.3" thickTop="1" x14ac:dyDescent="0.45">
      <c r="A38" s="565" t="s">
        <v>363</v>
      </c>
      <c r="B38" s="565"/>
      <c r="C38" s="565"/>
      <c r="D38" s="565"/>
      <c r="E38" s="565"/>
      <c r="F38" s="565"/>
      <c r="G38" s="565"/>
      <c r="H38" s="565"/>
      <c r="I38" s="565"/>
      <c r="J38" s="565"/>
    </row>
    <row r="39" spans="1:10" x14ac:dyDescent="0.4">
      <c r="A39" s="679" t="s">
        <v>433</v>
      </c>
      <c r="B39" s="83" t="s">
        <v>11</v>
      </c>
      <c r="C39" s="83" t="s">
        <v>12</v>
      </c>
      <c r="D39" s="83"/>
      <c r="E39" s="568" t="s">
        <v>436</v>
      </c>
      <c r="F39" s="569" t="s">
        <v>437</v>
      </c>
      <c r="G39" s="570" t="s">
        <v>425</v>
      </c>
      <c r="H39" s="570" t="s">
        <v>501</v>
      </c>
      <c r="I39" s="571" t="s">
        <v>502</v>
      </c>
      <c r="J39" s="570" t="s">
        <v>500</v>
      </c>
    </row>
    <row r="40" spans="1:10" x14ac:dyDescent="0.4">
      <c r="A40" s="680" t="s">
        <v>438</v>
      </c>
      <c r="B40" s="78" t="str">
        <f>VLOOKUP('Area D'!B5,'Item List'!B:AH,26,FALSE)</f>
        <v>200EP POW Blk</v>
      </c>
      <c r="C40" s="78" t="str">
        <f>VLOOKUP(B40,'Item List'!B:AH,2,FALSE)</f>
        <v>Top Rail End Plate w/Screws- Black</v>
      </c>
      <c r="D40" s="78"/>
      <c r="E40" s="558">
        <f>IF(B40="none",0,'Project Materials'!$W$28)</f>
        <v>0</v>
      </c>
      <c r="F40" s="555">
        <f>IF(B40="None",0,VLOOKUP(B40,'Item List'!B:AH,4,FALSE))</f>
        <v>1.25</v>
      </c>
      <c r="G40" s="556">
        <f>F40*E40</f>
        <v>0</v>
      </c>
      <c r="H40" s="593"/>
      <c r="I40" s="594">
        <f>ROUNDUP((E40*'Project Materials'!$L$18),0)</f>
        <v>0</v>
      </c>
      <c r="J40" s="559">
        <f>G40+(I40*F40)</f>
        <v>0</v>
      </c>
    </row>
    <row r="41" spans="1:10" x14ac:dyDescent="0.4">
      <c r="A41" s="680" t="s">
        <v>439</v>
      </c>
      <c r="B41" s="78" t="str">
        <f>VLOOKUP('Area D'!B6,'Item List'!B:AH,26,FALSE)</f>
        <v>None</v>
      </c>
      <c r="C41" s="78" t="str">
        <f>VLOOKUP(B41,'Item List'!B:AH,2,FALSE)</f>
        <v>None</v>
      </c>
      <c r="D41" s="78"/>
      <c r="E41" s="558">
        <f>IF(B41="none",0,'Project Materials'!$X$28)</f>
        <v>0</v>
      </c>
      <c r="F41" s="555">
        <f>IF(B41="None",0,VLOOKUP(B41,'Item List'!B:AH,4,FALSE))</f>
        <v>0</v>
      </c>
      <c r="G41" s="556">
        <f>F41*E41</f>
        <v>0</v>
      </c>
      <c r="H41" s="593"/>
      <c r="I41" s="594">
        <f>ROUNDUP((E41*'Project Materials'!$L$18),0)</f>
        <v>0</v>
      </c>
      <c r="J41" s="559">
        <f>G41+(I41*F41)</f>
        <v>0</v>
      </c>
    </row>
    <row r="42" spans="1:10" x14ac:dyDescent="0.4">
      <c r="A42" s="680" t="s">
        <v>438</v>
      </c>
      <c r="B42" s="78" t="str">
        <f>VLOOKUP('Area D'!B7,'Item List'!B:AH,26,FALSE)</f>
        <v>None</v>
      </c>
      <c r="C42" s="78" t="str">
        <f>VLOOKUP(B42,'Item List'!B:AH,2,FALSE)</f>
        <v>None</v>
      </c>
      <c r="D42" s="78"/>
      <c r="E42" s="558">
        <f>IF(B42="none",0,'Project Materials'!$W$28)</f>
        <v>0</v>
      </c>
      <c r="F42" s="555">
        <f>IF(B42="None",0,VLOOKUP(B42,'Item List'!B:AH,4,FALSE))</f>
        <v>0</v>
      </c>
      <c r="G42" s="556">
        <f>F42*E42</f>
        <v>0</v>
      </c>
      <c r="H42" s="593"/>
      <c r="I42" s="594">
        <f>ROUNDUP((E42*'Project Materials'!$L$18),0)</f>
        <v>0</v>
      </c>
      <c r="J42" s="559">
        <f>G42+(I42*F42)</f>
        <v>0</v>
      </c>
    </row>
    <row r="43" spans="1:10" x14ac:dyDescent="0.4">
      <c r="A43" s="680" t="s">
        <v>439</v>
      </c>
      <c r="B43" s="78" t="str">
        <f>VLOOKUP('Area D'!B8,'Item List'!B:AH,26,FALSE)</f>
        <v>None</v>
      </c>
      <c r="C43" s="585" t="str">
        <f>VLOOKUP(B43,'Item List'!B:AH,2,FALSE)</f>
        <v>None</v>
      </c>
      <c r="D43" s="585"/>
      <c r="E43" s="558">
        <f>IF(B43="none",0,'Project Materials'!$X$28)</f>
        <v>0</v>
      </c>
      <c r="F43" s="555">
        <f>IF(B43="None",0,VLOOKUP(B43,'Item List'!B:AH,4,FALSE))</f>
        <v>0</v>
      </c>
      <c r="G43" s="556">
        <f>F43*E43</f>
        <v>0</v>
      </c>
      <c r="H43" s="593"/>
      <c r="I43" s="594">
        <f>ROUNDUP((E43*'Project Materials'!$L$18),0)</f>
        <v>0</v>
      </c>
      <c r="J43" s="559">
        <f>G43+(I43*F43)</f>
        <v>0</v>
      </c>
    </row>
    <row r="44" spans="1:10" ht="15" thickBot="1" x14ac:dyDescent="0.45">
      <c r="A44" s="561"/>
      <c r="B44" s="561"/>
      <c r="C44" s="561"/>
      <c r="D44" s="586"/>
      <c r="E44" s="387"/>
      <c r="F44" s="564"/>
      <c r="G44" s="386">
        <f>SUM(G40:G43)</f>
        <v>0</v>
      </c>
      <c r="H44" s="387"/>
      <c r="I44" s="564"/>
      <c r="J44" s="386">
        <f>SUM(J40:J43)</f>
        <v>0</v>
      </c>
    </row>
    <row r="45" spans="1:10" ht="16.3" thickTop="1" x14ac:dyDescent="0.45">
      <c r="A45" s="683" t="s">
        <v>7</v>
      </c>
      <c r="B45" s="683"/>
      <c r="C45" s="683"/>
      <c r="D45" s="683"/>
      <c r="E45" s="683"/>
      <c r="F45" s="683"/>
      <c r="G45" s="683"/>
      <c r="H45" s="683"/>
      <c r="I45" s="683"/>
      <c r="J45" s="683"/>
    </row>
    <row r="46" spans="1:10" x14ac:dyDescent="0.4">
      <c r="A46" s="679" t="s">
        <v>433</v>
      </c>
      <c r="B46" s="580" t="s">
        <v>11</v>
      </c>
      <c r="C46" s="580" t="s">
        <v>12</v>
      </c>
      <c r="D46" s="580"/>
      <c r="E46" s="571" t="s">
        <v>436</v>
      </c>
      <c r="F46" s="581" t="s">
        <v>437</v>
      </c>
      <c r="G46" s="588" t="s">
        <v>425</v>
      </c>
      <c r="H46" s="570" t="s">
        <v>501</v>
      </c>
      <c r="I46" s="571" t="s">
        <v>502</v>
      </c>
      <c r="J46" s="570" t="s">
        <v>500</v>
      </c>
    </row>
    <row r="47" spans="1:10" x14ac:dyDescent="0.4">
      <c r="A47" s="680" t="s">
        <v>795</v>
      </c>
      <c r="B47" s="78" t="str">
        <f>IF('Area D'!B5="None","None",VLOOKUP('Area D'!$B$5,'Item List'!B:AL,27,FALSE))</f>
        <v>None</v>
      </c>
      <c r="C47" s="78" t="str">
        <f>VLOOKUP(B47,'Item List'!B:AH,2,FALSE)</f>
        <v>None</v>
      </c>
      <c r="D47" s="78"/>
      <c r="E47" s="575">
        <f>VLOOKUP(B47,'Item List'!B:AM,36,FALSE)</f>
        <v>0</v>
      </c>
      <c r="F47" s="595">
        <f>VLOOKUP(B47,'Item List'!B:AH,4,FALSE)</f>
        <v>0</v>
      </c>
      <c r="G47" s="556">
        <f>F47*E47</f>
        <v>0</v>
      </c>
      <c r="H47" s="593"/>
      <c r="I47" s="594">
        <f>ROUNDUP((E47*'Project Materials'!$L$18),0)</f>
        <v>0</v>
      </c>
      <c r="J47" s="559">
        <f>G47+(I47*F47)</f>
        <v>0</v>
      </c>
    </row>
    <row r="48" spans="1:10" x14ac:dyDescent="0.4">
      <c r="A48" s="680" t="s">
        <v>796</v>
      </c>
      <c r="B48" s="78" t="str">
        <f>IF('Area D'!B6="None","None",VLOOKUP('Area D'!$B6,'Item List'!B:AL,27,FALSE))</f>
        <v>none</v>
      </c>
      <c r="C48" s="78" t="str">
        <f>VLOOKUP(B48,'Item List'!B:AH,2,FALSE)</f>
        <v>None</v>
      </c>
      <c r="D48" s="78"/>
      <c r="E48" s="575">
        <f>VLOOKUP(B48,'Item List'!B:AM,36,FALSE)</f>
        <v>0</v>
      </c>
      <c r="F48" s="595">
        <f>VLOOKUP(B48,'Item List'!B:AH,4,FALSE)</f>
        <v>0</v>
      </c>
      <c r="G48" s="556">
        <f>F48*E48</f>
        <v>0</v>
      </c>
      <c r="H48" s="593"/>
      <c r="I48" s="594">
        <f>ROUNDUP((E48*'Project Materials'!$L$18),0)</f>
        <v>0</v>
      </c>
      <c r="J48" s="559">
        <f>G48+(I48*F48)</f>
        <v>0</v>
      </c>
    </row>
    <row r="49" spans="1:10" x14ac:dyDescent="0.4">
      <c r="A49" s="680" t="s">
        <v>795</v>
      </c>
      <c r="B49" s="78" t="str">
        <f>IF('Area D'!B7="None","None",VLOOKUP('Area D'!$B7,'Item List'!B:AL,27,FALSE))</f>
        <v>None</v>
      </c>
      <c r="C49" s="596" t="str">
        <f>VLOOKUP(B49,'Item List'!B:AH,2,FALSE)</f>
        <v>None</v>
      </c>
      <c r="D49" s="596"/>
      <c r="E49" s="575">
        <f>VLOOKUP(B49,'Item List'!B:AM,36,FALSE)</f>
        <v>0</v>
      </c>
      <c r="F49" s="595">
        <f>VLOOKUP(B49,'Item List'!B:AH,4,FALSE)</f>
        <v>0</v>
      </c>
      <c r="G49" s="556">
        <f>F49*E49</f>
        <v>0</v>
      </c>
      <c r="H49" s="593"/>
      <c r="I49" s="594">
        <f>ROUNDUP((E49*'Project Materials'!$L$18),0)</f>
        <v>0</v>
      </c>
      <c r="J49" s="559">
        <f>G49+(I49*F49)</f>
        <v>0</v>
      </c>
    </row>
    <row r="50" spans="1:10" x14ac:dyDescent="0.4">
      <c r="A50" s="680" t="s">
        <v>796</v>
      </c>
      <c r="B50" s="585" t="str">
        <f>IF('Area D'!B8="None","None",VLOOKUP('Area D'!$B8,'Item List'!B:AL,27,FALSE))</f>
        <v>None</v>
      </c>
      <c r="C50" s="597" t="str">
        <f>VLOOKUP(B50,'Item List'!B:AH,2,FALSE)</f>
        <v>None</v>
      </c>
      <c r="D50" s="597"/>
      <c r="E50" s="598">
        <f>VLOOKUP(B50,'Item List'!B:AM,36,FALSE)</f>
        <v>0</v>
      </c>
      <c r="F50" s="599">
        <f>VLOOKUP(B50,'Item List'!B:AH,4,FALSE)</f>
        <v>0</v>
      </c>
      <c r="G50" s="600">
        <f>F50*E50</f>
        <v>0</v>
      </c>
      <c r="H50" s="601"/>
      <c r="I50" s="602">
        <f>ROUNDUP((E50*'Project Materials'!$L$18),0)</f>
        <v>0</v>
      </c>
      <c r="J50" s="603">
        <f>G50+(I50*F50)</f>
        <v>0</v>
      </c>
    </row>
    <row r="51" spans="1:10" x14ac:dyDescent="0.4">
      <c r="A51" s="604"/>
      <c r="B51" s="605"/>
      <c r="C51" s="606"/>
      <c r="D51" s="606"/>
      <c r="E51" s="607"/>
      <c r="F51" s="608"/>
      <c r="G51" s="609"/>
      <c r="H51" s="605"/>
      <c r="I51" s="610"/>
      <c r="J51" s="611"/>
    </row>
    <row r="52" spans="1:10" x14ac:dyDescent="0.4">
      <c r="A52" s="681" t="s">
        <v>699</v>
      </c>
      <c r="B52" s="78" t="str">
        <f>VLOOKUP('Area D'!$B$12,'Item List'!B:AL,27,FALSE)</f>
        <v>None</v>
      </c>
      <c r="C52" s="78" t="str">
        <f>VLOOKUP(B52,'Item List'!B:AH,2,FALSE)</f>
        <v>None</v>
      </c>
      <c r="D52" s="78"/>
      <c r="E52" s="612">
        <f>$E$12*VLOOKUP(B52,'Item List'!B:AM,38,FALSE)</f>
        <v>0</v>
      </c>
      <c r="F52" s="595">
        <f>VLOOKUP(B52,'Item List'!B:AH,4,FALSE)</f>
        <v>0</v>
      </c>
      <c r="G52" s="556">
        <f>F52*E52</f>
        <v>0</v>
      </c>
      <c r="H52" s="593"/>
      <c r="I52" s="594">
        <f>ROUNDUP((E52*'Project Materials'!$L$18),0)</f>
        <v>0</v>
      </c>
      <c r="J52" s="559">
        <f>G52+(I52*F52)</f>
        <v>0</v>
      </c>
    </row>
    <row r="53" spans="1:10" x14ac:dyDescent="0.4">
      <c r="A53" s="681" t="s">
        <v>699</v>
      </c>
      <c r="B53" s="78" t="str">
        <f>VLOOKUP('Area D'!$B$12,'Item List'!B:AL,28,FALSE)</f>
        <v>None</v>
      </c>
      <c r="C53" s="78" t="str">
        <f>VLOOKUP(B53,'Item List'!B:AH,2,FALSE)</f>
        <v>None</v>
      </c>
      <c r="D53" s="78"/>
      <c r="E53" s="612">
        <f>$E$12*VLOOKUP(B53,'Item List'!B:AM,38,FALSE)</f>
        <v>0</v>
      </c>
      <c r="F53" s="595">
        <f>VLOOKUP(B53,'Item List'!B:AH,4,FALSE)</f>
        <v>0</v>
      </c>
      <c r="G53" s="556">
        <f>F53*E53</f>
        <v>0</v>
      </c>
      <c r="H53" s="593"/>
      <c r="I53" s="594">
        <f>ROUNDUP((E53*'Project Materials'!$L$18),0)</f>
        <v>0</v>
      </c>
      <c r="J53" s="559">
        <f>G53+(I53*F53)</f>
        <v>0</v>
      </c>
    </row>
    <row r="54" spans="1:10" x14ac:dyDescent="0.4">
      <c r="A54" s="681" t="s">
        <v>699</v>
      </c>
      <c r="B54" s="78" t="str">
        <f>VLOOKUP('Area D'!$B$12,'Item List'!B:AL,29,FALSE)</f>
        <v>None</v>
      </c>
      <c r="C54" s="78" t="str">
        <f>VLOOKUP(B54,'Item List'!B:AH,2,FALSE)</f>
        <v>None</v>
      </c>
      <c r="D54" s="78"/>
      <c r="E54" s="612">
        <f>$E$12*VLOOKUP(B54,'Item List'!B:AM,38,FALSE)</f>
        <v>0</v>
      </c>
      <c r="F54" s="595">
        <f>VLOOKUP(B54,'Item List'!B:AH,4,FALSE)</f>
        <v>0</v>
      </c>
      <c r="G54" s="556">
        <f>F54*E54</f>
        <v>0</v>
      </c>
      <c r="H54" s="593"/>
      <c r="I54" s="594">
        <f>ROUNDUP((E54*'Project Materials'!$L$18),0)</f>
        <v>0</v>
      </c>
      <c r="J54" s="559">
        <f>G54+(I54*F54)</f>
        <v>0</v>
      </c>
    </row>
    <row r="55" spans="1:10" x14ac:dyDescent="0.4">
      <c r="A55" s="681" t="s">
        <v>699</v>
      </c>
      <c r="B55" s="78" t="str">
        <f>VLOOKUP('Area D'!$B$12,'Item List'!B:AL,30,FALSE)</f>
        <v>None</v>
      </c>
      <c r="C55" s="78" t="str">
        <f>VLOOKUP(B55,'Item List'!B:AH,2,FALSE)</f>
        <v>None</v>
      </c>
      <c r="D55" s="78"/>
      <c r="E55" s="612">
        <f>$E$12*VLOOKUP(B55,'Item List'!B:AM,38,FALSE)</f>
        <v>0</v>
      </c>
      <c r="F55" s="595">
        <f>VLOOKUP(B55,'Item List'!B:AH,4,FALSE)</f>
        <v>0</v>
      </c>
      <c r="G55" s="556">
        <f>F55*E55</f>
        <v>0</v>
      </c>
      <c r="H55" s="593"/>
      <c r="I55" s="594">
        <f>ROUNDUP((E55*'Project Materials'!$L$18),0)</f>
        <v>0</v>
      </c>
      <c r="J55" s="559">
        <f>G55+(I55*F55)</f>
        <v>0</v>
      </c>
    </row>
    <row r="56" spans="1:10" x14ac:dyDescent="0.4">
      <c r="A56" s="681" t="s">
        <v>699</v>
      </c>
      <c r="B56" s="78" t="str">
        <f>VLOOKUP('Area D'!$B$12,'Item List'!B:AL,31,FALSE)</f>
        <v>None</v>
      </c>
      <c r="C56" s="78" t="str">
        <f>VLOOKUP(B56,'Item List'!B:AH,2,FALSE)</f>
        <v>None</v>
      </c>
      <c r="D56" s="78"/>
      <c r="E56" s="612">
        <f>$E$12*VLOOKUP(B56,'Item List'!B:AM,38,FALSE)</f>
        <v>0</v>
      </c>
      <c r="F56" s="595">
        <f>VLOOKUP(B56,'Item List'!B:AH,4,FALSE)</f>
        <v>0</v>
      </c>
      <c r="G56" s="556">
        <f t="shared" ref="G56:G93" si="1">F56*E56</f>
        <v>0</v>
      </c>
      <c r="H56" s="593"/>
      <c r="I56" s="594">
        <f>ROUNDUP((E56*'Project Materials'!$L$18),0)</f>
        <v>0</v>
      </c>
      <c r="J56" s="559">
        <f t="shared" ref="J56:J93" si="2">G56+(I56*F56)</f>
        <v>0</v>
      </c>
    </row>
    <row r="57" spans="1:10" x14ac:dyDescent="0.4">
      <c r="A57" s="681" t="s">
        <v>699</v>
      </c>
      <c r="B57" s="585" t="str">
        <f>VLOOKUP('Area D'!$B$12,'Item List'!B:AL,32,FALSE)</f>
        <v>None</v>
      </c>
      <c r="C57" s="585" t="str">
        <f>VLOOKUP(B57,'Item List'!B:AH,2,FALSE)</f>
        <v>None</v>
      </c>
      <c r="D57" s="585"/>
      <c r="E57" s="613">
        <f>$E$12*VLOOKUP(B57,'Item List'!B:AM,38,FALSE)</f>
        <v>0</v>
      </c>
      <c r="F57" s="599">
        <f>VLOOKUP(B57,'Item List'!B:AH,4,FALSE)</f>
        <v>0</v>
      </c>
      <c r="G57" s="600">
        <f t="shared" si="1"/>
        <v>0</v>
      </c>
      <c r="H57" s="601"/>
      <c r="I57" s="602">
        <f>ROUNDUP((E57*'Project Materials'!$L$18),0)</f>
        <v>0</v>
      </c>
      <c r="J57" s="603">
        <f t="shared" si="2"/>
        <v>0</v>
      </c>
    </row>
    <row r="58" spans="1:10" x14ac:dyDescent="0.4">
      <c r="A58" s="681" t="s">
        <v>700</v>
      </c>
      <c r="B58" s="78" t="str">
        <f>VLOOKUP('Area D'!$B$13,'Item List'!B:AL,27,FALSE)</f>
        <v>None</v>
      </c>
      <c r="C58" s="78" t="str">
        <f>VLOOKUP(B58,'Item List'!B:AH,2,FALSE)</f>
        <v>None</v>
      </c>
      <c r="D58" s="78"/>
      <c r="E58" s="612">
        <f>$E$13*VLOOKUP(B58,'Item List'!B:AM,38,FALSE)</f>
        <v>0</v>
      </c>
      <c r="F58" s="595">
        <f>VLOOKUP(B58,'Item List'!B:AH,4,FALSE)</f>
        <v>0</v>
      </c>
      <c r="G58" s="556">
        <f t="shared" si="1"/>
        <v>0</v>
      </c>
      <c r="H58" s="593"/>
      <c r="I58" s="594">
        <f>ROUNDUP((E58*'Project Materials'!$L$18),0)</f>
        <v>0</v>
      </c>
      <c r="J58" s="559">
        <f t="shared" si="2"/>
        <v>0</v>
      </c>
    </row>
    <row r="59" spans="1:10" x14ac:dyDescent="0.4">
      <c r="A59" s="681" t="s">
        <v>700</v>
      </c>
      <c r="B59" s="78" t="str">
        <f>VLOOKUP('Area D'!$B$13,'Item List'!B:AL,28,FALSE)</f>
        <v>None</v>
      </c>
      <c r="C59" s="78" t="str">
        <f>VLOOKUP(B59,'Item List'!B:AH,2,FALSE)</f>
        <v>None</v>
      </c>
      <c r="D59" s="78"/>
      <c r="E59" s="612">
        <f>$E$13*VLOOKUP(B59,'Item List'!B:AM,38,FALSE)</f>
        <v>0</v>
      </c>
      <c r="F59" s="595">
        <f>VLOOKUP(B59,'Item List'!B:AH,4,FALSE)</f>
        <v>0</v>
      </c>
      <c r="G59" s="556">
        <f t="shared" si="1"/>
        <v>0</v>
      </c>
      <c r="H59" s="593"/>
      <c r="I59" s="594">
        <f>ROUNDUP((E59*'Project Materials'!$L$18),0)</f>
        <v>0</v>
      </c>
      <c r="J59" s="559">
        <f t="shared" si="2"/>
        <v>0</v>
      </c>
    </row>
    <row r="60" spans="1:10" x14ac:dyDescent="0.4">
      <c r="A60" s="681" t="s">
        <v>700</v>
      </c>
      <c r="B60" s="78" t="str">
        <f>VLOOKUP('Area D'!$B$13,'Item List'!B:AL,29,FALSE)</f>
        <v>None</v>
      </c>
      <c r="C60" s="78" t="str">
        <f>VLOOKUP(B60,'Item List'!B:AH,2,FALSE)</f>
        <v>None</v>
      </c>
      <c r="D60" s="78"/>
      <c r="E60" s="612">
        <f>$E$13*VLOOKUP(B60,'Item List'!B:AM,38,FALSE)</f>
        <v>0</v>
      </c>
      <c r="F60" s="595">
        <f>VLOOKUP(B60,'Item List'!B:AH,4,FALSE)</f>
        <v>0</v>
      </c>
      <c r="G60" s="556">
        <f t="shared" si="1"/>
        <v>0</v>
      </c>
      <c r="H60" s="593"/>
      <c r="I60" s="594">
        <f>ROUNDUP((E60*'Project Materials'!$L$18),0)</f>
        <v>0</v>
      </c>
      <c r="J60" s="559">
        <f t="shared" si="2"/>
        <v>0</v>
      </c>
    </row>
    <row r="61" spans="1:10" x14ac:dyDescent="0.4">
      <c r="A61" s="681" t="s">
        <v>700</v>
      </c>
      <c r="B61" s="78" t="str">
        <f>VLOOKUP('Area D'!$B$13,'Item List'!B:AL,30,FALSE)</f>
        <v>None</v>
      </c>
      <c r="C61" s="78" t="str">
        <f>VLOOKUP(B61,'Item List'!B:AH,2,FALSE)</f>
        <v>None</v>
      </c>
      <c r="D61" s="78"/>
      <c r="E61" s="612">
        <f>$E$13*VLOOKUP(B61,'Item List'!B:AM,38,FALSE)</f>
        <v>0</v>
      </c>
      <c r="F61" s="595">
        <f>VLOOKUP(B61,'Item List'!B:AH,4,FALSE)</f>
        <v>0</v>
      </c>
      <c r="G61" s="556">
        <f t="shared" si="1"/>
        <v>0</v>
      </c>
      <c r="H61" s="593"/>
      <c r="I61" s="594">
        <f>ROUNDUP((E61*'Project Materials'!$L$18),0)</f>
        <v>0</v>
      </c>
      <c r="J61" s="559">
        <f t="shared" si="2"/>
        <v>0</v>
      </c>
    </row>
    <row r="62" spans="1:10" x14ac:dyDescent="0.4">
      <c r="A62" s="681" t="s">
        <v>700</v>
      </c>
      <c r="B62" s="78" t="str">
        <f>VLOOKUP('Area D'!$B$13,'Item List'!B:AL,31,FALSE)</f>
        <v>None</v>
      </c>
      <c r="C62" s="78" t="str">
        <f>VLOOKUP(B62,'Item List'!B:AH,2,FALSE)</f>
        <v>None</v>
      </c>
      <c r="D62" s="78"/>
      <c r="E62" s="612">
        <f>$E$13*VLOOKUP(B62,'Item List'!B:AM,38,FALSE)</f>
        <v>0</v>
      </c>
      <c r="F62" s="595">
        <f>VLOOKUP(B62,'Item List'!B:AH,4,FALSE)</f>
        <v>0</v>
      </c>
      <c r="G62" s="556">
        <f t="shared" si="1"/>
        <v>0</v>
      </c>
      <c r="H62" s="593"/>
      <c r="I62" s="594">
        <f>ROUNDUP((E62*'Project Materials'!$L$18),0)</f>
        <v>0</v>
      </c>
      <c r="J62" s="559">
        <f t="shared" si="2"/>
        <v>0</v>
      </c>
    </row>
    <row r="63" spans="1:10" x14ac:dyDescent="0.4">
      <c r="A63" s="681" t="s">
        <v>700</v>
      </c>
      <c r="B63" s="615" t="str">
        <f>VLOOKUP('Area D'!$B$13,'Item List'!B:AL,32,FALSE)</f>
        <v>None</v>
      </c>
      <c r="C63" s="615" t="str">
        <f>VLOOKUP(B63,'Item List'!B:AH,2,FALSE)</f>
        <v>None</v>
      </c>
      <c r="D63" s="615"/>
      <c r="E63" s="613">
        <f>$E$13*VLOOKUP(B63,'Item List'!B:AM,38,FALSE)</f>
        <v>0</v>
      </c>
      <c r="F63" s="616">
        <f>VLOOKUP(B63,'Item List'!B:AH,4,FALSE)</f>
        <v>0</v>
      </c>
      <c r="G63" s="617">
        <f t="shared" si="1"/>
        <v>0</v>
      </c>
      <c r="H63" s="593"/>
      <c r="I63" s="618">
        <f>ROUNDUP((E63*'Project Materials'!$L$18),0)</f>
        <v>0</v>
      </c>
      <c r="J63" s="619">
        <f t="shared" si="2"/>
        <v>0</v>
      </c>
    </row>
    <row r="64" spans="1:10" x14ac:dyDescent="0.4">
      <c r="A64" s="681" t="s">
        <v>701</v>
      </c>
      <c r="B64" s="78" t="str">
        <f>VLOOKUP('Area D'!$B$14,'Item List'!B:AL,27,FALSE)</f>
        <v>None</v>
      </c>
      <c r="C64" s="78" t="str">
        <f>VLOOKUP(B64,'Item List'!B:AH,2,FALSE)</f>
        <v>None</v>
      </c>
      <c r="D64" s="78"/>
      <c r="E64" s="612">
        <f>$E$14*VLOOKUP(B64,'Item List'!B:AM,38,FALSE)</f>
        <v>0</v>
      </c>
      <c r="F64" s="595">
        <f>VLOOKUP(B64,'Item List'!B:AH,4,FALSE)</f>
        <v>0</v>
      </c>
      <c r="G64" s="556">
        <f t="shared" si="1"/>
        <v>0</v>
      </c>
      <c r="H64" s="593"/>
      <c r="I64" s="594">
        <f>ROUNDUP((E64*'Project Materials'!$L$18),0)</f>
        <v>0</v>
      </c>
      <c r="J64" s="559">
        <f t="shared" si="2"/>
        <v>0</v>
      </c>
    </row>
    <row r="65" spans="1:10" x14ac:dyDescent="0.4">
      <c r="A65" s="681" t="s">
        <v>701</v>
      </c>
      <c r="B65" s="78" t="str">
        <f>VLOOKUP('Area D'!$B$14,'Item List'!B:AL,28,FALSE)</f>
        <v>None</v>
      </c>
      <c r="C65" s="78" t="str">
        <f>VLOOKUP(B65,'Item List'!B:AH,2,FALSE)</f>
        <v>None</v>
      </c>
      <c r="D65" s="78"/>
      <c r="E65" s="612">
        <f>$E$14*VLOOKUP(B65,'Item List'!B:AM,38,FALSE)</f>
        <v>0</v>
      </c>
      <c r="F65" s="595">
        <f>VLOOKUP(B65,'Item List'!B:AH,4,FALSE)</f>
        <v>0</v>
      </c>
      <c r="G65" s="556">
        <f t="shared" si="1"/>
        <v>0</v>
      </c>
      <c r="H65" s="593"/>
      <c r="I65" s="594">
        <f>ROUNDUP((E65*'Project Materials'!$L$18),0)</f>
        <v>0</v>
      </c>
      <c r="J65" s="559">
        <f t="shared" si="2"/>
        <v>0</v>
      </c>
    </row>
    <row r="66" spans="1:10" x14ac:dyDescent="0.4">
      <c r="A66" s="681" t="s">
        <v>701</v>
      </c>
      <c r="B66" s="78" t="str">
        <f>VLOOKUP('Area D'!$B$14,'Item List'!B:AL,29,FALSE)</f>
        <v>None</v>
      </c>
      <c r="C66" s="78" t="str">
        <f>VLOOKUP(B66,'Item List'!B:AH,2,FALSE)</f>
        <v>None</v>
      </c>
      <c r="D66" s="78"/>
      <c r="E66" s="575">
        <f>$E$14*VLOOKUP(B66,'Item List'!B:AM,38,FALSE)</f>
        <v>0</v>
      </c>
      <c r="F66" s="595">
        <f>VLOOKUP(B66,'Item List'!B:AH,4,FALSE)</f>
        <v>0</v>
      </c>
      <c r="G66" s="556">
        <f t="shared" si="1"/>
        <v>0</v>
      </c>
      <c r="H66" s="593"/>
      <c r="I66" s="594">
        <f>ROUNDUP((E66*'Project Materials'!$L$18),0)</f>
        <v>0</v>
      </c>
      <c r="J66" s="559">
        <f t="shared" si="2"/>
        <v>0</v>
      </c>
    </row>
    <row r="67" spans="1:10" x14ac:dyDescent="0.4">
      <c r="A67" s="681" t="s">
        <v>701</v>
      </c>
      <c r="B67" s="78" t="str">
        <f>VLOOKUP('Area D'!$B$14,'Item List'!B:AL,30,FALSE)</f>
        <v>None</v>
      </c>
      <c r="C67" s="78" t="str">
        <f>VLOOKUP(B67,'Item List'!B:AH,2,FALSE)</f>
        <v>None</v>
      </c>
      <c r="D67" s="78"/>
      <c r="E67" s="575">
        <f>$E$14*VLOOKUP(B67,'Item List'!B:AM,38,FALSE)</f>
        <v>0</v>
      </c>
      <c r="F67" s="595">
        <f>VLOOKUP(B67,'Item List'!B:AH,4,FALSE)</f>
        <v>0</v>
      </c>
      <c r="G67" s="556">
        <f t="shared" si="1"/>
        <v>0</v>
      </c>
      <c r="H67" s="593"/>
      <c r="I67" s="594">
        <f>ROUNDUP((E67*'Project Materials'!$L$18),0)</f>
        <v>0</v>
      </c>
      <c r="J67" s="559">
        <f t="shared" si="2"/>
        <v>0</v>
      </c>
    </row>
    <row r="68" spans="1:10" x14ac:dyDescent="0.4">
      <c r="A68" s="681" t="s">
        <v>701</v>
      </c>
      <c r="B68" s="78" t="str">
        <f>VLOOKUP('Area D'!$B$14,'Item List'!B:AL,31,FALSE)</f>
        <v>None</v>
      </c>
      <c r="C68" s="78" t="str">
        <f>VLOOKUP(B68,'Item List'!B:AH,2,FALSE)</f>
        <v>None</v>
      </c>
      <c r="D68" s="78"/>
      <c r="E68" s="575">
        <f>$E$14*VLOOKUP(B68,'Item List'!B:AM,38,FALSE)</f>
        <v>0</v>
      </c>
      <c r="F68" s="595">
        <f>VLOOKUP(B68,'Item List'!B:AH,4,FALSE)</f>
        <v>0</v>
      </c>
      <c r="G68" s="556">
        <f t="shared" si="1"/>
        <v>0</v>
      </c>
      <c r="H68" s="593"/>
      <c r="I68" s="594">
        <f>ROUNDUP((E68*'Project Materials'!$L$18),0)</f>
        <v>0</v>
      </c>
      <c r="J68" s="559">
        <f t="shared" si="2"/>
        <v>0</v>
      </c>
    </row>
    <row r="69" spans="1:10" x14ac:dyDescent="0.4">
      <c r="A69" s="681" t="s">
        <v>701</v>
      </c>
      <c r="B69" s="585" t="str">
        <f>VLOOKUP('Area D'!$B$14,'Item List'!B:AL,32,FALSE)</f>
        <v>None</v>
      </c>
      <c r="C69" s="585" t="str">
        <f>VLOOKUP(B69,'Item List'!B:AH,2,FALSE)</f>
        <v>None</v>
      </c>
      <c r="D69" s="585"/>
      <c r="E69" s="598">
        <f>$E$14*VLOOKUP(B69,'Item List'!B:AM,38,FALSE)</f>
        <v>0</v>
      </c>
      <c r="F69" s="599">
        <f>VLOOKUP(B69,'Item List'!B:AH,4,FALSE)</f>
        <v>0</v>
      </c>
      <c r="G69" s="600">
        <f t="shared" si="1"/>
        <v>0</v>
      </c>
      <c r="H69" s="601"/>
      <c r="I69" s="602">
        <f>ROUNDUP((E69*'Project Materials'!$L$18),0)</f>
        <v>0</v>
      </c>
      <c r="J69" s="603">
        <f t="shared" si="2"/>
        <v>0</v>
      </c>
    </row>
    <row r="70" spans="1:10" x14ac:dyDescent="0.4">
      <c r="A70" s="681" t="s">
        <v>702</v>
      </c>
      <c r="B70" s="78" t="str">
        <f>VLOOKUP('Area D'!$B$15,'Item List'!B:AL,27,FALSE)</f>
        <v>None</v>
      </c>
      <c r="C70" s="78" t="str">
        <f>VLOOKUP(B70,'Item List'!B:AH,2,FALSE)</f>
        <v>None</v>
      </c>
      <c r="D70" s="78"/>
      <c r="E70" s="575">
        <f>$E$15*VLOOKUP(B70,'Item List'!B:AM,38,FALSE)</f>
        <v>0</v>
      </c>
      <c r="F70" s="595">
        <f>VLOOKUP(B70,'Item List'!B:AH,4,FALSE)</f>
        <v>0</v>
      </c>
      <c r="G70" s="556">
        <f t="shared" si="1"/>
        <v>0</v>
      </c>
      <c r="H70" s="593"/>
      <c r="I70" s="594">
        <f>ROUNDUP((E70*'Project Materials'!$L$18),0)</f>
        <v>0</v>
      </c>
      <c r="J70" s="559">
        <f t="shared" si="2"/>
        <v>0</v>
      </c>
    </row>
    <row r="71" spans="1:10" x14ac:dyDescent="0.4">
      <c r="A71" s="681" t="s">
        <v>702</v>
      </c>
      <c r="B71" s="78" t="str">
        <f>VLOOKUP('Area D'!$B$15,'Item List'!B:AL,28,FALSE)</f>
        <v>SS W805X100 - Blk</v>
      </c>
      <c r="C71" s="78" t="str">
        <f>VLOOKUP(B71,'Item List'!B:AH,2,FALSE)</f>
        <v>TR &amp; BR Screws - #10 x 5/8" Phillips Pan Head Self Drill Stainless Steel Zinc Plated - Black- One screw</v>
      </c>
      <c r="D71" s="78"/>
      <c r="E71" s="575">
        <f>$E$15*VLOOKUP(B71,'Item List'!B:AM,38,FALSE)</f>
        <v>0</v>
      </c>
      <c r="F71" s="595">
        <f>VLOOKUP(B71,'Item List'!B:AH,4,FALSE)</f>
        <v>0.1</v>
      </c>
      <c r="G71" s="556">
        <f t="shared" si="1"/>
        <v>0</v>
      </c>
      <c r="H71" s="593"/>
      <c r="I71" s="594">
        <f>ROUNDUP((E71*'Project Materials'!$L$18),0)</f>
        <v>0</v>
      </c>
      <c r="J71" s="559">
        <f t="shared" si="2"/>
        <v>0</v>
      </c>
    </row>
    <row r="72" spans="1:10" x14ac:dyDescent="0.4">
      <c r="A72" s="681" t="s">
        <v>702</v>
      </c>
      <c r="B72" s="78" t="str">
        <f>VLOOKUP('Area D'!$B$15,'Item List'!B:AL,29,FALSE)</f>
        <v>None</v>
      </c>
      <c r="C72" s="78" t="str">
        <f>VLOOKUP(B72,'Item List'!B:AH,2,FALSE)</f>
        <v>None</v>
      </c>
      <c r="D72" s="78"/>
      <c r="E72" s="575">
        <f>$E$15*VLOOKUP(B72,'Item List'!B:AM,38,FALSE)</f>
        <v>0</v>
      </c>
      <c r="F72" s="595">
        <f>VLOOKUP(B72,'Item List'!B:AH,4,FALSE)</f>
        <v>0</v>
      </c>
      <c r="G72" s="556">
        <f t="shared" si="1"/>
        <v>0</v>
      </c>
      <c r="H72" s="593"/>
      <c r="I72" s="594">
        <f>ROUNDUP((E72*'Project Materials'!$L$18),0)</f>
        <v>0</v>
      </c>
      <c r="J72" s="559">
        <f t="shared" si="2"/>
        <v>0</v>
      </c>
    </row>
    <row r="73" spans="1:10" x14ac:dyDescent="0.4">
      <c r="A73" s="681" t="s">
        <v>702</v>
      </c>
      <c r="B73" s="78" t="str">
        <f>VLOOKUP('Area D'!$B$15,'Item List'!B:AL,30,FALSE)</f>
        <v>None</v>
      </c>
      <c r="C73" s="78" t="str">
        <f>VLOOKUP(B73,'Item List'!B:AH,2,FALSE)</f>
        <v>None</v>
      </c>
      <c r="D73" s="78"/>
      <c r="E73" s="575">
        <f>$E$15*VLOOKUP(B73,'Item List'!B:AM,38,FALSE)</f>
        <v>0</v>
      </c>
      <c r="F73" s="595">
        <f>VLOOKUP(B73,'Item List'!B:AH,4,FALSE)</f>
        <v>0</v>
      </c>
      <c r="G73" s="556">
        <f t="shared" si="1"/>
        <v>0</v>
      </c>
      <c r="H73" s="593"/>
      <c r="I73" s="594">
        <f>ROUNDUP((E73*'Project Materials'!$L$18),0)</f>
        <v>0</v>
      </c>
      <c r="J73" s="559">
        <f t="shared" si="2"/>
        <v>0</v>
      </c>
    </row>
    <row r="74" spans="1:10" x14ac:dyDescent="0.4">
      <c r="A74" s="681" t="s">
        <v>702</v>
      </c>
      <c r="B74" s="78" t="str">
        <f>VLOOKUP('Area D'!$B$15,'Item List'!B:AL,31,FALSE)</f>
        <v>None</v>
      </c>
      <c r="C74" s="78" t="str">
        <f>VLOOKUP(B74,'Item List'!B:AH,2,FALSE)</f>
        <v>None</v>
      </c>
      <c r="D74" s="78"/>
      <c r="E74" s="575">
        <f>$E$15*VLOOKUP(B74,'Item List'!B:AM,38,FALSE)</f>
        <v>0</v>
      </c>
      <c r="F74" s="595">
        <f>VLOOKUP(B74,'Item List'!B:AH,4,FALSE)</f>
        <v>0</v>
      </c>
      <c r="G74" s="556">
        <f t="shared" si="1"/>
        <v>0</v>
      </c>
      <c r="H74" s="593"/>
      <c r="I74" s="594">
        <f>ROUNDUP((E74*'Project Materials'!$L$18),0)</f>
        <v>0</v>
      </c>
      <c r="J74" s="559">
        <f t="shared" si="2"/>
        <v>0</v>
      </c>
    </row>
    <row r="75" spans="1:10" x14ac:dyDescent="0.4">
      <c r="A75" s="681" t="s">
        <v>702</v>
      </c>
      <c r="B75" s="585" t="str">
        <f>VLOOKUP('Area D'!$B$15,'Item List'!B:AL,32,FALSE)</f>
        <v>None</v>
      </c>
      <c r="C75" s="585" t="str">
        <f>VLOOKUP(B75,'Item List'!B:AH,2,FALSE)</f>
        <v>None</v>
      </c>
      <c r="D75" s="585"/>
      <c r="E75" s="598">
        <f>$E$15*VLOOKUP(B75,'Item List'!B:AM,38,FALSE)</f>
        <v>0</v>
      </c>
      <c r="F75" s="599">
        <f>VLOOKUP(B75,'Item List'!B:AH,4,FALSE)</f>
        <v>0</v>
      </c>
      <c r="G75" s="600">
        <f t="shared" si="1"/>
        <v>0</v>
      </c>
      <c r="H75" s="601"/>
      <c r="I75" s="602">
        <f>ROUNDUP((E75*'Project Materials'!$L$18),0)</f>
        <v>0</v>
      </c>
      <c r="J75" s="603">
        <f t="shared" si="2"/>
        <v>0</v>
      </c>
    </row>
    <row r="76" spans="1:10" x14ac:dyDescent="0.4">
      <c r="A76" s="681" t="s">
        <v>703</v>
      </c>
      <c r="B76" s="78" t="str">
        <f>VLOOKUP('Area D'!$B$16,'Item List'!B:AL,27,FALSE)</f>
        <v>None</v>
      </c>
      <c r="C76" s="78" t="str">
        <f>VLOOKUP(B76,'Item List'!B:AH,2,FALSE)</f>
        <v>None</v>
      </c>
      <c r="D76" s="78"/>
      <c r="E76" s="575">
        <f>$E$16*VLOOKUP(B76,'Item List'!B:AM,38,FALSE)</f>
        <v>0</v>
      </c>
      <c r="F76" s="595">
        <f>VLOOKUP(B76,'Item List'!B:AH,4,FALSE)</f>
        <v>0</v>
      </c>
      <c r="G76" s="556">
        <f t="shared" si="1"/>
        <v>0</v>
      </c>
      <c r="H76" s="593"/>
      <c r="I76" s="594">
        <f>ROUNDUP((E76*'Project Materials'!$L$18),0)</f>
        <v>0</v>
      </c>
      <c r="J76" s="559">
        <f t="shared" si="2"/>
        <v>0</v>
      </c>
    </row>
    <row r="77" spans="1:10" x14ac:dyDescent="0.4">
      <c r="A77" s="681" t="s">
        <v>703</v>
      </c>
      <c r="B77" s="78" t="str">
        <f>VLOOKUP('Area D'!$B$16,'Item List'!B:AL,28,FALSE)</f>
        <v>SS W805X100 - Blk</v>
      </c>
      <c r="C77" s="78" t="str">
        <f>VLOOKUP(B77,'Item List'!B:AH,2,FALSE)</f>
        <v>TR &amp; BR Screws - #10 x 5/8" Phillips Pan Head Self Drill Stainless Steel Zinc Plated - Black- One screw</v>
      </c>
      <c r="D77" s="78"/>
      <c r="E77" s="575">
        <f>$E$16*VLOOKUP(B77,'Item List'!B:AM,38,FALSE)</f>
        <v>0</v>
      </c>
      <c r="F77" s="595">
        <f>VLOOKUP(B77,'Item List'!B:AH,4,FALSE)</f>
        <v>0.1</v>
      </c>
      <c r="G77" s="556">
        <f t="shared" si="1"/>
        <v>0</v>
      </c>
      <c r="H77" s="593"/>
      <c r="I77" s="594">
        <f>ROUNDUP((E77*'Project Materials'!$L$18),0)</f>
        <v>0</v>
      </c>
      <c r="J77" s="559">
        <f t="shared" si="2"/>
        <v>0</v>
      </c>
    </row>
    <row r="78" spans="1:10" x14ac:dyDescent="0.4">
      <c r="A78" s="681" t="s">
        <v>703</v>
      </c>
      <c r="B78" s="78" t="str">
        <f>VLOOKUP('Area D'!$B$16,'Item List'!B:AL,29,FALSE)</f>
        <v>None</v>
      </c>
      <c r="C78" s="78" t="str">
        <f>VLOOKUP(B78,'Item List'!B:AH,2,FALSE)</f>
        <v>None</v>
      </c>
      <c r="D78" s="78"/>
      <c r="E78" s="575">
        <f>$E$16*VLOOKUP(B78,'Item List'!B:AM,38,FALSE)</f>
        <v>0</v>
      </c>
      <c r="F78" s="595">
        <f>VLOOKUP(B78,'Item List'!B:AH,4,FALSE)</f>
        <v>0</v>
      </c>
      <c r="G78" s="556">
        <f t="shared" si="1"/>
        <v>0</v>
      </c>
      <c r="H78" s="593"/>
      <c r="I78" s="594">
        <f>ROUNDUP((E78*'Project Materials'!$L$18),0)</f>
        <v>0</v>
      </c>
      <c r="J78" s="559">
        <f t="shared" si="2"/>
        <v>0</v>
      </c>
    </row>
    <row r="79" spans="1:10" x14ac:dyDescent="0.4">
      <c r="A79" s="681" t="s">
        <v>703</v>
      </c>
      <c r="B79" s="78" t="str">
        <f>VLOOKUP('Area D'!$B$16,'Item List'!B:AL,30,FALSE)</f>
        <v>None</v>
      </c>
      <c r="C79" s="78" t="str">
        <f>VLOOKUP(B79,'Item List'!B:AH,2,FALSE)</f>
        <v>None</v>
      </c>
      <c r="D79" s="78"/>
      <c r="E79" s="575">
        <f>$E$16*VLOOKUP(B79,'Item List'!B:AM,38,FALSE)</f>
        <v>0</v>
      </c>
      <c r="F79" s="595">
        <f>VLOOKUP(B79,'Item List'!B:AH,4,FALSE)</f>
        <v>0</v>
      </c>
      <c r="G79" s="556">
        <f t="shared" si="1"/>
        <v>0</v>
      </c>
      <c r="H79" s="593"/>
      <c r="I79" s="594">
        <f>ROUNDUP((E79*'Project Materials'!$L$18),0)</f>
        <v>0</v>
      </c>
      <c r="J79" s="559">
        <f t="shared" si="2"/>
        <v>0</v>
      </c>
    </row>
    <row r="80" spans="1:10" x14ac:dyDescent="0.4">
      <c r="A80" s="681" t="s">
        <v>703</v>
      </c>
      <c r="B80" s="78" t="str">
        <f>VLOOKUP('Area D'!$B$16,'Item List'!B:AL,31,FALSE)</f>
        <v>None</v>
      </c>
      <c r="C80" s="78" t="str">
        <f>VLOOKUP(B80,'Item List'!B:AH,2,FALSE)</f>
        <v>None</v>
      </c>
      <c r="D80" s="78"/>
      <c r="E80" s="575">
        <f>$E$16*VLOOKUP(B80,'Item List'!B:AM,38,FALSE)</f>
        <v>0</v>
      </c>
      <c r="F80" s="595">
        <f>VLOOKUP(B80,'Item List'!B:AH,4,FALSE)</f>
        <v>0</v>
      </c>
      <c r="G80" s="556">
        <f t="shared" si="1"/>
        <v>0</v>
      </c>
      <c r="H80" s="593"/>
      <c r="I80" s="594">
        <f>ROUNDUP((E80*'Project Materials'!$L$18),0)</f>
        <v>0</v>
      </c>
      <c r="J80" s="559">
        <f t="shared" si="2"/>
        <v>0</v>
      </c>
    </row>
    <row r="81" spans="1:10" x14ac:dyDescent="0.4">
      <c r="A81" s="681" t="s">
        <v>703</v>
      </c>
      <c r="B81" s="585" t="str">
        <f>VLOOKUP('Area D'!$B$16,'Item List'!B:AL,32,FALSE)</f>
        <v>None</v>
      </c>
      <c r="C81" s="585" t="str">
        <f>VLOOKUP(B81,'Item List'!B:AH,2,FALSE)</f>
        <v>None</v>
      </c>
      <c r="D81" s="585"/>
      <c r="E81" s="598">
        <f>$E$16*VLOOKUP(B81,'Item List'!B:AM,38,FALSE)</f>
        <v>0</v>
      </c>
      <c r="F81" s="599">
        <f>VLOOKUP(B81,'Item List'!B:AH,4,FALSE)</f>
        <v>0</v>
      </c>
      <c r="G81" s="600">
        <f t="shared" si="1"/>
        <v>0</v>
      </c>
      <c r="H81" s="601"/>
      <c r="I81" s="602">
        <f>ROUNDUP((E81*'Project Materials'!$L$18),0)</f>
        <v>0</v>
      </c>
      <c r="J81" s="603">
        <f t="shared" si="2"/>
        <v>0</v>
      </c>
    </row>
    <row r="82" spans="1:10" x14ac:dyDescent="0.4">
      <c r="A82" s="681" t="s">
        <v>710</v>
      </c>
      <c r="B82" s="78" t="str">
        <f>VLOOKUP('Area D'!$B$17,'Item List'!B:AL,27,FALSE)</f>
        <v>None</v>
      </c>
      <c r="C82" s="620" t="str">
        <f>VLOOKUP(B82,'Item List'!B:AH,2,FALSE)</f>
        <v>None</v>
      </c>
      <c r="D82" s="620"/>
      <c r="E82" s="575">
        <f>$E$17*VLOOKUP(B82,'Item List'!B:AM,38,FALSE)</f>
        <v>0</v>
      </c>
      <c r="F82" s="595">
        <f>VLOOKUP(B82,'Item List'!B:AH,4,FALSE)</f>
        <v>0</v>
      </c>
      <c r="G82" s="556">
        <f t="shared" si="1"/>
        <v>0</v>
      </c>
      <c r="H82" s="593"/>
      <c r="I82" s="594">
        <f>ROUNDUP((E82*'Project Materials'!$L$18),0)</f>
        <v>0</v>
      </c>
      <c r="J82" s="559">
        <f t="shared" si="2"/>
        <v>0</v>
      </c>
    </row>
    <row r="83" spans="1:10" x14ac:dyDescent="0.4">
      <c r="A83" s="681" t="s">
        <v>710</v>
      </c>
      <c r="B83" s="78" t="str">
        <f>VLOOKUP('Area D'!$B$17,'Item List'!B:AL,28,FALSE)</f>
        <v>SS W805X100 - Blk</v>
      </c>
      <c r="C83" s="620" t="str">
        <f>VLOOKUP(B83,'Item List'!B:AH,2,FALSE)</f>
        <v>TR &amp; BR Screws - #10 x 5/8" Phillips Pan Head Self Drill Stainless Steel Zinc Plated - Black- One screw</v>
      </c>
      <c r="D83" s="620"/>
      <c r="E83" s="575">
        <f>$E$17*VLOOKUP(B83,'Item List'!B:AM,38,FALSE)</f>
        <v>0</v>
      </c>
      <c r="F83" s="595">
        <f>VLOOKUP(B83,'Item List'!B:AH,4,FALSE)</f>
        <v>0.1</v>
      </c>
      <c r="G83" s="556">
        <f t="shared" si="1"/>
        <v>0</v>
      </c>
      <c r="H83" s="593"/>
      <c r="I83" s="594">
        <f>ROUNDUP((E83*'Project Materials'!$L$18),0)</f>
        <v>0</v>
      </c>
      <c r="J83" s="559">
        <f t="shared" si="2"/>
        <v>0</v>
      </c>
    </row>
    <row r="84" spans="1:10" x14ac:dyDescent="0.4">
      <c r="A84" s="681" t="s">
        <v>710</v>
      </c>
      <c r="B84" s="78" t="str">
        <f>VLOOKUP('Area D'!$B$17,'Item List'!B:AL,29,FALSE)</f>
        <v>None</v>
      </c>
      <c r="C84" s="620" t="str">
        <f>VLOOKUP(B84,'Item List'!B:AH,2,FALSE)</f>
        <v>None</v>
      </c>
      <c r="D84" s="620"/>
      <c r="E84" s="575">
        <f>$E$17*VLOOKUP(B84,'Item List'!B:AM,38,FALSE)</f>
        <v>0</v>
      </c>
      <c r="F84" s="595">
        <f>VLOOKUP(B84,'Item List'!B:AH,4,FALSE)</f>
        <v>0</v>
      </c>
      <c r="G84" s="556">
        <f t="shared" si="1"/>
        <v>0</v>
      </c>
      <c r="H84" s="593"/>
      <c r="I84" s="594">
        <f>ROUNDUP((E84*'Project Materials'!$L$18),0)</f>
        <v>0</v>
      </c>
      <c r="J84" s="559">
        <f t="shared" si="2"/>
        <v>0</v>
      </c>
    </row>
    <row r="85" spans="1:10" x14ac:dyDescent="0.4">
      <c r="A85" s="681" t="s">
        <v>710</v>
      </c>
      <c r="B85" s="78" t="str">
        <f>VLOOKUP('Area D'!$B$17,'Item List'!B:AL,30,FALSE)</f>
        <v>None</v>
      </c>
      <c r="C85" s="620" t="str">
        <f>VLOOKUP(B85,'Item List'!B:AH,2,FALSE)</f>
        <v>None</v>
      </c>
      <c r="D85" s="620"/>
      <c r="E85" s="575">
        <f>$E$17*VLOOKUP(B85,'Item List'!B:AM,38,FALSE)</f>
        <v>0</v>
      </c>
      <c r="F85" s="595">
        <f>VLOOKUP(B85,'Item List'!B:AH,4,FALSE)</f>
        <v>0</v>
      </c>
      <c r="G85" s="556">
        <f t="shared" si="1"/>
        <v>0</v>
      </c>
      <c r="H85" s="593"/>
      <c r="I85" s="594">
        <f>ROUNDUP((E85*'Project Materials'!$L$18),0)</f>
        <v>0</v>
      </c>
      <c r="J85" s="559">
        <f t="shared" si="2"/>
        <v>0</v>
      </c>
    </row>
    <row r="86" spans="1:10" x14ac:dyDescent="0.4">
      <c r="A86" s="681" t="s">
        <v>710</v>
      </c>
      <c r="B86" s="78" t="str">
        <f>VLOOKUP('Area D'!$B$17,'Item List'!B:AL,31,FALSE)</f>
        <v>None</v>
      </c>
      <c r="C86" s="620" t="str">
        <f>VLOOKUP(B86,'Item List'!B:AH,2,FALSE)</f>
        <v>None</v>
      </c>
      <c r="D86" s="620"/>
      <c r="E86" s="575">
        <f>$E$17*VLOOKUP(B86,'Item List'!B:AM,38,FALSE)</f>
        <v>0</v>
      </c>
      <c r="F86" s="595">
        <f>VLOOKUP(B86,'Item List'!B:AH,4,FALSE)</f>
        <v>0</v>
      </c>
      <c r="G86" s="556">
        <f t="shared" si="1"/>
        <v>0</v>
      </c>
      <c r="H86" s="593"/>
      <c r="I86" s="594">
        <f>ROUNDUP((E86*'Project Materials'!$L$18),0)</f>
        <v>0</v>
      </c>
      <c r="J86" s="559">
        <f t="shared" si="2"/>
        <v>0</v>
      </c>
    </row>
    <row r="87" spans="1:10" x14ac:dyDescent="0.4">
      <c r="A87" s="681" t="s">
        <v>710</v>
      </c>
      <c r="B87" s="585" t="str">
        <f>VLOOKUP('Area D'!$B$17,'Item List'!B:AL,32,FALSE)</f>
        <v>None</v>
      </c>
      <c r="C87" s="620" t="str">
        <f>VLOOKUP(B87,'Item List'!B:AH,2,FALSE)</f>
        <v>None</v>
      </c>
      <c r="D87" s="620"/>
      <c r="E87" s="621">
        <f>$E$17*VLOOKUP(B87,'Item List'!B:AM,38,FALSE)</f>
        <v>0</v>
      </c>
      <c r="F87" s="622">
        <f>VLOOKUP(B87,'Item List'!B:AH,4,FALSE)</f>
        <v>0</v>
      </c>
      <c r="G87" s="623">
        <f t="shared" si="1"/>
        <v>0</v>
      </c>
      <c r="H87" s="624"/>
      <c r="I87" s="625">
        <f>ROUNDUP((E87*'Project Materials'!$L$18),0)</f>
        <v>0</v>
      </c>
      <c r="J87" s="626">
        <f t="shared" si="2"/>
        <v>0</v>
      </c>
    </row>
    <row r="88" spans="1:10" x14ac:dyDescent="0.4">
      <c r="A88" s="681" t="s">
        <v>711</v>
      </c>
      <c r="B88" s="78" t="str">
        <f>VLOOKUP('Area D'!$B$18,'Item List'!B:AL,27,FALSE)</f>
        <v>None</v>
      </c>
      <c r="C88" s="614" t="str">
        <f>VLOOKUP(B88,'Item List'!B:AH,2,FALSE)</f>
        <v>None</v>
      </c>
      <c r="D88" s="614"/>
      <c r="E88" s="627">
        <f>$E$18*VLOOKUP(B88,'Item List'!B:AM,38,FALSE)</f>
        <v>0</v>
      </c>
      <c r="F88" s="628">
        <f>VLOOKUP(B88,'Item List'!B:AH,4,FALSE)</f>
        <v>0</v>
      </c>
      <c r="G88" s="629">
        <f t="shared" si="1"/>
        <v>0</v>
      </c>
      <c r="H88" s="630"/>
      <c r="I88" s="631">
        <f>ROUNDUP((E88*'Project Materials'!$L$18),0)</f>
        <v>0</v>
      </c>
      <c r="J88" s="632">
        <f t="shared" si="2"/>
        <v>0</v>
      </c>
    </row>
    <row r="89" spans="1:10" x14ac:dyDescent="0.4">
      <c r="A89" s="681" t="s">
        <v>711</v>
      </c>
      <c r="B89" s="78" t="str">
        <f>VLOOKUP('Area D'!$B$18,'Item List'!B:AL,28,FALSE)</f>
        <v>SS W805X100 - Blk</v>
      </c>
      <c r="C89" s="620" t="str">
        <f>VLOOKUP(B89,'Item List'!B:AH,2,FALSE)</f>
        <v>TR &amp; BR Screws - #10 x 5/8" Phillips Pan Head Self Drill Stainless Steel Zinc Plated - Black- One screw</v>
      </c>
      <c r="D89" s="620"/>
      <c r="E89" s="621">
        <f>$E$18*VLOOKUP(B89,'Item List'!B:AM,38,FALSE)</f>
        <v>0</v>
      </c>
      <c r="F89" s="622">
        <f>VLOOKUP(B89,'Item List'!B:AH,4,FALSE)</f>
        <v>0.1</v>
      </c>
      <c r="G89" s="623">
        <f t="shared" si="1"/>
        <v>0</v>
      </c>
      <c r="H89" s="624"/>
      <c r="I89" s="625">
        <f>ROUNDUP((E89*'Project Materials'!$L$18),0)</f>
        <v>0</v>
      </c>
      <c r="J89" s="626">
        <f t="shared" si="2"/>
        <v>0</v>
      </c>
    </row>
    <row r="90" spans="1:10" x14ac:dyDescent="0.4">
      <c r="A90" s="681" t="s">
        <v>711</v>
      </c>
      <c r="B90" s="78" t="str">
        <f>VLOOKUP('Area D'!$B$18,'Item List'!B:AL,29,FALSE)</f>
        <v>None</v>
      </c>
      <c r="C90" s="620" t="str">
        <f>VLOOKUP(B90,'Item List'!B:AH,2,FALSE)</f>
        <v>None</v>
      </c>
      <c r="D90" s="620"/>
      <c r="E90" s="621">
        <f>$E$18*VLOOKUP(B90,'Item List'!B:AM,38,FALSE)</f>
        <v>0</v>
      </c>
      <c r="F90" s="622">
        <f>VLOOKUP(B90,'Item List'!B:AH,4,FALSE)</f>
        <v>0</v>
      </c>
      <c r="G90" s="623">
        <f t="shared" si="1"/>
        <v>0</v>
      </c>
      <c r="H90" s="624"/>
      <c r="I90" s="625">
        <f>ROUNDUP((E90*'Project Materials'!$L$18),0)</f>
        <v>0</v>
      </c>
      <c r="J90" s="626">
        <f t="shared" si="2"/>
        <v>0</v>
      </c>
    </row>
    <row r="91" spans="1:10" x14ac:dyDescent="0.4">
      <c r="A91" s="681" t="s">
        <v>711</v>
      </c>
      <c r="B91" s="78" t="str">
        <f>VLOOKUP('Area D'!$B$18,'Item List'!B:AL,30,FALSE)</f>
        <v>None</v>
      </c>
      <c r="C91" s="620" t="str">
        <f>VLOOKUP(B91,'Item List'!B:AH,2,FALSE)</f>
        <v>None</v>
      </c>
      <c r="D91" s="620"/>
      <c r="E91" s="621">
        <f>$E$18*VLOOKUP(B91,'Item List'!B:AM,38,FALSE)</f>
        <v>0</v>
      </c>
      <c r="F91" s="622">
        <f>VLOOKUP(B91,'Item List'!B:AH,4,FALSE)</f>
        <v>0</v>
      </c>
      <c r="G91" s="623">
        <f t="shared" si="1"/>
        <v>0</v>
      </c>
      <c r="H91" s="624"/>
      <c r="I91" s="625">
        <f>ROUNDUP((E91*'Project Materials'!$L$18),0)</f>
        <v>0</v>
      </c>
      <c r="J91" s="626">
        <f t="shared" si="2"/>
        <v>0</v>
      </c>
    </row>
    <row r="92" spans="1:10" x14ac:dyDescent="0.4">
      <c r="A92" s="681" t="s">
        <v>711</v>
      </c>
      <c r="B92" s="78" t="str">
        <f>VLOOKUP('Area D'!$B$18,'Item List'!B:AL,31,FALSE)</f>
        <v>None</v>
      </c>
      <c r="C92" s="620" t="str">
        <f>VLOOKUP(B92,'Item List'!B:AH,2,FALSE)</f>
        <v>None</v>
      </c>
      <c r="D92" s="620"/>
      <c r="E92" s="621">
        <f>$E$18*VLOOKUP(B92,'Item List'!B:AM,38,FALSE)</f>
        <v>0</v>
      </c>
      <c r="F92" s="622">
        <f>VLOOKUP(B92,'Item List'!B:AH,4,FALSE)</f>
        <v>0</v>
      </c>
      <c r="G92" s="623">
        <f t="shared" si="1"/>
        <v>0</v>
      </c>
      <c r="H92" s="624"/>
      <c r="I92" s="625">
        <f>ROUNDUP((E92*'Project Materials'!$L$18),0)</f>
        <v>0</v>
      </c>
      <c r="J92" s="626">
        <f t="shared" si="2"/>
        <v>0</v>
      </c>
    </row>
    <row r="93" spans="1:10" x14ac:dyDescent="0.4">
      <c r="A93" s="681" t="s">
        <v>711</v>
      </c>
      <c r="B93" s="585" t="str">
        <f>VLOOKUP('Area D'!$B$18,'Item List'!B:AL,32,FALSE)</f>
        <v>None</v>
      </c>
      <c r="C93" s="585" t="str">
        <f>VLOOKUP(B93,'Item List'!B:AH,2,FALSE)</f>
        <v>None</v>
      </c>
      <c r="D93" s="585"/>
      <c r="E93" s="598">
        <f>$E$18*VLOOKUP(B93,'Item List'!B:AM,38,FALSE)</f>
        <v>0</v>
      </c>
      <c r="F93" s="599">
        <f>VLOOKUP(B93,'Item List'!B:AH,4,FALSE)</f>
        <v>0</v>
      </c>
      <c r="G93" s="600">
        <f t="shared" si="1"/>
        <v>0</v>
      </c>
      <c r="H93" s="601"/>
      <c r="I93" s="602">
        <f>ROUNDUP((E93*'Project Materials'!$L$18),0)</f>
        <v>0</v>
      </c>
      <c r="J93" s="603">
        <f t="shared" si="2"/>
        <v>0</v>
      </c>
    </row>
    <row r="94" spans="1:10" x14ac:dyDescent="0.4">
      <c r="A94" s="604"/>
      <c r="B94" s="633"/>
      <c r="C94" s="638"/>
      <c r="D94" s="638"/>
      <c r="E94" s="635"/>
      <c r="F94" s="636"/>
      <c r="G94" s="637"/>
      <c r="H94" s="633"/>
      <c r="I94" s="638"/>
      <c r="J94" s="639"/>
    </row>
    <row r="95" spans="1:10" x14ac:dyDescent="0.4">
      <c r="A95" s="680" t="s">
        <v>6</v>
      </c>
      <c r="B95" s="78" t="str">
        <f>VLOOKUP('Area D'!$B$22,'Item List'!B:AL,27,FALSE)</f>
        <v>None</v>
      </c>
      <c r="C95" s="78" t="str">
        <f>VLOOKUP(B95,'Item List'!B:AH,2,FALSE)</f>
        <v>None</v>
      </c>
      <c r="D95" s="78"/>
      <c r="E95" s="612">
        <f>$E$22*VLOOKUP(B95,'Item List'!B:AM,38,FALSE)</f>
        <v>0</v>
      </c>
      <c r="F95" s="595">
        <f>VLOOKUP(B95,'Item List'!B:AH,4,FALSE)</f>
        <v>0</v>
      </c>
      <c r="G95" s="556">
        <f>F95*E95</f>
        <v>0</v>
      </c>
      <c r="H95" s="593"/>
      <c r="I95" s="594">
        <f>ROUNDUP((E95*'Project Materials'!$L$18),0)</f>
        <v>0</v>
      </c>
      <c r="J95" s="559">
        <f>G95+(I95*F95)</f>
        <v>0</v>
      </c>
    </row>
    <row r="96" spans="1:10" x14ac:dyDescent="0.4">
      <c r="A96" s="680" t="s">
        <v>6</v>
      </c>
      <c r="B96" s="78" t="str">
        <f>VLOOKUP('Area D'!$B$22,'Item List'!B:AL,28,FALSE)</f>
        <v>T Bolts 1/2 x 1 1/2- Halfen</v>
      </c>
      <c r="C96" s="78" t="str">
        <f>VLOOKUP(B96,'Item List'!B:AH,2,FALSE)</f>
        <v>tee bolts w/hex nuts for HT4512 channel profile, BF4411 –(HALFEN 4022B&amp;N M12X40 (4.6))  std. grade, electo plated</v>
      </c>
      <c r="D96" s="78"/>
      <c r="E96" s="612">
        <f>$E$22*VLOOKUP(B96,'Item List'!B:AM,38,FALSE)</f>
        <v>0</v>
      </c>
      <c r="F96" s="595">
        <f>VLOOKUP(B96,'Item List'!B:AH,4,FALSE)</f>
        <v>2.37</v>
      </c>
      <c r="G96" s="556">
        <f>F96*E96</f>
        <v>0</v>
      </c>
      <c r="H96" s="593"/>
      <c r="I96" s="594">
        <f>ROUNDUP((E96*'Project Materials'!$L$18),0)</f>
        <v>0</v>
      </c>
      <c r="J96" s="559">
        <f>G96+(I96*F96)</f>
        <v>0</v>
      </c>
    </row>
    <row r="97" spans="1:10" x14ac:dyDescent="0.4">
      <c r="A97" s="680" t="s">
        <v>6</v>
      </c>
      <c r="B97" s="78" t="str">
        <f>VLOOKUP('Area D'!$B$22,'Item List'!B:AL,29,FALSE)</f>
        <v>L Brackets</v>
      </c>
      <c r="C97" s="78" t="str">
        <f>VLOOKUP(B97,'Item List'!B:AH,2,FALSE)</f>
        <v>3/8 Aluminum Angle Brackets</v>
      </c>
      <c r="D97" s="78"/>
      <c r="E97" s="612">
        <f>$E$22*VLOOKUP(B97,'Item List'!B:AM,38,FALSE)</f>
        <v>0</v>
      </c>
      <c r="F97" s="595">
        <f>VLOOKUP(B97,'Item List'!B:AH,4,FALSE)</f>
        <v>7</v>
      </c>
      <c r="G97" s="556">
        <f>F97*E97</f>
        <v>0</v>
      </c>
      <c r="H97" s="593"/>
      <c r="I97" s="594">
        <f>ROUNDUP((E97*'Project Materials'!$L$18),0)</f>
        <v>0</v>
      </c>
      <c r="J97" s="559">
        <f>G97+(I97*F97)</f>
        <v>0</v>
      </c>
    </row>
    <row r="98" spans="1:10" x14ac:dyDescent="0.4">
      <c r="A98" s="680" t="s">
        <v>6</v>
      </c>
      <c r="B98" s="78" t="str">
        <f>VLOOKUP('Area D'!$B$22,'Item List'!B:AL,30,FALSE)</f>
        <v>3/8 x 4" SS Hex Cap Bolt</v>
      </c>
      <c r="C98" s="78" t="str">
        <f>VLOOKUP(B98,'Item List'!B:AH,2,FALSE)</f>
        <v>3/8" x 4" SS Hex Cap Screw</v>
      </c>
      <c r="D98" s="78"/>
      <c r="E98" s="612">
        <f>$E$22*VLOOKUP(B98,'Item List'!B:AM,38,FALSE)</f>
        <v>0</v>
      </c>
      <c r="F98" s="595">
        <f>VLOOKUP(B98,'Item List'!B:AH,4,FALSE)</f>
        <v>0.38</v>
      </c>
      <c r="G98" s="556">
        <f>F98*E98</f>
        <v>0</v>
      </c>
      <c r="H98" s="593"/>
      <c r="I98" s="594">
        <f>ROUNDUP((E98*'Project Materials'!$L$18),0)</f>
        <v>0</v>
      </c>
      <c r="J98" s="559">
        <f>G98+(I98*F98)</f>
        <v>0</v>
      </c>
    </row>
    <row r="99" spans="1:10" x14ac:dyDescent="0.4">
      <c r="A99" s="680" t="s">
        <v>6</v>
      </c>
      <c r="B99" s="78" t="str">
        <f>VLOOKUP('Area D'!$B$22,'Item List'!B:AL,31,FALSE)</f>
        <v>Bottom Cap for PEU-Mill Finish</v>
      </c>
      <c r="C99" s="78" t="str">
        <f>VLOOKUP(B99,'Item List'!B:AH,2,FALSE)</f>
        <v>Standard post bottom cap - Mill Finish</v>
      </c>
      <c r="D99" s="78"/>
      <c r="E99" s="612">
        <f>$E$22*VLOOKUP(B99,'Item List'!B:AM,38,FALSE)</f>
        <v>0</v>
      </c>
      <c r="F99" s="595">
        <f>VLOOKUP(B99,'Item List'!B:AH,4,FALSE)</f>
        <v>1.75</v>
      </c>
      <c r="G99" s="556">
        <f t="shared" ref="G99:G118" si="3">F99*E99</f>
        <v>0</v>
      </c>
      <c r="H99" s="593"/>
      <c r="I99" s="594">
        <f>ROUNDUP((E99*'Project Materials'!$L$18),0)</f>
        <v>0</v>
      </c>
      <c r="J99" s="559">
        <f t="shared" ref="J99:J118" si="4">G99+(I99*F99)</f>
        <v>0</v>
      </c>
    </row>
    <row r="100" spans="1:10" x14ac:dyDescent="0.4">
      <c r="A100" s="684" t="s">
        <v>6</v>
      </c>
      <c r="B100" s="585" t="str">
        <f>VLOOKUP('Area D'!$B$22,'Item List'!B:AL,32,FALSE)</f>
        <v>None</v>
      </c>
      <c r="C100" s="585" t="str">
        <f>VLOOKUP(B100,'Item List'!B:AH,2,FALSE)</f>
        <v>None</v>
      </c>
      <c r="D100" s="585"/>
      <c r="E100" s="613">
        <f>$E$22*VLOOKUP(B100,'Item List'!B:AM,38,FALSE)</f>
        <v>0</v>
      </c>
      <c r="F100" s="599">
        <f>VLOOKUP(B100,'Item List'!B:AH,4,FALSE)</f>
        <v>0</v>
      </c>
      <c r="G100" s="600">
        <f t="shared" si="3"/>
        <v>0</v>
      </c>
      <c r="H100" s="601"/>
      <c r="I100" s="602">
        <f>ROUNDUP((E100*'Project Materials'!$L$18),0)</f>
        <v>0</v>
      </c>
      <c r="J100" s="603">
        <f t="shared" si="4"/>
        <v>0</v>
      </c>
    </row>
    <row r="101" spans="1:10" x14ac:dyDescent="0.4">
      <c r="A101" s="680" t="s">
        <v>6</v>
      </c>
      <c r="B101" s="78" t="str">
        <f>VLOOKUP('Area D'!$B$23,'Item List'!B:AL,27,FALSE)</f>
        <v>None</v>
      </c>
      <c r="C101" s="78" t="str">
        <f>VLOOKUP(B101,'Item List'!B:AH,2,FALSE)</f>
        <v>None</v>
      </c>
      <c r="D101" s="78"/>
      <c r="E101" s="612">
        <f>$E$23*VLOOKUP(B101,'Item List'!B:AM,38,FALSE)</f>
        <v>0</v>
      </c>
      <c r="F101" s="595">
        <f>VLOOKUP(B101,'Item List'!B:AH,4,FALSE)</f>
        <v>0</v>
      </c>
      <c r="G101" s="556">
        <f t="shared" si="3"/>
        <v>0</v>
      </c>
      <c r="H101" s="593"/>
      <c r="I101" s="594">
        <f>ROUNDUP((E101*'Project Materials'!$L$18),0)</f>
        <v>0</v>
      </c>
      <c r="J101" s="559">
        <f t="shared" si="4"/>
        <v>0</v>
      </c>
    </row>
    <row r="102" spans="1:10" x14ac:dyDescent="0.4">
      <c r="A102" s="680" t="s">
        <v>6</v>
      </c>
      <c r="B102" s="78" t="str">
        <f>VLOOKUP('Area D'!$B$23,'Item List'!B:AL,28,FALSE)</f>
        <v>T Bolts 1/2 x 1 1/2- Halfen</v>
      </c>
      <c r="C102" s="78" t="str">
        <f>VLOOKUP(B102,'Item List'!B:AH,2,FALSE)</f>
        <v>tee bolts w/hex nuts for HT4512 channel profile, BF4411 –(HALFEN 4022B&amp;N M12X40 (4.6))  std. grade, electo plated</v>
      </c>
      <c r="D102" s="78"/>
      <c r="E102" s="612">
        <f>$E$23*VLOOKUP(B102,'Item List'!B:AM,38,FALSE)</f>
        <v>0</v>
      </c>
      <c r="F102" s="595">
        <f>VLOOKUP(B102,'Item List'!B:AH,4,FALSE)</f>
        <v>2.37</v>
      </c>
      <c r="G102" s="556">
        <f t="shared" si="3"/>
        <v>0</v>
      </c>
      <c r="H102" s="593"/>
      <c r="I102" s="594">
        <f>ROUNDUP((E102*'Project Materials'!$L$18),0)</f>
        <v>0</v>
      </c>
      <c r="J102" s="559">
        <f t="shared" si="4"/>
        <v>0</v>
      </c>
    </row>
    <row r="103" spans="1:10" x14ac:dyDescent="0.4">
      <c r="A103" s="680" t="s">
        <v>6</v>
      </c>
      <c r="B103" s="78" t="str">
        <f>VLOOKUP('Area D'!$B$23,'Item List'!B:AL,29,FALSE)</f>
        <v>L Brackets</v>
      </c>
      <c r="C103" s="78" t="str">
        <f>VLOOKUP(B103,'Item List'!B:AH,2,FALSE)</f>
        <v>3/8 Aluminum Angle Brackets</v>
      </c>
      <c r="D103" s="78"/>
      <c r="E103" s="612">
        <f>$E$23*VLOOKUP(B103,'Item List'!B:AM,38,FALSE)</f>
        <v>0</v>
      </c>
      <c r="F103" s="595">
        <f>VLOOKUP(B103,'Item List'!B:AH,4,FALSE)</f>
        <v>7</v>
      </c>
      <c r="G103" s="556">
        <f t="shared" si="3"/>
        <v>0</v>
      </c>
      <c r="H103" s="593"/>
      <c r="I103" s="594">
        <f>ROUNDUP((E103*'Project Materials'!$L$18),0)</f>
        <v>0</v>
      </c>
      <c r="J103" s="559">
        <f t="shared" si="4"/>
        <v>0</v>
      </c>
    </row>
    <row r="104" spans="1:10" x14ac:dyDescent="0.4">
      <c r="A104" s="680" t="s">
        <v>6</v>
      </c>
      <c r="B104" s="78" t="str">
        <f>VLOOKUP('Area D'!$B$23,'Item List'!B:AL,30,FALSE)</f>
        <v>3/8 x 4" SS Hex Cap Bolt</v>
      </c>
      <c r="C104" s="78" t="str">
        <f>VLOOKUP(B104,'Item List'!B:AH,2,FALSE)</f>
        <v>3/8" x 4" SS Hex Cap Screw</v>
      </c>
      <c r="D104" s="78"/>
      <c r="E104" s="612">
        <f>$E$23*VLOOKUP(B104,'Item List'!B:AM,38,FALSE)</f>
        <v>0</v>
      </c>
      <c r="F104" s="595">
        <f>VLOOKUP(B104,'Item List'!B:AH,4,FALSE)</f>
        <v>0.38</v>
      </c>
      <c r="G104" s="556">
        <f t="shared" si="3"/>
        <v>0</v>
      </c>
      <c r="H104" s="593"/>
      <c r="I104" s="594">
        <f>ROUNDUP((E104*'Project Materials'!$L$18),0)</f>
        <v>0</v>
      </c>
      <c r="J104" s="559">
        <f t="shared" si="4"/>
        <v>0</v>
      </c>
    </row>
    <row r="105" spans="1:10" x14ac:dyDescent="0.4">
      <c r="A105" s="680" t="s">
        <v>6</v>
      </c>
      <c r="B105" s="78" t="str">
        <f>VLOOKUP('Area D'!$B$23,'Item List'!B:AL,31,FALSE)</f>
        <v>Bottom Cap for PEU-Mill Finish</v>
      </c>
      <c r="C105" s="78" t="str">
        <f>VLOOKUP(B105,'Item List'!B:AH,2,FALSE)</f>
        <v>Standard post bottom cap - Mill Finish</v>
      </c>
      <c r="D105" s="78"/>
      <c r="E105" s="612">
        <f>$E$23*VLOOKUP(B105,'Item List'!B:AM,38,FALSE)</f>
        <v>0</v>
      </c>
      <c r="F105" s="595">
        <f>VLOOKUP(B105,'Item List'!B:AH,4,FALSE)</f>
        <v>1.75</v>
      </c>
      <c r="G105" s="556">
        <f t="shared" si="3"/>
        <v>0</v>
      </c>
      <c r="H105" s="593"/>
      <c r="I105" s="594">
        <f>ROUNDUP((E105*'Project Materials'!$L$18),0)</f>
        <v>0</v>
      </c>
      <c r="J105" s="559">
        <f t="shared" si="4"/>
        <v>0</v>
      </c>
    </row>
    <row r="106" spans="1:10" x14ac:dyDescent="0.4">
      <c r="A106" s="684" t="s">
        <v>6</v>
      </c>
      <c r="B106" s="615" t="str">
        <f>VLOOKUP('Area D'!$B$23,'Item List'!B:AL,32,FALSE)</f>
        <v>None</v>
      </c>
      <c r="C106" s="615" t="str">
        <f>VLOOKUP(B106,'Item List'!B:AH,2,FALSE)</f>
        <v>None</v>
      </c>
      <c r="D106" s="615"/>
      <c r="E106" s="613">
        <f>$E$23*VLOOKUP(B106,'Item List'!B:AM,38,FALSE)</f>
        <v>0</v>
      </c>
      <c r="F106" s="616">
        <f>VLOOKUP(B106,'Item List'!B:AH,4,FALSE)</f>
        <v>0</v>
      </c>
      <c r="G106" s="617">
        <f t="shared" si="3"/>
        <v>0</v>
      </c>
      <c r="H106" s="593"/>
      <c r="I106" s="618">
        <f>ROUNDUP((E106*'Project Materials'!$L$18),0)</f>
        <v>0</v>
      </c>
      <c r="J106" s="619">
        <f t="shared" si="4"/>
        <v>0</v>
      </c>
    </row>
    <row r="107" spans="1:10" x14ac:dyDescent="0.4">
      <c r="A107" s="680" t="s">
        <v>6</v>
      </c>
      <c r="B107" s="78" t="str">
        <f>VLOOKUP('Area D'!$B$24,'Item List'!B:AL,27,FALSE)</f>
        <v>None</v>
      </c>
      <c r="C107" s="78" t="str">
        <f>VLOOKUP(B107,'Item List'!B:AH,2,FALSE)</f>
        <v>None</v>
      </c>
      <c r="D107" s="78"/>
      <c r="E107" s="612">
        <f>$E$24*VLOOKUP(B107,'Item List'!B:AM,38,FALSE)</f>
        <v>0</v>
      </c>
      <c r="F107" s="595">
        <f>VLOOKUP(B107,'Item List'!B:AH,4,FALSE)</f>
        <v>0</v>
      </c>
      <c r="G107" s="556">
        <f t="shared" si="3"/>
        <v>0</v>
      </c>
      <c r="H107" s="593"/>
      <c r="I107" s="594">
        <f>ROUNDUP((E107*'Project Materials'!$L$18),0)</f>
        <v>0</v>
      </c>
      <c r="J107" s="559">
        <f t="shared" si="4"/>
        <v>0</v>
      </c>
    </row>
    <row r="108" spans="1:10" x14ac:dyDescent="0.4">
      <c r="A108" s="680" t="s">
        <v>6</v>
      </c>
      <c r="B108" s="78" t="str">
        <f>VLOOKUP('Area D'!$B$24,'Item List'!B:AL,28,FALSE)</f>
        <v>None</v>
      </c>
      <c r="C108" s="78" t="str">
        <f>VLOOKUP(B108,'Item List'!B:AH,2,FALSE)</f>
        <v>None</v>
      </c>
      <c r="D108" s="78"/>
      <c r="E108" s="612">
        <f>$E$24*VLOOKUP(B108,'Item List'!B:AM,38,FALSE)</f>
        <v>0</v>
      </c>
      <c r="F108" s="595">
        <f>VLOOKUP(B108,'Item List'!B:AH,4,FALSE)</f>
        <v>0</v>
      </c>
      <c r="G108" s="556">
        <f t="shared" si="3"/>
        <v>0</v>
      </c>
      <c r="H108" s="593"/>
      <c r="I108" s="594">
        <f>ROUNDUP((E108*'Project Materials'!$L$18),0)</f>
        <v>0</v>
      </c>
      <c r="J108" s="559">
        <f t="shared" si="4"/>
        <v>0</v>
      </c>
    </row>
    <row r="109" spans="1:10" x14ac:dyDescent="0.4">
      <c r="A109" s="680" t="s">
        <v>6</v>
      </c>
      <c r="B109" s="78" t="str">
        <f>VLOOKUP('Area D'!$B$24,'Item List'!B:AL,29,FALSE)</f>
        <v>None</v>
      </c>
      <c r="C109" s="78" t="str">
        <f>VLOOKUP(B109,'Item List'!B:AH,2,FALSE)</f>
        <v>None</v>
      </c>
      <c r="D109" s="78"/>
      <c r="E109" s="575">
        <f>$E$24*VLOOKUP(B109,'Item List'!B:AM,38,FALSE)</f>
        <v>0</v>
      </c>
      <c r="F109" s="595">
        <f>VLOOKUP(B109,'Item List'!B:AH,4,FALSE)</f>
        <v>0</v>
      </c>
      <c r="G109" s="556">
        <f t="shared" si="3"/>
        <v>0</v>
      </c>
      <c r="H109" s="593"/>
      <c r="I109" s="594">
        <f>ROUNDUP((E109*'Project Materials'!$L$18),0)</f>
        <v>0</v>
      </c>
      <c r="J109" s="559">
        <f t="shared" si="4"/>
        <v>0</v>
      </c>
    </row>
    <row r="110" spans="1:10" x14ac:dyDescent="0.4">
      <c r="A110" s="680" t="s">
        <v>6</v>
      </c>
      <c r="B110" s="78" t="str">
        <f>VLOOKUP('Area D'!$B$24,'Item List'!B:AL,30,FALSE)</f>
        <v>None</v>
      </c>
      <c r="C110" s="78" t="str">
        <f>VLOOKUP(B110,'Item List'!B:AH,2,FALSE)</f>
        <v>None</v>
      </c>
      <c r="D110" s="78"/>
      <c r="E110" s="575">
        <f>$E$24*VLOOKUP(B110,'Item List'!B:AM,38,FALSE)</f>
        <v>0</v>
      </c>
      <c r="F110" s="595">
        <f>VLOOKUP(B110,'Item List'!B:AH,4,FALSE)</f>
        <v>0</v>
      </c>
      <c r="G110" s="556">
        <f t="shared" si="3"/>
        <v>0</v>
      </c>
      <c r="H110" s="593"/>
      <c r="I110" s="594">
        <f>ROUNDUP((E110*'Project Materials'!$L$18),0)</f>
        <v>0</v>
      </c>
      <c r="J110" s="559">
        <f t="shared" si="4"/>
        <v>0</v>
      </c>
    </row>
    <row r="111" spans="1:10" x14ac:dyDescent="0.4">
      <c r="A111" s="680" t="s">
        <v>6</v>
      </c>
      <c r="B111" s="78" t="str">
        <f>VLOOKUP('Area D'!$B$24,'Item List'!B:AL,31,FALSE)</f>
        <v>None</v>
      </c>
      <c r="C111" s="78" t="str">
        <f>VLOOKUP(B111,'Item List'!B:AH,2,FALSE)</f>
        <v>None</v>
      </c>
      <c r="D111" s="78"/>
      <c r="E111" s="575">
        <f>$E$24*VLOOKUP(B111,'Item List'!B:AM,38,FALSE)</f>
        <v>0</v>
      </c>
      <c r="F111" s="595">
        <f>VLOOKUP(B111,'Item List'!B:AH,4,FALSE)</f>
        <v>0</v>
      </c>
      <c r="G111" s="556">
        <f t="shared" si="3"/>
        <v>0</v>
      </c>
      <c r="H111" s="593"/>
      <c r="I111" s="594">
        <f>ROUNDUP((E111*'Project Materials'!$L$18),0)</f>
        <v>0</v>
      </c>
      <c r="J111" s="559">
        <f t="shared" si="4"/>
        <v>0</v>
      </c>
    </row>
    <row r="112" spans="1:10" x14ac:dyDescent="0.4">
      <c r="A112" s="684" t="s">
        <v>6</v>
      </c>
      <c r="B112" s="585" t="str">
        <f>VLOOKUP('Area D'!$B$24,'Item List'!B:AL,32,FALSE)</f>
        <v>None</v>
      </c>
      <c r="C112" s="585" t="str">
        <f>VLOOKUP(B112,'Item List'!B:AH,2,FALSE)</f>
        <v>None</v>
      </c>
      <c r="D112" s="585"/>
      <c r="E112" s="598">
        <f>$E$24*VLOOKUP(B112,'Item List'!B:AM,38,FALSE)</f>
        <v>0</v>
      </c>
      <c r="F112" s="599">
        <f>VLOOKUP(B112,'Item List'!B:AH,4,FALSE)</f>
        <v>0</v>
      </c>
      <c r="G112" s="600">
        <f t="shared" si="3"/>
        <v>0</v>
      </c>
      <c r="H112" s="601"/>
      <c r="I112" s="602">
        <f>ROUNDUP((E112*'Project Materials'!$L$18),0)</f>
        <v>0</v>
      </c>
      <c r="J112" s="603">
        <f t="shared" si="4"/>
        <v>0</v>
      </c>
    </row>
    <row r="113" spans="1:10" x14ac:dyDescent="0.4">
      <c r="A113" s="680" t="s">
        <v>6</v>
      </c>
      <c r="B113" s="78" t="str">
        <f>VLOOKUP('Area D'!$B$25,'Item List'!B:AL,27,FALSE)</f>
        <v>None</v>
      </c>
      <c r="C113" s="78" t="str">
        <f>VLOOKUP(B113,'Item List'!B:AH,2,FALSE)</f>
        <v>None</v>
      </c>
      <c r="D113" s="78"/>
      <c r="E113" s="575">
        <f>$E$25*VLOOKUP(B113,'Item List'!B:AM,38,FALSE)</f>
        <v>0</v>
      </c>
      <c r="F113" s="595">
        <f>VLOOKUP(B113,'Item List'!B:AH,4,FALSE)</f>
        <v>0</v>
      </c>
      <c r="G113" s="556">
        <f t="shared" si="3"/>
        <v>0</v>
      </c>
      <c r="H113" s="593"/>
      <c r="I113" s="594">
        <f>ROUNDUP((E113*'Project Materials'!$L$18),0)</f>
        <v>0</v>
      </c>
      <c r="J113" s="559">
        <f t="shared" si="4"/>
        <v>0</v>
      </c>
    </row>
    <row r="114" spans="1:10" x14ac:dyDescent="0.4">
      <c r="A114" s="680" t="s">
        <v>6</v>
      </c>
      <c r="B114" s="78" t="str">
        <f>VLOOKUP('Area D'!$B$25,'Item List'!B:AL,28,FALSE)</f>
        <v>None</v>
      </c>
      <c r="C114" s="78" t="str">
        <f>VLOOKUP(B114,'Item List'!B:AH,2,FALSE)</f>
        <v>None</v>
      </c>
      <c r="D114" s="78"/>
      <c r="E114" s="575">
        <f>$E$25*VLOOKUP(B114,'Item List'!B:AM,38,FALSE)</f>
        <v>0</v>
      </c>
      <c r="F114" s="595">
        <f>VLOOKUP(B114,'Item List'!B:AH,4,FALSE)</f>
        <v>0</v>
      </c>
      <c r="G114" s="556">
        <f t="shared" si="3"/>
        <v>0</v>
      </c>
      <c r="H114" s="593"/>
      <c r="I114" s="594">
        <f>ROUNDUP((E114*'Project Materials'!$L$18),0)</f>
        <v>0</v>
      </c>
      <c r="J114" s="559">
        <f t="shared" si="4"/>
        <v>0</v>
      </c>
    </row>
    <row r="115" spans="1:10" x14ac:dyDescent="0.4">
      <c r="A115" s="680" t="s">
        <v>6</v>
      </c>
      <c r="B115" s="78" t="str">
        <f>VLOOKUP('Area D'!$B$25,'Item List'!B:AL,29,FALSE)</f>
        <v>None</v>
      </c>
      <c r="C115" s="78" t="str">
        <f>VLOOKUP(B115,'Item List'!B:AH,2,FALSE)</f>
        <v>None</v>
      </c>
      <c r="D115" s="78"/>
      <c r="E115" s="575">
        <f>$E$25*VLOOKUP(B115,'Item List'!B:AM,38,FALSE)</f>
        <v>0</v>
      </c>
      <c r="F115" s="595">
        <f>VLOOKUP(B115,'Item List'!B:AH,4,FALSE)</f>
        <v>0</v>
      </c>
      <c r="G115" s="556">
        <f t="shared" si="3"/>
        <v>0</v>
      </c>
      <c r="H115" s="593"/>
      <c r="I115" s="594">
        <f>ROUNDUP((E115*'Project Materials'!$L$18),0)</f>
        <v>0</v>
      </c>
      <c r="J115" s="559">
        <f t="shared" si="4"/>
        <v>0</v>
      </c>
    </row>
    <row r="116" spans="1:10" x14ac:dyDescent="0.4">
      <c r="A116" s="680" t="s">
        <v>6</v>
      </c>
      <c r="B116" s="78" t="str">
        <f>VLOOKUP('Area D'!$B$25,'Item List'!B:AL,30,FALSE)</f>
        <v>None</v>
      </c>
      <c r="C116" s="78" t="str">
        <f>VLOOKUP(B116,'Item List'!B:AH,2,FALSE)</f>
        <v>None</v>
      </c>
      <c r="D116" s="78"/>
      <c r="E116" s="575">
        <f>$E$25*VLOOKUP(B116,'Item List'!B:AM,38,FALSE)</f>
        <v>0</v>
      </c>
      <c r="F116" s="595">
        <f>VLOOKUP(B116,'Item List'!B:AH,4,FALSE)</f>
        <v>0</v>
      </c>
      <c r="G116" s="556">
        <f t="shared" si="3"/>
        <v>0</v>
      </c>
      <c r="H116" s="593"/>
      <c r="I116" s="594">
        <f>ROUNDUP((E116*'Project Materials'!$L$18),0)</f>
        <v>0</v>
      </c>
      <c r="J116" s="559">
        <f t="shared" si="4"/>
        <v>0</v>
      </c>
    </row>
    <row r="117" spans="1:10" x14ac:dyDescent="0.4">
      <c r="A117" s="680" t="s">
        <v>6</v>
      </c>
      <c r="B117" s="78" t="str">
        <f>VLOOKUP('Area D'!$B$25,'Item List'!B:AL,31,FALSE)</f>
        <v>None</v>
      </c>
      <c r="C117" s="78" t="str">
        <f>VLOOKUP(B117,'Item List'!B:AH,2,FALSE)</f>
        <v>None</v>
      </c>
      <c r="D117" s="78"/>
      <c r="E117" s="575">
        <f>$E$25*VLOOKUP(B117,'Item List'!B:AM,38,FALSE)</f>
        <v>0</v>
      </c>
      <c r="F117" s="595">
        <f>VLOOKUP(B117,'Item List'!B:AH,4,FALSE)</f>
        <v>0</v>
      </c>
      <c r="G117" s="556">
        <f t="shared" si="3"/>
        <v>0</v>
      </c>
      <c r="H117" s="593"/>
      <c r="I117" s="594">
        <f>ROUNDUP((E117*'Project Materials'!$L$18),0)</f>
        <v>0</v>
      </c>
      <c r="J117" s="559">
        <f t="shared" si="4"/>
        <v>0</v>
      </c>
    </row>
    <row r="118" spans="1:10" x14ac:dyDescent="0.4">
      <c r="A118" s="680" t="s">
        <v>6</v>
      </c>
      <c r="B118" s="585" t="str">
        <f>VLOOKUP('Area D'!$B$25,'Item List'!B:AL,32,FALSE)</f>
        <v>None</v>
      </c>
      <c r="C118" s="585" t="str">
        <f>VLOOKUP(B118,'Item List'!B:AH,2,FALSE)</f>
        <v>None</v>
      </c>
      <c r="D118" s="585"/>
      <c r="E118" s="598">
        <f>$E$25*VLOOKUP(B118,'Item List'!B:AM,38,FALSE)</f>
        <v>0</v>
      </c>
      <c r="F118" s="599">
        <f>VLOOKUP(B118,'Item List'!B:AH,4,FALSE)</f>
        <v>0</v>
      </c>
      <c r="G118" s="600">
        <f t="shared" si="3"/>
        <v>0</v>
      </c>
      <c r="H118" s="601"/>
      <c r="I118" s="602">
        <f>ROUNDUP((E118*'Project Materials'!$L$18),0)</f>
        <v>0</v>
      </c>
      <c r="J118" s="603">
        <f t="shared" si="4"/>
        <v>0</v>
      </c>
    </row>
    <row r="119" spans="1:10" x14ac:dyDescent="0.4">
      <c r="A119" s="604"/>
      <c r="B119" s="633"/>
      <c r="C119" s="633"/>
      <c r="D119" s="633"/>
      <c r="E119" s="635"/>
      <c r="F119" s="636"/>
      <c r="G119" s="637"/>
      <c r="H119" s="633"/>
      <c r="I119" s="638"/>
      <c r="J119" s="639"/>
    </row>
    <row r="120" spans="1:10" x14ac:dyDescent="0.4">
      <c r="A120" s="680" t="s">
        <v>448</v>
      </c>
      <c r="B120" s="78" t="str">
        <f>VLOOKUP('Area D'!B29,'Item List'!B:AL,27,FALSE)</f>
        <v>None</v>
      </c>
      <c r="C120" s="78" t="str">
        <f>VLOOKUP(B120,'Item List'!B:AH,2,FALSE)</f>
        <v>None</v>
      </c>
      <c r="D120" s="78"/>
      <c r="E120" s="575">
        <f>VLOOKUP(B120,'Item List'!B:AM,36,FALSE)</f>
        <v>0</v>
      </c>
      <c r="F120" s="595">
        <f>VLOOKUP(B120,'Item List'!B:AH,4,FALSE)</f>
        <v>0</v>
      </c>
      <c r="G120" s="556">
        <f t="shared" ref="G120:G131" si="5">F120*E120</f>
        <v>0</v>
      </c>
      <c r="H120" s="593"/>
      <c r="I120" s="594">
        <f>ROUNDUP((E120*'Project Materials'!$L$18),0)</f>
        <v>0</v>
      </c>
      <c r="J120" s="559">
        <f t="shared" ref="J120:J131" si="6">G120+(I120*F120)</f>
        <v>0</v>
      </c>
    </row>
    <row r="121" spans="1:10" x14ac:dyDescent="0.4">
      <c r="A121" s="684" t="s">
        <v>448</v>
      </c>
      <c r="B121" s="585" t="str">
        <f>VLOOKUP('Area D'!B30,'Item List'!B:AL,27,FALSE)</f>
        <v>None</v>
      </c>
      <c r="C121" s="585" t="str">
        <f>VLOOKUP(B121,'Item List'!B:AH,2,FALSE)</f>
        <v>None</v>
      </c>
      <c r="D121" s="585"/>
      <c r="E121" s="598">
        <f>VLOOKUP(B121,'Item List'!B:AM,36,FALSE)</f>
        <v>0</v>
      </c>
      <c r="F121" s="599">
        <f>VLOOKUP(B121,'Item List'!B:AH,4,FALSE)</f>
        <v>0</v>
      </c>
      <c r="G121" s="600">
        <f t="shared" si="5"/>
        <v>0</v>
      </c>
      <c r="H121" s="601"/>
      <c r="I121" s="602">
        <f>ROUNDUP((E121*'Project Materials'!$L$18),0)</f>
        <v>0</v>
      </c>
      <c r="J121" s="603">
        <f t="shared" si="6"/>
        <v>0</v>
      </c>
    </row>
    <row r="122" spans="1:10" x14ac:dyDescent="0.4">
      <c r="A122" s="680" t="s">
        <v>449</v>
      </c>
      <c r="B122" s="78" t="str">
        <f>VLOOKUP('Area D'!B31,'Item List'!B:AL,27,FALSE)</f>
        <v>None</v>
      </c>
      <c r="C122" s="78" t="str">
        <f>VLOOKUP(B122,'Item List'!B:AH,2,FALSE)</f>
        <v>None</v>
      </c>
      <c r="D122" s="78"/>
      <c r="E122" s="575">
        <f>VLOOKUP(B122,'Item List'!B:AM,36,FALSE)</f>
        <v>0</v>
      </c>
      <c r="F122" s="595">
        <f>VLOOKUP(B122,'Item List'!B:AH,4,FALSE)</f>
        <v>0</v>
      </c>
      <c r="G122" s="556">
        <f t="shared" si="5"/>
        <v>0</v>
      </c>
      <c r="H122" s="593"/>
      <c r="I122" s="594">
        <f>ROUNDUP((E122*'Project Materials'!$L$18),0)</f>
        <v>0</v>
      </c>
      <c r="J122" s="559">
        <f t="shared" si="6"/>
        <v>0</v>
      </c>
    </row>
    <row r="123" spans="1:10" x14ac:dyDescent="0.4">
      <c r="A123" s="684" t="s">
        <v>449</v>
      </c>
      <c r="B123" s="585" t="str">
        <f>VLOOKUP('Area D'!B32,'Item List'!B:AL,27,FALSE)</f>
        <v>None</v>
      </c>
      <c r="C123" s="585" t="str">
        <f>VLOOKUP(B123,'Item List'!B:AH,2,FALSE)</f>
        <v>None</v>
      </c>
      <c r="D123" s="585"/>
      <c r="E123" s="598">
        <f>VLOOKUP(B123,'Item List'!B:AM,36,FALSE)</f>
        <v>0</v>
      </c>
      <c r="F123" s="599">
        <f>VLOOKUP(B123,'Item List'!B:AH,4,FALSE)</f>
        <v>0</v>
      </c>
      <c r="G123" s="600">
        <f t="shared" si="5"/>
        <v>0</v>
      </c>
      <c r="H123" s="601"/>
      <c r="I123" s="602">
        <f>ROUNDUP((E123*'Project Materials'!$L$18),0)</f>
        <v>0</v>
      </c>
      <c r="J123" s="603">
        <f t="shared" si="6"/>
        <v>0</v>
      </c>
    </row>
    <row r="124" spans="1:10" x14ac:dyDescent="0.4">
      <c r="A124" s="680" t="s">
        <v>450</v>
      </c>
      <c r="B124" s="78" t="str">
        <f>VLOOKUP('Area D'!B33,'Item List'!B:AL,27,FALSE)</f>
        <v>None</v>
      </c>
      <c r="C124" s="78" t="str">
        <f>VLOOKUP(B124,'Item List'!B:AH,2,FALSE)</f>
        <v>None</v>
      </c>
      <c r="D124" s="78"/>
      <c r="E124" s="575">
        <f>VLOOKUP(B124,'Item List'!B:AM,36,FALSE)</f>
        <v>0</v>
      </c>
      <c r="F124" s="595">
        <f>VLOOKUP(B124,'Item List'!B:AH,4,FALSE)</f>
        <v>0</v>
      </c>
      <c r="G124" s="556">
        <f t="shared" si="5"/>
        <v>0</v>
      </c>
      <c r="H124" s="593"/>
      <c r="I124" s="594">
        <f>ROUNDUP((E124*'Project Materials'!$L$18),0)</f>
        <v>0</v>
      </c>
      <c r="J124" s="559">
        <f t="shared" si="6"/>
        <v>0</v>
      </c>
    </row>
    <row r="125" spans="1:10" x14ac:dyDescent="0.4">
      <c r="A125" s="684" t="s">
        <v>450</v>
      </c>
      <c r="B125" s="585" t="str">
        <f>VLOOKUP('Area D'!B34,'Item List'!B:AL,27,FALSE)</f>
        <v>None</v>
      </c>
      <c r="C125" s="585" t="str">
        <f>VLOOKUP(B125,'Item List'!B:AH,2,FALSE)</f>
        <v>None</v>
      </c>
      <c r="D125" s="585"/>
      <c r="E125" s="598">
        <f>VLOOKUP(B125,'Item List'!B:AM,36,FALSE)</f>
        <v>0</v>
      </c>
      <c r="F125" s="599">
        <f>VLOOKUP(B125,'Item List'!B:AH,4,FALSE)</f>
        <v>0</v>
      </c>
      <c r="G125" s="600">
        <f t="shared" si="5"/>
        <v>0</v>
      </c>
      <c r="H125" s="601"/>
      <c r="I125" s="602">
        <f>ROUNDUP((E125*'Project Materials'!$L$18),0)</f>
        <v>0</v>
      </c>
      <c r="J125" s="603">
        <f t="shared" si="6"/>
        <v>0</v>
      </c>
    </row>
    <row r="126" spans="1:10" x14ac:dyDescent="0.4">
      <c r="A126" s="680" t="s">
        <v>451</v>
      </c>
      <c r="B126" s="78" t="str">
        <f>VLOOKUP('Area D'!B35,'Item List'!B:AL,27,FALSE)</f>
        <v>None</v>
      </c>
      <c r="C126" s="78" t="str">
        <f>VLOOKUP(B126,'Item List'!B:AH,2,FALSE)</f>
        <v>None</v>
      </c>
      <c r="D126" s="78"/>
      <c r="E126" s="575">
        <f>VLOOKUP(B126,'Item List'!B:AM,36,FALSE)</f>
        <v>0</v>
      </c>
      <c r="F126" s="595">
        <f>VLOOKUP(B126,'Item List'!B:AH,4,FALSE)</f>
        <v>0</v>
      </c>
      <c r="G126" s="556">
        <f t="shared" si="5"/>
        <v>0</v>
      </c>
      <c r="H126" s="593"/>
      <c r="I126" s="594">
        <f>ROUNDUP((E126*'Project Materials'!$L$18),0)</f>
        <v>0</v>
      </c>
      <c r="J126" s="559">
        <f t="shared" si="6"/>
        <v>0</v>
      </c>
    </row>
    <row r="127" spans="1:10" x14ac:dyDescent="0.4">
      <c r="A127" s="684" t="s">
        <v>451</v>
      </c>
      <c r="B127" s="585" t="str">
        <f>VLOOKUP('Area D'!B36,'Item List'!B:AL,27,FALSE)</f>
        <v>None</v>
      </c>
      <c r="C127" s="585" t="str">
        <f>VLOOKUP(B127,'Item List'!B:AH,2,FALSE)</f>
        <v>None</v>
      </c>
      <c r="D127" s="585"/>
      <c r="E127" s="598">
        <f>VLOOKUP(B127,'Item List'!B:AM,36,FALSE)</f>
        <v>0</v>
      </c>
      <c r="F127" s="599">
        <f>VLOOKUP(B127,'Item List'!B:AH,4,FALSE)</f>
        <v>0</v>
      </c>
      <c r="G127" s="600">
        <f t="shared" si="5"/>
        <v>0</v>
      </c>
      <c r="H127" s="601"/>
      <c r="I127" s="602">
        <f>ROUNDUP((E127*'Project Materials'!$L$18),0)</f>
        <v>0</v>
      </c>
      <c r="J127" s="603">
        <f t="shared" si="6"/>
        <v>0</v>
      </c>
    </row>
    <row r="128" spans="1:10" x14ac:dyDescent="0.4">
      <c r="A128" s="680" t="s">
        <v>363</v>
      </c>
      <c r="B128" s="78" t="str">
        <f>VLOOKUP('Area D'!B40,'Item List'!B:AL,27,FALSE)</f>
        <v>SS End Plate Screw</v>
      </c>
      <c r="C128" s="78" t="str">
        <f>VLOOKUP(B128,'Item List'!B:AH,2,FALSE)</f>
        <v>#8 X 3/4 Philips Flat Self Drilling18-8 S/S</v>
      </c>
      <c r="D128" s="78"/>
      <c r="E128" s="575">
        <f>E40*VLOOKUP(B128,'Item List'!B:AM,38,FALSE)</f>
        <v>0</v>
      </c>
      <c r="F128" s="595">
        <f>VLOOKUP(B128,'Item List'!B:AH,4,FALSE)</f>
        <v>5.2600000000000001E-2</v>
      </c>
      <c r="G128" s="556">
        <f t="shared" si="5"/>
        <v>0</v>
      </c>
      <c r="H128" s="593"/>
      <c r="I128" s="594">
        <f>ROUNDUP((E128*'Project Materials'!$L$18),0)</f>
        <v>0</v>
      </c>
      <c r="J128" s="559">
        <f t="shared" si="6"/>
        <v>0</v>
      </c>
    </row>
    <row r="129" spans="1:10" x14ac:dyDescent="0.4">
      <c r="A129" s="684" t="s">
        <v>363</v>
      </c>
      <c r="B129" s="585" t="str">
        <f>VLOOKUP('Area D'!B41,'Item List'!B:AL,27,FALSE)</f>
        <v>None</v>
      </c>
      <c r="C129" s="585" t="str">
        <f>VLOOKUP(B129,'Item List'!B:AH,2,FALSE)</f>
        <v>None</v>
      </c>
      <c r="D129" s="585"/>
      <c r="E129" s="598">
        <f>E41*VLOOKUP(B129,'Item List'!B:AM,38,FALSE)</f>
        <v>0</v>
      </c>
      <c r="F129" s="599">
        <f>VLOOKUP(B129,'Item List'!B:AH,4,FALSE)</f>
        <v>0</v>
      </c>
      <c r="G129" s="600">
        <f t="shared" si="5"/>
        <v>0</v>
      </c>
      <c r="H129" s="601"/>
      <c r="I129" s="602">
        <f>ROUNDUP((E129*'Project Materials'!$L$18),0)</f>
        <v>0</v>
      </c>
      <c r="J129" s="603">
        <f t="shared" si="6"/>
        <v>0</v>
      </c>
    </row>
    <row r="130" spans="1:10" x14ac:dyDescent="0.4">
      <c r="A130" s="680" t="s">
        <v>7</v>
      </c>
      <c r="B130" s="78" t="str">
        <f>VLOOKUP('Area D'!B47,'Item List'!B:AL,27,FALSE)</f>
        <v>None</v>
      </c>
      <c r="C130" s="78" t="str">
        <f>VLOOKUP(B130,'Item List'!B:AH,2,FALSE)</f>
        <v>None</v>
      </c>
      <c r="D130" s="78"/>
      <c r="E130" s="575">
        <f>VLOOKUP(B130,'Item List'!B:AM,36,FALSE)</f>
        <v>0</v>
      </c>
      <c r="F130" s="595">
        <f>VLOOKUP(B130,'Item List'!B:AH,4,FALSE)</f>
        <v>0</v>
      </c>
      <c r="G130" s="556">
        <f t="shared" si="5"/>
        <v>0</v>
      </c>
      <c r="H130" s="593"/>
      <c r="I130" s="594">
        <f>ROUNDUP((E130*'Project Materials'!$L$18),0)</f>
        <v>0</v>
      </c>
      <c r="J130" s="559">
        <f t="shared" si="6"/>
        <v>0</v>
      </c>
    </row>
    <row r="131" spans="1:10" x14ac:dyDescent="0.4">
      <c r="A131" s="680" t="s">
        <v>7</v>
      </c>
      <c r="B131" s="78" t="str">
        <f>VLOOKUP('Area D'!B47,'Item List'!B:AL,32,FALSE)</f>
        <v>None</v>
      </c>
      <c r="C131" s="78" t="str">
        <f>VLOOKUP(B131,'Item List'!B:AH,2,FALSE)</f>
        <v>None</v>
      </c>
      <c r="D131" s="78"/>
      <c r="E131" s="575">
        <f>VLOOKUP(B131,'Item List'!B:AM,36,FALSE)</f>
        <v>0</v>
      </c>
      <c r="F131" s="595">
        <f>VLOOKUP(B131,'Item List'!B:AH,4,FALSE)</f>
        <v>0</v>
      </c>
      <c r="G131" s="556">
        <f t="shared" si="5"/>
        <v>0</v>
      </c>
      <c r="H131" s="593"/>
      <c r="I131" s="594">
        <f>ROUNDUP((E131*'Project Materials'!$L$18),0)</f>
        <v>0</v>
      </c>
      <c r="J131" s="559">
        <f t="shared" si="6"/>
        <v>0</v>
      </c>
    </row>
    <row r="132" spans="1:10" x14ac:dyDescent="0.4">
      <c r="A132" s="680" t="s">
        <v>7</v>
      </c>
      <c r="B132" s="78" t="str">
        <f>VLOOKUP('Area D'!B48,'Item List'!B:AL,27,FALSE)</f>
        <v>None</v>
      </c>
      <c r="C132" s="78" t="str">
        <f>VLOOKUP(B132,'Item List'!B:AH,2,FALSE)</f>
        <v>None</v>
      </c>
      <c r="D132" s="78"/>
      <c r="E132" s="575">
        <f>VLOOKUP(B132,'Item List'!B:AM,36,FALSE)</f>
        <v>0</v>
      </c>
      <c r="F132" s="595">
        <f>VLOOKUP(B132,'Item List'!B:AH,4,FALSE)</f>
        <v>0</v>
      </c>
      <c r="G132" s="556">
        <f t="shared" ref="G132:G143" si="7">F132*E132</f>
        <v>0</v>
      </c>
      <c r="H132" s="593"/>
      <c r="I132" s="594">
        <f>ROUNDUP((E132*'Project Materials'!$L$18),0)</f>
        <v>0</v>
      </c>
      <c r="J132" s="559">
        <f t="shared" ref="J132:J143" si="8">G132+(I132*F132)</f>
        <v>0</v>
      </c>
    </row>
    <row r="133" spans="1:10" x14ac:dyDescent="0.4">
      <c r="A133" s="680" t="s">
        <v>7</v>
      </c>
      <c r="B133" s="78" t="str">
        <f>VLOOKUP('Area D'!B48,'Item List'!B:AL,32,FALSE)</f>
        <v>None</v>
      </c>
      <c r="C133" s="78" t="str">
        <f>VLOOKUP(B133,'Item List'!B:AH,2,FALSE)</f>
        <v>None</v>
      </c>
      <c r="D133" s="78"/>
      <c r="E133" s="575">
        <f>VLOOKUP(B135,'Item List'!B:AM,36,FALSE)</f>
        <v>0</v>
      </c>
      <c r="F133" s="595">
        <f>VLOOKUP(B133,'Item List'!B:AH,4,FALSE)</f>
        <v>0</v>
      </c>
      <c r="G133" s="556">
        <f t="shared" si="7"/>
        <v>0</v>
      </c>
      <c r="H133" s="593"/>
      <c r="I133" s="594">
        <f>ROUNDUP((E133*'Project Materials'!$L$18),0)</f>
        <v>0</v>
      </c>
      <c r="J133" s="559">
        <f t="shared" si="8"/>
        <v>0</v>
      </c>
    </row>
    <row r="134" spans="1:10" x14ac:dyDescent="0.4">
      <c r="A134" s="680" t="s">
        <v>7</v>
      </c>
      <c r="B134" s="78" t="str">
        <f>VLOOKUP('Area D'!B49,'Item List'!B:AL,27,FALSE)</f>
        <v>None</v>
      </c>
      <c r="C134" s="78" t="str">
        <f>VLOOKUP(B134,'Item List'!B:AH,2,FALSE)</f>
        <v>None</v>
      </c>
      <c r="D134" s="78"/>
      <c r="E134" s="575">
        <f>VLOOKUP(B134,'Item List'!B:AM,36,FALSE)</f>
        <v>0</v>
      </c>
      <c r="F134" s="595">
        <f>VLOOKUP(B134,'Item List'!B:AH,4,FALSE)</f>
        <v>0</v>
      </c>
      <c r="G134" s="556">
        <f t="shared" si="7"/>
        <v>0</v>
      </c>
      <c r="H134" s="593"/>
      <c r="I134" s="594">
        <f>ROUNDUP((E134*'Project Materials'!$L$18),0)</f>
        <v>0</v>
      </c>
      <c r="J134" s="559">
        <f t="shared" si="8"/>
        <v>0</v>
      </c>
    </row>
    <row r="135" spans="1:10" x14ac:dyDescent="0.4">
      <c r="A135" s="680" t="s">
        <v>7</v>
      </c>
      <c r="B135" s="78" t="str">
        <f>VLOOKUP('Area D'!B49,'Item List'!B:AL,32,FALSE)</f>
        <v>None</v>
      </c>
      <c r="C135" s="78" t="str">
        <f>VLOOKUP(B135,'Item List'!B:AH,2,FALSE)</f>
        <v>None</v>
      </c>
      <c r="D135" s="78"/>
      <c r="E135" s="575">
        <f>VLOOKUP(B135,'Item List'!B:AM,36,FALSE)</f>
        <v>0</v>
      </c>
      <c r="F135" s="595">
        <f>VLOOKUP(B135,'Item List'!B:AH,4,FALSE)</f>
        <v>0</v>
      </c>
      <c r="G135" s="556">
        <f t="shared" si="7"/>
        <v>0</v>
      </c>
      <c r="H135" s="593"/>
      <c r="I135" s="594">
        <f>ROUNDUP((E135*'Project Materials'!$L$18),0)</f>
        <v>0</v>
      </c>
      <c r="J135" s="559">
        <f t="shared" si="8"/>
        <v>0</v>
      </c>
    </row>
    <row r="136" spans="1:10" x14ac:dyDescent="0.4">
      <c r="A136" s="680" t="s">
        <v>7</v>
      </c>
      <c r="B136" s="78" t="str">
        <f>VLOOKUP('Area D'!B50,'Item List'!B:AL,27,FALSE)</f>
        <v>None</v>
      </c>
      <c r="C136" s="78" t="str">
        <f>VLOOKUP(B136,'Item List'!B:AH,2,FALSE)</f>
        <v>None</v>
      </c>
      <c r="D136" s="78"/>
      <c r="E136" s="575">
        <f>VLOOKUP(B136,'Item List'!B:AM,36,FALSE)</f>
        <v>0</v>
      </c>
      <c r="F136" s="595">
        <f>VLOOKUP(B136,'Item List'!B:AH,4,FALSE)</f>
        <v>0</v>
      </c>
      <c r="G136" s="556">
        <f t="shared" si="7"/>
        <v>0</v>
      </c>
      <c r="H136" s="593"/>
      <c r="I136" s="594">
        <f>ROUNDUP((E136*'Project Materials'!$L$18),0)</f>
        <v>0</v>
      </c>
      <c r="J136" s="559">
        <f t="shared" si="8"/>
        <v>0</v>
      </c>
    </row>
    <row r="137" spans="1:10" x14ac:dyDescent="0.4">
      <c r="A137" s="680" t="s">
        <v>7</v>
      </c>
      <c r="B137" s="78" t="str">
        <f>VLOOKUP('Area D'!B50,'Item List'!B:AL,32,FALSE)</f>
        <v>None</v>
      </c>
      <c r="C137" s="78" t="str">
        <f>VLOOKUP(B137,'Item List'!B:AH,2,FALSE)</f>
        <v>None</v>
      </c>
      <c r="D137" s="78"/>
      <c r="E137" s="575">
        <f>VLOOKUP(B137,'Item List'!B:AM,36,FALSE)</f>
        <v>0</v>
      </c>
      <c r="F137" s="595">
        <f>VLOOKUP(B137,'Item List'!B:AH,4,FALSE)</f>
        <v>0</v>
      </c>
      <c r="G137" s="556">
        <f t="shared" si="7"/>
        <v>0</v>
      </c>
      <c r="H137" s="593"/>
      <c r="I137" s="594">
        <f>ROUNDUP((E137*'Project Materials'!$L$18),0)</f>
        <v>0</v>
      </c>
      <c r="J137" s="559">
        <f t="shared" si="8"/>
        <v>0</v>
      </c>
    </row>
    <row r="138" spans="1:10" x14ac:dyDescent="0.4">
      <c r="A138" s="680" t="s">
        <v>7</v>
      </c>
      <c r="B138" s="78" t="str">
        <f>VLOOKUP('Area D'!B52,'Item List'!B:AL,27,FALSE)</f>
        <v>None</v>
      </c>
      <c r="C138" s="78" t="str">
        <f>VLOOKUP(B138,'Item List'!B:AH,2,FALSE)</f>
        <v>None</v>
      </c>
      <c r="D138" s="78"/>
      <c r="E138" s="575">
        <f>VLOOKUP(B138,'Item List'!B:AM,36,FALSE)</f>
        <v>0</v>
      </c>
      <c r="F138" s="595">
        <f>VLOOKUP(B138,'Item List'!B:AH,4,FALSE)</f>
        <v>0</v>
      </c>
      <c r="G138" s="556">
        <f t="shared" si="7"/>
        <v>0</v>
      </c>
      <c r="H138" s="593"/>
      <c r="I138" s="594">
        <f>ROUNDUP((E138*'Project Materials'!$L$18),0)</f>
        <v>0</v>
      </c>
      <c r="J138" s="559">
        <f t="shared" si="8"/>
        <v>0</v>
      </c>
    </row>
    <row r="139" spans="1:10" x14ac:dyDescent="0.4">
      <c r="A139" s="680" t="s">
        <v>7</v>
      </c>
      <c r="B139" s="78" t="str">
        <f>VLOOKUP('Area D'!B52,'Item List'!B:AL,32,FALSE)</f>
        <v>None</v>
      </c>
      <c r="C139" s="78" t="str">
        <f>VLOOKUP(B139,'Item List'!B:AH,2,FALSE)</f>
        <v>None</v>
      </c>
      <c r="D139" s="78"/>
      <c r="E139" s="575">
        <f>VLOOKUP(B139,'Item List'!B:AM,36,FALSE)</f>
        <v>0</v>
      </c>
      <c r="F139" s="595">
        <f>VLOOKUP(B139,'Item List'!B:AH,4,FALSE)</f>
        <v>0</v>
      </c>
      <c r="G139" s="556">
        <f t="shared" si="7"/>
        <v>0</v>
      </c>
      <c r="H139" s="593"/>
      <c r="I139" s="594">
        <f>ROUNDUP((E139*'Project Materials'!$L$18),0)</f>
        <v>0</v>
      </c>
      <c r="J139" s="559">
        <f t="shared" si="8"/>
        <v>0</v>
      </c>
    </row>
    <row r="140" spans="1:10" x14ac:dyDescent="0.4">
      <c r="A140" s="680" t="s">
        <v>7</v>
      </c>
      <c r="B140" s="78" t="str">
        <f>VLOOKUP('Area D'!B53,'Item List'!B:AL,27,FALSE)</f>
        <v>None</v>
      </c>
      <c r="C140" s="78" t="str">
        <f>VLOOKUP(B140,'Item List'!B:AH,2,FALSE)</f>
        <v>None</v>
      </c>
      <c r="D140" s="78"/>
      <c r="E140" s="575">
        <f>VLOOKUP(B140,'Item List'!B:AM,36,FALSE)</f>
        <v>0</v>
      </c>
      <c r="F140" s="595">
        <f>VLOOKUP(B140,'Item List'!B:AH,4,FALSE)</f>
        <v>0</v>
      </c>
      <c r="G140" s="556">
        <f t="shared" si="7"/>
        <v>0</v>
      </c>
      <c r="H140" s="593"/>
      <c r="I140" s="594">
        <f>ROUNDUP((E140*'Project Materials'!$L$18),0)</f>
        <v>0</v>
      </c>
      <c r="J140" s="559">
        <f t="shared" si="8"/>
        <v>0</v>
      </c>
    </row>
    <row r="141" spans="1:10" x14ac:dyDescent="0.4">
      <c r="A141" s="680" t="s">
        <v>7</v>
      </c>
      <c r="B141" s="78" t="str">
        <f>VLOOKUP('Area D'!B53,'Item List'!B:AL,32,FALSE)</f>
        <v>None</v>
      </c>
      <c r="C141" s="78" t="str">
        <f>VLOOKUP(B141,'Item List'!B:AH,2,FALSE)</f>
        <v>None</v>
      </c>
      <c r="D141" s="78"/>
      <c r="E141" s="575">
        <f>VLOOKUP(B141,'Item List'!B:AM,36,FALSE)</f>
        <v>0</v>
      </c>
      <c r="F141" s="595">
        <f>VLOOKUP(B141,'Item List'!B:AH,4,FALSE)</f>
        <v>0</v>
      </c>
      <c r="G141" s="556">
        <f t="shared" si="7"/>
        <v>0</v>
      </c>
      <c r="H141" s="593"/>
      <c r="I141" s="594">
        <f>ROUNDUP((E141*'Project Materials'!$L$18),0)</f>
        <v>0</v>
      </c>
      <c r="J141" s="559">
        <f t="shared" si="8"/>
        <v>0</v>
      </c>
    </row>
    <row r="142" spans="1:10" x14ac:dyDescent="0.4">
      <c r="A142" s="680" t="s">
        <v>7</v>
      </c>
      <c r="B142" s="78" t="str">
        <f>VLOOKUP('Area D'!B54,'Item List'!B:AL,27,FALSE)</f>
        <v>None</v>
      </c>
      <c r="C142" s="78" t="str">
        <f>VLOOKUP(B142,'Item List'!B:AH,2,FALSE)</f>
        <v>None</v>
      </c>
      <c r="D142" s="78"/>
      <c r="E142" s="575">
        <f>VLOOKUP(B142,'Item List'!B:AM,36,FALSE)</f>
        <v>0</v>
      </c>
      <c r="F142" s="595">
        <f>VLOOKUP(B142,'Item List'!B:AH,4,FALSE)</f>
        <v>0</v>
      </c>
      <c r="G142" s="556">
        <f t="shared" si="7"/>
        <v>0</v>
      </c>
      <c r="H142" s="593"/>
      <c r="I142" s="594">
        <f>ROUNDUP((E142*'Project Materials'!$L$18),0)</f>
        <v>0</v>
      </c>
      <c r="J142" s="559">
        <f t="shared" si="8"/>
        <v>0</v>
      </c>
    </row>
    <row r="143" spans="1:10" x14ac:dyDescent="0.4">
      <c r="A143" s="680" t="s">
        <v>7</v>
      </c>
      <c r="B143" s="78" t="str">
        <f>VLOOKUP('Area D'!B54,'Item List'!B:AL,32,FALSE)</f>
        <v>None</v>
      </c>
      <c r="C143" s="78" t="str">
        <f>VLOOKUP(B143,'Item List'!B:AH,2,FALSE)</f>
        <v>None</v>
      </c>
      <c r="D143" s="78"/>
      <c r="E143" s="575">
        <f>VLOOKUP(B143,'Item List'!B:AM,36,FALSE)</f>
        <v>0</v>
      </c>
      <c r="F143" s="595">
        <f>VLOOKUP(B143,'Item List'!B:AH,4,FALSE)</f>
        <v>0</v>
      </c>
      <c r="G143" s="556">
        <f t="shared" si="7"/>
        <v>0</v>
      </c>
      <c r="H143" s="593"/>
      <c r="I143" s="594">
        <f>ROUNDUP((E143*'Project Materials'!$L$18),0)</f>
        <v>0</v>
      </c>
      <c r="J143" s="559">
        <f t="shared" si="8"/>
        <v>0</v>
      </c>
    </row>
    <row r="144" spans="1:10" x14ac:dyDescent="0.4">
      <c r="A144" s="680" t="s">
        <v>429</v>
      </c>
      <c r="B144" s="78" t="str">
        <f>VLOOKUP('Area D'!B199,'Item List'!B:AJ,27,FALSE)</f>
        <v>None</v>
      </c>
      <c r="C144" s="78" t="str">
        <f>VLOOKUP(B144,'Item List'!B:AH,2,FALSE)</f>
        <v>None</v>
      </c>
      <c r="D144" s="78"/>
      <c r="E144" s="575">
        <f>VLOOKUP(B144,'Item List'!B:AM,36,FALSE)</f>
        <v>0</v>
      </c>
      <c r="F144" s="595">
        <f>VLOOKUP(B144,'Item List'!B:AH,4,FALSE)</f>
        <v>0</v>
      </c>
      <c r="G144" s="556">
        <f>F144*E144</f>
        <v>0</v>
      </c>
      <c r="H144" s="593"/>
      <c r="I144" s="594">
        <f>ROUNDUP((E144*'Project Materials'!$L$18),0)</f>
        <v>0</v>
      </c>
      <c r="J144" s="559">
        <f t="shared" ref="J144:J178" si="9">G144+(I144*F144)</f>
        <v>0</v>
      </c>
    </row>
    <row r="145" spans="1:10" x14ac:dyDescent="0.4">
      <c r="A145" s="680" t="s">
        <v>429</v>
      </c>
      <c r="B145" s="78" t="str">
        <f>VLOOKUP('Area D'!B200,'Item List'!B:AJ,27,FALSE)</f>
        <v>None</v>
      </c>
      <c r="C145" s="78" t="str">
        <f>VLOOKUP(B145,'Item List'!B:AH,2,FALSE)</f>
        <v>None</v>
      </c>
      <c r="D145" s="78"/>
      <c r="E145" s="575">
        <f>VLOOKUP(B145,'Item List'!B:AM,36,FALSE)</f>
        <v>0</v>
      </c>
      <c r="F145" s="595">
        <f>VLOOKUP(B145,'Item List'!B:AH,4,FALSE)</f>
        <v>0</v>
      </c>
      <c r="G145" s="556">
        <f>F145*E145</f>
        <v>0</v>
      </c>
      <c r="H145" s="593"/>
      <c r="I145" s="594">
        <f>ROUNDUP((E145*'Project Materials'!$L$18),0)</f>
        <v>0</v>
      </c>
      <c r="J145" s="559">
        <f t="shared" si="9"/>
        <v>0</v>
      </c>
    </row>
    <row r="146" spans="1:10" x14ac:dyDescent="0.4">
      <c r="A146" s="680" t="s">
        <v>429</v>
      </c>
      <c r="B146" s="78" t="str">
        <f>VLOOKUP('Area D'!B201,'Item List'!B:AJ,27,FALSE)</f>
        <v>None</v>
      </c>
      <c r="C146" s="78" t="str">
        <f>VLOOKUP(B146,'Item List'!B:AH,2,FALSE)</f>
        <v>None</v>
      </c>
      <c r="D146" s="78"/>
      <c r="E146" s="575">
        <f>VLOOKUP(B146,'Item List'!B:AM,36,FALSE)</f>
        <v>0</v>
      </c>
      <c r="F146" s="595">
        <f>VLOOKUP(B146,'Item List'!B:AH,4,FALSE)</f>
        <v>0</v>
      </c>
      <c r="G146" s="556">
        <f t="shared" ref="G146:G195" si="10">F146*E146</f>
        <v>0</v>
      </c>
      <c r="H146" s="593"/>
      <c r="I146" s="594">
        <f>ROUNDUP((E146*'Project Materials'!$L$18),0)</f>
        <v>0</v>
      </c>
      <c r="J146" s="559">
        <f t="shared" si="9"/>
        <v>0</v>
      </c>
    </row>
    <row r="147" spans="1:10" x14ac:dyDescent="0.4">
      <c r="A147" s="680" t="s">
        <v>429</v>
      </c>
      <c r="B147" s="78" t="str">
        <f>VLOOKUP('Area D'!B202,'Item List'!B:AJ,27,FALSE)</f>
        <v>None</v>
      </c>
      <c r="C147" s="78" t="str">
        <f>VLOOKUP(B147,'Item List'!B:AH,2,FALSE)</f>
        <v>None</v>
      </c>
      <c r="D147" s="78"/>
      <c r="E147" s="575">
        <f>VLOOKUP(B147,'Item List'!B:AM,36,FALSE)</f>
        <v>0</v>
      </c>
      <c r="F147" s="595">
        <f>VLOOKUP(B147,'Item List'!B:AH,4,FALSE)</f>
        <v>0</v>
      </c>
      <c r="G147" s="556">
        <f t="shared" si="10"/>
        <v>0</v>
      </c>
      <c r="H147" s="593"/>
      <c r="I147" s="594">
        <f>ROUNDUP((E147*'Project Materials'!$L$18),0)</f>
        <v>0</v>
      </c>
      <c r="J147" s="559">
        <f t="shared" si="9"/>
        <v>0</v>
      </c>
    </row>
    <row r="148" spans="1:10" x14ac:dyDescent="0.4">
      <c r="A148" s="680" t="s">
        <v>429</v>
      </c>
      <c r="B148" s="78" t="str">
        <f>VLOOKUP('Area D'!B203,'Item List'!B:AJ,27,FALSE)</f>
        <v>RCB screws- DP</v>
      </c>
      <c r="C148" s="78" t="str">
        <f>VLOOKUP(B148,'Item List'!B:AH,2,FALSE)</f>
        <v>RCB screws- Drill Points  #10 x 2" Phillips Pan SS</v>
      </c>
      <c r="D148" s="78"/>
      <c r="E148" s="575">
        <f>VLOOKUP(B148,'Item List'!B:AM,36,FALSE)</f>
        <v>0</v>
      </c>
      <c r="F148" s="595">
        <f>VLOOKUP(B148,'Item List'!B:AH,4,FALSE)</f>
        <v>7.2999999999999995E-2</v>
      </c>
      <c r="G148" s="556">
        <f t="shared" si="10"/>
        <v>0</v>
      </c>
      <c r="H148" s="593"/>
      <c r="I148" s="594">
        <f>ROUNDUP((E148*'Project Materials'!$L$18),0)</f>
        <v>0</v>
      </c>
      <c r="J148" s="559">
        <f t="shared" si="9"/>
        <v>0</v>
      </c>
    </row>
    <row r="149" spans="1:10" x14ac:dyDescent="0.4">
      <c r="A149" s="680" t="s">
        <v>429</v>
      </c>
      <c r="B149" s="78" t="str">
        <f>VLOOKUP('Area D'!B204,'Item List'!B:AJ,27,FALSE)</f>
        <v>None</v>
      </c>
      <c r="C149" s="78" t="str">
        <f>VLOOKUP(B149,'Item List'!B:AH,2,FALSE)</f>
        <v>None</v>
      </c>
      <c r="D149" s="78"/>
      <c r="E149" s="575">
        <f>VLOOKUP(B149,'Item List'!B:AM,36,FALSE)</f>
        <v>0</v>
      </c>
      <c r="F149" s="595">
        <f>VLOOKUP(B149,'Item List'!B:AH,4,FALSE)</f>
        <v>0</v>
      </c>
      <c r="G149" s="556">
        <f t="shared" si="10"/>
        <v>0</v>
      </c>
      <c r="H149" s="593"/>
      <c r="I149" s="594">
        <f>ROUNDUP((E149*'Project Materials'!$L$18),0)</f>
        <v>0</v>
      </c>
      <c r="J149" s="559">
        <f t="shared" si="9"/>
        <v>0</v>
      </c>
    </row>
    <row r="150" spans="1:10" x14ac:dyDescent="0.4">
      <c r="A150" s="680" t="s">
        <v>429</v>
      </c>
      <c r="B150" s="78" t="str">
        <f>VLOOKUP('Area D'!B205,'Item List'!B:AJ,27,FALSE)</f>
        <v>None</v>
      </c>
      <c r="C150" s="78" t="str">
        <f>VLOOKUP(B150,'Item List'!B:AH,2,FALSE)</f>
        <v>None</v>
      </c>
      <c r="D150" s="78"/>
      <c r="E150" s="575">
        <f>VLOOKUP(B150,'Item List'!B:AM,36,FALSE)</f>
        <v>0</v>
      </c>
      <c r="F150" s="595">
        <f>VLOOKUP(B150,'Item List'!B:AH,4,FALSE)</f>
        <v>0</v>
      </c>
      <c r="G150" s="556">
        <f t="shared" si="10"/>
        <v>0</v>
      </c>
      <c r="H150" s="593"/>
      <c r="I150" s="594">
        <f>ROUNDUP((E150*'Project Materials'!$L$18),0)</f>
        <v>0</v>
      </c>
      <c r="J150" s="559">
        <f t="shared" si="9"/>
        <v>0</v>
      </c>
    </row>
    <row r="151" spans="1:10" x14ac:dyDescent="0.4">
      <c r="A151" s="680" t="s">
        <v>429</v>
      </c>
      <c r="B151" s="78" t="str">
        <f>VLOOKUP('Area D'!B206,'Item List'!B:AJ,27,FALSE)</f>
        <v>None</v>
      </c>
      <c r="C151" s="78" t="str">
        <f>VLOOKUP(B151,'Item List'!B:AH,2,FALSE)</f>
        <v>None</v>
      </c>
      <c r="D151" s="78"/>
      <c r="E151" s="575">
        <f>VLOOKUP(B151,'Item List'!B:AM,36,FALSE)</f>
        <v>0</v>
      </c>
      <c r="F151" s="595">
        <f>VLOOKUP(B151,'Item List'!B:AH,4,FALSE)</f>
        <v>0</v>
      </c>
      <c r="G151" s="556">
        <f t="shared" si="10"/>
        <v>0</v>
      </c>
      <c r="H151" s="593"/>
      <c r="I151" s="594">
        <f>ROUNDUP((E151*'Project Materials'!$L$18),0)</f>
        <v>0</v>
      </c>
      <c r="J151" s="559">
        <f t="shared" si="9"/>
        <v>0</v>
      </c>
    </row>
    <row r="152" spans="1:10" x14ac:dyDescent="0.4">
      <c r="A152" s="680" t="s">
        <v>429</v>
      </c>
      <c r="B152" s="78" t="str">
        <f>VLOOKUP('Area D'!B207,'Item List'!B:AJ,27,FALSE)</f>
        <v>None</v>
      </c>
      <c r="C152" s="78" t="str">
        <f>VLOOKUP(B152,'Item List'!B:AH,2,FALSE)</f>
        <v>None</v>
      </c>
      <c r="D152" s="78"/>
      <c r="E152" s="575">
        <f>VLOOKUP(B152,'Item List'!B:AM,36,FALSE)</f>
        <v>0</v>
      </c>
      <c r="F152" s="595">
        <f>VLOOKUP(B152,'Item List'!B:AH,4,FALSE)</f>
        <v>0</v>
      </c>
      <c r="G152" s="556">
        <f t="shared" si="10"/>
        <v>0</v>
      </c>
      <c r="H152" s="593"/>
      <c r="I152" s="594">
        <f>ROUNDUP((E152*'Project Materials'!$L$18),0)</f>
        <v>0</v>
      </c>
      <c r="J152" s="559">
        <f t="shared" si="9"/>
        <v>0</v>
      </c>
    </row>
    <row r="153" spans="1:10" x14ac:dyDescent="0.4">
      <c r="A153" s="680" t="s">
        <v>429</v>
      </c>
      <c r="B153" s="78" t="str">
        <f>VLOOKUP('Area D'!B208,'Item List'!B:AJ,27,FALSE)</f>
        <v>None</v>
      </c>
      <c r="C153" s="78" t="str">
        <f>VLOOKUP(B153,'Item List'!B:AH,2,FALSE)</f>
        <v>None</v>
      </c>
      <c r="D153" s="78"/>
      <c r="E153" s="575">
        <f>VLOOKUP(B153,'Item List'!B:AM,36,FALSE)</f>
        <v>0</v>
      </c>
      <c r="F153" s="595">
        <f>VLOOKUP(B153,'Item List'!B:AH,4,FALSE)</f>
        <v>0</v>
      </c>
      <c r="G153" s="556">
        <f t="shared" si="10"/>
        <v>0</v>
      </c>
      <c r="H153" s="593"/>
      <c r="I153" s="594">
        <f>ROUNDUP((E153*'Project Materials'!$L$18),0)</f>
        <v>0</v>
      </c>
      <c r="J153" s="559">
        <f t="shared" si="9"/>
        <v>0</v>
      </c>
    </row>
    <row r="154" spans="1:10" x14ac:dyDescent="0.4">
      <c r="A154" s="680" t="s">
        <v>429</v>
      </c>
      <c r="B154" s="78" t="str">
        <f>VLOOKUP('Area D'!B209,'Item List'!B:AJ,27,FALSE)</f>
        <v>None</v>
      </c>
      <c r="C154" s="78" t="str">
        <f>VLOOKUP(B154,'Item List'!B:AH,2,FALSE)</f>
        <v>None</v>
      </c>
      <c r="D154" s="78"/>
      <c r="E154" s="575">
        <f>VLOOKUP(B154,'Item List'!B:AM,36,FALSE)</f>
        <v>0</v>
      </c>
      <c r="F154" s="595">
        <f>VLOOKUP(B154,'Item List'!B:AH,4,FALSE)</f>
        <v>0</v>
      </c>
      <c r="G154" s="556">
        <f t="shared" si="10"/>
        <v>0</v>
      </c>
      <c r="H154" s="593"/>
      <c r="I154" s="594">
        <f>ROUNDUP((E154*'Project Materials'!$L$18),0)</f>
        <v>0</v>
      </c>
      <c r="J154" s="559">
        <f t="shared" si="9"/>
        <v>0</v>
      </c>
    </row>
    <row r="155" spans="1:10" x14ac:dyDescent="0.4">
      <c r="A155" s="680" t="s">
        <v>429</v>
      </c>
      <c r="B155" s="78" t="str">
        <f>VLOOKUP('Area D'!B210,'Item List'!B:AJ,27,FALSE)</f>
        <v>None</v>
      </c>
      <c r="C155" s="78" t="str">
        <f>VLOOKUP(B155,'Item List'!B:AH,2,FALSE)</f>
        <v>None</v>
      </c>
      <c r="D155" s="78"/>
      <c r="E155" s="575">
        <f>VLOOKUP(B155,'Item List'!B:AM,36,FALSE)</f>
        <v>0</v>
      </c>
      <c r="F155" s="595">
        <f>VLOOKUP(B155,'Item List'!B:AH,4,FALSE)</f>
        <v>0</v>
      </c>
      <c r="G155" s="556">
        <f t="shared" si="10"/>
        <v>0</v>
      </c>
      <c r="H155" s="593"/>
      <c r="I155" s="594">
        <f>ROUNDUP((E155*'Project Materials'!$L$18),0)</f>
        <v>0</v>
      </c>
      <c r="J155" s="559">
        <f t="shared" si="9"/>
        <v>0</v>
      </c>
    </row>
    <row r="156" spans="1:10" x14ac:dyDescent="0.4">
      <c r="A156" s="680" t="s">
        <v>429</v>
      </c>
      <c r="B156" s="78" t="str">
        <f>VLOOKUP('Area D'!B211,'Item List'!B:AJ,27,FALSE)</f>
        <v>None</v>
      </c>
      <c r="C156" s="78" t="str">
        <f>VLOOKUP(B156,'Item List'!B:AH,2,FALSE)</f>
        <v>None</v>
      </c>
      <c r="D156" s="78"/>
      <c r="E156" s="575">
        <f>VLOOKUP(B156,'Item List'!B:AM,36,FALSE)</f>
        <v>0</v>
      </c>
      <c r="F156" s="595">
        <f>VLOOKUP(B156,'Item List'!B:AH,4,FALSE)</f>
        <v>0</v>
      </c>
      <c r="G156" s="556">
        <f t="shared" si="10"/>
        <v>0</v>
      </c>
      <c r="H156" s="593"/>
      <c r="I156" s="594">
        <f>ROUNDUP((E156*'Project Materials'!$L$18),0)</f>
        <v>0</v>
      </c>
      <c r="J156" s="559">
        <f t="shared" si="9"/>
        <v>0</v>
      </c>
    </row>
    <row r="157" spans="1:10" x14ac:dyDescent="0.4">
      <c r="A157" s="680" t="s">
        <v>429</v>
      </c>
      <c r="B157" s="78" t="str">
        <f>VLOOKUP('Area D'!B212,'Item List'!B:AJ,27,FALSE)</f>
        <v>None</v>
      </c>
      <c r="C157" s="78" t="str">
        <f>VLOOKUP(B157,'Item List'!B:AH,2,FALSE)</f>
        <v>None</v>
      </c>
      <c r="D157" s="78"/>
      <c r="E157" s="575">
        <f>VLOOKUP(B157,'Item List'!B:AM,36,FALSE)</f>
        <v>0</v>
      </c>
      <c r="F157" s="595">
        <f>VLOOKUP(B157,'Item List'!B:AH,4,FALSE)</f>
        <v>0</v>
      </c>
      <c r="G157" s="556">
        <f t="shared" si="10"/>
        <v>0</v>
      </c>
      <c r="H157" s="593"/>
      <c r="I157" s="594">
        <f>ROUNDUP((E157*'Project Materials'!$L$18),0)</f>
        <v>0</v>
      </c>
      <c r="J157" s="559">
        <f t="shared" si="9"/>
        <v>0</v>
      </c>
    </row>
    <row r="158" spans="1:10" x14ac:dyDescent="0.4">
      <c r="A158" s="680" t="s">
        <v>429</v>
      </c>
      <c r="B158" s="78" t="str">
        <f>VLOOKUP('Area D'!B213,'Item List'!B:AJ,27,FALSE)</f>
        <v>None</v>
      </c>
      <c r="C158" s="78" t="str">
        <f>VLOOKUP(B158,'Item List'!B:AH,2,FALSE)</f>
        <v>None</v>
      </c>
      <c r="D158" s="78"/>
      <c r="E158" s="575">
        <f>VLOOKUP(B158,'Item List'!B:AM,36,FALSE)</f>
        <v>0</v>
      </c>
      <c r="F158" s="595">
        <f>VLOOKUP(B158,'Item List'!B:AH,4,FALSE)</f>
        <v>0</v>
      </c>
      <c r="G158" s="556">
        <f t="shared" si="10"/>
        <v>0</v>
      </c>
      <c r="H158" s="593"/>
      <c r="I158" s="594">
        <f>ROUNDUP((E158*'Project Materials'!$L$18),0)</f>
        <v>0</v>
      </c>
      <c r="J158" s="559">
        <f t="shared" si="9"/>
        <v>0</v>
      </c>
    </row>
    <row r="159" spans="1:10" x14ac:dyDescent="0.4">
      <c r="A159" s="680" t="s">
        <v>429</v>
      </c>
      <c r="B159" s="78" t="str">
        <f>VLOOKUP('Area D'!B214,'Item List'!B:AJ,27,FALSE)</f>
        <v>None</v>
      </c>
      <c r="C159" s="78" t="str">
        <f>VLOOKUP(B159,'Item List'!B:AH,2,FALSE)</f>
        <v>None</v>
      </c>
      <c r="D159" s="78"/>
      <c r="E159" s="575">
        <f>VLOOKUP(B159,'Item List'!B:AM,36,FALSE)</f>
        <v>0</v>
      </c>
      <c r="F159" s="595">
        <f>VLOOKUP(B159,'Item List'!B:AH,4,FALSE)</f>
        <v>0</v>
      </c>
      <c r="G159" s="556">
        <f t="shared" si="10"/>
        <v>0</v>
      </c>
      <c r="H159" s="593"/>
      <c r="I159" s="594">
        <f>ROUNDUP((E159*'Project Materials'!$L$18),0)</f>
        <v>0</v>
      </c>
      <c r="J159" s="559">
        <f t="shared" si="9"/>
        <v>0</v>
      </c>
    </row>
    <row r="160" spans="1:10" x14ac:dyDescent="0.4">
      <c r="A160" s="680" t="s">
        <v>429</v>
      </c>
      <c r="B160" s="78" t="str">
        <f>VLOOKUP('Area D'!B215,'Item List'!B:AJ,27,FALSE)</f>
        <v>None</v>
      </c>
      <c r="C160" s="78" t="str">
        <f>VLOOKUP(B160,'Item List'!B:AH,2,FALSE)</f>
        <v>None</v>
      </c>
      <c r="D160" s="78"/>
      <c r="E160" s="575">
        <f>VLOOKUP(B160,'Item List'!B:AM,36,FALSE)</f>
        <v>0</v>
      </c>
      <c r="F160" s="595">
        <f>VLOOKUP(B160,'Item List'!B:AH,4,FALSE)</f>
        <v>0</v>
      </c>
      <c r="G160" s="556">
        <f t="shared" si="10"/>
        <v>0</v>
      </c>
      <c r="H160" s="593"/>
      <c r="I160" s="594">
        <f>ROUNDUP((E160*'Project Materials'!$L$18),0)</f>
        <v>0</v>
      </c>
      <c r="J160" s="559">
        <f t="shared" si="9"/>
        <v>0</v>
      </c>
    </row>
    <row r="161" spans="1:10" x14ac:dyDescent="0.4">
      <c r="A161" s="680" t="s">
        <v>429</v>
      </c>
      <c r="B161" s="78" t="str">
        <f>VLOOKUP('Area D'!B216,'Item List'!B:AJ,27,FALSE)</f>
        <v>None</v>
      </c>
      <c r="C161" s="78" t="str">
        <f>VLOOKUP(B161,'Item List'!B:AH,2,FALSE)</f>
        <v>None</v>
      </c>
      <c r="D161" s="78"/>
      <c r="E161" s="575">
        <f>VLOOKUP(B161,'Item List'!B:AM,36,FALSE)</f>
        <v>0</v>
      </c>
      <c r="F161" s="595">
        <f>VLOOKUP(B161,'Item List'!B:AH,4,FALSE)</f>
        <v>0</v>
      </c>
      <c r="G161" s="556">
        <f t="shared" si="10"/>
        <v>0</v>
      </c>
      <c r="H161" s="593"/>
      <c r="I161" s="594">
        <f>ROUNDUP((E161*'Project Materials'!$L$18),0)</f>
        <v>0</v>
      </c>
      <c r="J161" s="559">
        <f t="shared" si="9"/>
        <v>0</v>
      </c>
    </row>
    <row r="162" spans="1:10" x14ac:dyDescent="0.4">
      <c r="A162" s="680" t="s">
        <v>429</v>
      </c>
      <c r="B162" s="78" t="str">
        <f>VLOOKUP('Area D'!B217,'Item List'!B:AJ,27,FALSE)</f>
        <v>None</v>
      </c>
      <c r="C162" s="78" t="str">
        <f>VLOOKUP(B162,'Item List'!B:AH,2,FALSE)</f>
        <v>None</v>
      </c>
      <c r="D162" s="78"/>
      <c r="E162" s="575">
        <f>VLOOKUP(B162,'Item List'!B:AM,36,FALSE)</f>
        <v>0</v>
      </c>
      <c r="F162" s="595">
        <f>VLOOKUP(B162,'Item List'!B:AH,4,FALSE)</f>
        <v>0</v>
      </c>
      <c r="G162" s="556">
        <f t="shared" si="10"/>
        <v>0</v>
      </c>
      <c r="H162" s="593"/>
      <c r="I162" s="594">
        <f>ROUNDUP((E162*'Project Materials'!$L$18),0)</f>
        <v>0</v>
      </c>
      <c r="J162" s="559">
        <f t="shared" si="9"/>
        <v>0</v>
      </c>
    </row>
    <row r="163" spans="1:10" x14ac:dyDescent="0.4">
      <c r="A163" s="680" t="s">
        <v>429</v>
      </c>
      <c r="B163" s="78" t="str">
        <f>VLOOKUP('Area D'!B218,'Item List'!B:AJ,27,FALSE)</f>
        <v>None</v>
      </c>
      <c r="C163" s="78" t="str">
        <f>VLOOKUP(B163,'Item List'!B:AH,2,FALSE)</f>
        <v>None</v>
      </c>
      <c r="D163" s="78"/>
      <c r="E163" s="575">
        <f>VLOOKUP(B163,'Item List'!B:AM,36,FALSE)</f>
        <v>0</v>
      </c>
      <c r="F163" s="595">
        <f>VLOOKUP(B163,'Item List'!B:AH,4,FALSE)</f>
        <v>0</v>
      </c>
      <c r="G163" s="556">
        <f t="shared" si="10"/>
        <v>0</v>
      </c>
      <c r="H163" s="593"/>
      <c r="I163" s="594">
        <f>ROUNDUP((E163*'Project Materials'!$L$18),0)</f>
        <v>0</v>
      </c>
      <c r="J163" s="559">
        <f t="shared" si="9"/>
        <v>0</v>
      </c>
    </row>
    <row r="164" spans="1:10" x14ac:dyDescent="0.4">
      <c r="A164" s="680" t="s">
        <v>429</v>
      </c>
      <c r="B164" s="78" t="str">
        <f>VLOOKUP('Area D'!B219,'Item List'!B:AJ,27,FALSE)</f>
        <v>None</v>
      </c>
      <c r="C164" s="78" t="str">
        <f>VLOOKUP(B164,'Item List'!B:AH,2,FALSE)</f>
        <v>None</v>
      </c>
      <c r="D164" s="78"/>
      <c r="E164" s="575">
        <f>VLOOKUP(B164,'Item List'!B:AM,36,FALSE)</f>
        <v>0</v>
      </c>
      <c r="F164" s="595">
        <f>VLOOKUP(B164,'Item List'!B:AH,4,FALSE)</f>
        <v>0</v>
      </c>
      <c r="G164" s="556">
        <f t="shared" si="10"/>
        <v>0</v>
      </c>
      <c r="H164" s="593"/>
      <c r="I164" s="594">
        <f>ROUNDUP((E164*'Project Materials'!$L$18),0)</f>
        <v>0</v>
      </c>
      <c r="J164" s="559">
        <f t="shared" si="9"/>
        <v>0</v>
      </c>
    </row>
    <row r="165" spans="1:10" x14ac:dyDescent="0.4">
      <c r="A165" s="680" t="s">
        <v>429</v>
      </c>
      <c r="B165" s="78" t="str">
        <f>VLOOKUP('Area D'!B220,'Item List'!B:AJ,27,FALSE)</f>
        <v>None</v>
      </c>
      <c r="C165" s="78" t="str">
        <f>VLOOKUP(B165,'Item List'!B:AH,2,FALSE)</f>
        <v>None</v>
      </c>
      <c r="D165" s="78"/>
      <c r="E165" s="575">
        <f>VLOOKUP(B165,'Item List'!B:AM,36,FALSE)</f>
        <v>0</v>
      </c>
      <c r="F165" s="595">
        <f>VLOOKUP(B165,'Item List'!B:AH,4,FALSE)</f>
        <v>0</v>
      </c>
      <c r="G165" s="556">
        <f t="shared" si="10"/>
        <v>0</v>
      </c>
      <c r="H165" s="593"/>
      <c r="I165" s="594">
        <f>ROUNDUP((E165*'Project Materials'!$L$18),0)</f>
        <v>0</v>
      </c>
      <c r="J165" s="559">
        <f t="shared" si="9"/>
        <v>0</v>
      </c>
    </row>
    <row r="166" spans="1:10" x14ac:dyDescent="0.4">
      <c r="A166" s="680" t="s">
        <v>429</v>
      </c>
      <c r="B166" s="78" t="str">
        <f>VLOOKUP('Area D'!B221,'Item List'!B:AJ,27,FALSE)</f>
        <v>None</v>
      </c>
      <c r="C166" s="78" t="str">
        <f>VLOOKUP(B166,'Item List'!B:AH,2,FALSE)</f>
        <v>None</v>
      </c>
      <c r="D166" s="78"/>
      <c r="E166" s="575">
        <f>VLOOKUP(B166,'Item List'!B:AM,36,FALSE)</f>
        <v>0</v>
      </c>
      <c r="F166" s="595">
        <f>VLOOKUP(B166,'Item List'!B:AH,4,FALSE)</f>
        <v>0</v>
      </c>
      <c r="G166" s="556">
        <f t="shared" si="10"/>
        <v>0</v>
      </c>
      <c r="H166" s="593"/>
      <c r="I166" s="594">
        <f>ROUNDUP((E166*'Project Materials'!$L$18),0)</f>
        <v>0</v>
      </c>
      <c r="J166" s="559">
        <f t="shared" si="9"/>
        <v>0</v>
      </c>
    </row>
    <row r="167" spans="1:10" x14ac:dyDescent="0.4">
      <c r="A167" s="680" t="s">
        <v>429</v>
      </c>
      <c r="B167" s="78" t="str">
        <f>VLOOKUP('Area D'!B222,'Item List'!B:AJ,27,FALSE)</f>
        <v>None</v>
      </c>
      <c r="C167" s="78" t="str">
        <f>VLOOKUP(B167,'Item List'!B:AH,2,FALSE)</f>
        <v>None</v>
      </c>
      <c r="D167" s="78"/>
      <c r="E167" s="575">
        <f>VLOOKUP(B167,'Item List'!B:AM,36,FALSE)</f>
        <v>0</v>
      </c>
      <c r="F167" s="595">
        <f>VLOOKUP(B167,'Item List'!B:AH,4,FALSE)</f>
        <v>0</v>
      </c>
      <c r="G167" s="556">
        <f t="shared" si="10"/>
        <v>0</v>
      </c>
      <c r="H167" s="593"/>
      <c r="I167" s="594">
        <f>ROUNDUP((E167*'Project Materials'!$L$18),0)</f>
        <v>0</v>
      </c>
      <c r="J167" s="559">
        <f t="shared" si="9"/>
        <v>0</v>
      </c>
    </row>
    <row r="168" spans="1:10" x14ac:dyDescent="0.4">
      <c r="A168" s="680" t="s">
        <v>429</v>
      </c>
      <c r="B168" s="78" t="str">
        <f>VLOOKUP('Area D'!B223,'Item List'!B:AJ,27,FALSE)</f>
        <v>None</v>
      </c>
      <c r="C168" s="78" t="str">
        <f>VLOOKUP(B168,'Item List'!B:AH,2,FALSE)</f>
        <v>None</v>
      </c>
      <c r="D168" s="78"/>
      <c r="E168" s="575">
        <f>VLOOKUP(B168,'Item List'!B:AM,36,FALSE)</f>
        <v>0</v>
      </c>
      <c r="F168" s="595">
        <f>VLOOKUP(B168,'Item List'!B:AH,4,FALSE)</f>
        <v>0</v>
      </c>
      <c r="G168" s="556">
        <f t="shared" si="10"/>
        <v>0</v>
      </c>
      <c r="H168" s="593"/>
      <c r="I168" s="594">
        <f>ROUNDUP((E168*'Project Materials'!$L$18),0)</f>
        <v>0</v>
      </c>
      <c r="J168" s="559">
        <f t="shared" si="9"/>
        <v>0</v>
      </c>
    </row>
    <row r="169" spans="1:10" x14ac:dyDescent="0.4">
      <c r="A169" s="680" t="s">
        <v>429</v>
      </c>
      <c r="B169" s="78" t="str">
        <f>VLOOKUP('Area D'!B224,'Item List'!B:AJ,27,FALSE)</f>
        <v>None</v>
      </c>
      <c r="C169" s="78" t="str">
        <f>VLOOKUP(B169,'Item List'!B:AH,2,FALSE)</f>
        <v>None</v>
      </c>
      <c r="D169" s="78"/>
      <c r="E169" s="575">
        <f>VLOOKUP(B169,'Item List'!B:AM,36,FALSE)</f>
        <v>0</v>
      </c>
      <c r="F169" s="595">
        <f>VLOOKUP(B169,'Item List'!B:AH,4,FALSE)</f>
        <v>0</v>
      </c>
      <c r="G169" s="556">
        <f t="shared" si="10"/>
        <v>0</v>
      </c>
      <c r="H169" s="593"/>
      <c r="I169" s="594">
        <f>ROUNDUP((E169*'Project Materials'!$L$18),0)</f>
        <v>0</v>
      </c>
      <c r="J169" s="559">
        <f t="shared" si="9"/>
        <v>0</v>
      </c>
    </row>
    <row r="170" spans="1:10" x14ac:dyDescent="0.4">
      <c r="A170" s="680" t="s">
        <v>429</v>
      </c>
      <c r="B170" s="78" t="str">
        <f>VLOOKUP('Area D'!B225,'Item List'!B:AJ,27,FALSE)</f>
        <v>None</v>
      </c>
      <c r="C170" s="78" t="str">
        <f>VLOOKUP(B170,'Item List'!B:AH,2,FALSE)</f>
        <v>None</v>
      </c>
      <c r="D170" s="78"/>
      <c r="E170" s="575">
        <f>VLOOKUP(B170,'Item List'!B:AM,36,FALSE)</f>
        <v>0</v>
      </c>
      <c r="F170" s="595">
        <f>VLOOKUP(B170,'Item List'!B:AH,4,FALSE)</f>
        <v>0</v>
      </c>
      <c r="G170" s="556">
        <f t="shared" si="10"/>
        <v>0</v>
      </c>
      <c r="H170" s="593"/>
      <c r="I170" s="594">
        <f>ROUNDUP((E170*'Project Materials'!$L$18),0)</f>
        <v>0</v>
      </c>
      <c r="J170" s="559">
        <f t="shared" si="9"/>
        <v>0</v>
      </c>
    </row>
    <row r="171" spans="1:10" x14ac:dyDescent="0.4">
      <c r="A171" s="680" t="s">
        <v>429</v>
      </c>
      <c r="B171" s="78" t="str">
        <f>VLOOKUP('Area D'!B226,'Item List'!B:AJ,27,FALSE)</f>
        <v>None</v>
      </c>
      <c r="C171" s="78" t="str">
        <f>VLOOKUP(B171,'Item List'!B:AH,2,FALSE)</f>
        <v>None</v>
      </c>
      <c r="D171" s="78"/>
      <c r="E171" s="575">
        <f>VLOOKUP(B171,'Item List'!B:AM,36,FALSE)</f>
        <v>0</v>
      </c>
      <c r="F171" s="595">
        <f>VLOOKUP(B171,'Item List'!B:AH,4,FALSE)</f>
        <v>0</v>
      </c>
      <c r="G171" s="556">
        <f t="shared" si="10"/>
        <v>0</v>
      </c>
      <c r="H171" s="593"/>
      <c r="I171" s="594">
        <f>ROUNDUP((E171*'Project Materials'!$L$18),0)</f>
        <v>0</v>
      </c>
      <c r="J171" s="559">
        <f t="shared" si="9"/>
        <v>0</v>
      </c>
    </row>
    <row r="172" spans="1:10" x14ac:dyDescent="0.4">
      <c r="A172" s="680" t="s">
        <v>429</v>
      </c>
      <c r="B172" s="78" t="str">
        <f>VLOOKUP('Area D'!B227,'Item List'!B:AJ,27,FALSE)</f>
        <v>None</v>
      </c>
      <c r="C172" s="78" t="str">
        <f>VLOOKUP(B172,'Item List'!B:AH,2,FALSE)</f>
        <v>None</v>
      </c>
      <c r="D172" s="78"/>
      <c r="E172" s="575">
        <f>VLOOKUP(B172,'Item List'!B:AM,36,FALSE)</f>
        <v>0</v>
      </c>
      <c r="F172" s="595">
        <f>VLOOKUP(B172,'Item List'!B:AH,4,FALSE)</f>
        <v>0</v>
      </c>
      <c r="G172" s="556">
        <f t="shared" si="10"/>
        <v>0</v>
      </c>
      <c r="H172" s="593"/>
      <c r="I172" s="594">
        <f>ROUNDUP((E172*'Project Materials'!$L$18),0)</f>
        <v>0</v>
      </c>
      <c r="J172" s="559">
        <f t="shared" si="9"/>
        <v>0</v>
      </c>
    </row>
    <row r="173" spans="1:10" x14ac:dyDescent="0.4">
      <c r="A173" s="680" t="s">
        <v>429</v>
      </c>
      <c r="B173" s="78" t="str">
        <f>VLOOKUP('Area D'!B228,'Item List'!B:AJ,27,FALSE)</f>
        <v>None</v>
      </c>
      <c r="C173" s="78" t="str">
        <f>VLOOKUP(B173,'Item List'!B:AH,2,FALSE)</f>
        <v>None</v>
      </c>
      <c r="D173" s="78"/>
      <c r="E173" s="575">
        <f>VLOOKUP(B173,'Item List'!B:AM,36,FALSE)</f>
        <v>0</v>
      </c>
      <c r="F173" s="595">
        <f>VLOOKUP(B173,'Item List'!B:AH,4,FALSE)</f>
        <v>0</v>
      </c>
      <c r="G173" s="556">
        <f t="shared" si="10"/>
        <v>0</v>
      </c>
      <c r="H173" s="593"/>
      <c r="I173" s="594">
        <f>ROUNDUP((E173*'Project Materials'!$L$18),0)</f>
        <v>0</v>
      </c>
      <c r="J173" s="559">
        <f t="shared" si="9"/>
        <v>0</v>
      </c>
    </row>
    <row r="174" spans="1:10" x14ac:dyDescent="0.4">
      <c r="A174" s="680" t="s">
        <v>429</v>
      </c>
      <c r="B174" s="78" t="str">
        <f>VLOOKUP('Area D'!B229,'Item List'!B:AJ,27,FALSE)</f>
        <v>None</v>
      </c>
      <c r="C174" s="78" t="str">
        <f>VLOOKUP(B174,'Item List'!B:AH,2,FALSE)</f>
        <v>None</v>
      </c>
      <c r="D174" s="78"/>
      <c r="E174" s="575">
        <f>VLOOKUP(B174,'Item List'!B:AM,36,FALSE)</f>
        <v>0</v>
      </c>
      <c r="F174" s="595">
        <f>VLOOKUP(B174,'Item List'!B:AH,4,FALSE)</f>
        <v>0</v>
      </c>
      <c r="G174" s="556">
        <f t="shared" si="10"/>
        <v>0</v>
      </c>
      <c r="H174" s="593"/>
      <c r="I174" s="594">
        <f>ROUNDUP((E174*'Project Materials'!$L$18),0)</f>
        <v>0</v>
      </c>
      <c r="J174" s="559">
        <f t="shared" si="9"/>
        <v>0</v>
      </c>
    </row>
    <row r="175" spans="1:10" x14ac:dyDescent="0.4">
      <c r="A175" s="680" t="s">
        <v>429</v>
      </c>
      <c r="B175" s="78" t="str">
        <f>VLOOKUP('Area D'!B230,'Item List'!B:AJ,27,FALSE)</f>
        <v>None</v>
      </c>
      <c r="C175" s="78" t="str">
        <f>VLOOKUP(B175,'Item List'!B:AH,2,FALSE)</f>
        <v>None</v>
      </c>
      <c r="D175" s="78"/>
      <c r="E175" s="575">
        <f>VLOOKUP(B175,'Item List'!B:AM,36,FALSE)</f>
        <v>0</v>
      </c>
      <c r="F175" s="595">
        <f>VLOOKUP(B175,'Item List'!B:AH,4,FALSE)</f>
        <v>0</v>
      </c>
      <c r="G175" s="556">
        <f t="shared" si="10"/>
        <v>0</v>
      </c>
      <c r="H175" s="593"/>
      <c r="I175" s="594">
        <f>ROUNDUP((E175*'Project Materials'!$L$18),0)</f>
        <v>0</v>
      </c>
      <c r="J175" s="559">
        <f t="shared" si="9"/>
        <v>0</v>
      </c>
    </row>
    <row r="176" spans="1:10" x14ac:dyDescent="0.4">
      <c r="A176" s="680" t="s">
        <v>429</v>
      </c>
      <c r="B176" s="78" t="str">
        <f>VLOOKUP('Area D'!B231,'Item List'!B:AJ,27,FALSE)</f>
        <v>None</v>
      </c>
      <c r="C176" s="78" t="str">
        <f>VLOOKUP(B176,'Item List'!B:AH,2,FALSE)</f>
        <v>None</v>
      </c>
      <c r="D176" s="78"/>
      <c r="E176" s="575">
        <f>VLOOKUP(B176,'Item List'!B:AM,36,FALSE)</f>
        <v>0</v>
      </c>
      <c r="F176" s="595">
        <f>VLOOKUP(B176,'Item List'!B:AH,4,FALSE)</f>
        <v>0</v>
      </c>
      <c r="G176" s="556">
        <f t="shared" si="10"/>
        <v>0</v>
      </c>
      <c r="H176" s="593"/>
      <c r="I176" s="594">
        <f>ROUNDUP((E176*'Project Materials'!$L$18),0)</f>
        <v>0</v>
      </c>
      <c r="J176" s="559">
        <f t="shared" si="9"/>
        <v>0</v>
      </c>
    </row>
    <row r="177" spans="1:10" x14ac:dyDescent="0.4">
      <c r="A177" s="680" t="s">
        <v>429</v>
      </c>
      <c r="B177" s="78" t="str">
        <f>VLOOKUP('Area D'!B232,'Item List'!B:AJ,27,FALSE)</f>
        <v>None</v>
      </c>
      <c r="C177" s="78" t="str">
        <f>VLOOKUP(B177,'Item List'!B:AH,2,FALSE)</f>
        <v>None</v>
      </c>
      <c r="D177" s="78"/>
      <c r="E177" s="575">
        <f>VLOOKUP(B177,'Item List'!B:AM,36,FALSE)</f>
        <v>0</v>
      </c>
      <c r="F177" s="595">
        <f>VLOOKUP(B177,'Item List'!B:AH,4,FALSE)</f>
        <v>0</v>
      </c>
      <c r="G177" s="556">
        <f t="shared" si="10"/>
        <v>0</v>
      </c>
      <c r="H177" s="593"/>
      <c r="I177" s="594">
        <f>ROUNDUP((E177*'Project Materials'!$L$18),0)</f>
        <v>0</v>
      </c>
      <c r="J177" s="559">
        <f t="shared" si="9"/>
        <v>0</v>
      </c>
    </row>
    <row r="178" spans="1:10" x14ac:dyDescent="0.4">
      <c r="A178" s="680" t="s">
        <v>429</v>
      </c>
      <c r="B178" s="78" t="str">
        <f>VLOOKUP('Area D'!B233,'Item List'!B:AJ,27,FALSE)</f>
        <v>None</v>
      </c>
      <c r="C178" s="78" t="str">
        <f>VLOOKUP(B178,'Item List'!B:AH,2,FALSE)</f>
        <v>None</v>
      </c>
      <c r="D178" s="78"/>
      <c r="E178" s="575">
        <f>VLOOKUP(B178,'Item List'!B:AM,36,FALSE)</f>
        <v>0</v>
      </c>
      <c r="F178" s="595">
        <f>VLOOKUP(B178,'Item List'!B:AH,4,FALSE)</f>
        <v>0</v>
      </c>
      <c r="G178" s="556">
        <f t="shared" si="10"/>
        <v>0</v>
      </c>
      <c r="H178" s="593"/>
      <c r="I178" s="594">
        <f>ROUNDUP((E178*'Project Materials'!$L$18),0)</f>
        <v>0</v>
      </c>
      <c r="J178" s="559">
        <f t="shared" si="9"/>
        <v>0</v>
      </c>
    </row>
    <row r="179" spans="1:10" x14ac:dyDescent="0.4">
      <c r="A179" s="680" t="s">
        <v>429</v>
      </c>
      <c r="B179" s="78" t="str">
        <f>VLOOKUP('Area D'!B234,'Item List'!B:AJ,27,FALSE)</f>
        <v>None</v>
      </c>
      <c r="C179" s="78" t="str">
        <f>VLOOKUP(B179,'Item List'!B:AH,2,FALSE)</f>
        <v>None</v>
      </c>
      <c r="D179" s="78"/>
      <c r="E179" s="575">
        <f>VLOOKUP(B179,'Item List'!B:AM,36,FALSE)</f>
        <v>0</v>
      </c>
      <c r="F179" s="595">
        <f>VLOOKUP(B179,'Item List'!B:AH,4,FALSE)</f>
        <v>0</v>
      </c>
      <c r="G179" s="556">
        <f t="shared" si="10"/>
        <v>0</v>
      </c>
      <c r="H179" s="593"/>
      <c r="I179" s="594">
        <f>ROUNDUP((E179*'Project Materials'!$L$18),0)</f>
        <v>0</v>
      </c>
      <c r="J179" s="559">
        <f t="shared" ref="J179:J195" si="11">G179+(I179*F179)</f>
        <v>0</v>
      </c>
    </row>
    <row r="180" spans="1:10" x14ac:dyDescent="0.4">
      <c r="A180" s="680" t="s">
        <v>429</v>
      </c>
      <c r="B180" s="78" t="str">
        <f>VLOOKUP('Area D'!B235,'Item List'!B:AJ,27,FALSE)</f>
        <v>None</v>
      </c>
      <c r="C180" s="78" t="str">
        <f>VLOOKUP(B180,'Item List'!B:AH,2,FALSE)</f>
        <v>None</v>
      </c>
      <c r="D180" s="78"/>
      <c r="E180" s="575">
        <f>VLOOKUP(B180,'Item List'!B:AM,36,FALSE)</f>
        <v>0</v>
      </c>
      <c r="F180" s="595">
        <f>VLOOKUP(B180,'Item List'!B:AH,4,FALSE)</f>
        <v>0</v>
      </c>
      <c r="G180" s="556">
        <f t="shared" si="10"/>
        <v>0</v>
      </c>
      <c r="H180" s="593"/>
      <c r="I180" s="594">
        <f>ROUNDUP((E180*'Project Materials'!$L$18),0)</f>
        <v>0</v>
      </c>
      <c r="J180" s="559">
        <f t="shared" si="11"/>
        <v>0</v>
      </c>
    </row>
    <row r="181" spans="1:10" x14ac:dyDescent="0.4">
      <c r="A181" s="680" t="s">
        <v>429</v>
      </c>
      <c r="B181" s="78" t="str">
        <f>VLOOKUP('Area D'!B236,'Item List'!B:AJ,27,FALSE)</f>
        <v>None</v>
      </c>
      <c r="C181" s="78" t="str">
        <f>VLOOKUP(B181,'Item List'!B:AH,2,FALSE)</f>
        <v>None</v>
      </c>
      <c r="D181" s="78"/>
      <c r="E181" s="575">
        <f>VLOOKUP(B181,'Item List'!B:AM,36,FALSE)</f>
        <v>0</v>
      </c>
      <c r="F181" s="595">
        <f>VLOOKUP(B181,'Item List'!B:AH,4,FALSE)</f>
        <v>0</v>
      </c>
      <c r="G181" s="556">
        <f t="shared" si="10"/>
        <v>0</v>
      </c>
      <c r="H181" s="593"/>
      <c r="I181" s="594">
        <f>ROUNDUP((E181*'Project Materials'!$L$18),0)</f>
        <v>0</v>
      </c>
      <c r="J181" s="559">
        <f t="shared" si="11"/>
        <v>0</v>
      </c>
    </row>
    <row r="182" spans="1:10" x14ac:dyDescent="0.4">
      <c r="A182" s="680" t="s">
        <v>429</v>
      </c>
      <c r="B182" s="78" t="str">
        <f>VLOOKUP('Area D'!B237,'Item List'!B:AJ,27,FALSE)</f>
        <v>None</v>
      </c>
      <c r="C182" s="78" t="str">
        <f>VLOOKUP(B182,'Item List'!B:AH,2,FALSE)</f>
        <v>None</v>
      </c>
      <c r="D182" s="78"/>
      <c r="E182" s="575">
        <f>VLOOKUP(B182,'Item List'!B:AM,36,FALSE)</f>
        <v>0</v>
      </c>
      <c r="F182" s="595">
        <f>VLOOKUP(B182,'Item List'!B:AH,4,FALSE)</f>
        <v>0</v>
      </c>
      <c r="G182" s="556">
        <f t="shared" si="10"/>
        <v>0</v>
      </c>
      <c r="H182" s="593"/>
      <c r="I182" s="594">
        <f>ROUNDUP((E182*'Project Materials'!$L$18),0)</f>
        <v>0</v>
      </c>
      <c r="J182" s="559">
        <f t="shared" si="11"/>
        <v>0</v>
      </c>
    </row>
    <row r="183" spans="1:10" x14ac:dyDescent="0.4">
      <c r="A183" s="680" t="s">
        <v>429</v>
      </c>
      <c r="B183" s="78" t="str">
        <f>VLOOKUP('Area D'!B238,'Item List'!B:AJ,27,FALSE)</f>
        <v>None</v>
      </c>
      <c r="C183" s="78" t="str">
        <f>VLOOKUP(B183,'Item List'!B:AH,2,FALSE)</f>
        <v>None</v>
      </c>
      <c r="D183" s="78"/>
      <c r="E183" s="575">
        <f>VLOOKUP(B183,'Item List'!B:AM,36,FALSE)</f>
        <v>0</v>
      </c>
      <c r="F183" s="595">
        <f>VLOOKUP(B183,'Item List'!B:AH,4,FALSE)</f>
        <v>0</v>
      </c>
      <c r="G183" s="556">
        <f t="shared" si="10"/>
        <v>0</v>
      </c>
      <c r="H183" s="593"/>
      <c r="I183" s="594">
        <f>ROUNDUP((E183*'Project Materials'!$L$18),0)</f>
        <v>0</v>
      </c>
      <c r="J183" s="559">
        <f t="shared" si="11"/>
        <v>0</v>
      </c>
    </row>
    <row r="184" spans="1:10" x14ac:dyDescent="0.4">
      <c r="A184" s="680" t="s">
        <v>429</v>
      </c>
      <c r="B184" s="78" t="str">
        <f>VLOOKUP('Area D'!B239,'Item List'!B:AJ,27,FALSE)</f>
        <v>None</v>
      </c>
      <c r="C184" s="78" t="str">
        <f>VLOOKUP(B184,'Item List'!B:AH,2,FALSE)</f>
        <v>None</v>
      </c>
      <c r="D184" s="78"/>
      <c r="E184" s="575">
        <f>VLOOKUP(B184,'Item List'!B:AM,36,FALSE)</f>
        <v>0</v>
      </c>
      <c r="F184" s="595">
        <f>VLOOKUP(B184,'Item List'!B:AH,4,FALSE)</f>
        <v>0</v>
      </c>
      <c r="G184" s="556">
        <f t="shared" si="10"/>
        <v>0</v>
      </c>
      <c r="H184" s="593"/>
      <c r="I184" s="594">
        <f>ROUNDUP((E184*'Project Materials'!$L$18),0)</f>
        <v>0</v>
      </c>
      <c r="J184" s="559">
        <f t="shared" si="11"/>
        <v>0</v>
      </c>
    </row>
    <row r="185" spans="1:10" x14ac:dyDescent="0.4">
      <c r="A185" s="680" t="s">
        <v>429</v>
      </c>
      <c r="B185" s="78" t="str">
        <f>VLOOKUP('Area D'!B240,'Item List'!B:AJ,27,FALSE)</f>
        <v>None</v>
      </c>
      <c r="C185" s="78" t="str">
        <f>VLOOKUP(B185,'Item List'!B:AH,2,FALSE)</f>
        <v>None</v>
      </c>
      <c r="D185" s="78"/>
      <c r="E185" s="575">
        <f>VLOOKUP(B185,'Item List'!B:AM,36,FALSE)</f>
        <v>0</v>
      </c>
      <c r="F185" s="595">
        <f>VLOOKUP(B185,'Item List'!B:AH,4,FALSE)</f>
        <v>0</v>
      </c>
      <c r="G185" s="556">
        <f t="shared" si="10"/>
        <v>0</v>
      </c>
      <c r="H185" s="593"/>
      <c r="I185" s="594">
        <f>ROUNDUP((E185*'Project Materials'!$L$18),0)</f>
        <v>0</v>
      </c>
      <c r="J185" s="559">
        <f t="shared" si="11"/>
        <v>0</v>
      </c>
    </row>
    <row r="186" spans="1:10" x14ac:dyDescent="0.4">
      <c r="A186" s="680" t="s">
        <v>429</v>
      </c>
      <c r="B186" s="78" t="str">
        <f>VLOOKUP('Area D'!B241,'Item List'!B:AJ,27,FALSE)</f>
        <v>None</v>
      </c>
      <c r="C186" s="78" t="str">
        <f>VLOOKUP(B186,'Item List'!B:AH,2,FALSE)</f>
        <v>None</v>
      </c>
      <c r="D186" s="78"/>
      <c r="E186" s="575">
        <f>VLOOKUP(B186,'Item List'!B:AM,36,FALSE)</f>
        <v>0</v>
      </c>
      <c r="F186" s="595">
        <f>VLOOKUP(B186,'Item List'!B:AH,4,FALSE)</f>
        <v>0</v>
      </c>
      <c r="G186" s="556">
        <f t="shared" si="10"/>
        <v>0</v>
      </c>
      <c r="H186" s="593"/>
      <c r="I186" s="594">
        <f>ROUNDUP((E186*'Project Materials'!$L$18),0)</f>
        <v>0</v>
      </c>
      <c r="J186" s="559">
        <f t="shared" si="11"/>
        <v>0</v>
      </c>
    </row>
    <row r="187" spans="1:10" x14ac:dyDescent="0.4">
      <c r="A187" s="680" t="s">
        <v>429</v>
      </c>
      <c r="B187" s="78" t="str">
        <f>VLOOKUP('Area D'!B242,'Item List'!B:AJ,27,FALSE)</f>
        <v>None</v>
      </c>
      <c r="C187" s="78" t="str">
        <f>VLOOKUP(B187,'Item List'!B:AH,2,FALSE)</f>
        <v>None</v>
      </c>
      <c r="D187" s="78"/>
      <c r="E187" s="575">
        <f>VLOOKUP(B187,'Item List'!B:AM,36,FALSE)</f>
        <v>0</v>
      </c>
      <c r="F187" s="595">
        <f>VLOOKUP(B187,'Item List'!B:AH,4,FALSE)</f>
        <v>0</v>
      </c>
      <c r="G187" s="556">
        <f t="shared" si="10"/>
        <v>0</v>
      </c>
      <c r="H187" s="593"/>
      <c r="I187" s="594">
        <f>ROUNDUP((E187*'Project Materials'!$L$18),0)</f>
        <v>0</v>
      </c>
      <c r="J187" s="559">
        <f t="shared" si="11"/>
        <v>0</v>
      </c>
    </row>
    <row r="188" spans="1:10" x14ac:dyDescent="0.4">
      <c r="A188" s="680" t="s">
        <v>429</v>
      </c>
      <c r="B188" s="78" t="str">
        <f>VLOOKUP('Area D'!B243,'Item List'!B:AJ,27,FALSE)</f>
        <v>None</v>
      </c>
      <c r="C188" s="78" t="str">
        <f>VLOOKUP(B188,'Item List'!B:AH,2,FALSE)</f>
        <v>None</v>
      </c>
      <c r="D188" s="78"/>
      <c r="E188" s="575">
        <f>VLOOKUP(B188,'Item List'!B:AM,36,FALSE)</f>
        <v>0</v>
      </c>
      <c r="F188" s="595">
        <f>VLOOKUP(B188,'Item List'!B:AH,4,FALSE)</f>
        <v>0</v>
      </c>
      <c r="G188" s="556">
        <f t="shared" si="10"/>
        <v>0</v>
      </c>
      <c r="H188" s="593"/>
      <c r="I188" s="594">
        <f>ROUNDUP((E188*'Project Materials'!$L$18),0)</f>
        <v>0</v>
      </c>
      <c r="J188" s="559">
        <f t="shared" si="11"/>
        <v>0</v>
      </c>
    </row>
    <row r="189" spans="1:10" x14ac:dyDescent="0.4">
      <c r="A189" s="680" t="s">
        <v>429</v>
      </c>
      <c r="B189" s="78" t="str">
        <f>VLOOKUP('Area D'!B244,'Item List'!B:AJ,27,FALSE)</f>
        <v>None</v>
      </c>
      <c r="C189" s="78" t="str">
        <f>VLOOKUP(B189,'Item List'!B:AH,2,FALSE)</f>
        <v>None</v>
      </c>
      <c r="D189" s="78"/>
      <c r="E189" s="575">
        <f>VLOOKUP(B189,'Item List'!B:AM,36,FALSE)</f>
        <v>0</v>
      </c>
      <c r="F189" s="595">
        <f>VLOOKUP(B189,'Item List'!B:AH,4,FALSE)</f>
        <v>0</v>
      </c>
      <c r="G189" s="556">
        <f t="shared" si="10"/>
        <v>0</v>
      </c>
      <c r="H189" s="593"/>
      <c r="I189" s="594">
        <f>ROUNDUP((E189*'Project Materials'!$L$18),0)</f>
        <v>0</v>
      </c>
      <c r="J189" s="559">
        <f t="shared" si="11"/>
        <v>0</v>
      </c>
    </row>
    <row r="190" spans="1:10" x14ac:dyDescent="0.4">
      <c r="A190" s="680" t="s">
        <v>429</v>
      </c>
      <c r="B190" s="78" t="str">
        <f>VLOOKUP('Area D'!B245,'Item List'!B:AJ,27,FALSE)</f>
        <v>None</v>
      </c>
      <c r="C190" s="78" t="str">
        <f>VLOOKUP(B190,'Item List'!B:AH,2,FALSE)</f>
        <v>None</v>
      </c>
      <c r="D190" s="78"/>
      <c r="E190" s="575">
        <f>VLOOKUP(B190,'Item List'!B:AM,36,FALSE)</f>
        <v>0</v>
      </c>
      <c r="F190" s="595">
        <f>VLOOKUP(B190,'Item List'!B:AH,4,FALSE)</f>
        <v>0</v>
      </c>
      <c r="G190" s="556">
        <f t="shared" si="10"/>
        <v>0</v>
      </c>
      <c r="H190" s="593"/>
      <c r="I190" s="594">
        <f>ROUNDUP((E190*'Project Materials'!$L$18),0)</f>
        <v>0</v>
      </c>
      <c r="J190" s="559">
        <f t="shared" si="11"/>
        <v>0</v>
      </c>
    </row>
    <row r="191" spans="1:10" x14ac:dyDescent="0.4">
      <c r="A191" s="680" t="s">
        <v>429</v>
      </c>
      <c r="B191" s="78" t="str">
        <f>VLOOKUP('Area D'!B246,'Item List'!B:AJ,27,FALSE)</f>
        <v>None</v>
      </c>
      <c r="C191" s="78" t="str">
        <f>VLOOKUP(B191,'Item List'!B:AH,2,FALSE)</f>
        <v>None</v>
      </c>
      <c r="D191" s="78"/>
      <c r="E191" s="575">
        <f>VLOOKUP(B191,'Item List'!B:AM,36,FALSE)</f>
        <v>0</v>
      </c>
      <c r="F191" s="595">
        <f>VLOOKUP(B191,'Item List'!B:AH,4,FALSE)</f>
        <v>0</v>
      </c>
      <c r="G191" s="556">
        <f t="shared" si="10"/>
        <v>0</v>
      </c>
      <c r="H191" s="593"/>
      <c r="I191" s="594">
        <f>ROUNDUP((E191*'Project Materials'!$L$18),0)</f>
        <v>0</v>
      </c>
      <c r="J191" s="559">
        <f t="shared" si="11"/>
        <v>0</v>
      </c>
    </row>
    <row r="192" spans="1:10" x14ac:dyDescent="0.4">
      <c r="A192" s="680" t="s">
        <v>429</v>
      </c>
      <c r="B192" s="78" t="str">
        <f>VLOOKUP('Area D'!B247,'Item List'!B:AJ,27,FALSE)</f>
        <v>None</v>
      </c>
      <c r="C192" s="78" t="str">
        <f>VLOOKUP(B192,'Item List'!B:AH,2,FALSE)</f>
        <v>None</v>
      </c>
      <c r="D192" s="78"/>
      <c r="E192" s="575">
        <f>VLOOKUP(B192,'Item List'!B:AM,36,FALSE)</f>
        <v>0</v>
      </c>
      <c r="F192" s="595">
        <f>VLOOKUP(B192,'Item List'!B:AH,4,FALSE)</f>
        <v>0</v>
      </c>
      <c r="G192" s="556">
        <f t="shared" si="10"/>
        <v>0</v>
      </c>
      <c r="H192" s="593"/>
      <c r="I192" s="594">
        <f>ROUNDUP((E192*'Project Materials'!$L$18),0)</f>
        <v>0</v>
      </c>
      <c r="J192" s="559">
        <f t="shared" si="11"/>
        <v>0</v>
      </c>
    </row>
    <row r="193" spans="1:10" x14ac:dyDescent="0.4">
      <c r="A193" s="680" t="s">
        <v>429</v>
      </c>
      <c r="B193" s="78" t="str">
        <f>VLOOKUP('Area D'!B248,'Item List'!B:AJ,27,FALSE)</f>
        <v>None</v>
      </c>
      <c r="C193" s="78" t="str">
        <f>VLOOKUP(B193,'Item List'!B:AH,2,FALSE)</f>
        <v>None</v>
      </c>
      <c r="D193" s="78"/>
      <c r="E193" s="575">
        <f>VLOOKUP(B193,'Item List'!B:AM,36,FALSE)</f>
        <v>0</v>
      </c>
      <c r="F193" s="595">
        <f>VLOOKUP(B193,'Item List'!B:AH,4,FALSE)</f>
        <v>0</v>
      </c>
      <c r="G193" s="556">
        <f t="shared" si="10"/>
        <v>0</v>
      </c>
      <c r="H193" s="593"/>
      <c r="I193" s="594">
        <f>ROUNDUP((E193*'Project Materials'!$L$18),0)</f>
        <v>0</v>
      </c>
      <c r="J193" s="559">
        <f t="shared" si="11"/>
        <v>0</v>
      </c>
    </row>
    <row r="194" spans="1:10" x14ac:dyDescent="0.4">
      <c r="A194" s="680" t="s">
        <v>429</v>
      </c>
      <c r="B194" s="78" t="str">
        <f>VLOOKUP('Area D'!B249,'Item List'!B:AJ,27,FALSE)</f>
        <v>None</v>
      </c>
      <c r="C194" s="78" t="str">
        <f>VLOOKUP(B194,'Item List'!B:AH,2,FALSE)</f>
        <v>None</v>
      </c>
      <c r="D194" s="78"/>
      <c r="E194" s="575">
        <f>VLOOKUP(B194,'Item List'!B:AM,36,FALSE)</f>
        <v>0</v>
      </c>
      <c r="F194" s="595">
        <f>VLOOKUP(B194,'Item List'!B:AH,4,FALSE)</f>
        <v>0</v>
      </c>
      <c r="G194" s="556">
        <f t="shared" si="10"/>
        <v>0</v>
      </c>
      <c r="H194" s="593"/>
      <c r="I194" s="594">
        <f>ROUNDUP((E194*'Project Materials'!$L$18),0)</f>
        <v>0</v>
      </c>
      <c r="J194" s="559">
        <f t="shared" si="11"/>
        <v>0</v>
      </c>
    </row>
    <row r="195" spans="1:10" x14ac:dyDescent="0.4">
      <c r="A195" s="680" t="s">
        <v>429</v>
      </c>
      <c r="B195" s="78" t="str">
        <f>VLOOKUP('Area D'!B250,'Item List'!B:AJ,27,FALSE)</f>
        <v>None</v>
      </c>
      <c r="C195" s="585" t="str">
        <f>VLOOKUP(B195,'Item List'!B:AH,2,FALSE)</f>
        <v>None</v>
      </c>
      <c r="D195" s="585"/>
      <c r="E195" s="575">
        <f>VLOOKUP(B195,'Item List'!B:AM,36,FALSE)</f>
        <v>0</v>
      </c>
      <c r="F195" s="595">
        <f>VLOOKUP(B195,'Item List'!B:AH,4,FALSE)</f>
        <v>0</v>
      </c>
      <c r="G195" s="556">
        <f t="shared" si="10"/>
        <v>0</v>
      </c>
      <c r="H195" s="593"/>
      <c r="I195" s="594">
        <f>ROUNDUP((E195*'Project Materials'!$L$18),0)</f>
        <v>0</v>
      </c>
      <c r="J195" s="559">
        <f t="shared" si="11"/>
        <v>0</v>
      </c>
    </row>
    <row r="196" spans="1:10" ht="15" thickBot="1" x14ac:dyDescent="0.45">
      <c r="A196" s="561"/>
      <c r="B196" s="388"/>
      <c r="C196" s="388"/>
      <c r="D196" s="389"/>
      <c r="E196" s="387"/>
      <c r="F196" s="564"/>
      <c r="G196" s="386">
        <f>SUM(G47:G195)</f>
        <v>0</v>
      </c>
      <c r="H196" s="387"/>
      <c r="I196" s="564"/>
      <c r="J196" s="386">
        <f>SUM(J47:J195)</f>
        <v>0</v>
      </c>
    </row>
    <row r="197" spans="1:10" ht="16.3" thickTop="1" x14ac:dyDescent="0.45">
      <c r="A197" s="683" t="s">
        <v>429</v>
      </c>
      <c r="B197" s="683"/>
      <c r="C197" s="683"/>
      <c r="D197" s="683"/>
      <c r="E197" s="683"/>
      <c r="F197" s="683"/>
      <c r="G197" s="683"/>
      <c r="H197" s="683"/>
      <c r="I197" s="683"/>
      <c r="J197" s="683"/>
    </row>
    <row r="198" spans="1:10" x14ac:dyDescent="0.4">
      <c r="A198" s="682" t="s">
        <v>433</v>
      </c>
      <c r="B198" s="580" t="s">
        <v>11</v>
      </c>
      <c r="C198" s="580" t="s">
        <v>12</v>
      </c>
      <c r="D198" s="580"/>
      <c r="E198" s="571" t="s">
        <v>436</v>
      </c>
      <c r="F198" s="581" t="s">
        <v>437</v>
      </c>
      <c r="G198" s="581" t="s">
        <v>425</v>
      </c>
      <c r="H198" s="570" t="s">
        <v>501</v>
      </c>
      <c r="I198" s="571" t="s">
        <v>502</v>
      </c>
      <c r="J198" s="570" t="s">
        <v>500</v>
      </c>
    </row>
    <row r="199" spans="1:10" x14ac:dyDescent="0.4">
      <c r="A199" s="680" t="s">
        <v>0</v>
      </c>
      <c r="B199" s="78" t="str">
        <f>VLOOKUP('Area D'!$B$5,'Item List'!B:AJ,28,FALSE)</f>
        <v>INT-90°/650 rail</v>
      </c>
      <c r="C199" s="78" t="str">
        <f>VLOOKUP(B199,'Item List'!B:AH,2,FALSE)</f>
        <v>Internal 90° Splice Corner</v>
      </c>
      <c r="D199" s="78"/>
      <c r="E199" s="557">
        <f>VLOOKUP(B199,'Item List'!B:AM,36,FALSE)</f>
        <v>0</v>
      </c>
      <c r="F199" s="555">
        <f>VLOOKUP(B199,'Item List'!B:AJ,4,FALSE)</f>
        <v>5.47</v>
      </c>
      <c r="G199" s="555">
        <f t="shared" ref="G199:G255" si="12">F199*E199</f>
        <v>0</v>
      </c>
      <c r="H199" s="593"/>
      <c r="I199" s="594">
        <f>ROUNDUP((E199*'Project Materials'!$L$18),0)</f>
        <v>0</v>
      </c>
      <c r="J199" s="559">
        <f>G199+(I199*F199)</f>
        <v>0</v>
      </c>
    </row>
    <row r="200" spans="1:10" x14ac:dyDescent="0.4">
      <c r="A200" s="680" t="s">
        <v>0</v>
      </c>
      <c r="B200" s="78" t="str">
        <f>VLOOKUP('Area D'!$B$5,'Item List'!B:AJ,29,FALSE)</f>
        <v>None</v>
      </c>
      <c r="C200" s="78" t="str">
        <f>VLOOKUP(B200,'Item List'!B:AH,2,FALSE)</f>
        <v>None</v>
      </c>
      <c r="D200" s="78"/>
      <c r="E200" s="557">
        <f>VLOOKUP(B200,'Item List'!B:AM,36,FALSE)</f>
        <v>0</v>
      </c>
      <c r="F200" s="555">
        <f>VLOOKUP(B200,'Item List'!B:AJ,4,FALSE)</f>
        <v>0</v>
      </c>
      <c r="G200" s="555">
        <f t="shared" si="12"/>
        <v>0</v>
      </c>
      <c r="H200" s="593"/>
      <c r="I200" s="594">
        <f>ROUNDUP((E200*'Project Materials'!$L$18),0)</f>
        <v>0</v>
      </c>
      <c r="J200" s="559">
        <f t="shared" ref="J200:J263" si="13">G200+(I200*F200)</f>
        <v>0</v>
      </c>
    </row>
    <row r="201" spans="1:10" x14ac:dyDescent="0.4">
      <c r="A201" s="680" t="s">
        <v>0</v>
      </c>
      <c r="B201" s="78" t="str">
        <f>VLOOKUP('Area D'!$B$5,'Item List'!B:AJ,30,FALSE)</f>
        <v>None</v>
      </c>
      <c r="C201" s="78" t="str">
        <f>VLOOKUP(B201,'Item List'!B:AH,2,FALSE)</f>
        <v>None</v>
      </c>
      <c r="D201" s="78"/>
      <c r="E201" s="557">
        <f>IF(B201="none",0,2+'Project Materials'!L13*VLOOKUP(B201,'Item List'!B:AM,38,FALSE))</f>
        <v>0</v>
      </c>
      <c r="F201" s="555">
        <f>VLOOKUP(B201,'Item List'!B:AJ,4,FALSE)</f>
        <v>0</v>
      </c>
      <c r="G201" s="555">
        <f t="shared" si="12"/>
        <v>0</v>
      </c>
      <c r="H201" s="593"/>
      <c r="I201" s="594">
        <f>ROUNDUP((E201*'Project Materials'!$L$18),0)</f>
        <v>0</v>
      </c>
      <c r="J201" s="559">
        <f t="shared" si="13"/>
        <v>0</v>
      </c>
    </row>
    <row r="202" spans="1:10" x14ac:dyDescent="0.4">
      <c r="A202" s="680" t="s">
        <v>0</v>
      </c>
      <c r="B202" s="78" t="str">
        <f>VLOOKUP('Area D'!$B$5,'Item List'!B:AJ,31,FALSE)</f>
        <v>None</v>
      </c>
      <c r="C202" s="78" t="str">
        <f>VLOOKUP(B202,'Item List'!B:AH,2,FALSE)</f>
        <v>None</v>
      </c>
      <c r="D202" s="78"/>
      <c r="E202" s="557">
        <f>VLOOKUP(B202,'Item List'!B:AM,36,FALSE)</f>
        <v>0</v>
      </c>
      <c r="F202" s="555">
        <f>VLOOKUP(B202,'Item List'!B:AJ,4,FALSE)</f>
        <v>0</v>
      </c>
      <c r="G202" s="555">
        <f t="shared" si="12"/>
        <v>0</v>
      </c>
      <c r="H202" s="593"/>
      <c r="I202" s="594">
        <f>ROUNDUP((E202*'Project Materials'!$L$18),0)</f>
        <v>0</v>
      </c>
      <c r="J202" s="559">
        <f t="shared" si="13"/>
        <v>0</v>
      </c>
    </row>
    <row r="203" spans="1:10" x14ac:dyDescent="0.4">
      <c r="A203" s="680" t="s">
        <v>413</v>
      </c>
      <c r="B203" s="642" t="str">
        <f>VLOOKUP('Area D'!$B$6,'Item List'!B:AJ,28,FALSE)</f>
        <v>RCB2</v>
      </c>
      <c r="C203" s="78" t="str">
        <f>VLOOKUP(B203,'Item List'!B:AH,2,FALSE)</f>
        <v>Rail Connecting Block for BR 200 (1")</v>
      </c>
      <c r="D203" s="78"/>
      <c r="E203" s="557">
        <f>VLOOKUP(B203,'Item List'!B:AM,36,FALSE)</f>
        <v>0</v>
      </c>
      <c r="F203" s="555">
        <f>VLOOKUP(B203,'Item List'!B:AJ,4,FALSE)</f>
        <v>0.28000000000000003</v>
      </c>
      <c r="G203" s="555">
        <f t="shared" si="12"/>
        <v>0</v>
      </c>
      <c r="H203" s="593"/>
      <c r="I203" s="594">
        <f>ROUNDUP((E203*'Project Materials'!$L$18),0)</f>
        <v>0</v>
      </c>
      <c r="J203" s="559">
        <f t="shared" si="13"/>
        <v>0</v>
      </c>
    </row>
    <row r="204" spans="1:10" x14ac:dyDescent="0.4">
      <c r="A204" s="680" t="s">
        <v>413</v>
      </c>
      <c r="B204" s="78" t="str">
        <f>VLOOKUP('Area D'!$B$6,'Item List'!B:AJ,29,FALSE)</f>
        <v>None</v>
      </c>
      <c r="C204" s="78" t="str">
        <f>VLOOKUP(B204,'Item List'!B:AH,2,FALSE)</f>
        <v>None</v>
      </c>
      <c r="D204" s="78"/>
      <c r="E204" s="557">
        <f>VLOOKUP(B204,'Item List'!B:AM,36,FALSE)</f>
        <v>0</v>
      </c>
      <c r="F204" s="555">
        <f>VLOOKUP(B204,'Item List'!B:AJ,4,FALSE)</f>
        <v>0</v>
      </c>
      <c r="G204" s="555">
        <f t="shared" si="12"/>
        <v>0</v>
      </c>
      <c r="H204" s="593"/>
      <c r="I204" s="594">
        <f>ROUNDUP((E204*'Project Materials'!$L$18),0)</f>
        <v>0</v>
      </c>
      <c r="J204" s="559">
        <f t="shared" si="13"/>
        <v>0</v>
      </c>
    </row>
    <row r="205" spans="1:10" x14ac:dyDescent="0.4">
      <c r="A205" s="680" t="s">
        <v>413</v>
      </c>
      <c r="B205" s="78" t="str">
        <f>VLOOKUP('Area D'!$B$6,'Item List'!B:AJ,30,FALSE)</f>
        <v>None</v>
      </c>
      <c r="C205" s="78" t="str">
        <f>VLOOKUP(B205,'Item List'!B:AH,2,FALSE)</f>
        <v>None</v>
      </c>
      <c r="D205" s="78"/>
      <c r="E205" s="557">
        <f>VLOOKUP(B205,'Item List'!B:AM,36,FALSE)</f>
        <v>0</v>
      </c>
      <c r="F205" s="555">
        <f>VLOOKUP(B205,'Item List'!B:AJ,4,FALSE)</f>
        <v>0</v>
      </c>
      <c r="G205" s="555">
        <f t="shared" si="12"/>
        <v>0</v>
      </c>
      <c r="H205" s="593"/>
      <c r="I205" s="594">
        <f>ROUNDUP((E205*'Project Materials'!$L$18),0)</f>
        <v>0</v>
      </c>
      <c r="J205" s="559">
        <f t="shared" si="13"/>
        <v>0</v>
      </c>
    </row>
    <row r="206" spans="1:10" x14ac:dyDescent="0.4">
      <c r="A206" s="680" t="s">
        <v>413</v>
      </c>
      <c r="B206" s="78" t="str">
        <f>VLOOKUP('Area D'!$B$6,'Item List'!B:AJ,31,FALSE)</f>
        <v>None</v>
      </c>
      <c r="C206" s="78" t="str">
        <f>VLOOKUP(B206,'Item List'!B:AH,2,FALSE)</f>
        <v>None</v>
      </c>
      <c r="D206" s="78"/>
      <c r="E206" s="557">
        <f>VLOOKUP(B206,'Item List'!B:AM,36,FALSE)</f>
        <v>0</v>
      </c>
      <c r="F206" s="555">
        <f>VLOOKUP(B206,'Item List'!B:AJ,4,FALSE)</f>
        <v>0</v>
      </c>
      <c r="G206" s="555">
        <f t="shared" si="12"/>
        <v>0</v>
      </c>
      <c r="H206" s="593"/>
      <c r="I206" s="594">
        <f>ROUNDUP((E206*'Project Materials'!$L$18),0)</f>
        <v>0</v>
      </c>
      <c r="J206" s="559">
        <f t="shared" si="13"/>
        <v>0</v>
      </c>
    </row>
    <row r="207" spans="1:10" x14ac:dyDescent="0.4">
      <c r="A207" s="680" t="s">
        <v>4</v>
      </c>
      <c r="B207" s="78" t="str">
        <f>VLOOKUP('Area D'!B12,'Item List'!B:AJ,28,FALSE)</f>
        <v>None</v>
      </c>
      <c r="C207" s="78" t="str">
        <f>VLOOKUP(B207,'Item List'!B:AH,2,FALSE)</f>
        <v>None</v>
      </c>
      <c r="D207" s="78"/>
      <c r="E207" s="557">
        <f>VLOOKUP(B207,'Item List'!B:AM,36,FALSE)</f>
        <v>0</v>
      </c>
      <c r="F207" s="555">
        <f>VLOOKUP(B207,'Item List'!B:AJ,4,FALSE)</f>
        <v>0</v>
      </c>
      <c r="G207" s="555">
        <f t="shared" si="12"/>
        <v>0</v>
      </c>
      <c r="H207" s="593"/>
      <c r="I207" s="594">
        <f>ROUNDUP((E207*'Project Materials'!$L$18),0)</f>
        <v>0</v>
      </c>
      <c r="J207" s="559">
        <f t="shared" si="13"/>
        <v>0</v>
      </c>
    </row>
    <row r="208" spans="1:10" x14ac:dyDescent="0.4">
      <c r="A208" s="680" t="s">
        <v>4</v>
      </c>
      <c r="B208" s="78" t="str">
        <f>VLOOKUP('Area D'!B12,'Item List'!B:AJ,29,FALSE)</f>
        <v>None</v>
      </c>
      <c r="C208" s="78" t="str">
        <f>VLOOKUP(B208,'Item List'!B:AH,2,FALSE)</f>
        <v>None</v>
      </c>
      <c r="D208" s="78"/>
      <c r="E208" s="557">
        <f>VLOOKUP(B208,'Item List'!B:AM,36,FALSE)</f>
        <v>0</v>
      </c>
      <c r="F208" s="555">
        <f>VLOOKUP(B208,'Item List'!B:AJ,4,FALSE)</f>
        <v>0</v>
      </c>
      <c r="G208" s="555">
        <f t="shared" si="12"/>
        <v>0</v>
      </c>
      <c r="H208" s="593"/>
      <c r="I208" s="594">
        <f>ROUNDUP((E208*'Project Materials'!$L$18),0)</f>
        <v>0</v>
      </c>
      <c r="J208" s="559">
        <f t="shared" si="13"/>
        <v>0</v>
      </c>
    </row>
    <row r="209" spans="1:10" x14ac:dyDescent="0.4">
      <c r="A209" s="680" t="s">
        <v>4</v>
      </c>
      <c r="B209" s="78" t="str">
        <f>VLOOKUP('Area D'!B12,'Item List'!B:AJ,30,FALSE)</f>
        <v>None</v>
      </c>
      <c r="C209" s="78" t="str">
        <f>VLOOKUP(B209,'Item List'!B:AH,2,FALSE)</f>
        <v>None</v>
      </c>
      <c r="D209" s="78"/>
      <c r="E209" s="557">
        <f>VLOOKUP(B209,'Item List'!B:AM,36,FALSE)</f>
        <v>0</v>
      </c>
      <c r="F209" s="555">
        <f>VLOOKUP(B209,'Item List'!B:AJ,4,FALSE)</f>
        <v>0</v>
      </c>
      <c r="G209" s="555">
        <f t="shared" si="12"/>
        <v>0</v>
      </c>
      <c r="H209" s="593"/>
      <c r="I209" s="594">
        <f>ROUNDUP((E209*'Project Materials'!$L$18),0)</f>
        <v>0</v>
      </c>
      <c r="J209" s="559">
        <f t="shared" si="13"/>
        <v>0</v>
      </c>
    </row>
    <row r="210" spans="1:10" x14ac:dyDescent="0.4">
      <c r="A210" s="680" t="s">
        <v>4</v>
      </c>
      <c r="B210" s="78" t="str">
        <f>VLOOKUP('Area D'!B12,'Item List'!B:AJ,31,FALSE)</f>
        <v>None</v>
      </c>
      <c r="C210" s="78" t="str">
        <f>VLOOKUP(B210,'Item List'!B:AH,2,FALSE)</f>
        <v>None</v>
      </c>
      <c r="D210" s="78"/>
      <c r="E210" s="557">
        <f>VLOOKUP(B210,'Item List'!B:AM,36,FALSE)</f>
        <v>0</v>
      </c>
      <c r="F210" s="555">
        <f>VLOOKUP(B210,'Item List'!B:AJ,4,FALSE)</f>
        <v>0</v>
      </c>
      <c r="G210" s="555">
        <f t="shared" si="12"/>
        <v>0</v>
      </c>
      <c r="H210" s="593"/>
      <c r="I210" s="594">
        <f>ROUNDUP((E210*'Project Materials'!$L$18),0)</f>
        <v>0</v>
      </c>
      <c r="J210" s="559">
        <f t="shared" si="13"/>
        <v>0</v>
      </c>
    </row>
    <row r="211" spans="1:10" x14ac:dyDescent="0.4">
      <c r="A211" s="680" t="s">
        <v>448</v>
      </c>
      <c r="B211" s="78" t="str">
        <f>VLOOKUP('Area D'!B29,'Item List'!B:AJ,28,FALSE)</f>
        <v>None</v>
      </c>
      <c r="C211" s="78" t="str">
        <f>VLOOKUP(B211,'Item List'!B:AH,2,FALSE)</f>
        <v>None</v>
      </c>
      <c r="D211" s="78"/>
      <c r="E211" s="557">
        <f>VLOOKUP(B211,'Item List'!B:AM,36,FALSE)</f>
        <v>0</v>
      </c>
      <c r="F211" s="555">
        <f>VLOOKUP(B211,'Item List'!B:AJ,4,FALSE)</f>
        <v>0</v>
      </c>
      <c r="G211" s="555">
        <f t="shared" si="12"/>
        <v>0</v>
      </c>
      <c r="H211" s="593"/>
      <c r="I211" s="594">
        <f>ROUNDUP((E211*'Project Materials'!$L$18),0)</f>
        <v>0</v>
      </c>
      <c r="J211" s="559">
        <f t="shared" si="13"/>
        <v>0</v>
      </c>
    </row>
    <row r="212" spans="1:10" x14ac:dyDescent="0.4">
      <c r="A212" s="680" t="s">
        <v>448</v>
      </c>
      <c r="B212" s="78" t="str">
        <f>VLOOKUP('Area D'!B29,'Item List'!B:AJ,29,FALSE)</f>
        <v>None</v>
      </c>
      <c r="C212" s="78" t="str">
        <f>VLOOKUP(B212,'Item List'!B:AH,2,FALSE)</f>
        <v>None</v>
      </c>
      <c r="D212" s="78"/>
      <c r="E212" s="557">
        <f>VLOOKUP(B212,'Item List'!B:AM,36,FALSE)</f>
        <v>0</v>
      </c>
      <c r="F212" s="555">
        <f>VLOOKUP(B212,'Item List'!B:AJ,4,FALSE)</f>
        <v>0</v>
      </c>
      <c r="G212" s="555">
        <f t="shared" si="12"/>
        <v>0</v>
      </c>
      <c r="H212" s="593"/>
      <c r="I212" s="594">
        <f>ROUNDUP((E212*'Project Materials'!$L$18),0)</f>
        <v>0</v>
      </c>
      <c r="J212" s="559">
        <f t="shared" si="13"/>
        <v>0</v>
      </c>
    </row>
    <row r="213" spans="1:10" x14ac:dyDescent="0.4">
      <c r="A213" s="680" t="s">
        <v>448</v>
      </c>
      <c r="B213" s="78" t="str">
        <f>VLOOKUP('Area D'!B29,'Item List'!B:AJ,30,FALSE)</f>
        <v>None</v>
      </c>
      <c r="C213" s="78" t="str">
        <f>VLOOKUP(B213,'Item List'!B:AH,2,FALSE)</f>
        <v>None</v>
      </c>
      <c r="D213" s="78"/>
      <c r="E213" s="557">
        <f>VLOOKUP(B213,'Item List'!B:AM,36,FALSE)</f>
        <v>0</v>
      </c>
      <c r="F213" s="555">
        <f>VLOOKUP(B213,'Item List'!B:AJ,4,FALSE)</f>
        <v>0</v>
      </c>
      <c r="G213" s="555">
        <f t="shared" si="12"/>
        <v>0</v>
      </c>
      <c r="H213" s="593"/>
      <c r="I213" s="594">
        <f>ROUNDUP((E213*'Project Materials'!$L$18),0)</f>
        <v>0</v>
      </c>
      <c r="J213" s="559">
        <f t="shared" si="13"/>
        <v>0</v>
      </c>
    </row>
    <row r="214" spans="1:10" x14ac:dyDescent="0.4">
      <c r="A214" s="680" t="s">
        <v>448</v>
      </c>
      <c r="B214" s="78" t="str">
        <f>VLOOKUP('Area D'!B29,'Item List'!B:AJ,31,FALSE)</f>
        <v>None</v>
      </c>
      <c r="C214" s="78" t="str">
        <f>VLOOKUP(B214,'Item List'!B:AH,2,FALSE)</f>
        <v>None</v>
      </c>
      <c r="D214" s="78"/>
      <c r="E214" s="557">
        <f>VLOOKUP(B214,'Item List'!B:AM,36,FALSE)</f>
        <v>0</v>
      </c>
      <c r="F214" s="555">
        <f>VLOOKUP(B214,'Item List'!B:AJ,4,FALSE)</f>
        <v>0</v>
      </c>
      <c r="G214" s="555">
        <f t="shared" si="12"/>
        <v>0</v>
      </c>
      <c r="H214" s="593"/>
      <c r="I214" s="594">
        <f>ROUNDUP((E214*'Project Materials'!$L$18),0)</f>
        <v>0</v>
      </c>
      <c r="J214" s="559">
        <f t="shared" si="13"/>
        <v>0</v>
      </c>
    </row>
    <row r="215" spans="1:10" x14ac:dyDescent="0.4">
      <c r="A215" s="680" t="s">
        <v>448</v>
      </c>
      <c r="B215" s="78" t="str">
        <f>VLOOKUP('Area D'!B30,'Item List'!B:AJ,28,FALSE)</f>
        <v>None</v>
      </c>
      <c r="C215" s="78" t="str">
        <f>VLOOKUP(B215,'Item List'!B:AH,2,FALSE)</f>
        <v>None</v>
      </c>
      <c r="D215" s="78"/>
      <c r="E215" s="557">
        <f>VLOOKUP(B215,'Item List'!B:AM,36,FALSE)</f>
        <v>0</v>
      </c>
      <c r="F215" s="555">
        <f>VLOOKUP(B215,'Item List'!B:AJ,4,FALSE)</f>
        <v>0</v>
      </c>
      <c r="G215" s="555">
        <f t="shared" si="12"/>
        <v>0</v>
      </c>
      <c r="H215" s="593"/>
      <c r="I215" s="594">
        <f>ROUNDUP((E215*'Project Materials'!$L$18),0)</f>
        <v>0</v>
      </c>
      <c r="J215" s="559">
        <f t="shared" si="13"/>
        <v>0</v>
      </c>
    </row>
    <row r="216" spans="1:10" x14ac:dyDescent="0.4">
      <c r="A216" s="680" t="s">
        <v>448</v>
      </c>
      <c r="B216" s="78" t="str">
        <f>VLOOKUP('Area D'!B30,'Item List'!B:AJ,29,FALSE)</f>
        <v>None</v>
      </c>
      <c r="C216" s="78" t="str">
        <f>VLOOKUP(B216,'Item List'!B:AH,2,FALSE)</f>
        <v>None</v>
      </c>
      <c r="D216" s="78"/>
      <c r="E216" s="557">
        <f>VLOOKUP(B216,'Item List'!B:AM,36,FALSE)</f>
        <v>0</v>
      </c>
      <c r="F216" s="555">
        <f>VLOOKUP(B216,'Item List'!B:AJ,4,FALSE)</f>
        <v>0</v>
      </c>
      <c r="G216" s="555">
        <f t="shared" si="12"/>
        <v>0</v>
      </c>
      <c r="H216" s="593"/>
      <c r="I216" s="594">
        <f>ROUNDUP((E216*'Project Materials'!$L$18),0)</f>
        <v>0</v>
      </c>
      <c r="J216" s="559">
        <f t="shared" si="13"/>
        <v>0</v>
      </c>
    </row>
    <row r="217" spans="1:10" x14ac:dyDescent="0.4">
      <c r="A217" s="680" t="s">
        <v>448</v>
      </c>
      <c r="B217" s="78" t="str">
        <f>VLOOKUP('Area D'!B30,'Item List'!B:AJ,30,FALSE)</f>
        <v>None</v>
      </c>
      <c r="C217" s="78" t="str">
        <f>VLOOKUP(B217,'Item List'!B:AH,2,FALSE)</f>
        <v>None</v>
      </c>
      <c r="D217" s="78"/>
      <c r="E217" s="557">
        <f>VLOOKUP(B217,'Item List'!B:AM,36,FALSE)</f>
        <v>0</v>
      </c>
      <c r="F217" s="555">
        <f>VLOOKUP(B217,'Item List'!B:AJ,4,FALSE)</f>
        <v>0</v>
      </c>
      <c r="G217" s="555">
        <f t="shared" si="12"/>
        <v>0</v>
      </c>
      <c r="H217" s="593"/>
      <c r="I217" s="594">
        <f>ROUNDUP((E217*'Project Materials'!$L$18),0)</f>
        <v>0</v>
      </c>
      <c r="J217" s="559">
        <f t="shared" si="13"/>
        <v>0</v>
      </c>
    </row>
    <row r="218" spans="1:10" x14ac:dyDescent="0.4">
      <c r="A218" s="680" t="s">
        <v>448</v>
      </c>
      <c r="B218" s="78" t="str">
        <f>VLOOKUP('Area D'!B30,'Item List'!B:AJ,31,FALSE)</f>
        <v>None</v>
      </c>
      <c r="C218" s="78" t="str">
        <f>VLOOKUP(B218,'Item List'!B:AH,2,FALSE)</f>
        <v>None</v>
      </c>
      <c r="D218" s="78"/>
      <c r="E218" s="557">
        <f>VLOOKUP(B218,'Item List'!B:AM,36,FALSE)</f>
        <v>0</v>
      </c>
      <c r="F218" s="555">
        <f>VLOOKUP(B218,'Item List'!B:AJ,4,FALSE)</f>
        <v>0</v>
      </c>
      <c r="G218" s="555">
        <f t="shared" si="12"/>
        <v>0</v>
      </c>
      <c r="H218" s="593"/>
      <c r="I218" s="594">
        <f>ROUNDUP((E218*'Project Materials'!$L$18),0)</f>
        <v>0</v>
      </c>
      <c r="J218" s="559">
        <f t="shared" si="13"/>
        <v>0</v>
      </c>
    </row>
    <row r="219" spans="1:10" x14ac:dyDescent="0.4">
      <c r="A219" s="680" t="s">
        <v>449</v>
      </c>
      <c r="B219" s="78" t="str">
        <f>VLOOKUP('Area D'!B31,'Item List'!B:AJ,28,FALSE)</f>
        <v>None</v>
      </c>
      <c r="C219" s="78" t="str">
        <f>VLOOKUP(B219,'Item List'!B:AH,2,FALSE)</f>
        <v>None</v>
      </c>
      <c r="D219" s="78"/>
      <c r="E219" s="557">
        <f>VLOOKUP(B219,'Item List'!B:AM,36,FALSE)</f>
        <v>0</v>
      </c>
      <c r="F219" s="555">
        <f>VLOOKUP(B219,'Item List'!B:AJ,4,FALSE)</f>
        <v>0</v>
      </c>
      <c r="G219" s="555">
        <f t="shared" si="12"/>
        <v>0</v>
      </c>
      <c r="H219" s="593"/>
      <c r="I219" s="594">
        <f>ROUNDUP((E219*'Project Materials'!$L$18),0)</f>
        <v>0</v>
      </c>
      <c r="J219" s="559">
        <f t="shared" si="13"/>
        <v>0</v>
      </c>
    </row>
    <row r="220" spans="1:10" x14ac:dyDescent="0.4">
      <c r="A220" s="680" t="s">
        <v>449</v>
      </c>
      <c r="B220" s="78" t="str">
        <f>VLOOKUP('Area D'!B31,'Item List'!B:AJ,29,FALSE)</f>
        <v>None</v>
      </c>
      <c r="C220" s="78" t="str">
        <f>VLOOKUP(B220,'Item List'!B:AH,2,FALSE)</f>
        <v>None</v>
      </c>
      <c r="D220" s="78"/>
      <c r="E220" s="557">
        <f>VLOOKUP(B220,'Item List'!B:AM,36,FALSE)</f>
        <v>0</v>
      </c>
      <c r="F220" s="555">
        <f>VLOOKUP(B220,'Item List'!B:AJ,4,FALSE)</f>
        <v>0</v>
      </c>
      <c r="G220" s="555">
        <f t="shared" si="12"/>
        <v>0</v>
      </c>
      <c r="H220" s="593"/>
      <c r="I220" s="594">
        <f>ROUNDUP((E220*'Project Materials'!$L$18),0)</f>
        <v>0</v>
      </c>
      <c r="J220" s="559">
        <f t="shared" si="13"/>
        <v>0</v>
      </c>
    </row>
    <row r="221" spans="1:10" x14ac:dyDescent="0.4">
      <c r="A221" s="680" t="s">
        <v>449</v>
      </c>
      <c r="B221" s="78" t="str">
        <f>VLOOKUP('Area D'!B31,'Item List'!B:AJ,30,FALSE)</f>
        <v>None</v>
      </c>
      <c r="C221" s="78" t="str">
        <f>VLOOKUP(B221,'Item List'!B:AH,2,FALSE)</f>
        <v>None</v>
      </c>
      <c r="D221" s="78"/>
      <c r="E221" s="557">
        <f>VLOOKUP(B222,'Item List'!B:AM,36,FALSE)</f>
        <v>0</v>
      </c>
      <c r="F221" s="555">
        <f>VLOOKUP(B221,'Item List'!B:AJ,4,FALSE)</f>
        <v>0</v>
      </c>
      <c r="G221" s="555">
        <f t="shared" si="12"/>
        <v>0</v>
      </c>
      <c r="H221" s="593"/>
      <c r="I221" s="594">
        <f>ROUNDUP((E221*'Project Materials'!$L$18),0)</f>
        <v>0</v>
      </c>
      <c r="J221" s="559">
        <f t="shared" si="13"/>
        <v>0</v>
      </c>
    </row>
    <row r="222" spans="1:10" x14ac:dyDescent="0.4">
      <c r="A222" s="680" t="s">
        <v>449</v>
      </c>
      <c r="B222" s="78" t="str">
        <f>VLOOKUP('Area D'!B31,'Item List'!B:AJ,31,FALSE)</f>
        <v>None</v>
      </c>
      <c r="C222" s="78" t="str">
        <f>VLOOKUP(B222,'Item List'!B:AH,2,FALSE)</f>
        <v>None</v>
      </c>
      <c r="D222" s="78"/>
      <c r="E222" s="557">
        <f>VLOOKUP(B222,'Item List'!B:AM,36,FALSE)</f>
        <v>0</v>
      </c>
      <c r="F222" s="555">
        <f>VLOOKUP(B222,'Item List'!B:AJ,4,FALSE)</f>
        <v>0</v>
      </c>
      <c r="G222" s="555">
        <f t="shared" si="12"/>
        <v>0</v>
      </c>
      <c r="H222" s="593"/>
      <c r="I222" s="594">
        <f>ROUNDUP((E222*'Project Materials'!$L$18),0)</f>
        <v>0</v>
      </c>
      <c r="J222" s="559">
        <f t="shared" si="13"/>
        <v>0</v>
      </c>
    </row>
    <row r="223" spans="1:10" x14ac:dyDescent="0.4">
      <c r="A223" s="680" t="s">
        <v>449</v>
      </c>
      <c r="B223" s="78" t="str">
        <f>VLOOKUP('Area D'!B32,'Item List'!B:AJ,28,FALSE)</f>
        <v>None</v>
      </c>
      <c r="C223" s="78" t="str">
        <f>VLOOKUP(B223,'Item List'!B:AH,2,FALSE)</f>
        <v>None</v>
      </c>
      <c r="D223" s="78"/>
      <c r="E223" s="557">
        <f>VLOOKUP(B223,'Item List'!B:AM,36,FALSE)</f>
        <v>0</v>
      </c>
      <c r="F223" s="555">
        <f>VLOOKUP(B223,'Item List'!B:AJ,4,FALSE)</f>
        <v>0</v>
      </c>
      <c r="G223" s="555">
        <f t="shared" si="12"/>
        <v>0</v>
      </c>
      <c r="H223" s="593"/>
      <c r="I223" s="594">
        <f>ROUNDUP((E223*'Project Materials'!$L$18),0)</f>
        <v>0</v>
      </c>
      <c r="J223" s="559">
        <f t="shared" si="13"/>
        <v>0</v>
      </c>
    </row>
    <row r="224" spans="1:10" x14ac:dyDescent="0.4">
      <c r="A224" s="680" t="s">
        <v>449</v>
      </c>
      <c r="B224" s="78" t="str">
        <f>VLOOKUP('Area D'!B32,'Item List'!B:AJ,29,FALSE)</f>
        <v>None</v>
      </c>
      <c r="C224" s="78" t="str">
        <f>VLOOKUP(B224,'Item List'!B:AH,2,FALSE)</f>
        <v>None</v>
      </c>
      <c r="D224" s="78"/>
      <c r="E224" s="557">
        <f>VLOOKUP(B224,'Item List'!B:AM,36,FALSE)</f>
        <v>0</v>
      </c>
      <c r="F224" s="555">
        <f>VLOOKUP(B224,'Item List'!B:AJ,4,FALSE)</f>
        <v>0</v>
      </c>
      <c r="G224" s="555">
        <f t="shared" si="12"/>
        <v>0</v>
      </c>
      <c r="H224" s="593"/>
      <c r="I224" s="594">
        <f>ROUNDUP((E224*'Project Materials'!$L$18),0)</f>
        <v>0</v>
      </c>
      <c r="J224" s="559">
        <f t="shared" si="13"/>
        <v>0</v>
      </c>
    </row>
    <row r="225" spans="1:10" x14ac:dyDescent="0.4">
      <c r="A225" s="680" t="s">
        <v>449</v>
      </c>
      <c r="B225" s="78" t="str">
        <f>VLOOKUP('Area D'!B32,'Item List'!B:AJ,30,FALSE)</f>
        <v>None</v>
      </c>
      <c r="C225" s="78" t="str">
        <f>VLOOKUP(B225,'Item List'!B:AH,2,FALSE)</f>
        <v>None</v>
      </c>
      <c r="D225" s="78"/>
      <c r="E225" s="557">
        <f>VLOOKUP(B225,'Item List'!B:AM,36,FALSE)</f>
        <v>0</v>
      </c>
      <c r="F225" s="555">
        <f>VLOOKUP(B225,'Item List'!B:AJ,4,FALSE)</f>
        <v>0</v>
      </c>
      <c r="G225" s="555">
        <f t="shared" si="12"/>
        <v>0</v>
      </c>
      <c r="H225" s="593"/>
      <c r="I225" s="594">
        <f>ROUNDUP((E225*'Project Materials'!$L$18),0)</f>
        <v>0</v>
      </c>
      <c r="J225" s="559">
        <f t="shared" si="13"/>
        <v>0</v>
      </c>
    </row>
    <row r="226" spans="1:10" x14ac:dyDescent="0.4">
      <c r="A226" s="680" t="s">
        <v>449</v>
      </c>
      <c r="B226" s="78" t="str">
        <f>VLOOKUP('Area D'!B32,'Item List'!B:AJ,31,FALSE)</f>
        <v>None</v>
      </c>
      <c r="C226" s="78" t="str">
        <f>VLOOKUP(B226,'Item List'!B:AH,2,FALSE)</f>
        <v>None</v>
      </c>
      <c r="D226" s="78"/>
      <c r="E226" s="557">
        <f>VLOOKUP(B226,'Item List'!B:AM,36,FALSE)</f>
        <v>0</v>
      </c>
      <c r="F226" s="555">
        <f>VLOOKUP(B226,'Item List'!B:AJ,4,FALSE)</f>
        <v>0</v>
      </c>
      <c r="G226" s="555">
        <f t="shared" si="12"/>
        <v>0</v>
      </c>
      <c r="H226" s="593"/>
      <c r="I226" s="594">
        <f>ROUNDUP((E226*'Project Materials'!$L$18),0)</f>
        <v>0</v>
      </c>
      <c r="J226" s="559">
        <f t="shared" si="13"/>
        <v>0</v>
      </c>
    </row>
    <row r="227" spans="1:10" x14ac:dyDescent="0.4">
      <c r="A227" s="680" t="s">
        <v>450</v>
      </c>
      <c r="B227" s="78" t="str">
        <f>VLOOKUP('Area D'!B33,'Item List'!B:AJ,28,FALSE)</f>
        <v>None</v>
      </c>
      <c r="C227" s="78" t="str">
        <f>VLOOKUP(B227,'Item List'!B:AH,2,FALSE)</f>
        <v>None</v>
      </c>
      <c r="D227" s="78"/>
      <c r="E227" s="557">
        <f>VLOOKUP(B227,'Item List'!B:AM,36,FALSE)</f>
        <v>0</v>
      </c>
      <c r="F227" s="555">
        <f>VLOOKUP(B227,'Item List'!B:AJ,4,FALSE)</f>
        <v>0</v>
      </c>
      <c r="G227" s="555">
        <f t="shared" si="12"/>
        <v>0</v>
      </c>
      <c r="H227" s="593"/>
      <c r="I227" s="594">
        <f>ROUNDUP((E227*'Project Materials'!$L$18),0)</f>
        <v>0</v>
      </c>
      <c r="J227" s="559">
        <f t="shared" si="13"/>
        <v>0</v>
      </c>
    </row>
    <row r="228" spans="1:10" x14ac:dyDescent="0.4">
      <c r="A228" s="680" t="s">
        <v>450</v>
      </c>
      <c r="B228" s="78" t="str">
        <f>VLOOKUP('Area D'!B33,'Item List'!B:AJ,29,FALSE)</f>
        <v>None</v>
      </c>
      <c r="C228" s="78" t="str">
        <f>VLOOKUP(B228,'Item List'!B:AH,2,FALSE)</f>
        <v>None</v>
      </c>
      <c r="D228" s="78"/>
      <c r="E228" s="557">
        <f>VLOOKUP(B228,'Item List'!B:AM,36,FALSE)</f>
        <v>0</v>
      </c>
      <c r="F228" s="555">
        <f>VLOOKUP(B228,'Item List'!B:AJ,4,FALSE)</f>
        <v>0</v>
      </c>
      <c r="G228" s="555">
        <f t="shared" si="12"/>
        <v>0</v>
      </c>
      <c r="H228" s="593"/>
      <c r="I228" s="594">
        <f>ROUNDUP((E228*'Project Materials'!$L$18),0)</f>
        <v>0</v>
      </c>
      <c r="J228" s="559">
        <f t="shared" si="13"/>
        <v>0</v>
      </c>
    </row>
    <row r="229" spans="1:10" x14ac:dyDescent="0.4">
      <c r="A229" s="680" t="s">
        <v>450</v>
      </c>
      <c r="B229" s="78" t="str">
        <f>VLOOKUP('Area D'!B33,'Item List'!B:AJ,30,FALSE)</f>
        <v>None</v>
      </c>
      <c r="C229" s="78" t="str">
        <f>VLOOKUP(B229,'Item List'!B:AH,2,FALSE)</f>
        <v>None</v>
      </c>
      <c r="D229" s="78"/>
      <c r="E229" s="557">
        <f>VLOOKUP(B229,'Item List'!B:AM,36,FALSE)</f>
        <v>0</v>
      </c>
      <c r="F229" s="555">
        <f>VLOOKUP(B229,'Item List'!B:AJ,4,FALSE)</f>
        <v>0</v>
      </c>
      <c r="G229" s="555">
        <f t="shared" si="12"/>
        <v>0</v>
      </c>
      <c r="H229" s="593"/>
      <c r="I229" s="594">
        <f>ROUNDUP((E229*'Project Materials'!$L$18),0)</f>
        <v>0</v>
      </c>
      <c r="J229" s="559">
        <f t="shared" si="13"/>
        <v>0</v>
      </c>
    </row>
    <row r="230" spans="1:10" x14ac:dyDescent="0.4">
      <c r="A230" s="680" t="s">
        <v>450</v>
      </c>
      <c r="B230" s="78" t="str">
        <f>VLOOKUP('Area D'!B33,'Item List'!B:AJ,31,FALSE)</f>
        <v>None</v>
      </c>
      <c r="C230" s="78" t="str">
        <f>VLOOKUP(B230,'Item List'!B:AH,2,FALSE)</f>
        <v>None</v>
      </c>
      <c r="D230" s="78"/>
      <c r="E230" s="557">
        <f>VLOOKUP(B230,'Item List'!B:AM,36,FALSE)</f>
        <v>0</v>
      </c>
      <c r="F230" s="555">
        <f>VLOOKUP(B230,'Item List'!B:AJ,4,FALSE)</f>
        <v>0</v>
      </c>
      <c r="G230" s="555">
        <f t="shared" si="12"/>
        <v>0</v>
      </c>
      <c r="H230" s="593"/>
      <c r="I230" s="594">
        <f>ROUNDUP((E230*'Project Materials'!$L$18),0)</f>
        <v>0</v>
      </c>
      <c r="J230" s="559">
        <f t="shared" si="13"/>
        <v>0</v>
      </c>
    </row>
    <row r="231" spans="1:10" x14ac:dyDescent="0.4">
      <c r="A231" s="680" t="s">
        <v>450</v>
      </c>
      <c r="B231" s="78" t="str">
        <f>VLOOKUP('Area D'!B34,'Item List'!B:AJ,28,FALSE)</f>
        <v>None</v>
      </c>
      <c r="C231" s="78" t="str">
        <f>VLOOKUP(B231,'Item List'!B:AH,2,FALSE)</f>
        <v>None</v>
      </c>
      <c r="D231" s="78"/>
      <c r="E231" s="557">
        <f>VLOOKUP(B231,'Item List'!B:AM,36,FALSE)</f>
        <v>0</v>
      </c>
      <c r="F231" s="555">
        <f>VLOOKUP(B231,'Item List'!B:AJ,4,FALSE)</f>
        <v>0</v>
      </c>
      <c r="G231" s="555">
        <f t="shared" si="12"/>
        <v>0</v>
      </c>
      <c r="H231" s="593"/>
      <c r="I231" s="594">
        <f>ROUNDUP((E231*'Project Materials'!$L$18),0)</f>
        <v>0</v>
      </c>
      <c r="J231" s="559">
        <f t="shared" si="13"/>
        <v>0</v>
      </c>
    </row>
    <row r="232" spans="1:10" x14ac:dyDescent="0.4">
      <c r="A232" s="680" t="s">
        <v>450</v>
      </c>
      <c r="B232" s="78" t="str">
        <f>VLOOKUP('Area D'!B34,'Item List'!B:AJ,29,FALSE)</f>
        <v>None</v>
      </c>
      <c r="C232" s="78" t="str">
        <f>VLOOKUP(B232,'Item List'!B:AH,2,FALSE)</f>
        <v>None</v>
      </c>
      <c r="D232" s="78"/>
      <c r="E232" s="557">
        <f>VLOOKUP(B232,'Item List'!B:AM,36,FALSE)</f>
        <v>0</v>
      </c>
      <c r="F232" s="555">
        <f>VLOOKUP(B232,'Item List'!B:AJ,4,FALSE)</f>
        <v>0</v>
      </c>
      <c r="G232" s="555">
        <f t="shared" si="12"/>
        <v>0</v>
      </c>
      <c r="H232" s="593"/>
      <c r="I232" s="594">
        <f>ROUNDUP((E232*'Project Materials'!$L$18),0)</f>
        <v>0</v>
      </c>
      <c r="J232" s="559">
        <f t="shared" si="13"/>
        <v>0</v>
      </c>
    </row>
    <row r="233" spans="1:10" x14ac:dyDescent="0.4">
      <c r="A233" s="680" t="s">
        <v>450</v>
      </c>
      <c r="B233" s="78" t="str">
        <f>VLOOKUP('Area D'!B34,'Item List'!B:AJ,30,FALSE)</f>
        <v>None</v>
      </c>
      <c r="C233" s="78" t="str">
        <f>VLOOKUP(B233,'Item List'!B:AH,2,FALSE)</f>
        <v>None</v>
      </c>
      <c r="D233" s="78"/>
      <c r="E233" s="557">
        <f>VLOOKUP(B233,'Item List'!B:AM,36,FALSE)</f>
        <v>0</v>
      </c>
      <c r="F233" s="555">
        <f>VLOOKUP(B233,'Item List'!B:AJ,4,FALSE)</f>
        <v>0</v>
      </c>
      <c r="G233" s="555">
        <f t="shared" si="12"/>
        <v>0</v>
      </c>
      <c r="H233" s="593"/>
      <c r="I233" s="594">
        <f>ROUNDUP((E233*'Project Materials'!$L$18),0)</f>
        <v>0</v>
      </c>
      <c r="J233" s="559">
        <f t="shared" si="13"/>
        <v>0</v>
      </c>
    </row>
    <row r="234" spans="1:10" x14ac:dyDescent="0.4">
      <c r="A234" s="680" t="s">
        <v>450</v>
      </c>
      <c r="B234" s="78" t="str">
        <f>VLOOKUP('Area D'!B34,'Item List'!B:AJ,31,FALSE)</f>
        <v>None</v>
      </c>
      <c r="C234" s="78" t="str">
        <f>VLOOKUP(B234,'Item List'!B:AH,2,FALSE)</f>
        <v>None</v>
      </c>
      <c r="D234" s="78"/>
      <c r="E234" s="557">
        <f>VLOOKUP(B234,'Item List'!B:AM,36,FALSE)</f>
        <v>0</v>
      </c>
      <c r="F234" s="555">
        <f>VLOOKUP(B234,'Item List'!B:AJ,4,FALSE)</f>
        <v>0</v>
      </c>
      <c r="G234" s="555">
        <f t="shared" si="12"/>
        <v>0</v>
      </c>
      <c r="H234" s="593"/>
      <c r="I234" s="594">
        <f>ROUNDUP((E234*'Project Materials'!$L$18),0)</f>
        <v>0</v>
      </c>
      <c r="J234" s="559">
        <f t="shared" si="13"/>
        <v>0</v>
      </c>
    </row>
    <row r="235" spans="1:10" x14ac:dyDescent="0.4">
      <c r="A235" s="680" t="s">
        <v>451</v>
      </c>
      <c r="B235" s="78" t="str">
        <f>VLOOKUP('Area D'!B35,'Item List'!B:AJ,28,FALSE)</f>
        <v>None</v>
      </c>
      <c r="C235" s="78" t="str">
        <f>VLOOKUP(B235,'Item List'!B:AH,2,FALSE)</f>
        <v>None</v>
      </c>
      <c r="D235" s="78"/>
      <c r="E235" s="557">
        <f>VLOOKUP(B235,'Item List'!B:AM,36,FALSE)</f>
        <v>0</v>
      </c>
      <c r="F235" s="555">
        <f>VLOOKUP(B235,'Item List'!B:AJ,4,FALSE)</f>
        <v>0</v>
      </c>
      <c r="G235" s="555">
        <f t="shared" si="12"/>
        <v>0</v>
      </c>
      <c r="H235" s="593"/>
      <c r="I235" s="594">
        <f>ROUNDUP((E235*'Project Materials'!$L$18),0)</f>
        <v>0</v>
      </c>
      <c r="J235" s="559">
        <f t="shared" si="13"/>
        <v>0</v>
      </c>
    </row>
    <row r="236" spans="1:10" x14ac:dyDescent="0.4">
      <c r="A236" s="680" t="s">
        <v>451</v>
      </c>
      <c r="B236" s="78" t="str">
        <f>VLOOKUP('Area D'!B35,'Item List'!B:AJ,29,FALSE)</f>
        <v>None</v>
      </c>
      <c r="C236" s="78" t="str">
        <f>VLOOKUP(B236,'Item List'!B:AH,2,FALSE)</f>
        <v>None</v>
      </c>
      <c r="D236" s="78"/>
      <c r="E236" s="557">
        <f>VLOOKUP(B236,'Item List'!B:AM,36,FALSE)</f>
        <v>0</v>
      </c>
      <c r="F236" s="555">
        <f>VLOOKUP(B236,'Item List'!B:AJ,4,FALSE)</f>
        <v>0</v>
      </c>
      <c r="G236" s="555">
        <f t="shared" si="12"/>
        <v>0</v>
      </c>
      <c r="H236" s="593"/>
      <c r="I236" s="594">
        <f>ROUNDUP((E236*'Project Materials'!$L$18),0)</f>
        <v>0</v>
      </c>
      <c r="J236" s="559">
        <f t="shared" si="13"/>
        <v>0</v>
      </c>
    </row>
    <row r="237" spans="1:10" x14ac:dyDescent="0.4">
      <c r="A237" s="680" t="s">
        <v>451</v>
      </c>
      <c r="B237" s="78" t="str">
        <f>VLOOKUP('Area D'!B35,'Item List'!B:AJ,30,FALSE)</f>
        <v>None</v>
      </c>
      <c r="C237" s="78" t="str">
        <f>VLOOKUP(B237,'Item List'!B:AH,2,FALSE)</f>
        <v>None</v>
      </c>
      <c r="D237" s="78"/>
      <c r="E237" s="557">
        <f>VLOOKUP(B237,'Item List'!B:AM,36,FALSE)</f>
        <v>0</v>
      </c>
      <c r="F237" s="555">
        <f>VLOOKUP(B237,'Item List'!B:AJ,4,FALSE)</f>
        <v>0</v>
      </c>
      <c r="G237" s="555">
        <f t="shared" si="12"/>
        <v>0</v>
      </c>
      <c r="H237" s="593"/>
      <c r="I237" s="594">
        <f>ROUNDUP((E237*'Project Materials'!$L$18),0)</f>
        <v>0</v>
      </c>
      <c r="J237" s="559">
        <f t="shared" si="13"/>
        <v>0</v>
      </c>
    </row>
    <row r="238" spans="1:10" x14ac:dyDescent="0.4">
      <c r="A238" s="680" t="s">
        <v>451</v>
      </c>
      <c r="B238" s="78" t="str">
        <f>VLOOKUP('Area D'!B35,'Item List'!B:AJ,31,FALSE)</f>
        <v>None</v>
      </c>
      <c r="C238" s="78" t="str">
        <f>VLOOKUP(B238,'Item List'!B:AH,2,FALSE)</f>
        <v>None</v>
      </c>
      <c r="D238" s="78"/>
      <c r="E238" s="557">
        <f>VLOOKUP(B238,'Item List'!B:AM,36,FALSE)</f>
        <v>0</v>
      </c>
      <c r="F238" s="555">
        <f>VLOOKUP(B238,'Item List'!B:AJ,4,FALSE)</f>
        <v>0</v>
      </c>
      <c r="G238" s="555">
        <f t="shared" si="12"/>
        <v>0</v>
      </c>
      <c r="H238" s="593"/>
      <c r="I238" s="594">
        <f>ROUNDUP((E238*'Project Materials'!$L$18),0)</f>
        <v>0</v>
      </c>
      <c r="J238" s="559">
        <f t="shared" si="13"/>
        <v>0</v>
      </c>
    </row>
    <row r="239" spans="1:10" x14ac:dyDescent="0.4">
      <c r="A239" s="680" t="s">
        <v>451</v>
      </c>
      <c r="B239" s="78" t="str">
        <f>VLOOKUP('Area D'!B36,'Item List'!B:AJ,28,FALSE)</f>
        <v>None</v>
      </c>
      <c r="C239" s="78" t="str">
        <f>VLOOKUP(B239,'Item List'!B:AH,2,FALSE)</f>
        <v>None</v>
      </c>
      <c r="D239" s="78"/>
      <c r="E239" s="557">
        <f>VLOOKUP(B239,'Item List'!B:AM,36,FALSE)</f>
        <v>0</v>
      </c>
      <c r="F239" s="555">
        <f>VLOOKUP(B239,'Item List'!B:AJ,4,FALSE)</f>
        <v>0</v>
      </c>
      <c r="G239" s="555">
        <f t="shared" si="12"/>
        <v>0</v>
      </c>
      <c r="H239" s="593"/>
      <c r="I239" s="594">
        <f>ROUNDUP((E239*'Project Materials'!$L$18),0)</f>
        <v>0</v>
      </c>
      <c r="J239" s="559">
        <f t="shared" si="13"/>
        <v>0</v>
      </c>
    </row>
    <row r="240" spans="1:10" x14ac:dyDescent="0.4">
      <c r="A240" s="680" t="s">
        <v>451</v>
      </c>
      <c r="B240" s="78" t="str">
        <f>VLOOKUP('Area D'!B36,'Item List'!B:AJ,29,FALSE)</f>
        <v>None</v>
      </c>
      <c r="C240" s="78" t="str">
        <f>VLOOKUP(B240,'Item List'!B:AH,2,FALSE)</f>
        <v>None</v>
      </c>
      <c r="D240" s="78"/>
      <c r="E240" s="557">
        <f>VLOOKUP(B240,'Item List'!B:AM,36,FALSE)</f>
        <v>0</v>
      </c>
      <c r="F240" s="555">
        <f>VLOOKUP(B240,'Item List'!B:AJ,4,FALSE)</f>
        <v>0</v>
      </c>
      <c r="G240" s="555">
        <f t="shared" si="12"/>
        <v>0</v>
      </c>
      <c r="H240" s="593"/>
      <c r="I240" s="594">
        <f>ROUNDUP((E240*'Project Materials'!$L$18),0)</f>
        <v>0</v>
      </c>
      <c r="J240" s="559">
        <f t="shared" si="13"/>
        <v>0</v>
      </c>
    </row>
    <row r="241" spans="1:10" x14ac:dyDescent="0.4">
      <c r="A241" s="680" t="s">
        <v>451</v>
      </c>
      <c r="B241" s="78" t="str">
        <f>VLOOKUP('Area D'!B36,'Item List'!B:AJ,30,FALSE)</f>
        <v>None</v>
      </c>
      <c r="C241" s="78" t="str">
        <f>VLOOKUP(B241,'Item List'!B:AH,2,FALSE)</f>
        <v>None</v>
      </c>
      <c r="D241" s="78"/>
      <c r="E241" s="557">
        <f>VLOOKUP(B241,'Item List'!B:AM,36,FALSE)</f>
        <v>0</v>
      </c>
      <c r="F241" s="555">
        <f>VLOOKUP(B241,'Item List'!B:AJ,4,FALSE)</f>
        <v>0</v>
      </c>
      <c r="G241" s="555">
        <f t="shared" si="12"/>
        <v>0</v>
      </c>
      <c r="H241" s="593"/>
      <c r="I241" s="594">
        <f>ROUNDUP((E241*'Project Materials'!$L$18),0)</f>
        <v>0</v>
      </c>
      <c r="J241" s="559">
        <f t="shared" si="13"/>
        <v>0</v>
      </c>
    </row>
    <row r="242" spans="1:10" x14ac:dyDescent="0.4">
      <c r="A242" s="680" t="s">
        <v>451</v>
      </c>
      <c r="B242" s="78" t="str">
        <f>VLOOKUP('Area D'!B36,'Item List'!B:AJ,31,FALSE)</f>
        <v>None</v>
      </c>
      <c r="C242" s="78" t="str">
        <f>VLOOKUP(B242,'Item List'!B:AH,2,FALSE)</f>
        <v>None</v>
      </c>
      <c r="D242" s="78"/>
      <c r="E242" s="557">
        <f>VLOOKUP(B242,'Item List'!B:AM,36,FALSE)</f>
        <v>0</v>
      </c>
      <c r="F242" s="555">
        <f>VLOOKUP(B242,'Item List'!B:AJ,4,FALSE)</f>
        <v>0</v>
      </c>
      <c r="G242" s="555">
        <f t="shared" si="12"/>
        <v>0</v>
      </c>
      <c r="H242" s="593"/>
      <c r="I242" s="594">
        <f>ROUNDUP((E242*'Project Materials'!$L$18),0)</f>
        <v>0</v>
      </c>
      <c r="J242" s="559">
        <f t="shared" si="13"/>
        <v>0</v>
      </c>
    </row>
    <row r="243" spans="1:10" x14ac:dyDescent="0.4">
      <c r="A243" s="680" t="s">
        <v>452</v>
      </c>
      <c r="B243" s="78" t="str">
        <f>VLOOKUP('Area D'!B40,'Item List'!B:AJ,28,FALSE)</f>
        <v>None</v>
      </c>
      <c r="C243" s="78" t="str">
        <f>VLOOKUP(B243,'Item List'!B:AH,2,FALSE)</f>
        <v>None</v>
      </c>
      <c r="D243" s="78"/>
      <c r="E243" s="557">
        <f>VLOOKUP(B243,'Item List'!B:AM,36,FALSE)</f>
        <v>0</v>
      </c>
      <c r="F243" s="555">
        <f>VLOOKUP(B243,'Item List'!B:AJ,4,FALSE)</f>
        <v>0</v>
      </c>
      <c r="G243" s="555">
        <f t="shared" si="12"/>
        <v>0</v>
      </c>
      <c r="H243" s="593"/>
      <c r="I243" s="594">
        <f>ROUNDUP((E243*'Project Materials'!$L$18),0)</f>
        <v>0</v>
      </c>
      <c r="J243" s="559">
        <f t="shared" si="13"/>
        <v>0</v>
      </c>
    </row>
    <row r="244" spans="1:10" x14ac:dyDescent="0.4">
      <c r="A244" s="680" t="s">
        <v>452</v>
      </c>
      <c r="B244" s="78" t="str">
        <f>VLOOKUP('Area D'!B40,'Item List'!B:AJ,29,FALSE)</f>
        <v>None</v>
      </c>
      <c r="C244" s="78" t="str">
        <f>VLOOKUP(B244,'Item List'!B:AH,2,FALSE)</f>
        <v>None</v>
      </c>
      <c r="D244" s="78"/>
      <c r="E244" s="557">
        <f>VLOOKUP(B244,'Item List'!B:AM,36,FALSE)</f>
        <v>0</v>
      </c>
      <c r="F244" s="555">
        <f>VLOOKUP(B244,'Item List'!B:AJ,4,FALSE)</f>
        <v>0</v>
      </c>
      <c r="G244" s="555">
        <f t="shared" si="12"/>
        <v>0</v>
      </c>
      <c r="H244" s="593"/>
      <c r="I244" s="594">
        <f>ROUNDUP((E244*'Project Materials'!$L$18),0)</f>
        <v>0</v>
      </c>
      <c r="J244" s="559">
        <f t="shared" si="13"/>
        <v>0</v>
      </c>
    </row>
    <row r="245" spans="1:10" x14ac:dyDescent="0.4">
      <c r="A245" s="680" t="s">
        <v>452</v>
      </c>
      <c r="B245" s="78" t="str">
        <f>VLOOKUP('Area D'!B40,'Item List'!B:AJ,30,FALSE)</f>
        <v>None</v>
      </c>
      <c r="C245" s="78" t="str">
        <f>VLOOKUP(B245,'Item List'!B:AH,2,FALSE)</f>
        <v>None</v>
      </c>
      <c r="D245" s="78"/>
      <c r="E245" s="557">
        <f>VLOOKUP(B245,'Item List'!B:AM,36,FALSE)</f>
        <v>0</v>
      </c>
      <c r="F245" s="555">
        <f>VLOOKUP(B245,'Item List'!B:AJ,4,FALSE)</f>
        <v>0</v>
      </c>
      <c r="G245" s="555">
        <f t="shared" si="12"/>
        <v>0</v>
      </c>
      <c r="H245" s="593"/>
      <c r="I245" s="594">
        <f>ROUNDUP((E245*'Project Materials'!$L$18),0)</f>
        <v>0</v>
      </c>
      <c r="J245" s="559">
        <f t="shared" si="13"/>
        <v>0</v>
      </c>
    </row>
    <row r="246" spans="1:10" x14ac:dyDescent="0.4">
      <c r="A246" s="680" t="s">
        <v>452</v>
      </c>
      <c r="B246" s="78" t="str">
        <f>VLOOKUP('Area D'!B40,'Item List'!B:AJ,31,FALSE)</f>
        <v>None</v>
      </c>
      <c r="C246" s="78" t="str">
        <f>VLOOKUP(B246,'Item List'!B:AH,2,FALSE)</f>
        <v>None</v>
      </c>
      <c r="D246" s="78"/>
      <c r="E246" s="557">
        <f>VLOOKUP(B246,'Item List'!B:AM,36,FALSE)</f>
        <v>0</v>
      </c>
      <c r="F246" s="555">
        <f>VLOOKUP(B246,'Item List'!B:AJ,4,FALSE)</f>
        <v>0</v>
      </c>
      <c r="G246" s="555">
        <f t="shared" si="12"/>
        <v>0</v>
      </c>
      <c r="H246" s="593"/>
      <c r="I246" s="594">
        <f>ROUNDUP((E246*'Project Materials'!$L$18),0)</f>
        <v>0</v>
      </c>
      <c r="J246" s="559">
        <f t="shared" si="13"/>
        <v>0</v>
      </c>
    </row>
    <row r="247" spans="1:10" x14ac:dyDescent="0.4">
      <c r="A247" s="680" t="s">
        <v>453</v>
      </c>
      <c r="B247" s="78" t="str">
        <f>VLOOKUP('Area D'!B41,'Item List'!B:AJ,28,FALSE)</f>
        <v>None</v>
      </c>
      <c r="C247" s="78" t="str">
        <f>VLOOKUP(B247,'Item List'!B:AH,2,FALSE)</f>
        <v>None</v>
      </c>
      <c r="D247" s="78"/>
      <c r="E247" s="557">
        <f>VLOOKUP(B247,'Item List'!B:AM,36,FALSE)</f>
        <v>0</v>
      </c>
      <c r="F247" s="555">
        <f>VLOOKUP(B247,'Item List'!B:AJ,4,FALSE)</f>
        <v>0</v>
      </c>
      <c r="G247" s="555">
        <f t="shared" si="12"/>
        <v>0</v>
      </c>
      <c r="H247" s="593"/>
      <c r="I247" s="594">
        <f>ROUNDUP((E247*'Project Materials'!$L$18),0)</f>
        <v>0</v>
      </c>
      <c r="J247" s="559">
        <f t="shared" si="13"/>
        <v>0</v>
      </c>
    </row>
    <row r="248" spans="1:10" x14ac:dyDescent="0.4">
      <c r="A248" s="680" t="s">
        <v>453</v>
      </c>
      <c r="B248" s="78" t="str">
        <f>VLOOKUP('Area D'!B41,'Item List'!B:AJ,29,FALSE)</f>
        <v>None</v>
      </c>
      <c r="C248" s="78" t="str">
        <f>VLOOKUP(B248,'Item List'!B:AH,2,FALSE)</f>
        <v>None</v>
      </c>
      <c r="D248" s="78"/>
      <c r="E248" s="557">
        <f>VLOOKUP(B248,'Item List'!B:AM,36,FALSE)</f>
        <v>0</v>
      </c>
      <c r="F248" s="555">
        <f>VLOOKUP(B248,'Item List'!B:AJ,4,FALSE)</f>
        <v>0</v>
      </c>
      <c r="G248" s="555">
        <f t="shared" si="12"/>
        <v>0</v>
      </c>
      <c r="H248" s="593"/>
      <c r="I248" s="594">
        <f>ROUNDUP((E248*'Project Materials'!$L$18),0)</f>
        <v>0</v>
      </c>
      <c r="J248" s="559">
        <f t="shared" si="13"/>
        <v>0</v>
      </c>
    </row>
    <row r="249" spans="1:10" x14ac:dyDescent="0.4">
      <c r="A249" s="680" t="s">
        <v>453</v>
      </c>
      <c r="B249" s="78" t="str">
        <f>VLOOKUP('Area D'!B41,'Item List'!B:AJ,30,FALSE)</f>
        <v>None</v>
      </c>
      <c r="C249" s="78" t="str">
        <f>VLOOKUP(B249,'Item List'!B:AH,2,FALSE)</f>
        <v>None</v>
      </c>
      <c r="D249" s="78"/>
      <c r="E249" s="557">
        <f>VLOOKUP(B249,'Item List'!B:AM,36,FALSE)</f>
        <v>0</v>
      </c>
      <c r="F249" s="555">
        <f>VLOOKUP(B249,'Item List'!B:AJ,4,FALSE)</f>
        <v>0</v>
      </c>
      <c r="G249" s="555">
        <f t="shared" si="12"/>
        <v>0</v>
      </c>
      <c r="H249" s="593"/>
      <c r="I249" s="594">
        <f>ROUNDUP((E249*'Project Materials'!$L$18),0)</f>
        <v>0</v>
      </c>
      <c r="J249" s="559">
        <f t="shared" si="13"/>
        <v>0</v>
      </c>
    </row>
    <row r="250" spans="1:10" x14ac:dyDescent="0.4">
      <c r="A250" s="680" t="s">
        <v>453</v>
      </c>
      <c r="B250" s="78" t="str">
        <f>VLOOKUP('Area D'!B41,'Item List'!B:AJ,31,FALSE)</f>
        <v>None</v>
      </c>
      <c r="C250" s="78" t="str">
        <f>VLOOKUP(B250,'Item List'!B:AH,2,FALSE)</f>
        <v>None</v>
      </c>
      <c r="D250" s="78"/>
      <c r="E250" s="557">
        <f>VLOOKUP(B250,'Item List'!B:AM,36,FALSE)</f>
        <v>0</v>
      </c>
      <c r="F250" s="555">
        <f>VLOOKUP(B250,'Item List'!B:AJ,4,FALSE)</f>
        <v>0</v>
      </c>
      <c r="G250" s="555">
        <f t="shared" si="12"/>
        <v>0</v>
      </c>
      <c r="H250" s="593"/>
      <c r="I250" s="594">
        <f>ROUNDUP((E250*'Project Materials'!$L$18),0)</f>
        <v>0</v>
      </c>
      <c r="J250" s="559">
        <f t="shared" si="13"/>
        <v>0</v>
      </c>
    </row>
    <row r="251" spans="1:10" x14ac:dyDescent="0.4">
      <c r="A251" s="680" t="s">
        <v>457</v>
      </c>
      <c r="B251" s="377" t="s">
        <v>418</v>
      </c>
      <c r="C251" s="78" t="str">
        <f>VLOOKUP(B251,'Item List'!B:AH,2,FALSE)</f>
        <v>None</v>
      </c>
      <c r="D251" s="78"/>
      <c r="E251" s="384">
        <v>0</v>
      </c>
      <c r="F251" s="555">
        <f>VLOOKUP(B251,'Item List'!B:AJ,4,FALSE)</f>
        <v>0</v>
      </c>
      <c r="G251" s="555">
        <f t="shared" si="12"/>
        <v>0</v>
      </c>
      <c r="H251" s="593"/>
      <c r="I251" s="594">
        <f>ROUNDUP((E251*'Project Materials'!$L$18),0)</f>
        <v>0</v>
      </c>
      <c r="J251" s="559">
        <f t="shared" si="13"/>
        <v>0</v>
      </c>
    </row>
    <row r="252" spans="1:10" x14ac:dyDescent="0.4">
      <c r="A252" s="680" t="s">
        <v>457</v>
      </c>
      <c r="B252" s="377" t="s">
        <v>418</v>
      </c>
      <c r="C252" s="78" t="str">
        <f>VLOOKUP(B252,'Item List'!B:AH,2,FALSE)</f>
        <v>None</v>
      </c>
      <c r="D252" s="78"/>
      <c r="E252" s="384">
        <v>0</v>
      </c>
      <c r="F252" s="555">
        <f>VLOOKUP(B252,'Item List'!B:AJ,4,FALSE)</f>
        <v>0</v>
      </c>
      <c r="G252" s="555">
        <f t="shared" si="12"/>
        <v>0</v>
      </c>
      <c r="H252" s="593"/>
      <c r="I252" s="594">
        <f>ROUNDUP((E252*'Project Materials'!$L$18),0)</f>
        <v>0</v>
      </c>
      <c r="J252" s="559">
        <f t="shared" si="13"/>
        <v>0</v>
      </c>
    </row>
    <row r="253" spans="1:10" x14ac:dyDescent="0.4">
      <c r="A253" s="680" t="s">
        <v>457</v>
      </c>
      <c r="B253" s="377" t="s">
        <v>418</v>
      </c>
      <c r="C253" s="78" t="str">
        <f>VLOOKUP(B253,'Item List'!B:AH,2,FALSE)</f>
        <v>None</v>
      </c>
      <c r="D253" s="78"/>
      <c r="E253" s="384">
        <v>0</v>
      </c>
      <c r="F253" s="555">
        <f>VLOOKUP(B253,'Item List'!B:AJ,4,FALSE)</f>
        <v>0</v>
      </c>
      <c r="G253" s="555">
        <f t="shared" si="12"/>
        <v>0</v>
      </c>
      <c r="H253" s="593"/>
      <c r="I253" s="594">
        <f>ROUNDUP((E253*'Project Materials'!$L$18),0)</f>
        <v>0</v>
      </c>
      <c r="J253" s="559">
        <f t="shared" si="13"/>
        <v>0</v>
      </c>
    </row>
    <row r="254" spans="1:10" x14ac:dyDescent="0.4">
      <c r="A254" s="680" t="s">
        <v>457</v>
      </c>
      <c r="B254" s="377" t="s">
        <v>418</v>
      </c>
      <c r="C254" s="78" t="str">
        <f>VLOOKUP(B254,'Item List'!B:AH,2,FALSE)</f>
        <v>None</v>
      </c>
      <c r="D254" s="78"/>
      <c r="E254" s="384">
        <v>0</v>
      </c>
      <c r="F254" s="555">
        <f>VLOOKUP(B254,'Item List'!B:AJ,4,FALSE)</f>
        <v>0</v>
      </c>
      <c r="G254" s="555">
        <f t="shared" si="12"/>
        <v>0</v>
      </c>
      <c r="H254" s="593"/>
      <c r="I254" s="594">
        <f>ROUNDUP((E254*'Project Materials'!$L$18),0)</f>
        <v>0</v>
      </c>
      <c r="J254" s="559">
        <f t="shared" si="13"/>
        <v>0</v>
      </c>
    </row>
    <row r="255" spans="1:10" x14ac:dyDescent="0.4">
      <c r="A255" s="680" t="s">
        <v>457</v>
      </c>
      <c r="B255" s="377" t="s">
        <v>418</v>
      </c>
      <c r="C255" s="78" t="str">
        <f>VLOOKUP(B255,'Item List'!B:AH,2,FALSE)</f>
        <v>None</v>
      </c>
      <c r="D255" s="78"/>
      <c r="E255" s="384">
        <v>0</v>
      </c>
      <c r="F255" s="555">
        <f>VLOOKUP(B255,'Item List'!B:AJ,4,FALSE)</f>
        <v>0</v>
      </c>
      <c r="G255" s="555">
        <f t="shared" si="12"/>
        <v>0</v>
      </c>
      <c r="H255" s="593"/>
      <c r="I255" s="594">
        <f>ROUNDUP((E255*'Project Materials'!$L$18),0)</f>
        <v>0</v>
      </c>
      <c r="J255" s="559">
        <f t="shared" si="13"/>
        <v>0</v>
      </c>
    </row>
    <row r="256" spans="1:10" x14ac:dyDescent="0.4">
      <c r="A256" s="680" t="s">
        <v>457</v>
      </c>
      <c r="B256" s="377" t="s">
        <v>418</v>
      </c>
      <c r="C256" s="78" t="str">
        <f>VLOOKUP(B256,'Item List'!B:AH,2,FALSE)</f>
        <v>None</v>
      </c>
      <c r="D256" s="78"/>
      <c r="E256" s="384">
        <v>0</v>
      </c>
      <c r="F256" s="555">
        <f>VLOOKUP(B256,'Item List'!B:AJ,4,FALSE)</f>
        <v>0</v>
      </c>
      <c r="G256" s="555">
        <f t="shared" ref="G256:G265" si="14">F256*E256</f>
        <v>0</v>
      </c>
      <c r="H256" s="593"/>
      <c r="I256" s="594">
        <f>ROUNDUP((E256*'Project Materials'!$L$18),0)</f>
        <v>0</v>
      </c>
      <c r="J256" s="559">
        <f t="shared" si="13"/>
        <v>0</v>
      </c>
    </row>
    <row r="257" spans="1:10" x14ac:dyDescent="0.4">
      <c r="A257" s="680" t="s">
        <v>498</v>
      </c>
      <c r="B257" s="382"/>
      <c r="C257" s="382"/>
      <c r="D257" s="375"/>
      <c r="E257" s="375"/>
      <c r="F257" s="383"/>
      <c r="G257" s="555">
        <f t="shared" si="14"/>
        <v>0</v>
      </c>
      <c r="H257" s="593"/>
      <c r="I257" s="594">
        <f>ROUNDUP((E257*'Project Materials'!$L$18),0)</f>
        <v>0</v>
      </c>
      <c r="J257" s="559">
        <f t="shared" si="13"/>
        <v>0</v>
      </c>
    </row>
    <row r="258" spans="1:10" ht="18" customHeight="1" x14ac:dyDescent="0.4">
      <c r="A258" s="680" t="s">
        <v>498</v>
      </c>
      <c r="B258" s="382"/>
      <c r="C258" s="382"/>
      <c r="D258" s="375"/>
      <c r="E258" s="375"/>
      <c r="F258" s="383"/>
      <c r="G258" s="555">
        <f t="shared" si="14"/>
        <v>0</v>
      </c>
      <c r="H258" s="593"/>
      <c r="I258" s="594">
        <f>ROUNDUP((E258*'Project Materials'!$L$18),0)</f>
        <v>0</v>
      </c>
      <c r="J258" s="559">
        <f t="shared" si="13"/>
        <v>0</v>
      </c>
    </row>
    <row r="259" spans="1:10" x14ac:dyDescent="0.4">
      <c r="A259" s="680" t="s">
        <v>498</v>
      </c>
      <c r="B259" s="382"/>
      <c r="C259" s="382"/>
      <c r="D259" s="375"/>
      <c r="E259" s="375"/>
      <c r="F259" s="383"/>
      <c r="G259" s="555">
        <f t="shared" si="14"/>
        <v>0</v>
      </c>
      <c r="H259" s="593"/>
      <c r="I259" s="594">
        <f>ROUNDUP((E259*'Project Materials'!$L$18),0)</f>
        <v>0</v>
      </c>
      <c r="J259" s="559">
        <f t="shared" si="13"/>
        <v>0</v>
      </c>
    </row>
    <row r="260" spans="1:10" x14ac:dyDescent="0.4">
      <c r="A260" s="680" t="s">
        <v>498</v>
      </c>
      <c r="B260" s="382"/>
      <c r="C260" s="382"/>
      <c r="D260" s="375"/>
      <c r="E260" s="375"/>
      <c r="F260" s="383"/>
      <c r="G260" s="555">
        <f t="shared" si="14"/>
        <v>0</v>
      </c>
      <c r="H260" s="593"/>
      <c r="I260" s="594">
        <f>ROUNDUP((E260*'Project Materials'!$L$18),0)</f>
        <v>0</v>
      </c>
      <c r="J260" s="559">
        <f t="shared" si="13"/>
        <v>0</v>
      </c>
    </row>
    <row r="261" spans="1:10" x14ac:dyDescent="0.4">
      <c r="A261" s="680" t="s">
        <v>498</v>
      </c>
      <c r="B261" s="382"/>
      <c r="C261" s="382"/>
      <c r="D261" s="375"/>
      <c r="E261" s="375"/>
      <c r="F261" s="383"/>
      <c r="G261" s="555">
        <f t="shared" si="14"/>
        <v>0</v>
      </c>
      <c r="H261" s="593"/>
      <c r="I261" s="594">
        <f>ROUNDUP((E261*'Project Materials'!$L$18),0)</f>
        <v>0</v>
      </c>
      <c r="J261" s="559">
        <f t="shared" si="13"/>
        <v>0</v>
      </c>
    </row>
    <row r="262" spans="1:10" ht="18" customHeight="1" x14ac:dyDescent="0.4">
      <c r="A262" s="680" t="s">
        <v>498</v>
      </c>
      <c r="B262" s="382"/>
      <c r="C262" s="382"/>
      <c r="D262" s="375"/>
      <c r="E262" s="375"/>
      <c r="F262" s="383"/>
      <c r="G262" s="555">
        <f t="shared" si="14"/>
        <v>0</v>
      </c>
      <c r="H262" s="593"/>
      <c r="I262" s="594">
        <f>ROUNDUP((E262*'Project Materials'!$L$18),0)</f>
        <v>0</v>
      </c>
      <c r="J262" s="559">
        <f t="shared" si="13"/>
        <v>0</v>
      </c>
    </row>
    <row r="263" spans="1:10" x14ac:dyDescent="0.4">
      <c r="A263" s="680" t="s">
        <v>498</v>
      </c>
      <c r="B263" s="382"/>
      <c r="C263" s="382"/>
      <c r="D263" s="375"/>
      <c r="E263" s="375"/>
      <c r="F263" s="383"/>
      <c r="G263" s="555">
        <f t="shared" si="14"/>
        <v>0</v>
      </c>
      <c r="H263" s="593"/>
      <c r="I263" s="594">
        <f>ROUNDUP((E263*'Project Materials'!$L$18),0)</f>
        <v>0</v>
      </c>
      <c r="J263" s="559">
        <f t="shared" si="13"/>
        <v>0</v>
      </c>
    </row>
    <row r="264" spans="1:10" ht="18" customHeight="1" x14ac:dyDescent="0.4">
      <c r="A264" s="680" t="s">
        <v>498</v>
      </c>
      <c r="B264" s="382"/>
      <c r="C264" s="382"/>
      <c r="D264" s="375"/>
      <c r="E264" s="375"/>
      <c r="F264" s="383"/>
      <c r="G264" s="555">
        <f t="shared" si="14"/>
        <v>0</v>
      </c>
      <c r="H264" s="593"/>
      <c r="I264" s="594">
        <f>ROUNDUP((E264*'Project Materials'!$L$18),0)</f>
        <v>0</v>
      </c>
      <c r="J264" s="559">
        <f>G264+(I264*F264)</f>
        <v>0</v>
      </c>
    </row>
    <row r="265" spans="1:10" x14ac:dyDescent="0.4">
      <c r="A265" s="680" t="s">
        <v>498</v>
      </c>
      <c r="B265" s="382"/>
      <c r="C265" s="382"/>
      <c r="D265" s="375"/>
      <c r="E265" s="375"/>
      <c r="F265" s="383"/>
      <c r="G265" s="555">
        <f t="shared" si="14"/>
        <v>0</v>
      </c>
      <c r="H265" s="593"/>
      <c r="I265" s="594">
        <f>ROUNDUP((E265*'Project Materials'!$L$18),0)</f>
        <v>0</v>
      </c>
      <c r="J265" s="559">
        <f>G265+(I265*F265)</f>
        <v>0</v>
      </c>
    </row>
    <row r="266" spans="1:10" ht="16.5" customHeight="1" thickBot="1" x14ac:dyDescent="0.45">
      <c r="A266" s="561"/>
      <c r="B266" s="672"/>
      <c r="C266" s="672"/>
      <c r="D266" s="673"/>
      <c r="E266" s="673"/>
      <c r="F266" s="674"/>
      <c r="G266" s="564">
        <f>SUM(G199:G265)</f>
        <v>0</v>
      </c>
      <c r="H266" s="389"/>
      <c r="I266" s="564"/>
      <c r="J266" s="564">
        <f>SUM(J199:J265)</f>
        <v>0</v>
      </c>
    </row>
    <row r="267" spans="1:10" ht="15" thickTop="1" x14ac:dyDescent="0.4">
      <c r="B267" s="78"/>
      <c r="C267" s="78"/>
      <c r="D267" s="557"/>
      <c r="E267" s="665"/>
    </row>
  </sheetData>
  <sheetProtection sheet="1" selectLockedCells="1"/>
  <protectedRanges>
    <protectedRange algorithmName="SHA-512" hashValue="/kIFbRCriImdhYpcJRMq2B+cAsVA7a37gT84CJxP2TwrnlL+OMUnhJ9DcemLkGImd2DfQIk/BZKmHpSoL7UX9A==" saltValue="FrD6lE3KuCfXL2F0bT7viQ==" spinCount="100000" sqref="K5:K8 B251:B256 E251:E256 B257:F265" name="Range1"/>
    <protectedRange algorithmName="SHA-512" hashValue="/kIFbRCriImdhYpcJRMq2B+cAsVA7a37gT84CJxP2TwrnlL+OMUnhJ9DcemLkGImd2DfQIk/BZKmHpSoL7UX9A==" saltValue="FrD6lE3KuCfXL2F0bT7viQ==" spinCount="100000" sqref="B22:B25" name="Range1_3"/>
    <protectedRange algorithmName="SHA-512" hashValue="/kIFbRCriImdhYpcJRMq2B+cAsVA7a37gT84CJxP2TwrnlL+OMUnhJ9DcemLkGImd2DfQIk/BZKmHpSoL7UX9A==" saltValue="FrD6lE3KuCfXL2F0bT7viQ==" spinCount="100000" sqref="B29:B36" name="Range1_1"/>
    <protectedRange algorithmName="SHA-512" hashValue="/kIFbRCriImdhYpcJRMq2B+cAsVA7a37gT84CJxP2TwrnlL+OMUnhJ9DcemLkGImd2DfQIk/BZKmHpSoL7UX9A==" saltValue="FrD6lE3KuCfXL2F0bT7viQ==" spinCount="100000" sqref="B12:B18" name="Range1_2"/>
    <protectedRange algorithmName="SHA-512" hashValue="/kIFbRCriImdhYpcJRMq2B+cAsVA7a37gT84CJxP2TwrnlL+OMUnhJ9DcemLkGImd2DfQIk/BZKmHpSoL7UX9A==" saltValue="FrD6lE3KuCfXL2F0bT7viQ==" spinCount="100000" sqref="B5:B8" name="Range1_4"/>
  </protectedRanges>
  <mergeCells count="7">
    <mergeCell ref="L6:M6"/>
    <mergeCell ref="A1:K1"/>
    <mergeCell ref="D2:E2"/>
    <mergeCell ref="H2:J2"/>
    <mergeCell ref="A3:J3"/>
    <mergeCell ref="L4:M4"/>
    <mergeCell ref="L5:M5"/>
  </mergeCells>
  <conditionalFormatting sqref="B47:B63 B94 B120:B195">
    <cfRule type="containsText" dxfId="53" priority="13" operator="containsText" text="none">
      <formula>NOT(ISERROR(SEARCH("none",B47)))</formula>
    </cfRule>
  </conditionalFormatting>
  <conditionalFormatting sqref="B199:B250">
    <cfRule type="containsText" dxfId="52" priority="12" operator="containsText" text="none">
      <formula>NOT(ISERROR(SEARCH("none",B199)))</formula>
    </cfRule>
  </conditionalFormatting>
  <conditionalFormatting sqref="E26">
    <cfRule type="expression" dxfId="51" priority="11">
      <formula>(E26-E19)&lt;&gt;0</formula>
    </cfRule>
  </conditionalFormatting>
  <conditionalFormatting sqref="E19">
    <cfRule type="expression" dxfId="50" priority="10">
      <formula>(E19-E26)&lt;&gt;0</formula>
    </cfRule>
  </conditionalFormatting>
  <conditionalFormatting sqref="B64:B69">
    <cfRule type="containsText" dxfId="49" priority="9" operator="containsText" text="none">
      <formula>NOT(ISERROR(SEARCH("none",B64)))</formula>
    </cfRule>
  </conditionalFormatting>
  <conditionalFormatting sqref="B70:B75">
    <cfRule type="containsText" dxfId="48" priority="8" operator="containsText" text="none">
      <formula>NOT(ISERROR(SEARCH("none",B70)))</formula>
    </cfRule>
  </conditionalFormatting>
  <conditionalFormatting sqref="B76:B81">
    <cfRule type="containsText" dxfId="47" priority="7" operator="containsText" text="none">
      <formula>NOT(ISERROR(SEARCH("none",B76)))</formula>
    </cfRule>
  </conditionalFormatting>
  <conditionalFormatting sqref="B82:B87">
    <cfRule type="containsText" dxfId="46" priority="6" operator="containsText" text="none">
      <formula>NOT(ISERROR(SEARCH("none",B82)))</formula>
    </cfRule>
  </conditionalFormatting>
  <conditionalFormatting sqref="B88:B93">
    <cfRule type="containsText" dxfId="45" priority="5" operator="containsText" text="none">
      <formula>NOT(ISERROR(SEARCH("none",B88)))</formula>
    </cfRule>
  </conditionalFormatting>
  <conditionalFormatting sqref="B95:B106">
    <cfRule type="containsText" dxfId="44" priority="4" operator="containsText" text="none">
      <formula>NOT(ISERROR(SEARCH("none",B95)))</formula>
    </cfRule>
  </conditionalFormatting>
  <conditionalFormatting sqref="B107:B112">
    <cfRule type="containsText" dxfId="43" priority="3" operator="containsText" text="none">
      <formula>NOT(ISERROR(SEARCH("none",B107)))</formula>
    </cfRule>
  </conditionalFormatting>
  <conditionalFormatting sqref="B113:B118">
    <cfRule type="containsText" dxfId="42" priority="2" operator="containsText" text="none">
      <formula>NOT(ISERROR(SEARCH("none",B113)))</formula>
    </cfRule>
  </conditionalFormatting>
  <conditionalFormatting sqref="B119">
    <cfRule type="containsText" dxfId="41" priority="1" operator="containsText" text="none">
      <formula>NOT(ISERROR(SEARCH("none",B119)))</formula>
    </cfRule>
  </conditionalFormatting>
  <pageMargins left="0.25" right="0.25" top="0.75" bottom="0.75" header="0.3" footer="0.3"/>
  <pageSetup scale="75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4">
        <x14:dataValidation type="list" allowBlank="1" showInputMessage="1" showErrorMessage="1" xr:uid="{44D16B42-4003-42CC-96ED-5BDC2CD9896F}">
          <x14:formula1>
            <xm:f>'Item List'!#REF!</xm:f>
          </x14:formula1>
          <xm:sqref>B36</xm:sqref>
        </x14:dataValidation>
        <x14:dataValidation type="list" allowBlank="1" showInputMessage="1" showErrorMessage="1" xr:uid="{AABBB63D-E14E-4145-9383-2DEE3C2DB316}">
          <x14:formula1>
            <xm:f>'Item List'!$B$3:$B$26</xm:f>
          </x14:formula1>
          <xm:sqref>B7</xm:sqref>
        </x14:dataValidation>
        <x14:dataValidation type="list" allowBlank="1" showInputMessage="1" showErrorMessage="1" xr:uid="{BB8C1BA9-486C-4817-8842-4FA2C76DEC64}">
          <x14:formula1>
            <xm:f>'Item List'!$B$30:$B$43</xm:f>
          </x14:formula1>
          <xm:sqref>B8</xm:sqref>
        </x14:dataValidation>
        <x14:dataValidation type="list" allowBlank="1" showInputMessage="1" showErrorMessage="1" xr:uid="{529C5763-4A1A-4470-AFB9-D35C3045DCDE}">
          <x14:formula1>
            <xm:f>'Item List'!$B$46:$B$56</xm:f>
          </x14:formula1>
          <xm:sqref>B12:B14</xm:sqref>
        </x14:dataValidation>
        <x14:dataValidation type="list" allowBlank="1" showInputMessage="1" showErrorMessage="1" xr:uid="{93F168D8-7CEB-42DF-941B-98C4B0F87FBD}">
          <x14:formula1>
            <xm:f>'Item List'!$B$116:$B$125</xm:f>
          </x14:formula1>
          <xm:sqref>B29:B30</xm:sqref>
        </x14:dataValidation>
        <x14:dataValidation type="list" allowBlank="1" showInputMessage="1" showErrorMessage="1" xr:uid="{9003C930-D6BF-4F85-AD3F-4088E2E18F80}">
          <x14:formula1>
            <xm:f>'Item List'!$B$57:$B$114</xm:f>
          </x14:formula1>
          <xm:sqref>B15:B18</xm:sqref>
        </x14:dataValidation>
        <x14:dataValidation type="list" allowBlank="1" showInputMessage="1" showErrorMessage="1" xr:uid="{96A9E29F-EB65-4A5D-84E7-D96D91DB5C0D}">
          <x14:formula1>
            <xm:f>'Item List'!$B$150:$B$153</xm:f>
          </x14:formula1>
          <xm:sqref>B33:B34</xm:sqref>
        </x14:dataValidation>
        <x14:dataValidation type="list" allowBlank="1" showInputMessage="1" showErrorMessage="1" xr:uid="{742B54C6-7F3B-4043-8B91-3A94B91C96C6}">
          <x14:formula1>
            <xm:f>'Item List'!$B$128:$B$139</xm:f>
          </x14:formula1>
          <xm:sqref>B31</xm:sqref>
        </x14:dataValidation>
        <x14:dataValidation type="list" allowBlank="1" showInputMessage="1" showErrorMessage="1" xr:uid="{5F0A4DD8-B686-4F37-A603-BAABAAD5B0D2}">
          <x14:formula1>
            <xm:f>'Item List'!$B$140:$B$149</xm:f>
          </x14:formula1>
          <xm:sqref>B32</xm:sqref>
        </x14:dataValidation>
        <x14:dataValidation type="list" allowBlank="1" showInputMessage="1" showErrorMessage="1" xr:uid="{2AE58155-8A6C-49CC-A026-6B109E20547F}">
          <x14:formula1>
            <xm:f>'Item List'!$B$3:$B$28</xm:f>
          </x14:formula1>
          <xm:sqref>B5</xm:sqref>
        </x14:dataValidation>
        <x14:dataValidation type="list" allowBlank="1" showInputMessage="1" showErrorMessage="1" xr:uid="{E1BB9A0A-12F7-45DC-8812-C8F8C310BD64}">
          <x14:formula1>
            <xm:f>'Item List'!$B$155:$B$191</xm:f>
          </x14:formula1>
          <xm:sqref>B22:B25</xm:sqref>
        </x14:dataValidation>
        <x14:dataValidation type="list" allowBlank="1" showInputMessage="1" showErrorMessage="1" xr:uid="{55FA738A-42AB-4836-87D7-88DAB27444EB}">
          <x14:formula1>
            <xm:f>'Item List'!$B$3:$B$327</xm:f>
          </x14:formula1>
          <xm:sqref>B251:B256</xm:sqref>
        </x14:dataValidation>
        <x14:dataValidation type="list" allowBlank="1" showInputMessage="1" showErrorMessage="1" xr:uid="{B663D68A-4B26-4EC7-AB3E-8BF1A7F72721}">
          <x14:formula1>
            <xm:f>'Item List'!$B$30:$B$44</xm:f>
          </x14:formula1>
          <xm:sqref>B6</xm:sqref>
        </x14:dataValidation>
        <x14:dataValidation type="list" allowBlank="1" showInputMessage="1" showErrorMessage="1" xr:uid="{BB1B9AA1-A33E-4915-BADD-B27EDC8CAAD2}">
          <x14:formula1>
            <xm:f>'Item List'!$B$126:$B$127</xm:f>
          </x14:formula1>
          <xm:sqref>B35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82661-487C-426B-9FF3-86A8A21D8084}">
  <sheetPr>
    <tabColor theme="0" tint="-0.14999847407452621"/>
  </sheetPr>
  <dimension ref="A1:M55"/>
  <sheetViews>
    <sheetView workbookViewId="0">
      <selection activeCell="B39" sqref="B39"/>
    </sheetView>
  </sheetViews>
  <sheetFormatPr defaultColWidth="9.15234375" defaultRowHeight="14.6" x14ac:dyDescent="0.4"/>
  <cols>
    <col min="1" max="1" width="32.3046875" style="81" bestFit="1" customWidth="1"/>
    <col min="2" max="2" width="32.3828125" style="81" customWidth="1"/>
    <col min="3" max="3" width="54.53515625" style="81" bestFit="1" customWidth="1"/>
    <col min="4" max="4" width="19.15234375" style="81" customWidth="1"/>
    <col min="5" max="8" width="13.69140625" style="81" customWidth="1"/>
    <col min="9" max="9" width="13.3828125" style="81" customWidth="1"/>
    <col min="10" max="10" width="11" style="81" bestFit="1" customWidth="1"/>
    <col min="11" max="11" width="9.15234375" style="81"/>
    <col min="12" max="12" width="43.15234375" style="81" bestFit="1" customWidth="1"/>
    <col min="13" max="16384" width="9.15234375" style="81"/>
  </cols>
  <sheetData>
    <row r="1" spans="1:4" ht="18.45" x14ac:dyDescent="0.4">
      <c r="A1" s="1123" t="s">
        <v>997</v>
      </c>
      <c r="B1" s="1124"/>
      <c r="C1" s="736" t="s">
        <v>938</v>
      </c>
      <c r="D1" s="770" t="s">
        <v>1046</v>
      </c>
    </row>
    <row r="2" spans="1:4" ht="18.45" x14ac:dyDescent="0.4">
      <c r="A2" s="1123" t="s">
        <v>928</v>
      </c>
      <c r="B2" s="1124"/>
      <c r="C2" s="737" t="s">
        <v>941</v>
      </c>
      <c r="D2" s="770" t="s">
        <v>1046</v>
      </c>
    </row>
    <row r="3" spans="1:4" ht="18.45" x14ac:dyDescent="0.4">
      <c r="A3" s="1123" t="s">
        <v>927</v>
      </c>
      <c r="B3" s="1124"/>
      <c r="C3" s="737" t="s">
        <v>937</v>
      </c>
      <c r="D3" s="770" t="s">
        <v>1046</v>
      </c>
    </row>
    <row r="4" spans="1:4" ht="18.45" x14ac:dyDescent="0.4">
      <c r="A4" s="1123" t="s">
        <v>712</v>
      </c>
      <c r="B4" s="1124"/>
      <c r="C4" s="737" t="s">
        <v>1063</v>
      </c>
      <c r="D4" s="770" t="s">
        <v>1046</v>
      </c>
    </row>
    <row r="5" spans="1:4" ht="18.45" x14ac:dyDescent="0.4">
      <c r="A5" s="1124" t="s">
        <v>989</v>
      </c>
      <c r="B5" s="1125"/>
      <c r="C5" s="737" t="s">
        <v>1059</v>
      </c>
      <c r="D5" s="770" t="s">
        <v>1046</v>
      </c>
    </row>
    <row r="6" spans="1:4" ht="18.45" x14ac:dyDescent="0.4">
      <c r="A6" s="1124" t="s">
        <v>974</v>
      </c>
      <c r="B6" s="1125"/>
      <c r="C6" s="737"/>
      <c r="D6" s="770" t="s">
        <v>1047</v>
      </c>
    </row>
    <row r="7" spans="1:4" ht="18.45" x14ac:dyDescent="0.4">
      <c r="A7" s="1123" t="s">
        <v>973</v>
      </c>
      <c r="B7" s="1124"/>
      <c r="C7" s="737"/>
      <c r="D7" s="770" t="s">
        <v>1047</v>
      </c>
    </row>
    <row r="8" spans="1:4" ht="18.45" x14ac:dyDescent="0.4">
      <c r="A8" s="1123" t="s">
        <v>1051</v>
      </c>
      <c r="B8" s="1124"/>
      <c r="C8" s="737"/>
      <c r="D8" s="770" t="s">
        <v>1047</v>
      </c>
    </row>
    <row r="9" spans="1:4" ht="18.45" x14ac:dyDescent="0.4">
      <c r="A9" s="1123" t="s">
        <v>1060</v>
      </c>
      <c r="B9" s="1124"/>
      <c r="C9" s="771">
        <f>IFERROR(IF(C3="Wall",0,SUM(1+(C7/C12))*C6),0)</f>
        <v>0</v>
      </c>
      <c r="D9" s="770"/>
    </row>
    <row r="10" spans="1:4" ht="18.45" x14ac:dyDescent="0.4">
      <c r="A10" s="1123" t="s">
        <v>975</v>
      </c>
      <c r="B10" s="1124"/>
      <c r="C10" s="738"/>
      <c r="D10" s="770" t="s">
        <v>1047</v>
      </c>
    </row>
    <row r="11" spans="1:4" ht="18.45" x14ac:dyDescent="0.4">
      <c r="A11" s="1123" t="s">
        <v>976</v>
      </c>
      <c r="B11" s="1124"/>
      <c r="C11" s="738"/>
      <c r="D11" s="770" t="s">
        <v>1047</v>
      </c>
    </row>
    <row r="12" spans="1:4" ht="18.45" x14ac:dyDescent="0.4">
      <c r="A12" s="1123" t="s">
        <v>1050</v>
      </c>
      <c r="B12" s="1124"/>
      <c r="C12" s="737">
        <v>0</v>
      </c>
      <c r="D12" s="770" t="s">
        <v>1047</v>
      </c>
    </row>
    <row r="13" spans="1:4" ht="18.45" x14ac:dyDescent="0.4">
      <c r="A13" s="1123" t="s">
        <v>1043</v>
      </c>
      <c r="B13" s="1124"/>
      <c r="C13" s="737"/>
      <c r="D13" s="770" t="s">
        <v>1047</v>
      </c>
    </row>
    <row r="14" spans="1:4" ht="18.45" x14ac:dyDescent="0.4">
      <c r="A14" s="1123" t="s">
        <v>935</v>
      </c>
      <c r="B14" s="1124"/>
      <c r="C14" s="737"/>
      <c r="D14" s="770" t="s">
        <v>1046</v>
      </c>
    </row>
    <row r="15" spans="1:4" ht="18.45" x14ac:dyDescent="0.4">
      <c r="A15" s="1123" t="s">
        <v>962</v>
      </c>
      <c r="B15" s="1124"/>
      <c r="C15" s="739"/>
      <c r="D15" s="770" t="s">
        <v>1047</v>
      </c>
    </row>
    <row r="17" spans="1:13" ht="29.15" x14ac:dyDescent="0.4">
      <c r="A17" s="772" t="s">
        <v>952</v>
      </c>
      <c r="B17" s="83" t="s">
        <v>11</v>
      </c>
      <c r="C17" s="83" t="s">
        <v>12</v>
      </c>
      <c r="D17" s="587" t="s">
        <v>435</v>
      </c>
      <c r="E17" s="571" t="s">
        <v>436</v>
      </c>
      <c r="F17" s="581" t="s">
        <v>437</v>
      </c>
      <c r="G17" s="588" t="s">
        <v>425</v>
      </c>
      <c r="H17" s="570" t="s">
        <v>977</v>
      </c>
      <c r="I17" s="571" t="s">
        <v>715</v>
      </c>
      <c r="J17" s="570" t="s">
        <v>500</v>
      </c>
    </row>
    <row r="18" spans="1:13" x14ac:dyDescent="0.4">
      <c r="A18" s="552" t="s">
        <v>952</v>
      </c>
      <c r="B18" s="710" t="str">
        <f>IFERROR(VLOOKUP(C1,'Grab Rail Item List'!B23:F25,2,FALSE),)</f>
        <v>GR-Round 20'</v>
      </c>
      <c r="C18" s="711" t="str">
        <f>IFERROR(VLOOKUP(B18,'Grab Rail Item List'!C:D,2,FALSE),"")</f>
        <v>1-1/2" Schedule 40 Round Grab Rail 20'</v>
      </c>
      <c r="D18" s="752">
        <f>IF(B18="none",0,SUM((C7*C8)*C6))</f>
        <v>0</v>
      </c>
      <c r="E18" s="753">
        <f>IFERROR(IF(Table113[[#This Row],[Item]]="None",0,(ROUNDUP(Table113[[#This Row],[Qty (Feet)]]/(VLOOKUP(Table113[[#This Row],[Item]],'Grab Rail Item List'!C:E,3,FALSE)),0))),0)</f>
        <v>0</v>
      </c>
      <c r="F18" s="715">
        <f>IFERROR(VLOOKUP(Table113[[#This Row],[Item]],'Grab Rail Item List'!C:F,4,FALSE),0)</f>
        <v>56.62</v>
      </c>
      <c r="G18" s="716">
        <f>F18*E18</f>
        <v>0</v>
      </c>
      <c r="H18" s="720">
        <f>IFERROR(+(Table113[[#This Row],[Qty (Feet)]]*C15),0)</f>
        <v>0</v>
      </c>
      <c r="I18" s="721">
        <f>IFERROR(IF(Table113[[#This Row],[Item]]="None",0,ROUNDUP(Table113[[#This Row],[Coushion Qty LF]]/VLOOKUP(Table113[[#This Row],[Item]],'Grab Rail Item List'!C:E,3,FALSE),2)),)</f>
        <v>0</v>
      </c>
      <c r="J18" s="718">
        <f>G18+(I18*F18)</f>
        <v>0</v>
      </c>
      <c r="L18" s="773" t="s">
        <v>1049</v>
      </c>
      <c r="M18" s="774"/>
    </row>
    <row r="19" spans="1:13" x14ac:dyDescent="0.4">
      <c r="A19" s="640" t="s">
        <v>1052</v>
      </c>
      <c r="B19" s="746" t="str">
        <f>IFERROR(IF(C3="Wall","None",VLOOKUP(C1,'Grab Rail Item List'!B23:F25,2,FALSE)),"None")</f>
        <v>GR-Round 20'</v>
      </c>
      <c r="C19" s="741" t="str">
        <f>IFERROR(VLOOKUP(B19,'Grab Rail Item List'!C:D,2,FALSE),"")</f>
        <v>1-1/2" Schedule 40 Round Grab Rail 20'</v>
      </c>
      <c r="D19" s="754">
        <f>IF(C12=0,0,IF(B19="none",0,SUM(((1+(C7/C12))*C6)*3)))</f>
        <v>0</v>
      </c>
      <c r="E19" s="755">
        <f>IFERROR(IF(Table113[[#This Row],[Item]]="None",0,(ROUNDUP(Table113[[#This Row],[Qty (Feet)]]/(VLOOKUP(Table113[[#This Row],[Item]],'Grab Rail Item List'!C:E,3,FALSE)),0))),0)</f>
        <v>0</v>
      </c>
      <c r="F19" s="747">
        <f>IFERROR(VLOOKUP(Table113[[#This Row],[Item]],'Grab Rail Item List'!C:F,4,FALSE),0)</f>
        <v>56.62</v>
      </c>
      <c r="G19" s="748">
        <f>F19*E19</f>
        <v>0</v>
      </c>
      <c r="H19" s="749">
        <f>IFERROR(+(Table113[[#This Row],[Qty (Feet)]]*C15),0)</f>
        <v>0</v>
      </c>
      <c r="I19" s="750">
        <f>IFERROR(IF(Table113[[#This Row],[Item]]="None",0,ROUNDUP(Table113[[#This Row],[Coushion Qty LF]]/VLOOKUP(Table113[[#This Row],[Item]],'Grab Rail Item List'!C:E,3,FALSE),2)),)</f>
        <v>0</v>
      </c>
      <c r="J19" s="733">
        <f>G19+(I19*F19)</f>
        <v>0</v>
      </c>
    </row>
    <row r="20" spans="1:13" ht="15" thickBot="1" x14ac:dyDescent="0.45">
      <c r="A20" s="562"/>
      <c r="B20" s="562"/>
      <c r="C20" s="562"/>
      <c r="D20" s="743"/>
      <c r="E20" s="743"/>
      <c r="F20" s="674"/>
      <c r="G20" s="744">
        <f>SUM(G18:G19)</f>
        <v>0</v>
      </c>
      <c r="H20" s="745"/>
      <c r="I20" s="745"/>
      <c r="J20" s="744">
        <f>SUM(J18:J19)</f>
        <v>0</v>
      </c>
    </row>
    <row r="21" spans="1:13" ht="16.3" thickTop="1" x14ac:dyDescent="0.45">
      <c r="A21" s="565"/>
      <c r="B21" s="565"/>
      <c r="C21" s="565"/>
      <c r="D21" s="565"/>
      <c r="E21" s="565"/>
      <c r="F21" s="565"/>
      <c r="G21" s="565"/>
      <c r="H21" s="565"/>
      <c r="I21" s="565"/>
      <c r="J21" s="565"/>
    </row>
    <row r="22" spans="1:13" ht="29.15" x14ac:dyDescent="0.4">
      <c r="A22" s="740" t="s">
        <v>960</v>
      </c>
      <c r="B22" s="83" t="s">
        <v>11</v>
      </c>
      <c r="C22" s="83" t="s">
        <v>12</v>
      </c>
      <c r="D22" s="567" t="s">
        <v>435</v>
      </c>
      <c r="E22" s="568" t="s">
        <v>436</v>
      </c>
      <c r="F22" s="569" t="s">
        <v>437</v>
      </c>
      <c r="G22" s="570" t="s">
        <v>425</v>
      </c>
      <c r="H22" s="570" t="s">
        <v>501</v>
      </c>
      <c r="I22" s="571" t="s">
        <v>988</v>
      </c>
      <c r="J22" s="570" t="s">
        <v>500</v>
      </c>
    </row>
    <row r="23" spans="1:13" x14ac:dyDescent="0.4">
      <c r="A23" s="572" t="s">
        <v>948</v>
      </c>
      <c r="B23" s="710" t="str">
        <f>IFERROR(IF(C10&lt;1,"None",VLOOKUP(C1,'Grab Rail Item List'!B27:F32,2,FALSE)),"")</f>
        <v>None</v>
      </c>
      <c r="C23" s="711" t="str">
        <f>IFERROR(VLOOKUP(B23,'Grab Rail Item List'!C:D,2,FALSE),"")</f>
        <v>None</v>
      </c>
      <c r="D23" s="756">
        <f>IF(Table113[[#This Row],[Item]]="None",0,(1*C10)*$C$6)</f>
        <v>0</v>
      </c>
      <c r="E23" s="714">
        <f>IFERROR(IF(B23="none",0,('Grab Rail'!C10*'Grab Rail'!C6)),0)</f>
        <v>0</v>
      </c>
      <c r="F23" s="715">
        <f>IF(Table113[[#This Row],[Item]]="None",0,(VLOOKUP(B23,'Grab Rail Item List'!C:F,4,FALSE)))</f>
        <v>0</v>
      </c>
      <c r="G23" s="716">
        <f t="shared" ref="G23" si="0">F23*E23</f>
        <v>0</v>
      </c>
      <c r="H23" s="717">
        <f>ROUNDUP(E23*C15,0)</f>
        <v>0</v>
      </c>
      <c r="I23" s="714">
        <f>Table113[[#This Row],[Unit Cost]]*Table113[[#This Row],[Coushion Qty LF]]</f>
        <v>0</v>
      </c>
      <c r="J23" s="718">
        <f>G23+(I23)</f>
        <v>0</v>
      </c>
    </row>
    <row r="24" spans="1:13" x14ac:dyDescent="0.4">
      <c r="A24" s="572" t="s">
        <v>955</v>
      </c>
      <c r="B24" s="710" t="str">
        <f>IFERROR(IF(C11&lt;1,"None",VLOOKUP(C1,'Grab Rail Item List'!B19:F21,2,FALSE)),"")</f>
        <v>None</v>
      </c>
      <c r="C24" s="711" t="str">
        <f>IFERROR(VLOOKUP(B24,'Grab Rail Item List'!C:D,2,FALSE),"")</f>
        <v>None</v>
      </c>
      <c r="D24" s="756">
        <f>IF(Table113[[#This Row],[Item]]="None",0,(3*C11)*$C$6)</f>
        <v>0</v>
      </c>
      <c r="E24" s="714">
        <f>IFERROR(IF(B24="none",0,('Grab Rail'!C11*'Grab Rail'!C6)),0)</f>
        <v>0</v>
      </c>
      <c r="F24" s="715">
        <f>IF(Table113[[#This Row],[Item]]="None",0,(VLOOKUP(B24,'Grab Rail Item List'!C:F,4,FALSE)))</f>
        <v>0</v>
      </c>
      <c r="G24" s="716">
        <f t="shared" ref="G24:G26" si="1">F24*E24</f>
        <v>0</v>
      </c>
      <c r="H24" s="717">
        <f>ROUNDUP(E24*C15,0)</f>
        <v>0</v>
      </c>
      <c r="I24" s="714">
        <f>Table113[[#This Row],[Unit Cost]]*Table113[[#This Row],[Coushion Qty LF]]</f>
        <v>0</v>
      </c>
      <c r="J24" s="718">
        <f>G24+(I24)</f>
        <v>0</v>
      </c>
    </row>
    <row r="25" spans="1:13" x14ac:dyDescent="0.4">
      <c r="A25" s="572" t="s">
        <v>951</v>
      </c>
      <c r="B25" s="712" t="str">
        <f>IF(C13&lt;1,"none",VLOOKUP(C1,'Grab Rail Item List'!B4:F6,2,FALSE))</f>
        <v>none</v>
      </c>
      <c r="C25" s="711" t="str">
        <f>IFERROR(VLOOKUP(B25,'Grab Rail Item List'!C:D,2,FALSE),"")</f>
        <v>None</v>
      </c>
      <c r="D25" s="574"/>
      <c r="E25" s="714">
        <f>IFERROR(IF(B25="none",0,(C13*C6)),0)</f>
        <v>0</v>
      </c>
      <c r="F25" s="715">
        <f>IF(Table113[[#This Row],[Item]]="None",0,(VLOOKUP(B25,'Grab Rail Item List'!C:F,4,FALSE)))</f>
        <v>0</v>
      </c>
      <c r="G25" s="716">
        <f t="shared" si="1"/>
        <v>0</v>
      </c>
      <c r="H25" s="717">
        <f>ROUNDUP(E25*C15,0)</f>
        <v>0</v>
      </c>
      <c r="I25" s="714">
        <f>Table113[[#This Row],[Unit Cost]]*Table113[[#This Row],[Coushion Qty LF]]</f>
        <v>0</v>
      </c>
      <c r="J25" s="718">
        <f>G25+(I25)</f>
        <v>0</v>
      </c>
    </row>
    <row r="26" spans="1:13" x14ac:dyDescent="0.4">
      <c r="A26" s="572" t="s">
        <v>949</v>
      </c>
      <c r="B26" s="741" t="str">
        <f>IFERROR(IF($C$14="No","None",VLOOKUP($C$1,'Grab Rail Item List'!$B$33:$D$36,2,FALSE)),"")</f>
        <v>GR-Round Splice</v>
      </c>
      <c r="C26" s="711" t="str">
        <f>IFERROR(VLOOKUP(B26,'Grab Rail Item List'!C:D,2,FALSE),"")</f>
        <v>Coupling Splice for  1-1/2" Round  Pipe Grab Rail</v>
      </c>
      <c r="D26" s="574"/>
      <c r="E26" s="714">
        <f>IF(Table113[[#This Row],[Item]]="None",0,IF(C7&gt;20,((_xlfn.FLOOR.MATH(C7/20))*C8)*C6,0))</f>
        <v>0</v>
      </c>
      <c r="F26" s="715">
        <f>IFERROR(IF(Table113[[#This Row],[Item]]="None",0,(VLOOKUP(B26,'Grab Rail Item List'!C:F,4,FALSE))),0)</f>
        <v>2.06</v>
      </c>
      <c r="G26" s="716">
        <f t="shared" si="1"/>
        <v>0</v>
      </c>
      <c r="H26" s="717">
        <f>ROUNDUP(E26*C16,0)</f>
        <v>0</v>
      </c>
      <c r="I26" s="714">
        <f>Table113[[#This Row],[Unit Cost]]*Table113[[#This Row],[Coushion Qty LF]]</f>
        <v>0</v>
      </c>
      <c r="J26" s="718">
        <f>G26+(I26)</f>
        <v>0</v>
      </c>
    </row>
    <row r="27" spans="1:13" ht="15" thickBot="1" x14ac:dyDescent="0.45">
      <c r="A27" s="561" t="s">
        <v>713</v>
      </c>
      <c r="B27" s="562"/>
      <c r="C27" s="561"/>
      <c r="D27" s="577"/>
      <c r="E27" s="385"/>
      <c r="F27" s="578"/>
      <c r="G27" s="719">
        <f>SUM(G23:G26)</f>
        <v>0</v>
      </c>
      <c r="H27" s="578"/>
      <c r="I27" s="719">
        <f>SUM(I23:I26)</f>
        <v>0</v>
      </c>
      <c r="J27" s="719">
        <f>SUM(J23:J26)</f>
        <v>0</v>
      </c>
    </row>
    <row r="28" spans="1:13" ht="16.75" thickTop="1" thickBot="1" x14ac:dyDescent="0.5">
      <c r="A28" s="565"/>
      <c r="B28" s="565"/>
      <c r="C28" s="565"/>
      <c r="D28" s="565"/>
      <c r="E28" s="565"/>
      <c r="F28" s="565"/>
      <c r="G28" s="565"/>
      <c r="H28" s="565"/>
      <c r="I28" s="565"/>
      <c r="J28" s="565"/>
    </row>
    <row r="29" spans="1:13" ht="16.3" thickTop="1" x14ac:dyDescent="0.45">
      <c r="A29" s="565"/>
      <c r="B29" s="565"/>
      <c r="C29" s="565"/>
      <c r="D29" s="565"/>
      <c r="E29" s="565"/>
      <c r="F29" s="565"/>
      <c r="G29" s="565"/>
      <c r="H29" s="565"/>
      <c r="I29" s="565"/>
      <c r="J29" s="565"/>
    </row>
    <row r="30" spans="1:13" ht="29.15" x14ac:dyDescent="0.4">
      <c r="A30" s="740" t="s">
        <v>963</v>
      </c>
      <c r="B30" s="580" t="s">
        <v>11</v>
      </c>
      <c r="C30" s="580"/>
      <c r="D30" s="580"/>
      <c r="E30" s="571" t="s">
        <v>436</v>
      </c>
      <c r="F30" s="581" t="s">
        <v>437</v>
      </c>
      <c r="G30" s="588" t="s">
        <v>425</v>
      </c>
      <c r="H30" s="570" t="s">
        <v>1096</v>
      </c>
      <c r="I30" s="571" t="s">
        <v>1097</v>
      </c>
      <c r="J30" s="570" t="s">
        <v>500</v>
      </c>
    </row>
    <row r="31" spans="1:13" x14ac:dyDescent="0.4">
      <c r="A31" s="552" t="s">
        <v>956</v>
      </c>
      <c r="B31" s="710" t="str">
        <f>IF($C$3="Wall",'Grab Rail Item List'!C3,"None")</f>
        <v>None</v>
      </c>
      <c r="C31" s="713" t="str">
        <f>IF(Table113[[#This Row],[Item]]="None","",(VLOOKUP(B31,'Grab Rail Item List'!C:D,2,FALSE)))</f>
        <v/>
      </c>
      <c r="D31" s="574"/>
      <c r="E31" s="722">
        <f>IF(Table113[[#This Row],[Item]]="None",0,(((C7/C12)+1)*C6))</f>
        <v>0</v>
      </c>
      <c r="F31" s="723">
        <f>IF(Table113[[#This Row],[Item]]="None",0,VLOOKUP(Table113[[#This Row],[Item]],'Grab Rail Item List'!C:G,4,FALSE))</f>
        <v>0</v>
      </c>
      <c r="G31" s="716">
        <f>Table113[[#This Row],[Unit Cost]]*Table113[[#This Row],[Unit Count]]</f>
        <v>0</v>
      </c>
      <c r="H31" s="724" t="str">
        <f>IF(Table113[[#This Row],[Item]]="None","",Table113[[#This Row],[Unit Count]]*$C$15)</f>
        <v/>
      </c>
      <c r="I31" s="725" t="str">
        <f>IFERROR(SUM(IF(Table113[[#This Row],[Item]]="none",0,VLOOKUP(Table113[[#This Row],[Item]],'Grab Rail Item List'!C:F,4,FALSE))*Table113[[#This Row],[Coushion Qty LF]]),"")</f>
        <v/>
      </c>
      <c r="J31" s="718">
        <f>IFERROR(Table113[[#This Row],[Coushion Unit Count]]+Table113[[#This Row],[Extended Cost]],0)</f>
        <v>0</v>
      </c>
    </row>
    <row r="32" spans="1:13" x14ac:dyDescent="0.4">
      <c r="A32" s="552" t="s">
        <v>987</v>
      </c>
      <c r="B32" s="710" t="str">
        <f>IF(C3="Floor",C5,"None")</f>
        <v>3/8" x 4" Base Plate</v>
      </c>
      <c r="C32" s="713" t="str">
        <f>IF(Table113[[#This Row],[Item]]="None","",(VLOOKUP(B32,'Grab Rail Item List'!C:D,2,FALSE)))</f>
        <v xml:space="preserve">3/8" x 4" From Coast Aluminum </v>
      </c>
      <c r="D32" s="574"/>
      <c r="E32" s="722">
        <f>IF( C12=0,0,IF(Table113[[#This Row],[Item]]="None",0,((1+(C7/C12))*C6)))</f>
        <v>0</v>
      </c>
      <c r="F32" s="723">
        <f>IF(Table113[[#This Row],[Item]]="None",0,VLOOKUP(Table113[[#This Row],[Item]],'Grab Rail Item List'!C:G,4,FALSE))</f>
        <v>0.80208333333333337</v>
      </c>
      <c r="G32" s="715">
        <f>F32*E32</f>
        <v>0</v>
      </c>
      <c r="H32" s="724">
        <f>IF(Table113[[#This Row],[Item]]="None","",Table113[[#This Row],[Unit Count]]*$C$15)</f>
        <v>0</v>
      </c>
      <c r="I32" s="725">
        <f>IFERROR(SUM(IF(Table113[[#This Row],[Item]]="none",0,VLOOKUP(Table113[[#This Row],[Item]],'Grab Rail Item List'!C:F,4,FALSE))*Table113[[#This Row],[Coushion Qty LF]]),"")</f>
        <v>0</v>
      </c>
      <c r="J32" s="718">
        <f>IFERROR(Table113[[#This Row],[Coushion Unit Count]]+Table113[[#This Row],[Extended Cost]],0)</f>
        <v>0</v>
      </c>
    </row>
    <row r="33" spans="1:10" x14ac:dyDescent="0.4">
      <c r="A33" s="552" t="s">
        <v>990</v>
      </c>
      <c r="B33" s="710" t="str">
        <f>IF($B$31="None","none",VLOOKUP(C4,'Grab Rail Item List'!B36:F37,2,FALSE))</f>
        <v>none</v>
      </c>
      <c r="C33" s="713" t="str">
        <f>IF(Table113[[#This Row],[Item]]="None","",VLOOKUP(B33,'Grab Rail Item List'!C:D,2,FALSE))</f>
        <v/>
      </c>
      <c r="D33" s="574"/>
      <c r="E33" s="722">
        <f>IF(Table113[[#This Row],[Item]]="None",0,VLOOKUP(Table113[[#This Row],[Item]],'Grab Rail Item List'!C:P,14,FALSE))</f>
        <v>0</v>
      </c>
      <c r="F33" s="723">
        <f>IF(Table113[[#This Row],[Item]]="None",0,VLOOKUP(Table113[[#This Row],[Item]],'Grab Rail Item List'!C:G,4,FALSE))</f>
        <v>0</v>
      </c>
      <c r="G33" s="715">
        <f t="shared" ref="G33:G38" si="2">F33*E33</f>
        <v>0</v>
      </c>
      <c r="H33" s="724" t="str">
        <f>IF(Table113[[#This Row],[Item]]="None","",Table113[[#This Row],[Unit Count]]*$C$15)</f>
        <v/>
      </c>
      <c r="I33" s="725" t="str">
        <f>IFERROR(SUM(IF(Table113[[#This Row],[Item]]="none",0,VLOOKUP(Table113[[#This Row],[Item]],'Grab Rail Item List'!C:F,4,FALSE))*Table113[[#This Row],[Coushion Qty LF]]),"")</f>
        <v/>
      </c>
      <c r="J33" s="718">
        <f>IFERROR(Table113[[#This Row],[Coushion Unit Count]]+Table113[[#This Row],[Extended Cost]],0)</f>
        <v>0</v>
      </c>
    </row>
    <row r="34" spans="1:10" x14ac:dyDescent="0.4">
      <c r="A34" s="552" t="s">
        <v>990</v>
      </c>
      <c r="B34" s="710" t="str">
        <f>IF($B$31="None","none",VLOOKUP(C2,'Grab Rail Item List'!B8:F12,2,FALSE))</f>
        <v>none</v>
      </c>
      <c r="C34" s="713" t="str">
        <f>IF(Table113[[#This Row],[Item]]="None","",VLOOKUP(B34,'Grab Rail Item List'!C:D,2,FALSE))</f>
        <v/>
      </c>
      <c r="D34" s="574"/>
      <c r="E34" s="722">
        <f>IF(Table113[[#This Row],[Item]]="None",0,VLOOKUP(Table113[[#This Row],[Item]],'Grab Rail Item List'!C:P,14,FALSE))</f>
        <v>0</v>
      </c>
      <c r="F34" s="723">
        <f>IF(Table113[[#This Row],[Item]]="None",0,VLOOKUP(Table113[[#This Row],[Item]],'Grab Rail Item List'!C:G,4,FALSE))</f>
        <v>0</v>
      </c>
      <c r="G34" s="715">
        <f t="shared" si="2"/>
        <v>0</v>
      </c>
      <c r="H34" s="724" t="str">
        <f>IF(Table113[[#This Row],[Item]]="None","",Table113[[#This Row],[Unit Count]]*$C$15)</f>
        <v/>
      </c>
      <c r="I34" s="725" t="str">
        <f>IFERROR(SUM(IF(Table113[[#This Row],[Item]]="none",0,VLOOKUP(Table113[[#This Row],[Item]],'Grab Rail Item List'!C:F,4,FALSE))*Table113[[#This Row],[Coushion Qty LF]]),"")</f>
        <v/>
      </c>
      <c r="J34" s="718">
        <f>IFERROR(Table113[[#This Row],[Coushion Unit Count]]+Table113[[#This Row],[Extended Cost]],0)</f>
        <v>0</v>
      </c>
    </row>
    <row r="35" spans="1:10" x14ac:dyDescent="0.4">
      <c r="A35" s="552" t="s">
        <v>990</v>
      </c>
      <c r="B35" s="710" t="str">
        <f>IF($B$31="None","none",VLOOKUP(C2,'Grab Rail Item List'!B13:F17,2,FALSE))</f>
        <v>none</v>
      </c>
      <c r="C35" s="713" t="str">
        <f>IF(Table113[[#This Row],[Item]]="None","",VLOOKUP(B35,'Grab Rail Item List'!C:D,2,FALSE))</f>
        <v/>
      </c>
      <c r="D35" s="574"/>
      <c r="E35" s="722">
        <f>IF(Table113[[#This Row],[Item]]="None",0,VLOOKUP(Table113[[#This Row],[Item]],'Grab Rail Item List'!C:P,14,FALSE))</f>
        <v>0</v>
      </c>
      <c r="F35" s="723">
        <f>IF(Table113[[#This Row],[Item]]="None",0,VLOOKUP(Table113[[#This Row],[Item]],'Grab Rail Item List'!C:G,4,FALSE))</f>
        <v>0</v>
      </c>
      <c r="G35" s="715">
        <f t="shared" si="2"/>
        <v>0</v>
      </c>
      <c r="H35" s="724" t="str">
        <f>IF(Table113[[#This Row],[Item]]="None","",Table113[[#This Row],[Unit Count]]*$C$15)</f>
        <v/>
      </c>
      <c r="I35" s="725" t="str">
        <f>IFERROR(SUM(IF(Table113[[#This Row],[Item]]="none",0,VLOOKUP(Table113[[#This Row],[Item]],'Grab Rail Item List'!C:F,4,FALSE))*Table113[[#This Row],[Coushion Qty LF]]),"")</f>
        <v/>
      </c>
      <c r="J35" s="718">
        <f>IFERROR(Table113[[#This Row],[Coushion Unit Count]]+Table113[[#This Row],[Extended Cost]],0)</f>
        <v>0</v>
      </c>
    </row>
    <row r="36" spans="1:10" x14ac:dyDescent="0.4">
      <c r="A36" s="552" t="s">
        <v>990</v>
      </c>
      <c r="B36" s="710" t="str">
        <f>IF($B$31="None","none",VLOOKUP($B$31,'Grab Rail Item List'!C:O,12,FALSE))</f>
        <v>none</v>
      </c>
      <c r="C36" s="713" t="str">
        <f>IF(Table113[[#This Row],[Item]]="None","",VLOOKUP(B36,'Grab Rail Item List'!C:D,2,FALSE))</f>
        <v/>
      </c>
      <c r="D36" s="574"/>
      <c r="E36" s="722">
        <f>IF(Table113[[#This Row],[Item]]="None",0,VLOOKUP(Table113[[#This Row],[Item]],'Grab Rail Item List'!C:P,14,FALSE))</f>
        <v>0</v>
      </c>
      <c r="F36" s="723">
        <f>IF(Table113[[#This Row],[Item]]="None",0,VLOOKUP(Table113[[#This Row],[Item]],'Grab Rail Item List'!C:G,4,FALSE))</f>
        <v>0</v>
      </c>
      <c r="G36" s="715">
        <f t="shared" si="2"/>
        <v>0</v>
      </c>
      <c r="H36" s="724" t="str">
        <f>IF(Table113[[#This Row],[Item]]="None","",Table113[[#This Row],[Unit Count]]*$C$15)</f>
        <v/>
      </c>
      <c r="I36" s="725" t="str">
        <f>IFERROR(SUM(IF(Table113[[#This Row],[Item]]="none",0,VLOOKUP(Table113[[#This Row],[Item]],'Grab Rail Item List'!C:F,4,FALSE))*Table113[[#This Row],[Coushion Qty LF]]),"")</f>
        <v/>
      </c>
      <c r="J36" s="718">
        <f>IFERROR(Table113[[#This Row],[Coushion Unit Count]]+Table113[[#This Row],[Extended Cost]],0)</f>
        <v>0</v>
      </c>
    </row>
    <row r="37" spans="1:10" x14ac:dyDescent="0.4">
      <c r="A37" s="687" t="s">
        <v>991</v>
      </c>
      <c r="B37" s="710" t="str">
        <f>IF($B$32="None","None",VLOOKUP($B$32,'Grab Rail Item List'!C:O,9,FALSE))</f>
        <v>SS Concrete Wedge Anchor</v>
      </c>
      <c r="C37" s="713" t="str">
        <f>IFERROR(VLOOKUP(Table113[[#This Row],[Item]],'Grab Rail Item List'!C:F,2,FALSE),"")</f>
        <v>3/8"x3-3/4" 18-8 Stainless Steel Wedge Anchor</v>
      </c>
      <c r="D37" s="574"/>
      <c r="E37" s="722">
        <f>IF(Table113[[#This Row],[Item]]="None",0,VLOOKUP(Table113[[#This Row],[Item]],'Grab Rail Item List'!C:Q,15,FALSE))</f>
        <v>0</v>
      </c>
      <c r="F37" s="723">
        <f>IF(Table113[[#This Row],[Item]]="None",0,VLOOKUP(Table113[[#This Row],[Item]],'Grab Rail Item List'!C:G,4,FALSE))</f>
        <v>2.12</v>
      </c>
      <c r="G37" s="715">
        <f t="shared" si="2"/>
        <v>0</v>
      </c>
      <c r="H37" s="724">
        <f>IF(Table113[[#This Row],[Item]]="None","",Table113[[#This Row],[Unit Count]]*$C$15)</f>
        <v>0</v>
      </c>
      <c r="I37" s="725">
        <f>IFERROR(SUM(IF(Table113[[#This Row],[Item]]="none",0,VLOOKUP(Table113[[#This Row],[Item]],'Grab Rail Item List'!C:F,4,FALSE))*Table113[[#This Row],[Coushion Qty LF]]),"")</f>
        <v>0</v>
      </c>
      <c r="J37" s="718">
        <f>IFERROR(Table113[[#This Row],[Coushion Unit Count]]+Table113[[#This Row],[Extended Cost]],0)</f>
        <v>0</v>
      </c>
    </row>
    <row r="38" spans="1:10" x14ac:dyDescent="0.4">
      <c r="A38" s="687" t="s">
        <v>991</v>
      </c>
      <c r="B38" s="710" t="str">
        <f>IFERROR(IF($B$32="Core Hole","None",IF(C5="None","None",VLOOKUP(C2,'Grab Rail Item List'!B13:F17,2,FALSE))),"")</f>
        <v>NC- Blk</v>
      </c>
      <c r="C38" s="713" t="str">
        <f>IFERROR(VLOOKUP(Table113[[#This Row],[Item]],'Grab Rail Item List'!C:F,2,FALSE),"")</f>
        <v>Nylon Bolt Cap- Black</v>
      </c>
      <c r="D38" s="574"/>
      <c r="E38" s="722">
        <f>IFERROR(IF(Table113[[#This Row],[Item]]="None",0,VLOOKUP(Table113[[#This Row],[Item]],'Grab Rail Item List'!C:Q,15,FALSE)),0)</f>
        <v>0</v>
      </c>
      <c r="F38" s="723">
        <f>IFERROR(IF(Table113[[#This Row],[Item]]="None",0,VLOOKUP(Table113[[#This Row],[Item]],'Grab Rail Item List'!C:G,4,FALSE)),0)</f>
        <v>7.1279999999999996E-2</v>
      </c>
      <c r="G38" s="715">
        <f t="shared" si="2"/>
        <v>0</v>
      </c>
      <c r="H38" s="724">
        <f>IF(Table113[[#This Row],[Item]]="None","",Table113[[#This Row],[Unit Count]]*$C$15)</f>
        <v>0</v>
      </c>
      <c r="I38" s="725">
        <f>IFERROR(SUM(IF(Table113[[#This Row],[Item]]="none",0,VLOOKUP(Table113[[#This Row],[Item]],'Grab Rail Item List'!C:F,4,FALSE))*Table113[[#This Row],[Coushion Qty LF]]),"")</f>
        <v>0</v>
      </c>
      <c r="J38" s="718">
        <f>IFERROR(Table113[[#This Row],[Coushion Unit Count]]+Table113[[#This Row],[Extended Cost]],0)</f>
        <v>0</v>
      </c>
    </row>
    <row r="39" spans="1:10" ht="29.15" x14ac:dyDescent="0.4">
      <c r="A39" s="687" t="s">
        <v>1029</v>
      </c>
      <c r="B39" s="710" t="str">
        <f>IFERROR(IF(B26="None","None",VLOOKUP(C2,'Grab Rail Item List'!B8:F12,2,FALSE)),"")</f>
        <v>SS W805X100 - Blk</v>
      </c>
      <c r="C39" s="713" t="str">
        <f>IFERROR(IF(Table113[[#This Row],[Item]]="None","",VLOOKUP(B39,'Grab Rail Item List'!C:D,2,FALSE)),"")</f>
        <v>TR &amp; BR Screws - #10 x 5/8" Phillips Pan Head Self Drill Stainless Steel Zinc Plated - Black- One screw</v>
      </c>
      <c r="D39" s="574"/>
      <c r="E39" s="757">
        <f>IF(B26="None",0,E26*2)</f>
        <v>0</v>
      </c>
      <c r="F39" s="723">
        <f>IFERROR(IF(Table113[[#This Row],[Item]]="None",0,VLOOKUP(Table113[[#This Row],[Item]],'Grab Rail Item List'!C:G,4,FALSE)),0)</f>
        <v>2.8</v>
      </c>
      <c r="G39" s="715">
        <f t="shared" ref="G39" si="3">F39*E39</f>
        <v>0</v>
      </c>
      <c r="H39" s="726"/>
      <c r="I39" s="725">
        <f>IFERROR(SUM(IF(Table113[[#This Row],[Item]]="none",0,VLOOKUP(Table113[[#This Row],[Item]],'Grab Rail Item List'!C:F,4,FALSE))*Table113[[#This Row],[Coushion Qty LF]]),"")</f>
        <v>0</v>
      </c>
      <c r="J39" s="718">
        <f>IFERROR(Table113[[#This Row],[Coushion Unit Count]]+Table113[[#This Row],[Extended Cost]],0)</f>
        <v>0</v>
      </c>
    </row>
    <row r="40" spans="1:10" ht="15" thickBot="1" x14ac:dyDescent="0.45">
      <c r="A40" s="561"/>
      <c r="B40" s="388"/>
      <c r="C40" s="388"/>
      <c r="D40" s="389"/>
      <c r="E40" s="727"/>
      <c r="F40" s="728"/>
      <c r="G40" s="719">
        <f>SUM(G31:G39)</f>
        <v>0</v>
      </c>
      <c r="H40" s="727"/>
      <c r="I40" s="719">
        <f>SUM(I31:I39)</f>
        <v>0</v>
      </c>
      <c r="J40" s="719">
        <f>SUM(J31:J39)</f>
        <v>0</v>
      </c>
    </row>
    <row r="41" spans="1:10" ht="16.75" thickTop="1" thickBot="1" x14ac:dyDescent="0.5">
      <c r="A41" s="695"/>
      <c r="B41" s="695"/>
      <c r="C41" s="695"/>
      <c r="D41" s="695"/>
      <c r="E41" s="695"/>
      <c r="F41" s="695"/>
      <c r="G41" s="695"/>
      <c r="H41" s="695"/>
      <c r="I41" s="695"/>
      <c r="J41" s="695"/>
    </row>
    <row r="42" spans="1:10" ht="15" thickTop="1" x14ac:dyDescent="0.4">
      <c r="A42" s="692"/>
      <c r="B42" s="692"/>
      <c r="C42" s="692"/>
      <c r="D42" s="693"/>
      <c r="E42" s="693"/>
      <c r="F42" s="693"/>
      <c r="G42" s="693"/>
      <c r="H42" s="693"/>
      <c r="I42" s="693"/>
      <c r="J42" s="693"/>
    </row>
    <row r="43" spans="1:10" ht="29.6" x14ac:dyDescent="0.45">
      <c r="A43" s="694" t="s">
        <v>1048</v>
      </c>
      <c r="B43" s="580" t="s">
        <v>11</v>
      </c>
      <c r="C43" s="580"/>
      <c r="D43" s="571" t="s">
        <v>436</v>
      </c>
      <c r="E43" s="581" t="s">
        <v>1040</v>
      </c>
      <c r="F43" s="581" t="s">
        <v>1041</v>
      </c>
      <c r="G43" s="588" t="s">
        <v>425</v>
      </c>
      <c r="H43" s="570" t="s">
        <v>971</v>
      </c>
      <c r="I43" s="571" t="s">
        <v>972</v>
      </c>
      <c r="J43" s="570" t="s">
        <v>500</v>
      </c>
    </row>
    <row r="44" spans="1:10" x14ac:dyDescent="0.4">
      <c r="A44" s="552" t="s">
        <v>979</v>
      </c>
      <c r="B44" s="711" t="s">
        <v>964</v>
      </c>
      <c r="C44" s="711" t="s">
        <v>965</v>
      </c>
      <c r="D44" s="751">
        <f>C6*'Work Area'!G40</f>
        <v>0</v>
      </c>
      <c r="E44" s="714">
        <f>D44*'Work Area'!E40</f>
        <v>0</v>
      </c>
      <c r="F44" s="730">
        <f>'Work Area'!$D$37</f>
        <v>20.88</v>
      </c>
      <c r="G44" s="716">
        <f t="shared" ref="G44:G50" si="4">F44*E44</f>
        <v>0</v>
      </c>
      <c r="H44" s="724">
        <f t="shared" ref="H44:H50" si="5">E44*$C$15</f>
        <v>0</v>
      </c>
      <c r="I44" s="731">
        <f t="shared" ref="I44:I50" si="6">H44*F44</f>
        <v>0</v>
      </c>
      <c r="J44" s="718">
        <f t="shared" ref="J44:J50" si="7">I44+G44</f>
        <v>0</v>
      </c>
    </row>
    <row r="45" spans="1:10" x14ac:dyDescent="0.4">
      <c r="A45" s="552" t="s">
        <v>980</v>
      </c>
      <c r="B45" s="711" t="s">
        <v>964</v>
      </c>
      <c r="C45" s="711" t="s">
        <v>965</v>
      </c>
      <c r="D45" s="751">
        <f>(C10*'Work Area'!G41)*'Grab Rail'!C6</f>
        <v>0</v>
      </c>
      <c r="E45" s="714">
        <f>D45*'Work Area'!E41</f>
        <v>0</v>
      </c>
      <c r="F45" s="730">
        <f>'Work Area'!$D$37</f>
        <v>20.88</v>
      </c>
      <c r="G45" s="716">
        <f t="shared" si="4"/>
        <v>0</v>
      </c>
      <c r="H45" s="724">
        <f t="shared" si="5"/>
        <v>0</v>
      </c>
      <c r="I45" s="731">
        <f t="shared" si="6"/>
        <v>0</v>
      </c>
      <c r="J45" s="718">
        <f t="shared" si="7"/>
        <v>0</v>
      </c>
    </row>
    <row r="46" spans="1:10" x14ac:dyDescent="0.4">
      <c r="A46" s="552" t="s">
        <v>981</v>
      </c>
      <c r="B46" s="711" t="s">
        <v>964</v>
      </c>
      <c r="C46" s="711" t="s">
        <v>965</v>
      </c>
      <c r="D46" s="751">
        <f>(C11*'Work Area'!G42)*'Grab Rail'!C6</f>
        <v>0</v>
      </c>
      <c r="E46" s="714">
        <f>D46*'Work Area'!E42</f>
        <v>0</v>
      </c>
      <c r="F46" s="730">
        <f>'Work Area'!$D$37</f>
        <v>20.88</v>
      </c>
      <c r="G46" s="716">
        <f t="shared" si="4"/>
        <v>0</v>
      </c>
      <c r="H46" s="724">
        <f t="shared" si="5"/>
        <v>0</v>
      </c>
      <c r="I46" s="731">
        <f t="shared" si="6"/>
        <v>0</v>
      </c>
      <c r="J46" s="718">
        <f t="shared" si="7"/>
        <v>0</v>
      </c>
    </row>
    <row r="47" spans="1:10" x14ac:dyDescent="0.4">
      <c r="A47" s="552" t="s">
        <v>1054</v>
      </c>
      <c r="B47" s="711" t="s">
        <v>964</v>
      </c>
      <c r="C47" s="711" t="s">
        <v>965</v>
      </c>
      <c r="D47" s="751">
        <f>IF(C3="Wall",0,SUM(C9)*C8)</f>
        <v>0</v>
      </c>
      <c r="E47" s="714">
        <f>D47*'Work Area'!E43</f>
        <v>0</v>
      </c>
      <c r="F47" s="730">
        <f>'Work Area'!$D$37</f>
        <v>20.88</v>
      </c>
      <c r="G47" s="716">
        <f t="shared" si="4"/>
        <v>0</v>
      </c>
      <c r="H47" s="724">
        <f t="shared" si="5"/>
        <v>0</v>
      </c>
      <c r="I47" s="731">
        <f t="shared" si="6"/>
        <v>0</v>
      </c>
      <c r="J47" s="718">
        <f t="shared" si="7"/>
        <v>0</v>
      </c>
    </row>
    <row r="48" spans="1:10" x14ac:dyDescent="0.4">
      <c r="A48" s="552" t="s">
        <v>1055</v>
      </c>
      <c r="B48" s="711" t="s">
        <v>964</v>
      </c>
      <c r="C48" s="711" t="s">
        <v>965</v>
      </c>
      <c r="D48" s="751">
        <f>IF(C5="Core Hole",0,C9)</f>
        <v>0</v>
      </c>
      <c r="E48" s="714">
        <f>D48*'Work Area'!E44</f>
        <v>0</v>
      </c>
      <c r="F48" s="730">
        <f>'Work Area'!$D$37</f>
        <v>20.88</v>
      </c>
      <c r="G48" s="716">
        <f t="shared" si="4"/>
        <v>0</v>
      </c>
      <c r="H48" s="724">
        <f t="shared" si="5"/>
        <v>0</v>
      </c>
      <c r="I48" s="731">
        <f t="shared" si="6"/>
        <v>0</v>
      </c>
      <c r="J48" s="718">
        <f t="shared" si="7"/>
        <v>0</v>
      </c>
    </row>
    <row r="49" spans="1:10" x14ac:dyDescent="0.4">
      <c r="A49" s="552" t="s">
        <v>1056</v>
      </c>
      <c r="B49" s="711" t="s">
        <v>1053</v>
      </c>
      <c r="C49" s="711" t="s">
        <v>1057</v>
      </c>
      <c r="D49" s="751">
        <f>IF(C5="Core Hole",0,C9)</f>
        <v>0</v>
      </c>
      <c r="E49" s="714">
        <f>D49*'Work Area'!E47</f>
        <v>0</v>
      </c>
      <c r="F49" s="730">
        <f>'Work Area'!$D$37</f>
        <v>20.88</v>
      </c>
      <c r="G49" s="716">
        <f t="shared" si="4"/>
        <v>0</v>
      </c>
      <c r="H49" s="724">
        <f t="shared" si="5"/>
        <v>0</v>
      </c>
      <c r="I49" s="731">
        <f t="shared" si="6"/>
        <v>0</v>
      </c>
      <c r="J49" s="718">
        <f t="shared" si="7"/>
        <v>0</v>
      </c>
    </row>
    <row r="50" spans="1:10" x14ac:dyDescent="0.4">
      <c r="A50" s="552" t="s">
        <v>1026</v>
      </c>
      <c r="B50" s="711" t="str">
        <f>IFERROR(VLOOKUP(C2,'Grab Rail Item List'!B42:F46,2,FALSE),"")</f>
        <v>Powder Coating - Black</v>
      </c>
      <c r="C50" s="713" t="str">
        <f>IFERROR(VLOOKUP(B50,'Grab Rail Item List'!C42:F47,2,FALSE),"")</f>
        <v>Black Powder Coating Per LF</v>
      </c>
      <c r="D50" s="732"/>
      <c r="E50" s="729">
        <f>IF(B50="None",0,SUM(D24+D23+D19+D18))</f>
        <v>0</v>
      </c>
      <c r="F50" s="730">
        <f>IFERROR(VLOOKUP(B50,'Grab Rail Item List'!C42:F47,4,FALSE),)</f>
        <v>5</v>
      </c>
      <c r="G50" s="716">
        <f t="shared" si="4"/>
        <v>0</v>
      </c>
      <c r="H50" s="724">
        <f t="shared" si="5"/>
        <v>0</v>
      </c>
      <c r="I50" s="731">
        <f t="shared" si="6"/>
        <v>0</v>
      </c>
      <c r="J50" s="718">
        <f t="shared" si="7"/>
        <v>0</v>
      </c>
    </row>
    <row r="51" spans="1:10" ht="15" thickBot="1" x14ac:dyDescent="0.45">
      <c r="A51" s="561"/>
      <c r="B51" s="734"/>
      <c r="C51" s="734"/>
      <c r="D51" s="735"/>
      <c r="E51" s="727"/>
      <c r="F51" s="728"/>
      <c r="G51" s="719">
        <f>SUM(G44:G50)</f>
        <v>0</v>
      </c>
      <c r="H51" s="727"/>
      <c r="I51" s="719">
        <f>SUM(I44:I50)</f>
        <v>0</v>
      </c>
      <c r="J51" s="719">
        <f>SUM(J44:J50)</f>
        <v>0</v>
      </c>
    </row>
    <row r="52" spans="1:10" ht="15" thickTop="1" x14ac:dyDescent="0.4"/>
    <row r="54" spans="1:10" ht="15" thickBot="1" x14ac:dyDescent="0.45">
      <c r="A54" s="561" t="s">
        <v>978</v>
      </c>
      <c r="B54" s="388"/>
      <c r="C54" s="388"/>
      <c r="D54" s="389"/>
      <c r="E54" s="387"/>
      <c r="F54" s="564"/>
      <c r="G54" s="386"/>
      <c r="H54" s="387"/>
      <c r="I54" s="564"/>
      <c r="J54" s="719">
        <f>J20+J27+J40+J51</f>
        <v>0</v>
      </c>
    </row>
    <row r="55" spans="1:10" ht="15" thickTop="1" x14ac:dyDescent="0.4"/>
  </sheetData>
  <mergeCells count="15">
    <mergeCell ref="A1:B1"/>
    <mergeCell ref="A2:B2"/>
    <mergeCell ref="A11:B11"/>
    <mergeCell ref="A15:B15"/>
    <mergeCell ref="A12:B12"/>
    <mergeCell ref="A14:B14"/>
    <mergeCell ref="A7:B7"/>
    <mergeCell ref="A10:B10"/>
    <mergeCell ref="A3:B3"/>
    <mergeCell ref="A13:B13"/>
    <mergeCell ref="A5:B5"/>
    <mergeCell ref="A6:B6"/>
    <mergeCell ref="A8:B8"/>
    <mergeCell ref="A9:B9"/>
    <mergeCell ref="A4:B4"/>
  </mergeCells>
  <conditionalFormatting sqref="B33:B38">
    <cfRule type="containsText" dxfId="28" priority="30" operator="containsText" text="none">
      <formula>NOT(ISERROR(SEARCH("none",B33)))</formula>
    </cfRule>
  </conditionalFormatting>
  <conditionalFormatting sqref="E27">
    <cfRule type="expression" dxfId="27" priority="38">
      <formula>(E27-#REF!)&lt;&gt;0</formula>
    </cfRule>
  </conditionalFormatting>
  <conditionalFormatting sqref="B44:B46 B49:B50">
    <cfRule type="containsText" dxfId="26" priority="17" operator="containsText" text="none">
      <formula>NOT(ISERROR(SEARCH("none",B44)))</formula>
    </cfRule>
  </conditionalFormatting>
  <conditionalFormatting sqref="B31">
    <cfRule type="containsText" dxfId="25" priority="12" operator="containsText" text="none">
      <formula>NOT(ISERROR(SEARCH("none",B31)))</formula>
    </cfRule>
  </conditionalFormatting>
  <conditionalFormatting sqref="B32:B36">
    <cfRule type="containsText" dxfId="24" priority="10" operator="containsText" text="none">
      <formula>NOT(ISERROR(SEARCH("none",B32)))</formula>
    </cfRule>
  </conditionalFormatting>
  <conditionalFormatting sqref="B39">
    <cfRule type="containsText" dxfId="23" priority="9" operator="containsText" text="none">
      <formula>NOT(ISERROR(SEARCH("none",B39)))</formula>
    </cfRule>
  </conditionalFormatting>
  <conditionalFormatting sqref="B24">
    <cfRule type="containsText" dxfId="22" priority="8" operator="containsText" text="none">
      <formula>NOT(ISERROR(SEARCH("none",B24)))</formula>
    </cfRule>
  </conditionalFormatting>
  <conditionalFormatting sqref="B23">
    <cfRule type="containsText" dxfId="21" priority="6" operator="containsText" text="none">
      <formula>NOT(ISERROR(SEARCH("none",B23)))</formula>
    </cfRule>
  </conditionalFormatting>
  <conditionalFormatting sqref="B18:B19">
    <cfRule type="containsText" dxfId="20" priority="5" operator="containsText" text="none">
      <formula>NOT(ISERROR(SEARCH("none",B18)))</formula>
    </cfRule>
  </conditionalFormatting>
  <conditionalFormatting sqref="B26">
    <cfRule type="containsText" dxfId="19" priority="4" operator="containsText" text="none">
      <formula>NOT(ISERROR(SEARCH("none",B26)))</formula>
    </cfRule>
  </conditionalFormatting>
  <conditionalFormatting sqref="B25">
    <cfRule type="containsText" dxfId="18" priority="3" operator="containsText" text="none">
      <formula>NOT(ISERROR(SEARCH("none",B25)))</formula>
    </cfRule>
  </conditionalFormatting>
  <conditionalFormatting sqref="B47">
    <cfRule type="containsText" dxfId="17" priority="2" operator="containsText" text="none">
      <formula>NOT(ISERROR(SEARCH("none",B47)))</formula>
    </cfRule>
  </conditionalFormatting>
  <conditionalFormatting sqref="B48">
    <cfRule type="containsText" dxfId="16" priority="1" operator="containsText" text="none">
      <formula>NOT(ISERROR(SEARCH("none",B48)))</formula>
    </cfRule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EDED4EC-89B8-49BF-B0C1-2F6B4F722A74}">
          <x14:formula1>
            <xm:f>'Grab Rail Item List'!$A$54:$A$55</xm:f>
          </x14:formula1>
          <xm:sqref>C3</xm:sqref>
        </x14:dataValidation>
        <x14:dataValidation type="list" allowBlank="1" showInputMessage="1" showErrorMessage="1" xr:uid="{1FE49236-4C16-4258-8E60-F61314F3486D}">
          <x14:formula1>
            <xm:f>'Grab Rail Item List'!$A$52:$A$53</xm:f>
          </x14:formula1>
          <xm:sqref>C14</xm:sqref>
        </x14:dataValidation>
        <x14:dataValidation type="list" allowBlank="1" showInputMessage="1" showErrorMessage="1" xr:uid="{864C9AF2-3FD9-4CF1-9CF3-89570E8EABFA}">
          <x14:formula1>
            <xm:f>'Grab Rail Item List'!$A$62:$A$67</xm:f>
          </x14:formula1>
          <xm:sqref>C2</xm:sqref>
        </x14:dataValidation>
        <x14:dataValidation type="list" allowBlank="1" showInputMessage="1" showErrorMessage="1" xr:uid="{53AC5CFE-31DF-424B-A53A-48C03822ECE8}">
          <x14:formula1>
            <xm:f>'Grab Rail Item List'!$C$38:$C$40</xm:f>
          </x14:formula1>
          <xm:sqref>C5</xm:sqref>
        </x14:dataValidation>
        <x14:dataValidation type="list" allowBlank="1" showInputMessage="1" showErrorMessage="1" xr:uid="{E3E5DE60-EBBE-44FF-8A49-F62D7AB71B6C}">
          <x14:formula1>
            <xm:f>'Grab Rail Item List'!$A$59:$A$61</xm:f>
          </x14:formula1>
          <xm:sqref>C1</xm:sqref>
        </x14:dataValidation>
        <x14:dataValidation type="list" allowBlank="1" showInputMessage="1" showErrorMessage="1" xr:uid="{D5B0645A-57FA-440F-8FBA-7C8D34EE5B4D}">
          <x14:formula1>
            <xm:f>'Grab Rail Item List'!$A$68:$A$69</xm:f>
          </x14:formula1>
          <xm:sqref>C4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9B2CDC-1B49-43C2-BE6E-57369ECA1622}">
  <sheetPr>
    <tabColor rgb="FF00B0F0"/>
  </sheetPr>
  <dimension ref="A1:AK194"/>
  <sheetViews>
    <sheetView workbookViewId="0">
      <pane xSplit="1" ySplit="2" topLeftCell="B9" activePane="bottomRight" state="frozen"/>
      <selection pane="topRight" activeCell="B1" sqref="B1"/>
      <selection pane="bottomLeft" activeCell="A3" sqref="A3"/>
      <selection pane="bottomRight" activeCell="L26" sqref="L26"/>
    </sheetView>
  </sheetViews>
  <sheetFormatPr defaultColWidth="8.84375" defaultRowHeight="14.6" x14ac:dyDescent="0.4"/>
  <cols>
    <col min="1" max="1" width="11.53515625" style="81" customWidth="1"/>
    <col min="2" max="2" width="35.15234375" style="83" customWidth="1"/>
    <col min="3" max="6" width="17" style="81" bestFit="1" customWidth="1"/>
    <col min="7" max="7" width="17" style="81" customWidth="1"/>
    <col min="8" max="8" width="14.84375" style="81" customWidth="1"/>
    <col min="9" max="9" width="9" style="81" customWidth="1"/>
    <col min="10" max="10" width="15.3046875" style="81" customWidth="1"/>
    <col min="11" max="11" width="11.53515625" style="81" bestFit="1" customWidth="1"/>
    <col min="12" max="12" width="13.3046875" style="81" customWidth="1"/>
    <col min="13" max="13" width="11.53515625" style="81" bestFit="1" customWidth="1"/>
    <col min="14" max="14" width="13.69140625" style="81" customWidth="1"/>
    <col min="15" max="15" width="12.53515625" style="81" bestFit="1" customWidth="1"/>
    <col min="16" max="16" width="11.53515625" style="81" bestFit="1" customWidth="1"/>
    <col min="17" max="20" width="8.84375" style="81"/>
    <col min="21" max="21" width="11.53515625" style="81" bestFit="1" customWidth="1"/>
    <col min="22" max="16384" width="8.84375" style="81"/>
  </cols>
  <sheetData>
    <row r="1" spans="1:37" ht="31.5" customHeight="1" x14ac:dyDescent="0.4">
      <c r="A1" s="1153" t="s">
        <v>908</v>
      </c>
      <c r="B1" s="392" t="s">
        <v>739</v>
      </c>
      <c r="C1" s="1152" t="str">
        <f>IF('Project Materials'!I2="","",'Project Materials'!I2)</f>
        <v/>
      </c>
      <c r="D1" s="1152"/>
      <c r="E1" s="1152"/>
      <c r="F1" s="1152"/>
      <c r="G1" s="767"/>
      <c r="H1" s="1156" t="s">
        <v>738</v>
      </c>
      <c r="I1" s="1156"/>
      <c r="J1" s="1156"/>
      <c r="K1" s="1152" t="str">
        <f>IF('Project Materials'!S2="","",'Project Materials'!S2)</f>
        <v/>
      </c>
      <c r="L1" s="1152"/>
      <c r="M1" s="1152"/>
      <c r="N1" s="1152"/>
      <c r="O1" s="393"/>
      <c r="P1" s="393"/>
      <c r="Q1" s="393"/>
      <c r="R1" s="393"/>
      <c r="S1" s="393"/>
      <c r="T1" s="393"/>
      <c r="U1" s="393"/>
      <c r="V1" s="393"/>
      <c r="W1" s="393"/>
      <c r="X1" s="393"/>
      <c r="Y1" s="393"/>
      <c r="Z1" s="393"/>
      <c r="AA1" s="393"/>
      <c r="AB1" s="393"/>
      <c r="AC1" s="393"/>
      <c r="AD1" s="393"/>
      <c r="AE1" s="393"/>
      <c r="AF1" s="393"/>
      <c r="AG1" s="393"/>
      <c r="AH1" s="393"/>
      <c r="AI1" s="393"/>
      <c r="AJ1" s="393"/>
      <c r="AK1" s="393"/>
    </row>
    <row r="2" spans="1:37" ht="15.9" thickBot="1" x14ac:dyDescent="0.45">
      <c r="A2" s="1154"/>
      <c r="B2" s="394"/>
      <c r="C2" s="393"/>
      <c r="D2" s="393"/>
      <c r="E2" s="393"/>
      <c r="F2" s="393"/>
      <c r="G2" s="393"/>
      <c r="H2" s="393"/>
      <c r="I2" s="393"/>
      <c r="J2" s="393"/>
      <c r="K2" s="393"/>
      <c r="L2" s="393"/>
      <c r="M2" s="393"/>
      <c r="N2" s="393"/>
      <c r="O2" s="393" t="s">
        <v>9</v>
      </c>
      <c r="P2" s="393"/>
      <c r="Q2" s="393"/>
      <c r="R2" s="393"/>
      <c r="S2" s="393"/>
      <c r="T2" s="393"/>
      <c r="U2" s="393"/>
      <c r="V2" s="393"/>
      <c r="W2" s="393"/>
      <c r="X2" s="393"/>
      <c r="Y2" s="393"/>
      <c r="Z2" s="393"/>
      <c r="AA2" s="393"/>
      <c r="AB2" s="393"/>
      <c r="AC2" s="393"/>
      <c r="AD2" s="393"/>
      <c r="AE2" s="393"/>
      <c r="AF2" s="393"/>
      <c r="AG2" s="393"/>
      <c r="AH2" s="393"/>
      <c r="AI2" s="393"/>
      <c r="AJ2" s="393"/>
      <c r="AK2" s="393"/>
    </row>
    <row r="3" spans="1:37" ht="15.45" x14ac:dyDescent="0.4">
      <c r="A3" s="393"/>
      <c r="B3" s="395" t="s">
        <v>898</v>
      </c>
      <c r="C3" s="396">
        <v>1</v>
      </c>
      <c r="D3" s="396">
        <v>2</v>
      </c>
      <c r="E3" s="396">
        <v>3</v>
      </c>
      <c r="F3" s="397">
        <v>4</v>
      </c>
      <c r="G3" s="768"/>
      <c r="H3" s="393"/>
      <c r="I3" s="393"/>
      <c r="J3" s="1130" t="s">
        <v>896</v>
      </c>
      <c r="K3" s="1131"/>
      <c r="L3" s="1131"/>
      <c r="M3" s="1131"/>
      <c r="N3" s="1132"/>
      <c r="P3" s="398"/>
      <c r="Q3" s="398"/>
      <c r="R3" s="393"/>
      <c r="S3" s="393"/>
      <c r="T3" s="393"/>
      <c r="U3" s="393"/>
      <c r="V3" s="393"/>
      <c r="W3" s="393"/>
      <c r="X3" s="393"/>
      <c r="Y3" s="393"/>
      <c r="Z3" s="393"/>
      <c r="AA3" s="393"/>
      <c r="AB3" s="393"/>
      <c r="AC3" s="393"/>
    </row>
    <row r="4" spans="1:37" ht="30" customHeight="1" x14ac:dyDescent="0.5">
      <c r="A4" s="393"/>
      <c r="B4" s="399" t="s">
        <v>730</v>
      </c>
      <c r="C4" s="400" t="s">
        <v>729</v>
      </c>
      <c r="D4" s="400" t="s">
        <v>728</v>
      </c>
      <c r="E4" s="400" t="s">
        <v>727</v>
      </c>
      <c r="F4" s="401" t="s">
        <v>726</v>
      </c>
      <c r="G4" s="400"/>
      <c r="H4" s="393"/>
      <c r="I4" s="830">
        <v>10</v>
      </c>
      <c r="J4" s="832">
        <f>IF(K4="Yes", MAX(P20,P21),0)</f>
        <v>3000</v>
      </c>
      <c r="K4" s="831" t="s">
        <v>419</v>
      </c>
      <c r="L4" s="1146" t="s">
        <v>924</v>
      </c>
      <c r="M4" s="1146"/>
      <c r="N4" s="1147"/>
      <c r="P4" s="398"/>
      <c r="Q4" s="398"/>
      <c r="R4" s="393"/>
      <c r="S4" s="393"/>
      <c r="T4" s="393"/>
      <c r="U4" s="393"/>
      <c r="V4" s="393"/>
      <c r="W4" s="393"/>
      <c r="X4" s="393"/>
      <c r="Y4" s="393"/>
      <c r="Z4" s="393"/>
      <c r="AA4" s="393"/>
      <c r="AB4" s="393"/>
      <c r="AC4" s="393"/>
    </row>
    <row r="5" spans="1:37" ht="15.45" x14ac:dyDescent="0.4">
      <c r="A5" s="393"/>
      <c r="B5" s="403" t="s">
        <v>725</v>
      </c>
      <c r="C5" s="404">
        <v>0</v>
      </c>
      <c r="D5" s="404">
        <v>0.05</v>
      </c>
      <c r="E5" s="404">
        <v>0.1</v>
      </c>
      <c r="F5" s="405">
        <v>0.15</v>
      </c>
      <c r="G5" s="404"/>
      <c r="H5" s="393"/>
      <c r="I5" s="393"/>
      <c r="J5" s="833">
        <v>0</v>
      </c>
      <c r="K5" s="1133" t="s">
        <v>905</v>
      </c>
      <c r="L5" s="1133"/>
      <c r="M5" s="1133"/>
      <c r="N5" s="1134"/>
      <c r="O5" s="393"/>
      <c r="P5" s="393"/>
      <c r="Q5" s="393"/>
      <c r="R5" s="393"/>
      <c r="S5" s="393"/>
      <c r="T5" s="393"/>
      <c r="U5" s="393"/>
      <c r="V5" s="393"/>
      <c r="W5" s="393"/>
      <c r="X5" s="393"/>
      <c r="Y5" s="393"/>
      <c r="Z5" s="393"/>
      <c r="AA5" s="393"/>
      <c r="AB5" s="393"/>
      <c r="AC5" s="393"/>
    </row>
    <row r="6" spans="1:37" ht="15.45" x14ac:dyDescent="0.4">
      <c r="A6" s="393"/>
      <c r="B6" s="403" t="s">
        <v>878</v>
      </c>
      <c r="C6" s="404">
        <v>0</v>
      </c>
      <c r="D6" s="406">
        <v>2.5000000000000001E-2</v>
      </c>
      <c r="E6" s="404">
        <v>0.05</v>
      </c>
      <c r="F6" s="407">
        <v>7.4999999999999997E-2</v>
      </c>
      <c r="G6" s="406"/>
      <c r="H6" s="393"/>
      <c r="I6" s="393"/>
      <c r="J6" s="834">
        <f>+L26</f>
        <v>1225.3599999999999</v>
      </c>
      <c r="K6" s="1133" t="s">
        <v>1118</v>
      </c>
      <c r="L6" s="1133"/>
      <c r="M6" s="1133"/>
      <c r="N6" s="1134"/>
      <c r="O6" s="393"/>
      <c r="P6" s="393"/>
      <c r="Q6" s="393"/>
      <c r="R6" s="393"/>
      <c r="S6" s="393"/>
      <c r="T6" s="393"/>
      <c r="U6" s="393"/>
      <c r="V6" s="393"/>
      <c r="W6" s="393"/>
      <c r="X6" s="393"/>
      <c r="Y6" s="393"/>
      <c r="Z6" s="393"/>
      <c r="AA6" s="393"/>
      <c r="AB6" s="393"/>
      <c r="AC6" s="393"/>
      <c r="AD6" s="393"/>
      <c r="AE6" s="393"/>
      <c r="AF6" s="393"/>
      <c r="AG6" s="393"/>
      <c r="AH6" s="393"/>
      <c r="AI6" s="393"/>
      <c r="AJ6" s="393"/>
      <c r="AK6" s="393"/>
    </row>
    <row r="7" spans="1:37" ht="22.75" thickBot="1" x14ac:dyDescent="0.55000000000000004">
      <c r="A7" s="402" t="s">
        <v>912</v>
      </c>
      <c r="B7" s="409" t="s">
        <v>899</v>
      </c>
      <c r="C7" s="497">
        <v>1</v>
      </c>
      <c r="D7" s="1148" t="s">
        <v>902</v>
      </c>
      <c r="E7" s="1148"/>
      <c r="F7" s="1149"/>
      <c r="G7" s="763"/>
      <c r="H7" s="393"/>
      <c r="I7" s="393"/>
      <c r="J7" s="835"/>
      <c r="K7" s="445"/>
      <c r="L7" s="445"/>
      <c r="M7" s="445"/>
      <c r="N7" s="415"/>
      <c r="O7" s="393"/>
      <c r="P7" s="393"/>
      <c r="Q7" s="393"/>
      <c r="R7" s="393"/>
      <c r="S7" s="393"/>
      <c r="T7" s="393"/>
      <c r="U7" s="393"/>
      <c r="V7" s="393"/>
      <c r="W7" s="393"/>
      <c r="X7" s="393"/>
      <c r="Y7" s="393"/>
      <c r="Z7" s="393"/>
      <c r="AA7" s="393"/>
      <c r="AB7" s="393"/>
      <c r="AC7" s="393"/>
      <c r="AD7" s="393"/>
      <c r="AE7" s="393"/>
      <c r="AF7" s="393"/>
      <c r="AG7" s="393"/>
      <c r="AH7" s="393"/>
      <c r="AI7" s="393"/>
      <c r="AJ7" s="393"/>
      <c r="AK7" s="393"/>
    </row>
    <row r="8" spans="1:37" ht="15.9" thickBot="1" x14ac:dyDescent="0.45">
      <c r="A8" s="393"/>
      <c r="B8" s="394"/>
      <c r="C8" s="393"/>
      <c r="D8" s="393"/>
      <c r="E8" s="393"/>
      <c r="F8" s="393"/>
      <c r="G8" s="393"/>
      <c r="H8" s="393"/>
      <c r="I8" s="393"/>
      <c r="J8" s="408">
        <f>SUM(J4:J6)</f>
        <v>4225.3599999999997</v>
      </c>
      <c r="K8" s="1148" t="s">
        <v>897</v>
      </c>
      <c r="L8" s="1148"/>
      <c r="M8" s="1148"/>
      <c r="N8" s="1149"/>
      <c r="O8" s="393"/>
      <c r="P8" s="393"/>
      <c r="Q8" s="393"/>
      <c r="R8" s="393"/>
      <c r="S8" s="393"/>
      <c r="T8" s="393"/>
      <c r="U8" s="393"/>
      <c r="V8" s="393"/>
      <c r="W8" s="393"/>
      <c r="X8" s="393"/>
      <c r="Y8" s="393"/>
      <c r="Z8" s="393"/>
      <c r="AA8" s="393"/>
      <c r="AB8" s="393"/>
      <c r="AC8" s="393"/>
      <c r="AD8" s="393"/>
      <c r="AE8" s="393"/>
      <c r="AF8" s="393"/>
      <c r="AG8" s="393"/>
      <c r="AH8" s="393"/>
      <c r="AI8" s="393"/>
      <c r="AJ8" s="393"/>
      <c r="AK8" s="393"/>
    </row>
    <row r="9" spans="1:37" ht="15.45" x14ac:dyDescent="0.4">
      <c r="A9" s="393"/>
      <c r="B9" s="410"/>
      <c r="C9" s="411" t="s">
        <v>724</v>
      </c>
      <c r="D9" s="411" t="s">
        <v>723</v>
      </c>
      <c r="E9" s="411" t="s">
        <v>722</v>
      </c>
      <c r="F9" s="412"/>
      <c r="G9" s="445"/>
      <c r="H9" s="393"/>
      <c r="I9" s="393"/>
      <c r="M9" s="393"/>
      <c r="N9" s="393"/>
      <c r="O9" s="393"/>
      <c r="P9" s="393"/>
      <c r="Q9" s="393"/>
      <c r="R9" s="393"/>
      <c r="S9" s="393"/>
      <c r="T9" s="393"/>
      <c r="U9" s="393"/>
      <c r="V9" s="393"/>
      <c r="W9" s="393"/>
      <c r="X9" s="393"/>
      <c r="Y9" s="393"/>
      <c r="Z9" s="393"/>
      <c r="AA9" s="393"/>
      <c r="AB9" s="393"/>
      <c r="AC9" s="393"/>
      <c r="AD9" s="393"/>
      <c r="AE9" s="393"/>
      <c r="AF9" s="393"/>
      <c r="AG9" s="393"/>
      <c r="AH9" s="393"/>
      <c r="AI9" s="393"/>
      <c r="AJ9" s="393"/>
      <c r="AK9" s="393"/>
    </row>
    <row r="10" spans="1:37" ht="15.45" x14ac:dyDescent="0.4">
      <c r="A10" s="393"/>
      <c r="B10" s="413" t="s">
        <v>721</v>
      </c>
      <c r="C10" s="414">
        <v>1</v>
      </c>
      <c r="D10" s="414">
        <v>2</v>
      </c>
      <c r="E10" s="414">
        <v>3</v>
      </c>
      <c r="F10" s="415"/>
      <c r="G10" s="445"/>
      <c r="H10" s="393"/>
      <c r="I10" s="393"/>
      <c r="J10" s="489" t="s">
        <v>1102</v>
      </c>
      <c r="K10" s="489"/>
      <c r="L10" s="489"/>
      <c r="M10" s="393" t="s">
        <v>9</v>
      </c>
      <c r="N10" s="393"/>
      <c r="O10" s="393"/>
      <c r="P10" s="393"/>
      <c r="Q10" s="393"/>
      <c r="R10" s="393"/>
      <c r="S10" s="393"/>
      <c r="T10" s="393"/>
      <c r="U10" s="393"/>
      <c r="V10" s="393"/>
      <c r="W10" s="393"/>
      <c r="X10" s="393"/>
      <c r="Y10" s="393"/>
      <c r="Z10" s="393"/>
      <c r="AA10" s="393"/>
      <c r="AB10" s="393"/>
      <c r="AC10" s="393"/>
      <c r="AD10" s="393"/>
      <c r="AE10" s="393"/>
      <c r="AF10" s="393"/>
      <c r="AG10" s="393"/>
      <c r="AH10" s="393"/>
      <c r="AI10" s="393"/>
      <c r="AJ10" s="393"/>
      <c r="AK10" s="393"/>
    </row>
    <row r="11" spans="1:37" ht="22.75" thickBot="1" x14ac:dyDescent="0.55000000000000004">
      <c r="A11" s="402" t="s">
        <v>917</v>
      </c>
      <c r="B11" s="409" t="s">
        <v>720</v>
      </c>
      <c r="C11" s="497">
        <v>1</v>
      </c>
      <c r="D11" s="1148" t="s">
        <v>901</v>
      </c>
      <c r="E11" s="1148"/>
      <c r="F11" s="1149"/>
      <c r="G11" s="763"/>
      <c r="H11" s="393"/>
      <c r="I11" s="393"/>
      <c r="J11" s="823" t="s">
        <v>1109</v>
      </c>
      <c r="K11" s="393"/>
      <c r="L11" s="393"/>
      <c r="M11" s="393"/>
      <c r="N11" s="393"/>
      <c r="O11" s="393"/>
      <c r="P11" s="393"/>
      <c r="Q11" s="393"/>
      <c r="R11" s="393"/>
      <c r="S11" s="393"/>
      <c r="T11" s="393"/>
      <c r="U11" s="393"/>
      <c r="V11" s="393"/>
      <c r="W11" s="393"/>
      <c r="X11" s="393"/>
      <c r="Y11" s="393"/>
      <c r="Z11" s="393"/>
      <c r="AA11" s="393"/>
      <c r="AB11" s="393"/>
      <c r="AC11" s="393"/>
      <c r="AD11" s="393"/>
      <c r="AE11" s="393"/>
      <c r="AF11" s="393"/>
      <c r="AG11" s="393"/>
      <c r="AH11" s="393"/>
      <c r="AI11" s="393"/>
      <c r="AJ11" s="393"/>
      <c r="AK11" s="393"/>
    </row>
    <row r="12" spans="1:37" ht="15.9" thickBot="1" x14ac:dyDescent="0.45">
      <c r="A12" s="393"/>
      <c r="B12" s="416"/>
      <c r="C12" s="417"/>
      <c r="D12" s="418"/>
      <c r="E12" s="418"/>
      <c r="F12" s="418"/>
      <c r="G12" s="418"/>
      <c r="H12" s="393"/>
      <c r="I12" s="393"/>
      <c r="J12" s="393" t="s">
        <v>1103</v>
      </c>
      <c r="K12" s="827">
        <v>1200</v>
      </c>
      <c r="L12" s="393"/>
      <c r="M12" s="393"/>
      <c r="N12" s="393"/>
      <c r="O12" s="393"/>
      <c r="P12" s="393"/>
      <c r="Q12" s="393"/>
      <c r="R12" s="393"/>
      <c r="S12" s="393"/>
      <c r="T12" s="393"/>
      <c r="U12" s="393"/>
      <c r="V12" s="393"/>
      <c r="W12" s="393"/>
      <c r="X12" s="393"/>
      <c r="Y12" s="393"/>
      <c r="Z12" s="393"/>
      <c r="AA12" s="393"/>
      <c r="AB12" s="393"/>
      <c r="AC12" s="393"/>
      <c r="AD12" s="393"/>
      <c r="AE12" s="393"/>
      <c r="AF12" s="393"/>
      <c r="AG12" s="393"/>
      <c r="AH12" s="393"/>
      <c r="AI12" s="393"/>
      <c r="AJ12" s="393"/>
      <c r="AK12" s="393"/>
    </row>
    <row r="13" spans="1:37" ht="15.45" x14ac:dyDescent="0.4">
      <c r="A13" s="393"/>
      <c r="B13" s="1142" t="s">
        <v>907</v>
      </c>
      <c r="C13" s="1143"/>
      <c r="D13" s="1143"/>
      <c r="E13" s="1143"/>
      <c r="F13" s="1144"/>
      <c r="G13" s="785"/>
      <c r="H13" s="393"/>
      <c r="I13" s="393"/>
      <c r="J13" s="393" t="s">
        <v>1104</v>
      </c>
      <c r="K13" s="827">
        <v>3000</v>
      </c>
      <c r="L13" s="393"/>
      <c r="M13" s="393"/>
      <c r="N13" s="393"/>
      <c r="O13" s="393"/>
      <c r="P13" s="393"/>
      <c r="Q13" s="393"/>
      <c r="R13" s="393"/>
      <c r="S13" s="393"/>
      <c r="T13" s="393"/>
      <c r="U13" s="393"/>
      <c r="V13" s="393"/>
      <c r="W13" s="393"/>
      <c r="X13" s="393"/>
      <c r="Y13" s="393"/>
      <c r="Z13" s="393"/>
      <c r="AA13" s="393"/>
      <c r="AB13" s="393"/>
      <c r="AC13" s="393"/>
      <c r="AD13" s="393"/>
      <c r="AE13" s="393"/>
      <c r="AF13" s="393"/>
      <c r="AG13" s="393"/>
      <c r="AH13" s="393"/>
      <c r="AI13" s="393"/>
      <c r="AJ13" s="393"/>
      <c r="AK13" s="393"/>
    </row>
    <row r="14" spans="1:37" ht="22.3" x14ac:dyDescent="0.5">
      <c r="A14" s="402" t="s">
        <v>918</v>
      </c>
      <c r="B14" s="419" t="s">
        <v>903</v>
      </c>
      <c r="C14" s="497" t="s">
        <v>420</v>
      </c>
      <c r="D14" s="1141" t="s">
        <v>904</v>
      </c>
      <c r="E14" s="1141"/>
      <c r="F14" s="420"/>
      <c r="G14" s="425"/>
      <c r="H14" s="393"/>
      <c r="I14" s="393"/>
      <c r="J14" s="393" t="s">
        <v>1105</v>
      </c>
      <c r="K14" s="827">
        <v>8400</v>
      </c>
      <c r="L14" s="393"/>
      <c r="M14" s="393"/>
      <c r="N14" s="393"/>
      <c r="O14" s="393"/>
      <c r="P14" s="393"/>
      <c r="Q14" s="393"/>
      <c r="R14" s="393"/>
      <c r="S14" s="393"/>
      <c r="T14" s="393"/>
      <c r="U14" s="393"/>
      <c r="V14" s="393"/>
      <c r="W14" s="393"/>
      <c r="X14" s="393"/>
      <c r="Y14" s="393"/>
      <c r="Z14" s="393"/>
      <c r="AA14" s="393"/>
      <c r="AB14" s="393"/>
      <c r="AC14" s="393"/>
      <c r="AD14" s="393"/>
      <c r="AE14" s="393"/>
      <c r="AF14" s="393"/>
      <c r="AG14" s="393"/>
      <c r="AH14" s="393"/>
      <c r="AI14" s="393"/>
      <c r="AJ14" s="393"/>
      <c r="AK14" s="393"/>
    </row>
    <row r="15" spans="1:37" ht="15.9" thickBot="1" x14ac:dyDescent="0.45">
      <c r="A15" s="393"/>
      <c r="B15" s="421"/>
      <c r="C15" s="422"/>
      <c r="D15" s="422"/>
      <c r="E15" s="422"/>
      <c r="F15" s="423"/>
      <c r="G15" s="425"/>
      <c r="H15" s="393"/>
      <c r="I15" s="393"/>
      <c r="J15" s="393" t="s">
        <v>9</v>
      </c>
      <c r="K15" s="817"/>
      <c r="L15" s="393"/>
      <c r="Q15" s="393"/>
      <c r="R15" s="393"/>
      <c r="S15" s="393"/>
      <c r="T15" s="393"/>
      <c r="U15" s="393"/>
      <c r="V15" s="393"/>
      <c r="W15" s="393"/>
      <c r="X15" s="393"/>
      <c r="Y15" s="393"/>
      <c r="Z15" s="393"/>
      <c r="AA15" s="393"/>
      <c r="AB15" s="393"/>
      <c r="AC15" s="393"/>
      <c r="AD15" s="393"/>
      <c r="AE15" s="393"/>
      <c r="AF15" s="393"/>
      <c r="AG15" s="393"/>
      <c r="AH15" s="393"/>
      <c r="AI15" s="393"/>
      <c r="AJ15" s="393"/>
      <c r="AK15" s="393"/>
    </row>
    <row r="16" spans="1:37" ht="15.75" customHeight="1" x14ac:dyDescent="0.4">
      <c r="A16" s="393"/>
      <c r="B16" s="419"/>
      <c r="C16" s="424"/>
      <c r="D16" s="424"/>
      <c r="E16" s="424"/>
      <c r="F16" s="425"/>
      <c r="G16" s="425"/>
      <c r="H16" s="393"/>
      <c r="I16" s="393"/>
      <c r="J16" s="393" t="s">
        <v>1107</v>
      </c>
      <c r="K16" s="821">
        <v>4.2500000000000003E-2</v>
      </c>
      <c r="L16" s="393"/>
      <c r="Q16" s="393"/>
      <c r="R16" s="393"/>
      <c r="S16" s="393"/>
      <c r="T16" s="393"/>
      <c r="U16" s="393"/>
      <c r="V16" s="393"/>
      <c r="W16" s="393"/>
      <c r="X16" s="393"/>
      <c r="Y16" s="393"/>
      <c r="Z16" s="393"/>
      <c r="AA16" s="393"/>
      <c r="AB16" s="393"/>
      <c r="AC16" s="393"/>
      <c r="AD16" s="393"/>
      <c r="AE16" s="393"/>
      <c r="AF16" s="393"/>
      <c r="AG16" s="393"/>
      <c r="AH16" s="393"/>
      <c r="AI16" s="393"/>
      <c r="AJ16" s="393"/>
      <c r="AK16" s="393"/>
    </row>
    <row r="17" spans="1:37" ht="15.45" x14ac:dyDescent="0.4">
      <c r="A17" s="393"/>
      <c r="B17" s="426"/>
      <c r="C17" s="417"/>
      <c r="D17" s="425"/>
      <c r="E17" s="425"/>
      <c r="F17" s="425"/>
      <c r="G17" s="425"/>
      <c r="H17" s="393"/>
      <c r="I17" s="393"/>
      <c r="Q17" s="393"/>
      <c r="R17" s="393"/>
      <c r="S17" s="393"/>
      <c r="T17" s="393"/>
      <c r="U17" s="393"/>
      <c r="V17" s="393"/>
      <c r="W17" s="393"/>
      <c r="X17" s="393"/>
      <c r="Y17" s="393"/>
      <c r="Z17" s="393"/>
      <c r="AA17" s="393"/>
      <c r="AB17" s="393"/>
      <c r="AC17" s="393"/>
      <c r="AD17" s="393"/>
      <c r="AE17" s="393"/>
      <c r="AF17" s="393"/>
      <c r="AG17" s="393"/>
      <c r="AH17" s="393"/>
      <c r="AI17" s="393"/>
      <c r="AJ17" s="393"/>
      <c r="AK17" s="393"/>
    </row>
    <row r="18" spans="1:37" ht="15.45" x14ac:dyDescent="0.4">
      <c r="A18" s="393"/>
      <c r="B18" s="427"/>
      <c r="C18" s="428"/>
      <c r="D18" s="429"/>
      <c r="E18" s="429"/>
      <c r="F18" s="429"/>
      <c r="G18" s="429"/>
      <c r="H18" s="429"/>
      <c r="I18" s="430"/>
      <c r="K18" s="820" t="str">
        <f>+C19</f>
        <v/>
      </c>
      <c r="L18" s="820" t="str">
        <f>+D19</f>
        <v/>
      </c>
      <c r="M18" s="820" t="str">
        <f>+E19</f>
        <v/>
      </c>
      <c r="N18" s="820" t="str">
        <f>+F19</f>
        <v/>
      </c>
      <c r="O18" s="820" t="str">
        <f>+G19</f>
        <v>Grab Rail</v>
      </c>
      <c r="P18" s="393" t="s">
        <v>367</v>
      </c>
      <c r="Q18" s="819" t="s">
        <v>9</v>
      </c>
      <c r="R18" s="393"/>
      <c r="S18" s="393"/>
      <c r="T18" s="393"/>
      <c r="U18" s="393"/>
      <c r="V18" s="393"/>
      <c r="W18" s="393"/>
      <c r="X18" s="393"/>
      <c r="Y18" s="393"/>
      <c r="Z18" s="393"/>
      <c r="AA18" s="393"/>
      <c r="AB18" s="393"/>
      <c r="AC18" s="393"/>
      <c r="AD18" s="393"/>
      <c r="AE18" s="393"/>
      <c r="AF18" s="393"/>
      <c r="AG18" s="393"/>
      <c r="AH18" s="393"/>
      <c r="AI18" s="393"/>
      <c r="AJ18" s="393"/>
      <c r="AK18" s="393"/>
    </row>
    <row r="19" spans="1:37" ht="15.45" x14ac:dyDescent="0.4">
      <c r="A19" s="393"/>
      <c r="B19" s="1151" t="s">
        <v>737</v>
      </c>
      <c r="C19" s="1150" t="str">
        <f>IF('Project Materials'!C25="","",'Project Materials'!C25)</f>
        <v/>
      </c>
      <c r="D19" s="1145" t="str">
        <f>IF('Project Materials'!C26="","",'Project Materials'!C26)</f>
        <v/>
      </c>
      <c r="E19" s="1150" t="str">
        <f>IF('Project Materials'!C27="","",'Project Materials'!C27)</f>
        <v/>
      </c>
      <c r="F19" s="1145" t="str">
        <f>IF('Project Materials'!C28="","",'Project Materials'!C28)</f>
        <v/>
      </c>
      <c r="G19" s="769" t="s">
        <v>952</v>
      </c>
      <c r="H19" s="1155" t="s">
        <v>367</v>
      </c>
      <c r="I19" s="430"/>
      <c r="J19" s="393" t="s">
        <v>1106</v>
      </c>
      <c r="K19" s="817">
        <f>+'Estimate Total'!O11</f>
        <v>0</v>
      </c>
      <c r="L19" s="817">
        <f>+'Estimate Total'!P11</f>
        <v>0</v>
      </c>
      <c r="M19" s="817">
        <f>+'Estimate Total'!Q11</f>
        <v>0</v>
      </c>
      <c r="N19" s="817">
        <f>+'Estimate Total'!R11</f>
        <v>0</v>
      </c>
      <c r="O19" s="817">
        <f>+'Estimate Total'!S11</f>
        <v>0</v>
      </c>
      <c r="P19" s="495">
        <f>SUM(K19:O19)</f>
        <v>0</v>
      </c>
      <c r="Q19" s="393"/>
      <c r="R19" s="393"/>
      <c r="S19" s="393"/>
      <c r="T19" s="393"/>
      <c r="U19" s="393"/>
      <c r="V19" s="393"/>
      <c r="W19" s="393"/>
    </row>
    <row r="20" spans="1:37" ht="15.45" x14ac:dyDescent="0.4">
      <c r="A20" s="393"/>
      <c r="B20" s="1151"/>
      <c r="C20" s="1150"/>
      <c r="D20" s="1145"/>
      <c r="E20" s="1150"/>
      <c r="F20" s="1145"/>
      <c r="G20" s="769"/>
      <c r="H20" s="1155"/>
      <c r="I20" s="430"/>
      <c r="J20" s="393" t="s">
        <v>1110</v>
      </c>
      <c r="K20" s="817">
        <f>IF($P$19=0,0,+ROUND(K19/$P$19*$P$20,0))</f>
        <v>0</v>
      </c>
      <c r="L20" s="817">
        <f>IF($P$19=0,0,+ROUND(L19/$P$19*$P$20,0))</f>
        <v>0</v>
      </c>
      <c r="M20" s="817">
        <f>IF($P$19=0,0,+ROUND(M19/$P$19*$P$20,0))</f>
        <v>0</v>
      </c>
      <c r="N20" s="817">
        <f>IF($P$19=0,0,+ROUND(N19/$P$19*$P$20,0))</f>
        <v>0</v>
      </c>
      <c r="O20" s="817">
        <f>IF($P$19=0,0,+ROUND(O19/$P$19*$P$20,0))</f>
        <v>0</v>
      </c>
      <c r="P20" s="495">
        <f>+ROUND($K$16*P19,0)</f>
        <v>0</v>
      </c>
      <c r="Q20" s="393"/>
      <c r="R20" s="393"/>
      <c r="S20" s="393"/>
      <c r="T20" s="393"/>
      <c r="U20" s="393"/>
      <c r="V20" s="393"/>
      <c r="W20" s="393"/>
    </row>
    <row r="21" spans="1:37" s="437" customFormat="1" ht="15.45" x14ac:dyDescent="0.4">
      <c r="A21" s="431"/>
      <c r="B21" s="432" t="s">
        <v>736</v>
      </c>
      <c r="C21" s="433">
        <f>'Project Materials'!O25</f>
        <v>0</v>
      </c>
      <c r="D21" s="433">
        <f>'Project Materials'!O26</f>
        <v>0</v>
      </c>
      <c r="E21" s="433">
        <f>'Project Materials'!O27</f>
        <v>0</v>
      </c>
      <c r="F21" s="434">
        <f>'Project Materials'!O28</f>
        <v>0</v>
      </c>
      <c r="G21" s="434">
        <f>'Grab Rail'!C7</f>
        <v>0</v>
      </c>
      <c r="H21" s="435"/>
      <c r="I21" s="436"/>
      <c r="J21" s="393" t="s">
        <v>1119</v>
      </c>
      <c r="K21" s="818">
        <f>IF($P$19=0,0,+ROUND(K19/$P$19*$P$21,0))</f>
        <v>0</v>
      </c>
      <c r="L21" s="818">
        <f>IF($P$19=0,0,+ROUND(L19/$P$19*$P$21,0))</f>
        <v>0</v>
      </c>
      <c r="M21" s="818">
        <f>IF($P$19=0,0,+ROUND(M19/$P$19*$P$21,0))</f>
        <v>0</v>
      </c>
      <c r="N21" s="818">
        <f>IF($P$19=0,0,+ROUND(N19/$P$19*$P$21,0))</f>
        <v>0</v>
      </c>
      <c r="O21" s="818">
        <f>IF($P$19=0,0,+ROUND(O19/$P$19*$P$21,0))</f>
        <v>0</v>
      </c>
      <c r="P21" s="836">
        <f>+K13</f>
        <v>3000</v>
      </c>
      <c r="Q21" s="431"/>
      <c r="R21" s="431"/>
      <c r="S21" s="431"/>
      <c r="T21" s="431"/>
      <c r="U21" s="431"/>
      <c r="V21" s="431"/>
      <c r="W21" s="431"/>
    </row>
    <row r="22" spans="1:37" s="437" customFormat="1" ht="15.9" thickBot="1" x14ac:dyDescent="0.45">
      <c r="A22" s="431"/>
      <c r="B22" s="432" t="s">
        <v>428</v>
      </c>
      <c r="C22" s="438">
        <f>'Project Materials'!P25</f>
        <v>0</v>
      </c>
      <c r="D22" s="438">
        <f>'Project Materials'!P26</f>
        <v>0</v>
      </c>
      <c r="E22" s="438">
        <f>'Project Materials'!P27</f>
        <v>0</v>
      </c>
      <c r="F22" s="439">
        <f>'Project Materials'!P28</f>
        <v>0</v>
      </c>
      <c r="G22" s="439">
        <f>'Grab Rail'!C6</f>
        <v>0</v>
      </c>
      <c r="H22" s="440">
        <f>SUM(C22:G22)</f>
        <v>0</v>
      </c>
      <c r="I22" s="436"/>
      <c r="O22" s="431"/>
      <c r="P22" s="431"/>
      <c r="Q22" s="431"/>
      <c r="R22" s="431"/>
      <c r="S22" s="431"/>
      <c r="T22" s="431"/>
      <c r="U22" s="431"/>
      <c r="V22" s="431"/>
      <c r="W22" s="431"/>
    </row>
    <row r="23" spans="1:37" s="437" customFormat="1" ht="15.9" thickBot="1" x14ac:dyDescent="0.45">
      <c r="A23" s="431"/>
      <c r="B23" s="432" t="s">
        <v>906</v>
      </c>
      <c r="C23" s="441">
        <f>+C22*C21</f>
        <v>0</v>
      </c>
      <c r="D23" s="441">
        <f>+D22*D21</f>
        <v>0</v>
      </c>
      <c r="E23" s="441">
        <f>+E22*E21</f>
        <v>0</v>
      </c>
      <c r="F23" s="442">
        <f>+F22*F21</f>
        <v>0</v>
      </c>
      <c r="G23" s="442">
        <f>+G22*G21</f>
        <v>0</v>
      </c>
      <c r="H23" s="443">
        <f>SUM(C23:G23)</f>
        <v>0</v>
      </c>
      <c r="I23" s="436"/>
      <c r="J23" s="1130" t="s">
        <v>1117</v>
      </c>
      <c r="K23" s="1131"/>
      <c r="L23" s="1131"/>
      <c r="M23" s="1131"/>
      <c r="N23" s="1132"/>
      <c r="O23" s="431"/>
      <c r="P23" s="431"/>
      <c r="Q23" s="431"/>
      <c r="R23" s="431"/>
      <c r="S23" s="431"/>
      <c r="T23" s="431"/>
      <c r="U23" s="431"/>
      <c r="V23" s="431"/>
      <c r="W23" s="431"/>
    </row>
    <row r="24" spans="1:37" s="437" customFormat="1" ht="15.9" thickTop="1" x14ac:dyDescent="0.4">
      <c r="A24" s="431"/>
      <c r="B24" s="432"/>
      <c r="C24" s="431"/>
      <c r="D24" s="431"/>
      <c r="E24" s="431"/>
      <c r="F24" s="431"/>
      <c r="G24" s="431"/>
      <c r="H24" s="444"/>
      <c r="I24" s="417"/>
      <c r="M24" s="431"/>
      <c r="N24" s="431"/>
      <c r="O24" s="431"/>
      <c r="P24" s="431"/>
      <c r="Q24" s="431"/>
      <c r="R24" s="431"/>
      <c r="S24" s="431"/>
      <c r="T24" s="431"/>
      <c r="U24" s="431"/>
      <c r="V24" s="431"/>
      <c r="W24" s="431"/>
    </row>
    <row r="25" spans="1:37" ht="15.45" x14ac:dyDescent="0.4">
      <c r="A25" s="393"/>
      <c r="B25" s="394" t="s">
        <v>735</v>
      </c>
      <c r="C25" s="445"/>
      <c r="D25" s="393"/>
      <c r="E25" s="393"/>
      <c r="F25" s="393"/>
      <c r="G25" s="393"/>
      <c r="H25" s="446"/>
      <c r="I25" s="445"/>
      <c r="J25" s="431" t="s">
        <v>1113</v>
      </c>
      <c r="K25" s="431"/>
      <c r="L25" s="826">
        <v>40</v>
      </c>
      <c r="M25" s="431"/>
      <c r="N25" s="431"/>
      <c r="O25" s="393"/>
      <c r="P25" s="393"/>
      <c r="Q25" s="393"/>
      <c r="R25" s="393"/>
      <c r="S25" s="393"/>
      <c r="T25" s="393"/>
      <c r="U25" s="393"/>
      <c r="V25" s="393"/>
      <c r="W25" s="393"/>
    </row>
    <row r="26" spans="1:37" ht="22.3" x14ac:dyDescent="0.5">
      <c r="A26" s="402" t="s">
        <v>919</v>
      </c>
      <c r="B26" s="447" t="s">
        <v>926</v>
      </c>
      <c r="C26" s="498"/>
      <c r="D26" s="498"/>
      <c r="E26" s="498"/>
      <c r="F26" s="498"/>
      <c r="G26" s="498"/>
      <c r="H26" s="448"/>
      <c r="I26" s="449"/>
      <c r="J26" s="431" t="s">
        <v>1116</v>
      </c>
      <c r="K26" s="431"/>
      <c r="L26" s="829">
        <f>+L25*'Work Area'!$D$23</f>
        <v>1225.3599999999999</v>
      </c>
      <c r="M26" s="393"/>
      <c r="N26" s="393"/>
      <c r="O26" s="393"/>
      <c r="P26" s="393"/>
      <c r="Q26" s="393"/>
      <c r="R26" s="393"/>
      <c r="S26" s="393"/>
      <c r="T26" s="393"/>
      <c r="U26" s="393"/>
      <c r="V26" s="393"/>
      <c r="W26" s="393"/>
    </row>
    <row r="27" spans="1:37" ht="31.75" x14ac:dyDescent="0.5">
      <c r="A27" s="402" t="s">
        <v>915</v>
      </c>
      <c r="B27" s="447" t="s">
        <v>886</v>
      </c>
      <c r="C27" s="499">
        <v>2</v>
      </c>
      <c r="D27" s="499">
        <v>2</v>
      </c>
      <c r="E27" s="499">
        <v>2</v>
      </c>
      <c r="F27" s="499">
        <v>2</v>
      </c>
      <c r="G27" s="499"/>
      <c r="H27" s="450"/>
      <c r="I27" s="445"/>
      <c r="J27" s="393"/>
      <c r="K27" s="393"/>
      <c r="L27" s="393"/>
      <c r="M27" s="393"/>
      <c r="N27" s="393"/>
      <c r="O27" s="393"/>
      <c r="P27" s="393"/>
      <c r="Q27" s="393"/>
      <c r="R27" s="393"/>
      <c r="S27" s="393"/>
      <c r="T27" s="393"/>
      <c r="U27" s="393"/>
      <c r="V27" s="393"/>
      <c r="W27" s="393"/>
    </row>
    <row r="28" spans="1:37" ht="15.45" x14ac:dyDescent="0.4">
      <c r="A28" s="393"/>
      <c r="B28" s="393" t="s">
        <v>734</v>
      </c>
      <c r="C28" s="451">
        <f>8-C27</f>
        <v>6</v>
      </c>
      <c r="D28" s="451">
        <f>8-D27</f>
        <v>6</v>
      </c>
      <c r="E28" s="451">
        <f>8-E27</f>
        <v>6</v>
      </c>
      <c r="F28" s="451">
        <f>8-F27</f>
        <v>6</v>
      </c>
      <c r="G28" s="451">
        <f>8-G27</f>
        <v>8</v>
      </c>
      <c r="H28" s="446"/>
      <c r="I28" s="445"/>
      <c r="Q28" s="393"/>
      <c r="R28" s="393"/>
      <c r="S28" s="393"/>
      <c r="T28" s="393"/>
      <c r="U28" s="393"/>
      <c r="V28" s="393"/>
      <c r="W28" s="393"/>
    </row>
    <row r="29" spans="1:37" ht="17.600000000000001" x14ac:dyDescent="0.4">
      <c r="A29" s="393"/>
      <c r="C29" s="393"/>
      <c r="D29" s="393"/>
      <c r="E29" s="393"/>
      <c r="F29" s="393"/>
      <c r="G29" s="393"/>
      <c r="H29" s="446"/>
      <c r="I29" s="445"/>
      <c r="J29" s="843" t="s">
        <v>1126</v>
      </c>
      <c r="Q29" s="393"/>
      <c r="R29" s="393"/>
      <c r="S29" s="393"/>
      <c r="T29" s="393"/>
      <c r="U29" s="393"/>
      <c r="V29" s="393"/>
      <c r="W29" s="393"/>
    </row>
    <row r="30" spans="1:37" ht="31.75" x14ac:dyDescent="0.5">
      <c r="A30" s="402" t="s">
        <v>920</v>
      </c>
      <c r="B30" s="447" t="s">
        <v>889</v>
      </c>
      <c r="C30" s="500">
        <v>20</v>
      </c>
      <c r="D30" s="500">
        <v>20</v>
      </c>
      <c r="E30" s="500">
        <v>20</v>
      </c>
      <c r="F30" s="500">
        <v>20</v>
      </c>
      <c r="G30" s="500">
        <v>60</v>
      </c>
      <c r="H30" s="452"/>
      <c r="I30" s="453"/>
      <c r="J30" s="393"/>
      <c r="K30" s="393"/>
      <c r="L30" s="393"/>
      <c r="M30" s="393"/>
      <c r="N30" s="393"/>
      <c r="O30" s="393"/>
      <c r="P30" s="393"/>
      <c r="Q30" s="393"/>
      <c r="R30" s="393"/>
      <c r="S30" s="393"/>
      <c r="T30" s="393"/>
      <c r="U30" s="393"/>
      <c r="V30" s="393"/>
      <c r="W30" s="393"/>
    </row>
    <row r="31" spans="1:37" ht="31.75" x14ac:dyDescent="0.5">
      <c r="A31" s="402" t="s">
        <v>921</v>
      </c>
      <c r="B31" s="447" t="s">
        <v>890</v>
      </c>
      <c r="C31" s="499">
        <v>2</v>
      </c>
      <c r="D31" s="499">
        <v>2</v>
      </c>
      <c r="E31" s="499">
        <v>2</v>
      </c>
      <c r="F31" s="499">
        <v>2</v>
      </c>
      <c r="G31" s="499">
        <v>2</v>
      </c>
      <c r="H31" s="450"/>
      <c r="I31" s="445"/>
      <c r="J31" s="1151" t="s">
        <v>737</v>
      </c>
      <c r="K31" s="1126" t="str">
        <f>+C19</f>
        <v/>
      </c>
      <c r="L31" s="1127" t="str">
        <f>+D19</f>
        <v/>
      </c>
      <c r="M31" s="1126" t="str">
        <f>+E19</f>
        <v/>
      </c>
      <c r="N31" s="1127" t="str">
        <f>+F19</f>
        <v/>
      </c>
      <c r="O31" s="1129" t="s">
        <v>952</v>
      </c>
      <c r="P31" s="1128" t="s">
        <v>367</v>
      </c>
      <c r="Q31" s="393"/>
      <c r="R31" s="393"/>
      <c r="S31" s="393"/>
      <c r="T31" s="393"/>
      <c r="U31" s="393"/>
      <c r="V31" s="393"/>
      <c r="W31" s="393"/>
    </row>
    <row r="32" spans="1:37" ht="15.45" x14ac:dyDescent="0.4">
      <c r="A32" s="393"/>
      <c r="B32" s="394"/>
      <c r="C32" s="393"/>
      <c r="D32" s="393"/>
      <c r="E32" s="393"/>
      <c r="F32" s="393"/>
      <c r="G32" s="393"/>
      <c r="H32" s="446"/>
      <c r="I32" s="445"/>
      <c r="J32" s="1151"/>
      <c r="K32" s="1126"/>
      <c r="L32" s="1127"/>
      <c r="M32" s="1126"/>
      <c r="N32" s="1127"/>
      <c r="O32" s="1129"/>
      <c r="P32" s="1128"/>
      <c r="Q32" s="393"/>
      <c r="R32" s="393"/>
      <c r="S32" s="393"/>
      <c r="T32" s="393"/>
      <c r="U32" s="393"/>
      <c r="V32" s="393"/>
      <c r="W32" s="393"/>
    </row>
    <row r="33" spans="1:37" ht="15.45" x14ac:dyDescent="0.4">
      <c r="A33" s="454">
        <f>HLOOKUP($C$11,'Work Area'!$D$1:$F$7,7)</f>
        <v>34.68</v>
      </c>
      <c r="B33" s="394" t="s">
        <v>732</v>
      </c>
      <c r="C33" s="455">
        <f>+$A$33*((HLOOKUP($C$7,$C$3:$F$5,3))+1)</f>
        <v>34.68</v>
      </c>
      <c r="D33" s="456">
        <f>+C33</f>
        <v>34.68</v>
      </c>
      <c r="E33" s="456">
        <f>+D33</f>
        <v>34.68</v>
      </c>
      <c r="F33" s="457">
        <f>+E33</f>
        <v>34.68</v>
      </c>
      <c r="G33" s="457">
        <f>+F33</f>
        <v>34.68</v>
      </c>
      <c r="H33" s="458"/>
      <c r="I33" s="459"/>
      <c r="J33" s="393"/>
      <c r="K33" s="393"/>
      <c r="L33" s="393"/>
      <c r="M33" s="393"/>
      <c r="N33" s="393"/>
      <c r="O33" s="393"/>
      <c r="P33" s="393"/>
      <c r="Q33" s="393"/>
      <c r="R33" s="393"/>
      <c r="S33" s="393"/>
      <c r="T33" s="393"/>
      <c r="U33" s="393"/>
      <c r="V33" s="393"/>
      <c r="W33" s="393"/>
    </row>
    <row r="34" spans="1:37" ht="15.45" x14ac:dyDescent="0.4">
      <c r="A34" s="393"/>
      <c r="B34" s="460" t="s">
        <v>9</v>
      </c>
      <c r="C34" s="393"/>
      <c r="D34" s="393"/>
      <c r="E34" s="393"/>
      <c r="F34" s="393"/>
      <c r="G34" s="393"/>
      <c r="H34" s="446"/>
      <c r="I34" s="445"/>
      <c r="J34" s="432" t="s">
        <v>906</v>
      </c>
      <c r="K34" s="844">
        <f>+C23</f>
        <v>0</v>
      </c>
      <c r="L34" s="844">
        <f t="shared" ref="L34" si="0">+D23</f>
        <v>0</v>
      </c>
      <c r="M34" s="844">
        <f t="shared" ref="M34" si="1">+E23</f>
        <v>0</v>
      </c>
      <c r="N34" s="844">
        <f t="shared" ref="N34" si="2">+F23</f>
        <v>0</v>
      </c>
      <c r="O34" s="844">
        <f t="shared" ref="O34" si="3">+G23</f>
        <v>0</v>
      </c>
      <c r="P34" s="467">
        <f>SUM(K34:O34)</f>
        <v>0</v>
      </c>
      <c r="Q34" s="393"/>
      <c r="R34" s="393"/>
      <c r="S34" s="393"/>
      <c r="T34" s="393"/>
      <c r="U34" s="393"/>
      <c r="V34" s="393"/>
      <c r="W34" s="393"/>
    </row>
    <row r="35" spans="1:37" ht="15.45" x14ac:dyDescent="0.4">
      <c r="A35" s="393"/>
      <c r="B35" s="394"/>
      <c r="C35" s="393"/>
      <c r="D35" s="393"/>
      <c r="E35" s="393"/>
      <c r="F35" s="393"/>
      <c r="G35" s="393"/>
      <c r="H35" s="446"/>
      <c r="I35" s="445"/>
      <c r="J35" s="858" t="s">
        <v>1127</v>
      </c>
      <c r="K35" s="845">
        <v>40</v>
      </c>
      <c r="L35" s="845">
        <v>40</v>
      </c>
      <c r="M35" s="845">
        <v>40</v>
      </c>
      <c r="N35" s="845">
        <v>40</v>
      </c>
      <c r="O35" s="845">
        <v>80</v>
      </c>
      <c r="P35" s="846">
        <f>IF(P34=0,0,+P36/P34)</f>
        <v>0</v>
      </c>
      <c r="Q35" s="393"/>
      <c r="R35" s="393"/>
      <c r="S35" s="393"/>
      <c r="T35" s="393"/>
      <c r="U35" s="393"/>
      <c r="V35" s="393"/>
      <c r="W35" s="393"/>
    </row>
    <row r="36" spans="1:37" ht="15.45" x14ac:dyDescent="0.4">
      <c r="A36" s="393"/>
      <c r="B36" s="393" t="s">
        <v>731</v>
      </c>
      <c r="C36" s="461">
        <f>IF(C31=0,0,IF(C30=0,0,+C23/C30)+(C26)/8/C31)</f>
        <v>0</v>
      </c>
      <c r="D36" s="461">
        <f>IF(D31=0,0,IF(D30=0,0,+D23/D30)+(D26)/8/D31)</f>
        <v>0</v>
      </c>
      <c r="E36" s="461">
        <f>IF(E31=0,0,IF(E30=0,0,+E23/E30)+(E26)/8/E31)</f>
        <v>0</v>
      </c>
      <c r="F36" s="461">
        <f>IF(F31=0,0,IF(F30=0,0,+F23/F30)+(F26)/8/F31)</f>
        <v>0</v>
      </c>
      <c r="G36" s="461">
        <f>IF(G31=0,0,IF(G30=0,0,+G23/G30)+(G26)/8/G31)</f>
        <v>0</v>
      </c>
      <c r="H36" s="462">
        <f>SUM(C36:F36)</f>
        <v>0</v>
      </c>
      <c r="I36" s="463"/>
      <c r="J36" s="432" t="s">
        <v>1128</v>
      </c>
      <c r="K36" s="467">
        <f>+K35*K34</f>
        <v>0</v>
      </c>
      <c r="L36" s="467">
        <f t="shared" ref="L36:O36" si="4">+L35*L34</f>
        <v>0</v>
      </c>
      <c r="M36" s="467">
        <f t="shared" si="4"/>
        <v>0</v>
      </c>
      <c r="N36" s="467">
        <f t="shared" si="4"/>
        <v>0</v>
      </c>
      <c r="O36" s="467">
        <f t="shared" si="4"/>
        <v>0</v>
      </c>
      <c r="P36" s="467">
        <f>SUM(K36:O36)</f>
        <v>0</v>
      </c>
      <c r="Q36" s="393"/>
      <c r="R36" s="393"/>
      <c r="S36" s="393"/>
      <c r="T36" s="393"/>
      <c r="U36" s="393"/>
      <c r="V36" s="393"/>
      <c r="W36" s="393"/>
    </row>
    <row r="37" spans="1:37" ht="15.45" x14ac:dyDescent="0.4">
      <c r="A37" s="393"/>
      <c r="B37" s="429" t="s">
        <v>844</v>
      </c>
      <c r="C37" s="464">
        <f>IFERROR(IF($C$14="No",0,C62),0)</f>
        <v>0</v>
      </c>
      <c r="D37" s="464">
        <f>IFERROR(IF($C$14="No",0,D62),0)</f>
        <v>0</v>
      </c>
      <c r="E37" s="464">
        <f>IFERROR(IF($C$14="No",0,E62),0)</f>
        <v>0</v>
      </c>
      <c r="F37" s="464">
        <f>IFERROR(IF($C$14="No",0,F62),0)</f>
        <v>0</v>
      </c>
      <c r="G37" s="464">
        <f>IFERROR(IF($C$14="No",0,G62),0)</f>
        <v>0</v>
      </c>
      <c r="H37" s="465">
        <f>SUM(C37:F37)</f>
        <v>0</v>
      </c>
      <c r="I37" s="466"/>
      <c r="J37" s="393"/>
      <c r="K37" s="393"/>
      <c r="L37" s="393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</row>
    <row r="38" spans="1:37" ht="15.45" x14ac:dyDescent="0.4">
      <c r="A38" s="467" t="s">
        <v>9</v>
      </c>
      <c r="B38" s="468" t="s">
        <v>891</v>
      </c>
      <c r="C38" s="461">
        <f>(+C36*(+C28+C27)*C31)+C37</f>
        <v>0</v>
      </c>
      <c r="D38" s="461">
        <f>(+D36*(+D28+D27)*D31)+D37</f>
        <v>0</v>
      </c>
      <c r="E38" s="461">
        <f>(+E36*(+E28+E27)*E31)+E37</f>
        <v>0</v>
      </c>
      <c r="F38" s="461">
        <f>(+F36*(+F28+F27)*F31)+F37</f>
        <v>0</v>
      </c>
      <c r="G38" s="461">
        <f>(+G36*(+G28+G27)*G31)+G37</f>
        <v>0</v>
      </c>
      <c r="H38" s="462">
        <f>SUM(C38:F38)</f>
        <v>0</v>
      </c>
      <c r="I38" s="463"/>
      <c r="J38" s="393"/>
      <c r="K38" s="393"/>
      <c r="L38" s="393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</row>
    <row r="39" spans="1:37" ht="15.9" thickBot="1" x14ac:dyDescent="0.45">
      <c r="A39" s="467" t="s">
        <v>9</v>
      </c>
      <c r="B39" s="469" t="s">
        <v>894</v>
      </c>
      <c r="C39" s="470">
        <f>+C38*C33</f>
        <v>0</v>
      </c>
      <c r="D39" s="470">
        <f>+D38*D33</f>
        <v>0</v>
      </c>
      <c r="E39" s="470">
        <f>+E38*E33</f>
        <v>0</v>
      </c>
      <c r="F39" s="470">
        <f>+F38*F33</f>
        <v>0</v>
      </c>
      <c r="G39" s="470">
        <f>+G38*G33</f>
        <v>0</v>
      </c>
      <c r="H39" s="471">
        <f>SUM(C39:F39)</f>
        <v>0</v>
      </c>
      <c r="I39" s="449"/>
      <c r="J39" s="393"/>
      <c r="K39" s="393"/>
      <c r="L39" s="393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</row>
    <row r="40" spans="1:37" ht="17.25" customHeight="1" thickTop="1" thickBot="1" x14ac:dyDescent="0.45">
      <c r="A40" s="393"/>
      <c r="B40" s="394"/>
      <c r="C40" s="393"/>
      <c r="D40" s="393"/>
      <c r="E40" s="393"/>
      <c r="F40" s="393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  <c r="Z40" s="393"/>
      <c r="AA40" s="393"/>
      <c r="AB40" s="393"/>
      <c r="AC40" s="393"/>
      <c r="AD40" s="393"/>
      <c r="AE40" s="393"/>
      <c r="AF40" s="393"/>
      <c r="AG40" s="393"/>
      <c r="AH40" s="393"/>
      <c r="AI40" s="393"/>
      <c r="AJ40" s="393"/>
      <c r="AK40" s="393"/>
    </row>
    <row r="41" spans="1:37" ht="9" customHeight="1" thickTop="1" thickBot="1" x14ac:dyDescent="0.45">
      <c r="A41" s="1137"/>
      <c r="B41" s="1137"/>
      <c r="C41" s="1137"/>
      <c r="D41" s="1137"/>
      <c r="E41" s="1137"/>
      <c r="F41" s="1137"/>
      <c r="G41" s="1137"/>
      <c r="H41" s="1137"/>
      <c r="I41" s="1137"/>
      <c r="J41" s="1137"/>
      <c r="K41" s="1137"/>
      <c r="L41" s="1137"/>
      <c r="M41" s="1137"/>
      <c r="N41" s="1137"/>
      <c r="O41" s="1137"/>
      <c r="P41" s="1137"/>
      <c r="Q41" s="1137"/>
      <c r="R41" s="1137"/>
      <c r="S41" s="1137"/>
      <c r="T41" s="1137"/>
      <c r="U41" s="1138"/>
      <c r="V41" s="393"/>
      <c r="W41" s="393"/>
      <c r="X41" s="393"/>
      <c r="Y41" s="393"/>
      <c r="Z41" s="393"/>
      <c r="AA41" s="393"/>
      <c r="AB41" s="393"/>
      <c r="AC41" s="393"/>
      <c r="AD41" s="393"/>
      <c r="AE41" s="393"/>
      <c r="AF41" s="393"/>
      <c r="AG41" s="393"/>
      <c r="AH41" s="393"/>
      <c r="AI41" s="393"/>
      <c r="AJ41" s="393"/>
      <c r="AK41" s="393"/>
    </row>
    <row r="42" spans="1:37" ht="31.4" customHeight="1" thickTop="1" x14ac:dyDescent="0.4">
      <c r="A42" s="393"/>
      <c r="B42" s="472"/>
      <c r="C42" s="473" t="str">
        <f>C19</f>
        <v/>
      </c>
      <c r="D42" s="474" t="str">
        <f>D19</f>
        <v/>
      </c>
      <c r="E42" s="473" t="str">
        <f>E19</f>
        <v/>
      </c>
      <c r="F42" s="474" t="str">
        <f>F19</f>
        <v/>
      </c>
      <c r="G42" s="762"/>
      <c r="H42" s="393"/>
      <c r="I42" s="393"/>
      <c r="J42" s="393"/>
      <c r="K42" s="393"/>
      <c r="L42" s="393"/>
      <c r="M42" s="393"/>
      <c r="N42" s="393"/>
      <c r="O42" s="393"/>
      <c r="P42" s="393"/>
      <c r="Q42" s="393"/>
      <c r="R42" s="393"/>
      <c r="S42" s="393"/>
      <c r="T42" s="393"/>
      <c r="U42" s="393"/>
      <c r="V42" s="393"/>
      <c r="W42" s="393"/>
      <c r="X42" s="393"/>
      <c r="Y42" s="393"/>
      <c r="Z42" s="393"/>
      <c r="AA42" s="393"/>
      <c r="AB42" s="393"/>
      <c r="AC42" s="393"/>
      <c r="AD42" s="393"/>
      <c r="AE42" s="393"/>
      <c r="AF42" s="393"/>
      <c r="AG42" s="393"/>
      <c r="AH42" s="393"/>
      <c r="AI42" s="393"/>
      <c r="AJ42" s="393"/>
      <c r="AK42" s="393"/>
    </row>
    <row r="43" spans="1:37" ht="15.45" x14ac:dyDescent="0.4">
      <c r="A43" s="393"/>
      <c r="B43" s="1139" t="s">
        <v>845</v>
      </c>
      <c r="C43" s="1139"/>
      <c r="D43" s="1139"/>
      <c r="E43" s="1139"/>
      <c r="F43" s="1139"/>
      <c r="G43" s="761"/>
      <c r="H43" s="393"/>
      <c r="I43" s="393"/>
      <c r="J43" s="393"/>
      <c r="K43" s="393"/>
      <c r="L43" s="393"/>
      <c r="M43" s="393"/>
      <c r="N43" s="393"/>
      <c r="O43" s="393"/>
      <c r="P43" s="393"/>
      <c r="Q43" s="393"/>
      <c r="R43" s="393"/>
      <c r="S43" s="393"/>
      <c r="T43" s="393"/>
      <c r="U43" s="393"/>
      <c r="V43" s="393"/>
      <c r="W43" s="393"/>
      <c r="X43" s="393"/>
      <c r="Y43" s="393"/>
      <c r="Z43" s="393"/>
      <c r="AA43" s="393"/>
      <c r="AB43" s="393"/>
      <c r="AC43" s="393"/>
      <c r="AD43" s="393"/>
      <c r="AE43" s="393"/>
      <c r="AF43" s="393"/>
      <c r="AG43" s="393"/>
      <c r="AH43" s="393"/>
      <c r="AI43" s="393"/>
      <c r="AJ43" s="393"/>
      <c r="AK43" s="393"/>
    </row>
    <row r="44" spans="1:37" ht="15.45" x14ac:dyDescent="0.4">
      <c r="A44" s="393"/>
      <c r="B44" s="475" t="s">
        <v>900</v>
      </c>
      <c r="C44" s="476"/>
      <c r="D44" s="476"/>
      <c r="E44" s="476"/>
      <c r="F44" s="476"/>
      <c r="G44" s="761"/>
      <c r="H44" s="393"/>
      <c r="I44" s="393"/>
      <c r="J44" s="393"/>
      <c r="K44" s="393"/>
      <c r="L44" s="393"/>
      <c r="M44" s="393"/>
      <c r="N44" s="393"/>
      <c r="O44" s="393"/>
      <c r="P44" s="393"/>
      <c r="Q44" s="393"/>
      <c r="R44" s="393"/>
      <c r="S44" s="393"/>
      <c r="T44" s="393"/>
      <c r="U44" s="393"/>
      <c r="V44" s="393"/>
      <c r="W44" s="393"/>
      <c r="X44" s="393"/>
      <c r="Y44" s="393"/>
      <c r="Z44" s="393"/>
      <c r="AA44" s="393"/>
      <c r="AB44" s="393"/>
      <c r="AC44" s="393"/>
      <c r="AD44" s="393"/>
      <c r="AE44" s="393"/>
      <c r="AF44" s="393"/>
      <c r="AG44" s="393"/>
      <c r="AH44" s="393"/>
      <c r="AI44" s="393"/>
      <c r="AJ44" s="393"/>
      <c r="AK44" s="393"/>
    </row>
    <row r="45" spans="1:37" ht="36.75" customHeight="1" x14ac:dyDescent="0.5">
      <c r="A45" s="402" t="s">
        <v>922</v>
      </c>
      <c r="B45" s="501" t="s">
        <v>840</v>
      </c>
      <c r="C45" s="477">
        <f>IF($B$45='Per Diem'!$A$2,0,VLOOKUP($B$45,'Per Diem'!$A:$D,4,FALSE))</f>
        <v>0</v>
      </c>
      <c r="D45" s="477">
        <f>IF($B$45='Per Diem'!$A$2,0,VLOOKUP($B$45,'Per Diem'!$A:$D,4,FALSE))</f>
        <v>0</v>
      </c>
      <c r="E45" s="477">
        <f>IF($B$45='Per Diem'!$A$2,0,VLOOKUP($B$45,'Per Diem'!$A:$D,4,FALSE))</f>
        <v>0</v>
      </c>
      <c r="F45" s="477">
        <f>IF($B$45='Per Diem'!$A$2,0,VLOOKUP($B$45,'Per Diem'!$A:$D,4,FALSE))</f>
        <v>0</v>
      </c>
      <c r="G45" s="477">
        <f>IF($B$45='Per Diem'!$A$2,0,VLOOKUP($B$45,'Per Diem'!$A:$D,4,FALSE))</f>
        <v>0</v>
      </c>
      <c r="H45" s="393"/>
      <c r="I45" s="393"/>
      <c r="J45" s="393"/>
      <c r="K45" s="393"/>
      <c r="L45" s="393"/>
      <c r="M45" s="393"/>
      <c r="N45" s="393"/>
      <c r="O45" s="393"/>
      <c r="P45" s="393"/>
      <c r="Q45" s="393"/>
      <c r="R45" s="393"/>
      <c r="S45" s="393"/>
      <c r="T45" s="393"/>
      <c r="U45" s="393"/>
      <c r="V45" s="393"/>
      <c r="W45" s="393"/>
      <c r="X45" s="393"/>
      <c r="Y45" s="393"/>
      <c r="Z45" s="393"/>
      <c r="AA45" s="393"/>
      <c r="AB45" s="393"/>
      <c r="AC45" s="393"/>
      <c r="AD45" s="393"/>
      <c r="AE45" s="393"/>
      <c r="AF45" s="393"/>
      <c r="AG45" s="393"/>
      <c r="AH45" s="393"/>
      <c r="AI45" s="393"/>
      <c r="AJ45" s="393"/>
      <c r="AK45" s="393"/>
    </row>
    <row r="46" spans="1:37" ht="15.45" x14ac:dyDescent="0.4">
      <c r="A46" s="393"/>
      <c r="B46" s="394" t="s">
        <v>733</v>
      </c>
      <c r="C46" s="478">
        <f>C31</f>
        <v>2</v>
      </c>
      <c r="D46" s="479">
        <f>D31</f>
        <v>2</v>
      </c>
      <c r="E46" s="479">
        <f>E31</f>
        <v>2</v>
      </c>
      <c r="F46" s="479">
        <f>F31</f>
        <v>2</v>
      </c>
      <c r="G46" s="479">
        <f>G31</f>
        <v>2</v>
      </c>
      <c r="H46" s="393"/>
      <c r="I46" s="393"/>
      <c r="J46" s="445"/>
      <c r="K46" s="393"/>
      <c r="L46" s="393"/>
      <c r="M46" s="393"/>
      <c r="N46" s="393"/>
      <c r="O46" s="393"/>
      <c r="P46" s="393"/>
      <c r="Q46" s="393"/>
      <c r="R46" s="393"/>
      <c r="S46" s="393"/>
      <c r="T46" s="393"/>
      <c r="U46" s="393"/>
      <c r="V46" s="393"/>
      <c r="W46" s="393"/>
      <c r="X46" s="393"/>
      <c r="Y46" s="393"/>
      <c r="Z46" s="393"/>
      <c r="AA46" s="393"/>
      <c r="AB46" s="393"/>
      <c r="AC46" s="393"/>
      <c r="AD46" s="393"/>
      <c r="AE46" s="393"/>
      <c r="AF46" s="393"/>
      <c r="AG46" s="393"/>
      <c r="AH46" s="393"/>
      <c r="AI46" s="393"/>
      <c r="AJ46" s="393"/>
      <c r="AK46" s="393"/>
    </row>
    <row r="47" spans="1:37" ht="15.45" x14ac:dyDescent="0.4">
      <c r="A47" s="393"/>
      <c r="B47" s="394" t="s">
        <v>842</v>
      </c>
      <c r="C47" s="477">
        <f>C46*C45</f>
        <v>0</v>
      </c>
      <c r="D47" s="477">
        <f>D46*D45</f>
        <v>0</v>
      </c>
      <c r="E47" s="477">
        <f>E46*E45</f>
        <v>0</v>
      </c>
      <c r="F47" s="477">
        <f>F46*F45</f>
        <v>0</v>
      </c>
      <c r="G47" s="477">
        <f>G46*G45</f>
        <v>0</v>
      </c>
      <c r="H47" s="393"/>
      <c r="I47" s="393"/>
      <c r="J47" s="417"/>
      <c r="K47" s="393"/>
      <c r="L47" s="393"/>
      <c r="M47" s="393"/>
      <c r="N47" s="393"/>
      <c r="O47" s="393"/>
      <c r="P47" s="393"/>
      <c r="Q47" s="393"/>
      <c r="R47" s="393"/>
      <c r="S47" s="393"/>
      <c r="T47" s="393"/>
      <c r="U47" s="393"/>
      <c r="V47" s="393"/>
      <c r="W47" s="393"/>
      <c r="X47" s="393"/>
      <c r="Y47" s="393"/>
      <c r="Z47" s="393"/>
      <c r="AA47" s="393"/>
      <c r="AB47" s="393"/>
      <c r="AC47" s="393"/>
      <c r="AD47" s="393"/>
      <c r="AE47" s="393"/>
      <c r="AF47" s="393"/>
      <c r="AG47" s="393"/>
      <c r="AH47" s="393"/>
      <c r="AI47" s="393"/>
      <c r="AJ47" s="393"/>
      <c r="AK47" s="393"/>
    </row>
    <row r="48" spans="1:37" ht="15.45" x14ac:dyDescent="0.4">
      <c r="A48" s="393"/>
      <c r="B48" s="394" t="s">
        <v>1089</v>
      </c>
      <c r="C48" s="480">
        <f>MROUND(C36,1)</f>
        <v>0</v>
      </c>
      <c r="D48" s="480">
        <f>MROUND(D36,1)</f>
        <v>0</v>
      </c>
      <c r="E48" s="480">
        <f>MROUND(E36,1)</f>
        <v>0</v>
      </c>
      <c r="F48" s="480">
        <f>MROUND(F36,1)</f>
        <v>0</v>
      </c>
      <c r="G48" s="480">
        <f>MROUND(G36,1)</f>
        <v>0</v>
      </c>
      <c r="H48" s="393"/>
      <c r="I48" s="393"/>
      <c r="J48" s="417"/>
      <c r="K48" s="393"/>
      <c r="L48" s="393"/>
      <c r="M48" s="393"/>
      <c r="N48" s="393"/>
      <c r="O48" s="393"/>
      <c r="P48" s="393"/>
      <c r="Q48" s="393"/>
      <c r="R48" s="393"/>
      <c r="S48" s="393"/>
      <c r="T48" s="393"/>
      <c r="U48" s="393"/>
      <c r="V48" s="393"/>
      <c r="W48" s="393"/>
      <c r="X48" s="393"/>
      <c r="Y48" s="393"/>
      <c r="Z48" s="393"/>
      <c r="AA48" s="393"/>
      <c r="AB48" s="393"/>
      <c r="AC48" s="393"/>
      <c r="AD48" s="393"/>
      <c r="AE48" s="393"/>
      <c r="AF48" s="393"/>
      <c r="AG48" s="393"/>
      <c r="AH48" s="393"/>
      <c r="AI48" s="393"/>
      <c r="AJ48" s="393"/>
      <c r="AK48" s="393"/>
    </row>
    <row r="49" spans="1:37" ht="15.9" thickBot="1" x14ac:dyDescent="0.45">
      <c r="A49" s="393"/>
      <c r="B49" s="481" t="s">
        <v>892</v>
      </c>
      <c r="C49" s="482">
        <f>C48*C47</f>
        <v>0</v>
      </c>
      <c r="D49" s="482">
        <f>D48*D47</f>
        <v>0</v>
      </c>
      <c r="E49" s="482">
        <f>E48*E47</f>
        <v>0</v>
      </c>
      <c r="F49" s="482">
        <f>F48*F47</f>
        <v>0</v>
      </c>
      <c r="G49" s="482">
        <f>G48*G47</f>
        <v>0</v>
      </c>
      <c r="H49" s="393"/>
      <c r="I49" s="393"/>
      <c r="J49" s="483"/>
      <c r="K49" s="393"/>
      <c r="L49" s="393"/>
      <c r="M49" s="393"/>
      <c r="N49" s="393"/>
      <c r="O49" s="393"/>
      <c r="P49" s="393"/>
      <c r="Q49" s="393"/>
      <c r="R49" s="393"/>
      <c r="S49" s="393"/>
      <c r="T49" s="393"/>
      <c r="U49" s="393"/>
      <c r="V49" s="393"/>
      <c r="W49" s="393"/>
      <c r="X49" s="393"/>
      <c r="Y49" s="393"/>
      <c r="Z49" s="393"/>
      <c r="AA49" s="393"/>
      <c r="AB49" s="393"/>
      <c r="AC49" s="393"/>
      <c r="AD49" s="393"/>
      <c r="AE49" s="393"/>
      <c r="AF49" s="393"/>
      <c r="AG49" s="393"/>
      <c r="AH49" s="393"/>
      <c r="AI49" s="393"/>
      <c r="AJ49" s="393"/>
      <c r="AK49" s="393"/>
    </row>
    <row r="50" spans="1:37" ht="15.9" thickTop="1" x14ac:dyDescent="0.4">
      <c r="A50" s="393"/>
      <c r="B50" s="1136" t="s">
        <v>851</v>
      </c>
      <c r="C50" s="1136"/>
      <c r="D50" s="1136"/>
      <c r="E50" s="1136"/>
      <c r="F50" s="1136"/>
      <c r="G50" s="760"/>
      <c r="H50" s="393"/>
      <c r="I50" s="393"/>
      <c r="J50" s="483"/>
      <c r="K50" s="393"/>
      <c r="L50" s="393"/>
      <c r="M50" s="393"/>
      <c r="N50" s="393"/>
      <c r="O50" s="393"/>
      <c r="P50" s="393"/>
      <c r="Q50" s="393"/>
      <c r="R50" s="393"/>
      <c r="S50" s="393"/>
      <c r="T50" s="393"/>
      <c r="U50" s="393"/>
      <c r="V50" s="393"/>
      <c r="W50" s="393"/>
      <c r="X50" s="393"/>
      <c r="Y50" s="393"/>
      <c r="Z50" s="393"/>
      <c r="AA50" s="393"/>
      <c r="AB50" s="393"/>
      <c r="AC50" s="393"/>
      <c r="AD50" s="393"/>
      <c r="AE50" s="393"/>
      <c r="AF50" s="393"/>
      <c r="AG50" s="393"/>
      <c r="AH50" s="393"/>
      <c r="AI50" s="393"/>
      <c r="AJ50" s="393"/>
      <c r="AK50" s="393"/>
    </row>
    <row r="51" spans="1:37" ht="15.45" x14ac:dyDescent="0.4">
      <c r="A51" s="393"/>
      <c r="B51" s="394"/>
      <c r="C51" s="1140" t="s">
        <v>846</v>
      </c>
      <c r="D51" s="1140"/>
      <c r="E51" s="1140"/>
      <c r="F51" s="1140"/>
      <c r="G51" s="762"/>
      <c r="H51" s="393"/>
      <c r="I51" s="393"/>
      <c r="J51" s="483"/>
      <c r="K51" s="393"/>
      <c r="L51" s="393"/>
      <c r="M51" s="393"/>
      <c r="N51" s="393"/>
      <c r="O51" s="393"/>
      <c r="P51" s="393"/>
      <c r="Q51" s="393"/>
      <c r="R51" s="393"/>
      <c r="S51" s="393"/>
      <c r="T51" s="393"/>
      <c r="U51" s="393"/>
      <c r="V51" s="393"/>
      <c r="W51" s="393"/>
      <c r="X51" s="393"/>
      <c r="Y51" s="393"/>
      <c r="Z51" s="393"/>
      <c r="AA51" s="393"/>
      <c r="AB51" s="393"/>
      <c r="AC51" s="393"/>
      <c r="AD51" s="393"/>
      <c r="AE51" s="393"/>
      <c r="AF51" s="393"/>
      <c r="AG51" s="393"/>
      <c r="AH51" s="393"/>
      <c r="AI51" s="393"/>
      <c r="AJ51" s="393"/>
      <c r="AK51" s="393"/>
    </row>
    <row r="52" spans="1:37" ht="22.3" x14ac:dyDescent="0.5">
      <c r="A52" s="402" t="s">
        <v>923</v>
      </c>
      <c r="B52" s="394" t="s">
        <v>887</v>
      </c>
      <c r="C52" s="502"/>
      <c r="D52" s="502"/>
      <c r="E52" s="502"/>
      <c r="F52" s="502"/>
      <c r="G52" s="502"/>
      <c r="H52" s="393"/>
      <c r="I52" s="393"/>
      <c r="J52" s="483"/>
      <c r="K52" s="393"/>
      <c r="L52" s="393"/>
      <c r="M52" s="393"/>
      <c r="N52" s="393"/>
      <c r="O52" s="393"/>
      <c r="P52" s="393"/>
      <c r="Q52" s="393"/>
      <c r="R52" s="393"/>
      <c r="S52" s="393"/>
      <c r="T52" s="393"/>
      <c r="U52" s="393"/>
      <c r="V52" s="393"/>
      <c r="W52" s="393"/>
      <c r="X52" s="393"/>
      <c r="Y52" s="393"/>
      <c r="Z52" s="393"/>
      <c r="AA52" s="393"/>
      <c r="AB52" s="393"/>
      <c r="AC52" s="393"/>
      <c r="AD52" s="393"/>
      <c r="AE52" s="393"/>
      <c r="AF52" s="393"/>
      <c r="AG52" s="393"/>
      <c r="AH52" s="393"/>
      <c r="AI52" s="393"/>
      <c r="AJ52" s="393"/>
      <c r="AK52" s="393"/>
    </row>
    <row r="53" spans="1:37" ht="15.45" x14ac:dyDescent="0.4">
      <c r="A53" s="393"/>
      <c r="B53" s="394" t="s">
        <v>888</v>
      </c>
      <c r="C53" s="484">
        <f>IF(C26=0,0,ROUNDUP(C36/C26,0))</f>
        <v>0</v>
      </c>
      <c r="D53" s="484">
        <f>IF(D26=0,0,ROUNDUP(D36/D26,0))</f>
        <v>0</v>
      </c>
      <c r="E53" s="484">
        <f>IF(E26=0,0,ROUNDUP(E36/E26,0))</f>
        <v>0</v>
      </c>
      <c r="F53" s="484">
        <f>IF(F26=0,0,ROUNDUP(F36/F26,0))</f>
        <v>0</v>
      </c>
      <c r="G53" s="484">
        <f>IF(G26=0,0,ROUNDUP(G36/G26,0))</f>
        <v>0</v>
      </c>
      <c r="H53" s="393"/>
      <c r="I53" s="393"/>
      <c r="J53" s="483"/>
      <c r="K53" s="393"/>
      <c r="L53" s="393"/>
      <c r="M53" s="393"/>
      <c r="N53" s="393"/>
      <c r="O53" s="393"/>
      <c r="P53" s="393"/>
      <c r="Q53" s="393"/>
      <c r="R53" s="393"/>
      <c r="S53" s="393"/>
      <c r="T53" s="393"/>
      <c r="U53" s="393"/>
      <c r="V53" s="393"/>
      <c r="W53" s="393"/>
      <c r="X53" s="393"/>
      <c r="Y53" s="393"/>
      <c r="Z53" s="393"/>
      <c r="AA53" s="393"/>
      <c r="AB53" s="393"/>
      <c r="AC53" s="393"/>
      <c r="AD53" s="393"/>
      <c r="AE53" s="393"/>
      <c r="AF53" s="393"/>
      <c r="AG53" s="393"/>
      <c r="AH53" s="393"/>
      <c r="AI53" s="393"/>
      <c r="AJ53" s="393"/>
      <c r="AK53" s="393"/>
    </row>
    <row r="54" spans="1:37" ht="15.45" x14ac:dyDescent="0.4">
      <c r="A54" s="393"/>
      <c r="B54" s="394" t="s">
        <v>1125</v>
      </c>
      <c r="C54" s="842">
        <v>0.56000000000000005</v>
      </c>
      <c r="D54" s="485">
        <f>+$C$54</f>
        <v>0.56000000000000005</v>
      </c>
      <c r="E54" s="485">
        <f t="shared" ref="E54:G54" si="5">+$C$54</f>
        <v>0.56000000000000005</v>
      </c>
      <c r="F54" s="485">
        <f t="shared" si="5"/>
        <v>0.56000000000000005</v>
      </c>
      <c r="G54" s="485">
        <f t="shared" si="5"/>
        <v>0.56000000000000005</v>
      </c>
      <c r="H54" s="393"/>
      <c r="I54" s="393"/>
      <c r="J54" s="483"/>
      <c r="K54" s="393"/>
      <c r="L54" s="393"/>
      <c r="M54" s="393"/>
      <c r="N54" s="393"/>
      <c r="O54" s="393"/>
      <c r="P54" s="393"/>
      <c r="Q54" s="393"/>
      <c r="R54" s="393"/>
      <c r="S54" s="393"/>
      <c r="T54" s="393"/>
      <c r="U54" s="393"/>
      <c r="V54" s="393"/>
      <c r="W54" s="393"/>
      <c r="X54" s="393"/>
      <c r="Y54" s="393"/>
      <c r="Z54" s="393"/>
      <c r="AA54" s="393"/>
      <c r="AB54" s="393"/>
      <c r="AC54" s="393"/>
      <c r="AD54" s="393"/>
      <c r="AE54" s="393"/>
      <c r="AF54" s="393"/>
      <c r="AG54" s="393"/>
      <c r="AH54" s="393"/>
      <c r="AI54" s="393"/>
      <c r="AJ54" s="393"/>
      <c r="AK54" s="393"/>
    </row>
    <row r="55" spans="1:37" ht="15.9" thickBot="1" x14ac:dyDescent="0.45">
      <c r="A55" s="393"/>
      <c r="B55" s="481" t="s">
        <v>893</v>
      </c>
      <c r="C55" s="486">
        <f>(C52*C53)*C54</f>
        <v>0</v>
      </c>
      <c r="D55" s="486">
        <f>(D52*D53)*D54</f>
        <v>0</v>
      </c>
      <c r="E55" s="486">
        <f>(E52*E53)*E54</f>
        <v>0</v>
      </c>
      <c r="F55" s="486">
        <f>(F52*F53)*F54</f>
        <v>0</v>
      </c>
      <c r="G55" s="486">
        <f>(G52*G53)*G54</f>
        <v>0</v>
      </c>
      <c r="H55" s="393"/>
      <c r="I55" s="393"/>
      <c r="J55" s="483"/>
      <c r="K55" s="393"/>
      <c r="L55" s="393"/>
      <c r="M55" s="393"/>
      <c r="N55" s="393"/>
      <c r="O55" s="393"/>
      <c r="P55" s="393"/>
      <c r="Q55" s="393"/>
      <c r="R55" s="393"/>
      <c r="S55" s="393"/>
      <c r="T55" s="393"/>
      <c r="U55" s="393"/>
      <c r="V55" s="393"/>
      <c r="W55" s="393"/>
      <c r="X55" s="393"/>
      <c r="Y55" s="393"/>
      <c r="Z55" s="393"/>
      <c r="AA55" s="393"/>
      <c r="AB55" s="393"/>
      <c r="AC55" s="393"/>
      <c r="AD55" s="393"/>
      <c r="AE55" s="393"/>
      <c r="AF55" s="393"/>
      <c r="AG55" s="393"/>
      <c r="AH55" s="393"/>
      <c r="AI55" s="393"/>
      <c r="AJ55" s="393"/>
      <c r="AK55" s="393"/>
    </row>
    <row r="56" spans="1:37" ht="15.9" thickTop="1" x14ac:dyDescent="0.4">
      <c r="A56" s="393"/>
      <c r="B56" s="394"/>
      <c r="C56" s="487"/>
      <c r="D56" s="487"/>
      <c r="E56" s="487"/>
      <c r="F56" s="487"/>
      <c r="G56" s="487"/>
      <c r="H56" s="393"/>
      <c r="I56" s="393"/>
      <c r="J56" s="483"/>
      <c r="K56" s="393"/>
      <c r="L56" s="393"/>
      <c r="M56" s="393"/>
      <c r="N56" s="393"/>
      <c r="O56" s="393"/>
      <c r="P56" s="393"/>
      <c r="Q56" s="393"/>
      <c r="R56" s="393"/>
      <c r="S56" s="393"/>
      <c r="T56" s="393"/>
      <c r="U56" s="393"/>
      <c r="V56" s="393"/>
      <c r="W56" s="393"/>
      <c r="X56" s="393"/>
      <c r="Y56" s="393"/>
      <c r="Z56" s="393"/>
      <c r="AA56" s="393"/>
      <c r="AB56" s="393"/>
      <c r="AC56" s="393"/>
      <c r="AD56" s="393"/>
      <c r="AE56" s="393"/>
      <c r="AF56" s="393"/>
      <c r="AG56" s="393"/>
      <c r="AH56" s="393"/>
      <c r="AI56" s="393"/>
      <c r="AJ56" s="393"/>
      <c r="AK56" s="393"/>
    </row>
    <row r="57" spans="1:37" ht="15.45" x14ac:dyDescent="0.4">
      <c r="A57" s="393"/>
      <c r="C57" s="1135" t="s">
        <v>847</v>
      </c>
      <c r="D57" s="1135"/>
      <c r="E57" s="1135"/>
      <c r="F57" s="1135"/>
      <c r="G57" s="759"/>
      <c r="H57" s="393"/>
      <c r="I57" s="393"/>
      <c r="J57" s="483"/>
      <c r="K57" s="393"/>
      <c r="L57" s="393"/>
      <c r="M57" s="393"/>
      <c r="N57" s="393"/>
      <c r="O57" s="393"/>
      <c r="P57" s="393"/>
      <c r="Q57" s="393"/>
      <c r="R57" s="393"/>
      <c r="S57" s="393"/>
      <c r="T57" s="393"/>
      <c r="U57" s="393"/>
      <c r="V57" s="393"/>
      <c r="W57" s="393"/>
      <c r="X57" s="393"/>
      <c r="Y57" s="393"/>
      <c r="Z57" s="393"/>
      <c r="AA57" s="393"/>
      <c r="AB57" s="393"/>
      <c r="AC57" s="393"/>
      <c r="AD57" s="393"/>
      <c r="AE57" s="393"/>
      <c r="AF57" s="393"/>
      <c r="AG57" s="393"/>
      <c r="AH57" s="393"/>
      <c r="AI57" s="393"/>
      <c r="AJ57" s="393"/>
      <c r="AK57" s="393"/>
    </row>
    <row r="58" spans="1:37" ht="15.45" x14ac:dyDescent="0.4">
      <c r="A58" s="393"/>
      <c r="B58" s="394" t="s">
        <v>843</v>
      </c>
      <c r="C58" s="488">
        <f>C52/60</f>
        <v>0</v>
      </c>
      <c r="D58" s="488">
        <f>D52/60</f>
        <v>0</v>
      </c>
      <c r="E58" s="488">
        <f>E52/60</f>
        <v>0</v>
      </c>
      <c r="F58" s="488">
        <f>F52/60</f>
        <v>0</v>
      </c>
      <c r="G58" s="488">
        <f>G52/60</f>
        <v>0</v>
      </c>
      <c r="H58" s="393"/>
      <c r="I58" s="393"/>
      <c r="J58" s="483"/>
      <c r="K58" s="393"/>
      <c r="L58" s="393"/>
      <c r="M58" s="393"/>
      <c r="N58" s="393"/>
      <c r="O58" s="393"/>
      <c r="P58" s="393"/>
      <c r="Q58" s="393"/>
      <c r="R58" s="393"/>
      <c r="S58" s="393"/>
      <c r="T58" s="393"/>
      <c r="U58" s="393"/>
      <c r="V58" s="393"/>
      <c r="W58" s="393"/>
      <c r="X58" s="393"/>
      <c r="Y58" s="393"/>
      <c r="Z58" s="393"/>
      <c r="AA58" s="393"/>
      <c r="AB58" s="393"/>
      <c r="AC58" s="393"/>
      <c r="AD58" s="393"/>
      <c r="AE58" s="393"/>
      <c r="AF58" s="393"/>
      <c r="AG58" s="393"/>
      <c r="AH58" s="393"/>
      <c r="AI58" s="393"/>
      <c r="AJ58" s="393"/>
      <c r="AK58" s="393"/>
    </row>
    <row r="59" spans="1:37" ht="15.45" x14ac:dyDescent="0.4">
      <c r="A59" s="393"/>
      <c r="B59" s="489" t="s">
        <v>733</v>
      </c>
      <c r="C59" s="490">
        <f>C31</f>
        <v>2</v>
      </c>
      <c r="D59" s="490">
        <f>D31</f>
        <v>2</v>
      </c>
      <c r="E59" s="490">
        <f>E31</f>
        <v>2</v>
      </c>
      <c r="F59" s="490">
        <f>F31</f>
        <v>2</v>
      </c>
      <c r="G59" s="490">
        <f>G31</f>
        <v>2</v>
      </c>
      <c r="H59" s="393"/>
      <c r="I59" s="393"/>
      <c r="J59" s="483"/>
      <c r="K59" s="393"/>
      <c r="L59" s="393"/>
      <c r="M59" s="393"/>
      <c r="N59" s="393"/>
      <c r="O59" s="393"/>
      <c r="P59" s="393"/>
      <c r="Q59" s="393"/>
      <c r="R59" s="393"/>
      <c r="S59" s="393"/>
      <c r="T59" s="393"/>
      <c r="U59" s="393"/>
      <c r="V59" s="393"/>
      <c r="W59" s="393"/>
      <c r="X59" s="393"/>
      <c r="Y59" s="393"/>
      <c r="Z59" s="393"/>
      <c r="AA59" s="393"/>
      <c r="AB59" s="393"/>
      <c r="AC59" s="393"/>
      <c r="AD59" s="393"/>
      <c r="AE59" s="393"/>
      <c r="AF59" s="393"/>
      <c r="AG59" s="393"/>
      <c r="AH59" s="393"/>
      <c r="AI59" s="393"/>
      <c r="AJ59" s="393"/>
      <c r="AK59" s="393"/>
    </row>
    <row r="60" spans="1:37" ht="15.45" x14ac:dyDescent="0.4">
      <c r="A60" s="393"/>
      <c r="B60" s="491" t="s">
        <v>848</v>
      </c>
      <c r="C60" s="492">
        <f>C58*C59</f>
        <v>0</v>
      </c>
      <c r="D60" s="492">
        <f>D58*D59</f>
        <v>0</v>
      </c>
      <c r="E60" s="492">
        <f>E58*E59</f>
        <v>0</v>
      </c>
      <c r="F60" s="492">
        <f>F58*F59</f>
        <v>0</v>
      </c>
      <c r="G60" s="492">
        <f>G58*G59</f>
        <v>0</v>
      </c>
      <c r="H60" s="393"/>
      <c r="I60" s="393"/>
      <c r="J60" s="483"/>
      <c r="K60" s="393"/>
      <c r="L60" s="393"/>
      <c r="M60" s="393"/>
      <c r="N60" s="393"/>
      <c r="O60" s="393"/>
      <c r="P60" s="393"/>
      <c r="Q60" s="393"/>
      <c r="R60" s="393"/>
      <c r="S60" s="393"/>
      <c r="T60" s="393"/>
      <c r="U60" s="393"/>
      <c r="V60" s="393"/>
      <c r="W60" s="393"/>
      <c r="X60" s="393"/>
      <c r="Y60" s="393"/>
      <c r="Z60" s="393"/>
      <c r="AA60" s="393"/>
      <c r="AB60" s="393"/>
      <c r="AC60" s="393"/>
      <c r="AD60" s="393"/>
      <c r="AE60" s="393"/>
      <c r="AF60" s="393"/>
      <c r="AG60" s="393"/>
      <c r="AH60" s="393"/>
      <c r="AI60" s="393"/>
      <c r="AJ60" s="393"/>
      <c r="AK60" s="393"/>
    </row>
    <row r="61" spans="1:37" ht="15.45" x14ac:dyDescent="0.4">
      <c r="A61" s="393"/>
      <c r="B61" s="491" t="s">
        <v>849</v>
      </c>
      <c r="C61" s="493">
        <f>C53</f>
        <v>0</v>
      </c>
      <c r="D61" s="493">
        <f>D53</f>
        <v>0</v>
      </c>
      <c r="E61" s="493">
        <f>E53</f>
        <v>0</v>
      </c>
      <c r="F61" s="493">
        <f>F53</f>
        <v>0</v>
      </c>
      <c r="G61" s="493">
        <f>G53</f>
        <v>0</v>
      </c>
      <c r="H61" s="393"/>
      <c r="I61" s="393"/>
      <c r="J61" s="483"/>
      <c r="K61" s="393"/>
      <c r="L61" s="393"/>
      <c r="M61" s="393"/>
      <c r="N61" s="393"/>
      <c r="O61" s="393"/>
      <c r="P61" s="393"/>
      <c r="Q61" s="393"/>
      <c r="R61" s="393"/>
      <c r="S61" s="393"/>
      <c r="T61" s="393"/>
      <c r="U61" s="393"/>
      <c r="V61" s="393"/>
      <c r="W61" s="393"/>
      <c r="X61" s="393"/>
      <c r="Y61" s="393"/>
      <c r="Z61" s="393"/>
      <c r="AA61" s="393"/>
      <c r="AB61" s="393"/>
      <c r="AC61" s="393"/>
      <c r="AD61" s="393"/>
      <c r="AE61" s="393"/>
      <c r="AF61" s="393"/>
      <c r="AG61" s="393"/>
      <c r="AH61" s="393"/>
      <c r="AI61" s="393"/>
      <c r="AJ61" s="393"/>
      <c r="AK61" s="393"/>
    </row>
    <row r="62" spans="1:37" ht="15.9" thickBot="1" x14ac:dyDescent="0.45">
      <c r="A62" s="393"/>
      <c r="B62" s="481" t="s">
        <v>850</v>
      </c>
      <c r="C62" s="494">
        <f>C60*C61</f>
        <v>0</v>
      </c>
      <c r="D62" s="494">
        <f>D60*D61</f>
        <v>0</v>
      </c>
      <c r="E62" s="494">
        <f>E60*E61</f>
        <v>0</v>
      </c>
      <c r="F62" s="494">
        <f>F60*F61</f>
        <v>0</v>
      </c>
      <c r="G62" s="494">
        <f>G60*G61</f>
        <v>0</v>
      </c>
      <c r="H62" s="393"/>
      <c r="I62" s="393"/>
      <c r="J62" s="483"/>
      <c r="K62" s="393"/>
      <c r="L62" s="393"/>
      <c r="M62" s="393"/>
      <c r="N62" s="393"/>
      <c r="O62" s="393"/>
      <c r="P62" s="393"/>
      <c r="Q62" s="393"/>
      <c r="R62" s="393"/>
      <c r="S62" s="393"/>
      <c r="T62" s="393"/>
      <c r="U62" s="393"/>
      <c r="V62" s="393"/>
      <c r="W62" s="393"/>
      <c r="X62" s="393"/>
      <c r="Y62" s="393"/>
      <c r="Z62" s="393"/>
      <c r="AA62" s="393"/>
      <c r="AB62" s="393"/>
      <c r="AC62" s="393"/>
      <c r="AD62" s="393"/>
      <c r="AE62" s="393"/>
      <c r="AF62" s="393"/>
      <c r="AG62" s="393"/>
      <c r="AH62" s="393"/>
      <c r="AI62" s="393"/>
      <c r="AJ62" s="393"/>
      <c r="AK62" s="393"/>
    </row>
    <row r="63" spans="1:37" ht="15.9" thickTop="1" x14ac:dyDescent="0.4">
      <c r="A63" s="393"/>
      <c r="B63" s="394"/>
      <c r="C63" s="488"/>
      <c r="D63" s="488"/>
      <c r="E63" s="488"/>
      <c r="F63" s="488"/>
      <c r="G63" s="488"/>
      <c r="H63" s="393"/>
      <c r="I63" s="393"/>
      <c r="J63" s="431"/>
      <c r="K63" s="393"/>
      <c r="L63" s="393"/>
      <c r="M63" s="393"/>
      <c r="N63" s="393"/>
      <c r="O63" s="393"/>
      <c r="P63" s="393"/>
      <c r="Q63" s="393"/>
      <c r="R63" s="393"/>
      <c r="S63" s="393"/>
      <c r="T63" s="393"/>
      <c r="U63" s="393"/>
      <c r="V63" s="393"/>
      <c r="W63" s="393"/>
      <c r="X63" s="393"/>
      <c r="Y63" s="393"/>
      <c r="Z63" s="393"/>
      <c r="AA63" s="393"/>
      <c r="AB63" s="393"/>
      <c r="AC63" s="393"/>
      <c r="AD63" s="393"/>
      <c r="AE63" s="393"/>
      <c r="AF63" s="393"/>
      <c r="AG63" s="393"/>
      <c r="AH63" s="393"/>
      <c r="AI63" s="393"/>
      <c r="AJ63" s="393"/>
      <c r="AK63" s="393"/>
    </row>
    <row r="64" spans="1:37" ht="15.45" x14ac:dyDescent="0.4">
      <c r="A64" s="393"/>
      <c r="B64" s="394"/>
      <c r="C64" s="488"/>
      <c r="D64" s="488"/>
      <c r="E64" s="488"/>
      <c r="F64" s="488"/>
      <c r="G64" s="488"/>
      <c r="H64" s="393"/>
      <c r="I64" s="393"/>
      <c r="J64" s="431"/>
      <c r="K64" s="393"/>
      <c r="L64" s="393"/>
      <c r="M64" s="393"/>
      <c r="N64" s="393"/>
      <c r="O64" s="393"/>
      <c r="P64" s="393"/>
      <c r="Q64" s="393"/>
      <c r="R64" s="393"/>
      <c r="S64" s="393"/>
      <c r="T64" s="393"/>
      <c r="U64" s="393"/>
      <c r="V64" s="393"/>
      <c r="W64" s="393"/>
      <c r="X64" s="393"/>
      <c r="Y64" s="393"/>
      <c r="Z64" s="393"/>
      <c r="AA64" s="393"/>
      <c r="AB64" s="393"/>
      <c r="AC64" s="393"/>
      <c r="AD64" s="393"/>
      <c r="AE64" s="393"/>
      <c r="AF64" s="393"/>
      <c r="AG64" s="393"/>
      <c r="AH64" s="393"/>
      <c r="AI64" s="393"/>
      <c r="AJ64" s="393"/>
      <c r="AK64" s="393"/>
    </row>
    <row r="65" spans="1:37" ht="15.45" x14ac:dyDescent="0.4">
      <c r="A65" s="393"/>
      <c r="B65" s="394"/>
      <c r="C65" s="488"/>
      <c r="D65" s="488"/>
      <c r="E65" s="488"/>
      <c r="F65" s="488"/>
      <c r="G65" s="488"/>
      <c r="H65" s="393"/>
      <c r="I65" s="393"/>
      <c r="J65" s="495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</row>
    <row r="66" spans="1:37" ht="15.45" x14ac:dyDescent="0.4">
      <c r="A66" s="393"/>
      <c r="B66" s="394"/>
      <c r="C66" s="488"/>
      <c r="D66" s="488"/>
      <c r="E66" s="488"/>
      <c r="F66" s="488"/>
      <c r="G66" s="488"/>
      <c r="H66" s="393"/>
      <c r="I66" s="393"/>
      <c r="J66" s="393"/>
      <c r="K66" s="393"/>
      <c r="L66" s="393"/>
      <c r="M66" s="393"/>
      <c r="N66" s="393"/>
      <c r="O66" s="393"/>
      <c r="P66" s="393"/>
      <c r="Q66" s="393"/>
      <c r="R66" s="393"/>
      <c r="S66" s="393"/>
      <c r="T66" s="393"/>
      <c r="U66" s="393"/>
      <c r="V66" s="393"/>
      <c r="W66" s="393"/>
      <c r="X66" s="393"/>
      <c r="Y66" s="393"/>
      <c r="Z66" s="393"/>
      <c r="AA66" s="393"/>
      <c r="AB66" s="393"/>
      <c r="AC66" s="393"/>
      <c r="AD66" s="393"/>
      <c r="AE66" s="393"/>
      <c r="AF66" s="393"/>
      <c r="AG66" s="393"/>
      <c r="AH66" s="393"/>
      <c r="AI66" s="393"/>
      <c r="AJ66" s="393"/>
      <c r="AK66" s="393"/>
    </row>
    <row r="67" spans="1:37" ht="15.45" x14ac:dyDescent="0.4">
      <c r="A67" s="393"/>
      <c r="B67" s="394"/>
      <c r="C67" s="488"/>
      <c r="D67" s="488"/>
      <c r="E67" s="488"/>
      <c r="F67" s="488"/>
      <c r="G67" s="488"/>
      <c r="H67" s="393"/>
      <c r="I67" s="393"/>
      <c r="J67" s="393"/>
      <c r="K67" s="393"/>
      <c r="L67" s="393"/>
      <c r="M67" s="393"/>
      <c r="N67" s="393"/>
      <c r="O67" s="393"/>
      <c r="P67" s="393"/>
      <c r="Q67" s="393"/>
      <c r="R67" s="393"/>
      <c r="S67" s="393"/>
      <c r="T67" s="393"/>
      <c r="U67" s="393"/>
      <c r="V67" s="393"/>
      <c r="W67" s="393"/>
      <c r="X67" s="393"/>
      <c r="Y67" s="393"/>
      <c r="Z67" s="393"/>
      <c r="AA67" s="393"/>
      <c r="AB67" s="393"/>
      <c r="AC67" s="393"/>
      <c r="AD67" s="393"/>
      <c r="AE67" s="393"/>
      <c r="AF67" s="393"/>
      <c r="AG67" s="393"/>
      <c r="AH67" s="393"/>
      <c r="AI67" s="393"/>
      <c r="AJ67" s="393"/>
      <c r="AK67" s="393"/>
    </row>
    <row r="68" spans="1:37" ht="15.45" x14ac:dyDescent="0.4">
      <c r="A68" s="393"/>
      <c r="B68" s="394"/>
      <c r="C68" s="488"/>
      <c r="D68" s="488"/>
      <c r="E68" s="488"/>
      <c r="F68" s="488"/>
      <c r="G68" s="488"/>
      <c r="H68" s="393"/>
      <c r="I68" s="393"/>
      <c r="J68" s="393"/>
      <c r="K68" s="393"/>
      <c r="L68" s="393"/>
      <c r="M68" s="393"/>
      <c r="N68" s="393"/>
      <c r="O68" s="393"/>
      <c r="P68" s="393"/>
      <c r="Q68" s="393"/>
      <c r="R68" s="393"/>
      <c r="S68" s="393"/>
      <c r="T68" s="393"/>
      <c r="U68" s="393"/>
      <c r="V68" s="393"/>
      <c r="W68" s="393"/>
      <c r="X68" s="393"/>
      <c r="Y68" s="393"/>
      <c r="Z68" s="393"/>
      <c r="AA68" s="393"/>
      <c r="AB68" s="393"/>
      <c r="AC68" s="393"/>
      <c r="AD68" s="393"/>
      <c r="AE68" s="393"/>
      <c r="AF68" s="393"/>
      <c r="AG68" s="393"/>
      <c r="AH68" s="393"/>
      <c r="AI68" s="393"/>
      <c r="AJ68" s="393"/>
      <c r="AK68" s="393"/>
    </row>
    <row r="69" spans="1:37" ht="15.45" x14ac:dyDescent="0.4">
      <c r="A69" s="393"/>
      <c r="B69" s="394"/>
      <c r="C69" s="488"/>
      <c r="D69" s="488"/>
      <c r="E69" s="488"/>
      <c r="F69" s="488"/>
      <c r="G69" s="488"/>
      <c r="H69" s="393"/>
      <c r="I69" s="393"/>
      <c r="J69" s="393"/>
      <c r="K69" s="393"/>
      <c r="L69" s="393"/>
      <c r="M69" s="393"/>
      <c r="N69" s="393"/>
      <c r="O69" s="393"/>
      <c r="P69" s="393"/>
      <c r="Q69" s="393"/>
      <c r="R69" s="393"/>
      <c r="S69" s="393"/>
      <c r="T69" s="393"/>
      <c r="U69" s="393"/>
      <c r="V69" s="393"/>
      <c r="W69" s="393"/>
      <c r="X69" s="393"/>
      <c r="Y69" s="393"/>
      <c r="Z69" s="393"/>
      <c r="AA69" s="393"/>
      <c r="AB69" s="393"/>
      <c r="AC69" s="393"/>
      <c r="AD69" s="393"/>
      <c r="AE69" s="393"/>
      <c r="AF69" s="393"/>
      <c r="AG69" s="393"/>
      <c r="AH69" s="393"/>
      <c r="AI69" s="393"/>
      <c r="AJ69" s="393"/>
      <c r="AK69" s="393"/>
    </row>
    <row r="70" spans="1:37" ht="15.45" x14ac:dyDescent="0.4">
      <c r="A70" s="393"/>
      <c r="B70" s="394"/>
      <c r="C70" s="488"/>
      <c r="D70" s="488"/>
      <c r="E70" s="488"/>
      <c r="F70" s="488"/>
      <c r="G70" s="488"/>
      <c r="H70" s="393"/>
      <c r="I70" s="393"/>
      <c r="J70" s="393"/>
      <c r="K70" s="393"/>
      <c r="L70" s="393"/>
      <c r="M70" s="393"/>
      <c r="N70" s="393"/>
      <c r="O70" s="393"/>
      <c r="P70" s="393"/>
      <c r="Q70" s="393"/>
      <c r="R70" s="393"/>
      <c r="S70" s="393"/>
      <c r="T70" s="393"/>
      <c r="U70" s="393"/>
      <c r="V70" s="393"/>
      <c r="W70" s="393"/>
      <c r="X70" s="393"/>
      <c r="Y70" s="393"/>
      <c r="Z70" s="393"/>
      <c r="AA70" s="393"/>
      <c r="AB70" s="393"/>
      <c r="AC70" s="393"/>
      <c r="AD70" s="393"/>
      <c r="AE70" s="393"/>
      <c r="AF70" s="393"/>
      <c r="AG70" s="393"/>
      <c r="AH70" s="393"/>
      <c r="AI70" s="393"/>
      <c r="AJ70" s="393"/>
      <c r="AK70" s="393"/>
    </row>
    <row r="71" spans="1:37" ht="15.45" x14ac:dyDescent="0.4">
      <c r="A71" s="393"/>
      <c r="B71" s="394"/>
      <c r="C71" s="488"/>
      <c r="D71" s="488"/>
      <c r="E71" s="488"/>
      <c r="F71" s="488"/>
      <c r="G71" s="488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</row>
    <row r="72" spans="1:37" ht="15.45" x14ac:dyDescent="0.4">
      <c r="A72" s="393"/>
      <c r="B72" s="394"/>
      <c r="C72" s="488"/>
      <c r="D72" s="488"/>
      <c r="E72" s="488"/>
      <c r="F72" s="488"/>
      <c r="G72" s="488"/>
      <c r="H72" s="393"/>
      <c r="I72" s="393"/>
      <c r="J72" s="393"/>
      <c r="K72" s="393"/>
      <c r="L72" s="393"/>
      <c r="M72" s="393"/>
      <c r="N72" s="393"/>
      <c r="O72" s="393"/>
      <c r="P72" s="393"/>
      <c r="Q72" s="393"/>
      <c r="R72" s="393"/>
      <c r="S72" s="393"/>
      <c r="T72" s="393"/>
      <c r="U72" s="393"/>
      <c r="V72" s="393"/>
      <c r="W72" s="393"/>
      <c r="X72" s="393"/>
      <c r="Y72" s="393"/>
      <c r="Z72" s="393"/>
      <c r="AA72" s="393"/>
      <c r="AB72" s="393"/>
      <c r="AC72" s="393"/>
      <c r="AD72" s="393"/>
      <c r="AE72" s="393"/>
      <c r="AF72" s="393"/>
      <c r="AG72" s="393"/>
      <c r="AH72" s="393"/>
      <c r="AI72" s="393"/>
      <c r="AJ72" s="393"/>
      <c r="AK72" s="393"/>
    </row>
    <row r="73" spans="1:37" ht="15.45" x14ac:dyDescent="0.4">
      <c r="A73" s="393"/>
      <c r="B73" s="394"/>
      <c r="C73" s="488"/>
      <c r="D73" s="488"/>
      <c r="E73" s="488"/>
      <c r="F73" s="488"/>
      <c r="G73" s="488"/>
      <c r="H73" s="393"/>
      <c r="I73" s="393"/>
      <c r="J73" s="393"/>
      <c r="K73" s="393"/>
      <c r="L73" s="393"/>
      <c r="M73" s="393"/>
      <c r="N73" s="393"/>
      <c r="O73" s="393"/>
      <c r="P73" s="393"/>
      <c r="Q73" s="393"/>
      <c r="R73" s="393"/>
      <c r="S73" s="393"/>
      <c r="T73" s="393"/>
      <c r="U73" s="393"/>
      <c r="V73" s="393"/>
      <c r="W73" s="393"/>
      <c r="X73" s="393"/>
      <c r="Y73" s="393"/>
      <c r="Z73" s="393"/>
      <c r="AA73" s="393"/>
      <c r="AB73" s="393"/>
      <c r="AC73" s="393"/>
      <c r="AD73" s="393"/>
      <c r="AE73" s="393"/>
      <c r="AF73" s="393"/>
      <c r="AG73" s="393"/>
      <c r="AH73" s="393"/>
      <c r="AI73" s="393"/>
      <c r="AJ73" s="393"/>
      <c r="AK73" s="393"/>
    </row>
    <row r="74" spans="1:37" ht="15.45" x14ac:dyDescent="0.4">
      <c r="A74" s="393"/>
      <c r="B74" s="394"/>
      <c r="C74" s="488"/>
      <c r="D74" s="488"/>
      <c r="E74" s="488"/>
      <c r="F74" s="488"/>
      <c r="G74" s="488"/>
      <c r="H74" s="393"/>
      <c r="I74" s="393"/>
      <c r="J74" s="393"/>
      <c r="K74" s="393"/>
      <c r="L74" s="393"/>
      <c r="M74" s="393"/>
      <c r="N74" s="393"/>
      <c r="O74" s="393"/>
      <c r="P74" s="393"/>
      <c r="Q74" s="393"/>
      <c r="R74" s="393"/>
      <c r="S74" s="393"/>
      <c r="T74" s="393"/>
      <c r="U74" s="393"/>
      <c r="V74" s="393"/>
      <c r="W74" s="393"/>
      <c r="X74" s="393"/>
      <c r="Y74" s="393"/>
      <c r="Z74" s="393"/>
      <c r="AA74" s="393"/>
      <c r="AB74" s="393"/>
      <c r="AC74" s="393"/>
      <c r="AD74" s="393"/>
      <c r="AE74" s="393"/>
      <c r="AF74" s="393"/>
      <c r="AG74" s="393"/>
      <c r="AH74" s="393"/>
      <c r="AI74" s="393"/>
      <c r="AJ74" s="393"/>
      <c r="AK74" s="393"/>
    </row>
    <row r="75" spans="1:37" ht="15.45" x14ac:dyDescent="0.4">
      <c r="A75" s="393"/>
      <c r="B75" s="394"/>
      <c r="C75" s="488"/>
      <c r="D75" s="488"/>
      <c r="E75" s="488"/>
      <c r="F75" s="488"/>
      <c r="G75" s="488"/>
      <c r="H75" s="393"/>
      <c r="I75" s="393"/>
      <c r="J75" s="393"/>
      <c r="K75" s="393"/>
      <c r="L75" s="393"/>
      <c r="M75" s="393"/>
      <c r="N75" s="393"/>
      <c r="O75" s="393"/>
      <c r="P75" s="393"/>
      <c r="Q75" s="393"/>
      <c r="R75" s="393"/>
      <c r="S75" s="393"/>
      <c r="T75" s="393"/>
      <c r="U75" s="393"/>
      <c r="V75" s="393"/>
      <c r="W75" s="393"/>
      <c r="X75" s="393"/>
      <c r="Y75" s="393"/>
      <c r="Z75" s="393"/>
      <c r="AA75" s="393"/>
      <c r="AB75" s="393"/>
      <c r="AC75" s="393"/>
      <c r="AD75" s="393"/>
      <c r="AE75" s="393"/>
      <c r="AF75" s="393"/>
      <c r="AG75" s="393"/>
      <c r="AH75" s="393"/>
      <c r="AI75" s="393"/>
      <c r="AJ75" s="393"/>
      <c r="AK75" s="393"/>
    </row>
    <row r="76" spans="1:37" ht="15.45" x14ac:dyDescent="0.4">
      <c r="A76" s="393"/>
      <c r="B76" s="394"/>
      <c r="C76" s="488"/>
      <c r="D76" s="488"/>
      <c r="E76" s="488"/>
      <c r="F76" s="488"/>
      <c r="G76" s="488"/>
      <c r="H76" s="393"/>
      <c r="I76" s="393"/>
      <c r="J76" s="393"/>
      <c r="K76" s="393"/>
      <c r="L76" s="393"/>
      <c r="M76" s="393"/>
      <c r="N76" s="393"/>
      <c r="O76" s="393"/>
      <c r="P76" s="393"/>
      <c r="Q76" s="393"/>
      <c r="R76" s="393"/>
      <c r="S76" s="393"/>
      <c r="T76" s="393"/>
      <c r="U76" s="393"/>
      <c r="V76" s="393"/>
      <c r="W76" s="393"/>
      <c r="X76" s="393"/>
      <c r="Y76" s="393"/>
      <c r="Z76" s="393"/>
      <c r="AA76" s="393"/>
      <c r="AB76" s="393"/>
      <c r="AC76" s="393"/>
      <c r="AD76" s="393"/>
      <c r="AE76" s="393"/>
      <c r="AF76" s="393"/>
      <c r="AG76" s="393"/>
      <c r="AH76" s="393"/>
      <c r="AI76" s="393"/>
      <c r="AJ76" s="393"/>
      <c r="AK76" s="393"/>
    </row>
    <row r="77" spans="1:37" ht="15.45" x14ac:dyDescent="0.4">
      <c r="A77" s="393"/>
      <c r="B77" s="394"/>
      <c r="C77" s="488"/>
      <c r="D77" s="488"/>
      <c r="E77" s="488"/>
      <c r="F77" s="488"/>
      <c r="G77" s="488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</row>
    <row r="78" spans="1:37" ht="15.45" x14ac:dyDescent="0.4">
      <c r="A78" s="393"/>
      <c r="B78" s="394"/>
      <c r="C78" s="488"/>
      <c r="D78" s="488"/>
      <c r="E78" s="488"/>
      <c r="F78" s="488"/>
      <c r="G78" s="488"/>
      <c r="H78" s="393"/>
      <c r="I78" s="393"/>
      <c r="J78" s="393"/>
      <c r="K78" s="393"/>
      <c r="L78" s="393"/>
      <c r="M78" s="393"/>
      <c r="N78" s="393"/>
      <c r="O78" s="393"/>
      <c r="P78" s="393"/>
      <c r="Q78" s="393"/>
      <c r="R78" s="393"/>
      <c r="S78" s="393"/>
      <c r="T78" s="393"/>
      <c r="U78" s="393"/>
      <c r="V78" s="393"/>
      <c r="W78" s="393"/>
      <c r="X78" s="393"/>
      <c r="Y78" s="393"/>
      <c r="Z78" s="393"/>
      <c r="AA78" s="393"/>
      <c r="AB78" s="393"/>
      <c r="AC78" s="393"/>
      <c r="AD78" s="393"/>
      <c r="AE78" s="393"/>
      <c r="AF78" s="393"/>
      <c r="AG78" s="393"/>
      <c r="AH78" s="393"/>
      <c r="AI78" s="393"/>
      <c r="AJ78" s="393"/>
      <c r="AK78" s="393"/>
    </row>
    <row r="79" spans="1:37" ht="15.45" x14ac:dyDescent="0.4">
      <c r="A79" s="393"/>
      <c r="B79" s="394"/>
      <c r="C79" s="488"/>
      <c r="D79" s="488"/>
      <c r="E79" s="488"/>
      <c r="F79" s="488"/>
      <c r="G79" s="488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93"/>
      <c r="S79" s="393"/>
      <c r="T79" s="393"/>
      <c r="U79" s="393"/>
      <c r="V79" s="393"/>
      <c r="W79" s="393"/>
      <c r="X79" s="393"/>
      <c r="Y79" s="393"/>
      <c r="Z79" s="393"/>
      <c r="AA79" s="393"/>
      <c r="AB79" s="393"/>
      <c r="AC79" s="393"/>
      <c r="AD79" s="393"/>
      <c r="AE79" s="393"/>
      <c r="AF79" s="393"/>
      <c r="AG79" s="393"/>
      <c r="AH79" s="393"/>
      <c r="AI79" s="393"/>
      <c r="AJ79" s="393"/>
      <c r="AK79" s="393"/>
    </row>
    <row r="80" spans="1:37" ht="15.45" x14ac:dyDescent="0.4">
      <c r="A80" s="393"/>
      <c r="B80" s="394"/>
      <c r="C80" s="488"/>
      <c r="D80" s="488"/>
      <c r="E80" s="488"/>
      <c r="F80" s="488"/>
      <c r="G80" s="488"/>
      <c r="H80" s="393"/>
      <c r="I80" s="393"/>
      <c r="J80" s="393"/>
      <c r="K80" s="393"/>
      <c r="L80" s="393"/>
      <c r="M80" s="393"/>
      <c r="N80" s="393"/>
      <c r="O80" s="393"/>
      <c r="P80" s="393"/>
      <c r="Q80" s="393"/>
      <c r="R80" s="393"/>
      <c r="S80" s="393"/>
      <c r="T80" s="393"/>
      <c r="U80" s="393"/>
      <c r="V80" s="393"/>
      <c r="W80" s="393"/>
      <c r="X80" s="393"/>
      <c r="Y80" s="393"/>
      <c r="Z80" s="393"/>
      <c r="AA80" s="393"/>
      <c r="AB80" s="393"/>
      <c r="AC80" s="393"/>
      <c r="AD80" s="393"/>
      <c r="AE80" s="393"/>
      <c r="AF80" s="393"/>
      <c r="AG80" s="393"/>
      <c r="AH80" s="393"/>
      <c r="AI80" s="393"/>
      <c r="AJ80" s="393"/>
      <c r="AK80" s="393"/>
    </row>
    <row r="81" spans="1:37" ht="15.45" x14ac:dyDescent="0.4">
      <c r="A81" s="393"/>
      <c r="B81" s="394"/>
      <c r="C81" s="488"/>
      <c r="D81" s="488"/>
      <c r="E81" s="488"/>
      <c r="F81" s="488"/>
      <c r="G81" s="488"/>
      <c r="H81" s="393"/>
      <c r="I81" s="393"/>
      <c r="J81" s="393"/>
      <c r="K81" s="393"/>
      <c r="L81" s="393"/>
      <c r="M81" s="393"/>
      <c r="N81" s="393"/>
      <c r="O81" s="393"/>
      <c r="P81" s="393"/>
      <c r="Q81" s="393"/>
      <c r="R81" s="393"/>
      <c r="S81" s="393"/>
      <c r="T81" s="393"/>
      <c r="U81" s="393"/>
      <c r="V81" s="393"/>
      <c r="W81" s="393"/>
      <c r="X81" s="393"/>
      <c r="Y81" s="393"/>
      <c r="Z81" s="393"/>
      <c r="AA81" s="393"/>
      <c r="AB81" s="393"/>
      <c r="AC81" s="393"/>
      <c r="AD81" s="393"/>
      <c r="AE81" s="393"/>
      <c r="AF81" s="393"/>
      <c r="AG81" s="393"/>
      <c r="AH81" s="393"/>
      <c r="AI81" s="393"/>
      <c r="AJ81" s="393"/>
      <c r="AK81" s="393"/>
    </row>
    <row r="82" spans="1:37" ht="15.45" x14ac:dyDescent="0.4">
      <c r="A82" s="393"/>
      <c r="B82" s="394"/>
      <c r="C82" s="488"/>
      <c r="D82" s="488"/>
      <c r="E82" s="488"/>
      <c r="F82" s="488"/>
      <c r="G82" s="488"/>
      <c r="H82" s="393"/>
      <c r="I82" s="393"/>
      <c r="J82" s="393"/>
      <c r="K82" s="393"/>
      <c r="L82" s="393"/>
      <c r="M82" s="393"/>
      <c r="N82" s="393"/>
      <c r="O82" s="393"/>
      <c r="P82" s="393"/>
      <c r="Q82" s="393"/>
      <c r="R82" s="393"/>
      <c r="S82" s="393"/>
      <c r="T82" s="393"/>
      <c r="U82" s="393"/>
      <c r="V82" s="393"/>
      <c r="W82" s="393"/>
      <c r="X82" s="393"/>
      <c r="Y82" s="393"/>
      <c r="Z82" s="393"/>
      <c r="AA82" s="393"/>
      <c r="AB82" s="393"/>
      <c r="AC82" s="393"/>
      <c r="AD82" s="393"/>
      <c r="AE82" s="393"/>
      <c r="AF82" s="393"/>
      <c r="AG82" s="393"/>
      <c r="AH82" s="393"/>
      <c r="AI82" s="393"/>
      <c r="AJ82" s="393"/>
      <c r="AK82" s="393"/>
    </row>
    <row r="83" spans="1:37" ht="15.45" x14ac:dyDescent="0.4">
      <c r="A83" s="393"/>
      <c r="B83" s="394"/>
      <c r="C83" s="488"/>
      <c r="D83" s="488"/>
      <c r="E83" s="488"/>
      <c r="F83" s="488"/>
      <c r="G83" s="488"/>
      <c r="H83" s="393"/>
      <c r="I83" s="393"/>
      <c r="J83" s="393"/>
      <c r="K83" s="393"/>
      <c r="L83" s="393"/>
      <c r="M83" s="393"/>
      <c r="N83" s="393"/>
      <c r="O83" s="393"/>
      <c r="P83" s="393"/>
      <c r="Q83" s="393"/>
      <c r="R83" s="393"/>
      <c r="S83" s="393"/>
      <c r="T83" s="393"/>
      <c r="U83" s="393"/>
      <c r="V83" s="393"/>
      <c r="W83" s="393"/>
      <c r="X83" s="393"/>
      <c r="Y83" s="393"/>
      <c r="Z83" s="393"/>
      <c r="AA83" s="393"/>
      <c r="AB83" s="393"/>
      <c r="AC83" s="393"/>
      <c r="AD83" s="393"/>
      <c r="AE83" s="393"/>
      <c r="AF83" s="393"/>
      <c r="AG83" s="393"/>
      <c r="AH83" s="393"/>
      <c r="AI83" s="393"/>
      <c r="AJ83" s="393"/>
      <c r="AK83" s="393"/>
    </row>
    <row r="84" spans="1:37" ht="15.45" x14ac:dyDescent="0.4">
      <c r="A84" s="393"/>
      <c r="B84" s="394"/>
      <c r="C84" s="488"/>
      <c r="D84" s="488"/>
      <c r="E84" s="488"/>
      <c r="F84" s="488"/>
      <c r="G84" s="488"/>
      <c r="H84" s="393"/>
      <c r="I84" s="393"/>
      <c r="J84" s="393"/>
      <c r="K84" s="393"/>
      <c r="L84" s="393"/>
      <c r="M84" s="393"/>
      <c r="N84" s="393"/>
      <c r="O84" s="393"/>
      <c r="P84" s="393"/>
      <c r="Q84" s="393"/>
      <c r="R84" s="393"/>
      <c r="S84" s="393"/>
      <c r="T84" s="393"/>
      <c r="U84" s="393"/>
      <c r="V84" s="393"/>
      <c r="W84" s="393"/>
      <c r="X84" s="393"/>
      <c r="Y84" s="393"/>
      <c r="Z84" s="393"/>
      <c r="AA84" s="393"/>
      <c r="AB84" s="393"/>
      <c r="AC84" s="393"/>
      <c r="AD84" s="393"/>
      <c r="AE84" s="393"/>
      <c r="AF84" s="393"/>
      <c r="AG84" s="393"/>
      <c r="AH84" s="393"/>
      <c r="AI84" s="393"/>
      <c r="AJ84" s="393"/>
      <c r="AK84" s="393"/>
    </row>
    <row r="85" spans="1:37" ht="15.45" x14ac:dyDescent="0.4">
      <c r="A85" s="393"/>
      <c r="B85" s="394"/>
      <c r="C85" s="488"/>
      <c r="D85" s="488"/>
      <c r="E85" s="488"/>
      <c r="F85" s="488"/>
      <c r="G85" s="488"/>
      <c r="H85" s="393"/>
      <c r="I85" s="393"/>
      <c r="J85" s="393"/>
      <c r="K85" s="393"/>
      <c r="L85" s="393"/>
      <c r="M85" s="393"/>
      <c r="N85" s="393"/>
      <c r="O85" s="393"/>
      <c r="P85" s="393"/>
      <c r="Q85" s="393"/>
      <c r="R85" s="393"/>
      <c r="S85" s="393"/>
      <c r="T85" s="393"/>
      <c r="U85" s="393"/>
      <c r="V85" s="393"/>
      <c r="W85" s="393"/>
      <c r="X85" s="393"/>
      <c r="Y85" s="393"/>
      <c r="Z85" s="393"/>
      <c r="AA85" s="393"/>
      <c r="AB85" s="393"/>
      <c r="AC85" s="393"/>
      <c r="AD85" s="393"/>
      <c r="AE85" s="393"/>
      <c r="AF85" s="393"/>
      <c r="AG85" s="393"/>
      <c r="AH85" s="393"/>
      <c r="AI85" s="393"/>
      <c r="AJ85" s="393"/>
      <c r="AK85" s="393"/>
    </row>
    <row r="86" spans="1:37" ht="15.45" x14ac:dyDescent="0.4">
      <c r="A86" s="393"/>
      <c r="B86" s="394"/>
      <c r="C86" s="488"/>
      <c r="D86" s="488"/>
      <c r="E86" s="488"/>
      <c r="F86" s="488"/>
      <c r="G86" s="488"/>
      <c r="H86" s="393"/>
      <c r="I86" s="393"/>
      <c r="J86" s="393"/>
      <c r="K86" s="393"/>
      <c r="L86" s="393"/>
      <c r="M86" s="393"/>
      <c r="N86" s="393"/>
      <c r="O86" s="393"/>
      <c r="P86" s="393"/>
      <c r="Q86" s="393"/>
      <c r="R86" s="393"/>
      <c r="S86" s="393"/>
      <c r="T86" s="393"/>
      <c r="U86" s="393"/>
      <c r="V86" s="393"/>
      <c r="W86" s="393"/>
      <c r="X86" s="393"/>
      <c r="Y86" s="393"/>
      <c r="Z86" s="393"/>
      <c r="AA86" s="393"/>
      <c r="AB86" s="393"/>
      <c r="AC86" s="393"/>
      <c r="AD86" s="393"/>
      <c r="AE86" s="393"/>
      <c r="AF86" s="393"/>
      <c r="AG86" s="393"/>
      <c r="AH86" s="393"/>
      <c r="AI86" s="393"/>
      <c r="AJ86" s="393"/>
      <c r="AK86" s="393"/>
    </row>
    <row r="87" spans="1:37" ht="15.45" x14ac:dyDescent="0.4">
      <c r="A87" s="393"/>
      <c r="B87" s="394"/>
      <c r="C87" s="488"/>
      <c r="D87" s="488"/>
      <c r="E87" s="488"/>
      <c r="F87" s="488"/>
      <c r="G87" s="488"/>
      <c r="H87" s="393"/>
      <c r="I87" s="393"/>
      <c r="J87" s="393"/>
      <c r="K87" s="393"/>
      <c r="L87" s="393"/>
      <c r="M87" s="393"/>
      <c r="N87" s="393"/>
      <c r="O87" s="393"/>
      <c r="P87" s="393"/>
      <c r="Q87" s="393"/>
      <c r="R87" s="393"/>
      <c r="S87" s="393"/>
      <c r="T87" s="393"/>
      <c r="U87" s="393"/>
      <c r="V87" s="393"/>
      <c r="W87" s="393"/>
      <c r="X87" s="393"/>
      <c r="Y87" s="393"/>
      <c r="Z87" s="393"/>
      <c r="AA87" s="393"/>
      <c r="AB87" s="393"/>
      <c r="AC87" s="393"/>
      <c r="AD87" s="393"/>
      <c r="AE87" s="393"/>
      <c r="AF87" s="393"/>
      <c r="AG87" s="393"/>
      <c r="AH87" s="393"/>
      <c r="AI87" s="393"/>
      <c r="AJ87" s="393"/>
      <c r="AK87" s="393"/>
    </row>
    <row r="88" spans="1:37" ht="15.45" x14ac:dyDescent="0.4">
      <c r="A88" s="393"/>
      <c r="B88" s="394"/>
      <c r="C88" s="488"/>
      <c r="D88" s="488"/>
      <c r="E88" s="488"/>
      <c r="F88" s="488"/>
      <c r="G88" s="488"/>
      <c r="H88" s="393"/>
      <c r="I88" s="393"/>
      <c r="J88" s="393"/>
      <c r="K88" s="393"/>
      <c r="L88" s="393"/>
      <c r="M88" s="393"/>
      <c r="N88" s="393"/>
      <c r="O88" s="393"/>
      <c r="P88" s="393"/>
      <c r="Q88" s="393"/>
      <c r="R88" s="393"/>
      <c r="S88" s="393"/>
      <c r="T88" s="393"/>
      <c r="U88" s="393"/>
      <c r="V88" s="393"/>
      <c r="W88" s="393"/>
      <c r="X88" s="393"/>
      <c r="Y88" s="393"/>
      <c r="Z88" s="393"/>
      <c r="AA88" s="393"/>
      <c r="AB88" s="393"/>
      <c r="AC88" s="393"/>
      <c r="AD88" s="393"/>
      <c r="AE88" s="393"/>
      <c r="AF88" s="393"/>
      <c r="AG88" s="393"/>
      <c r="AH88" s="393"/>
      <c r="AI88" s="393"/>
      <c r="AJ88" s="393"/>
      <c r="AK88" s="393"/>
    </row>
    <row r="89" spans="1:37" ht="15.45" x14ac:dyDescent="0.4">
      <c r="A89" s="393"/>
      <c r="B89" s="394"/>
      <c r="C89" s="488"/>
      <c r="D89" s="488"/>
      <c r="E89" s="488"/>
      <c r="F89" s="488"/>
      <c r="G89" s="488"/>
      <c r="H89" s="393"/>
      <c r="I89" s="393"/>
      <c r="J89" s="393"/>
      <c r="K89" s="393"/>
      <c r="L89" s="393"/>
      <c r="M89" s="393"/>
      <c r="N89" s="393"/>
      <c r="O89" s="393"/>
      <c r="P89" s="393"/>
      <c r="Q89" s="393"/>
      <c r="R89" s="393"/>
      <c r="S89" s="393"/>
      <c r="T89" s="393"/>
      <c r="U89" s="393"/>
      <c r="V89" s="393"/>
      <c r="W89" s="393"/>
      <c r="X89" s="393"/>
      <c r="Y89" s="393"/>
      <c r="Z89" s="393"/>
      <c r="AA89" s="393"/>
      <c r="AB89" s="393"/>
      <c r="AC89" s="393"/>
      <c r="AD89" s="393"/>
      <c r="AE89" s="393"/>
      <c r="AF89" s="393"/>
      <c r="AG89" s="393"/>
      <c r="AH89" s="393"/>
      <c r="AI89" s="393"/>
      <c r="AJ89" s="393"/>
      <c r="AK89" s="393"/>
    </row>
    <row r="90" spans="1:37" ht="15.45" x14ac:dyDescent="0.4">
      <c r="A90" s="393"/>
      <c r="B90" s="394"/>
      <c r="C90" s="488"/>
      <c r="D90" s="488"/>
      <c r="E90" s="488"/>
      <c r="F90" s="488"/>
      <c r="G90" s="488"/>
      <c r="H90" s="393"/>
      <c r="I90" s="393"/>
      <c r="J90" s="393"/>
      <c r="K90" s="393"/>
      <c r="L90" s="393"/>
      <c r="M90" s="393"/>
      <c r="N90" s="393"/>
      <c r="O90" s="393"/>
      <c r="P90" s="393"/>
      <c r="Q90" s="393"/>
      <c r="R90" s="393"/>
      <c r="S90" s="393"/>
      <c r="T90" s="393"/>
      <c r="U90" s="393"/>
      <c r="V90" s="393"/>
      <c r="W90" s="393"/>
      <c r="X90" s="393"/>
      <c r="Y90" s="393"/>
      <c r="Z90" s="393"/>
      <c r="AA90" s="393"/>
      <c r="AB90" s="393"/>
      <c r="AC90" s="393"/>
      <c r="AD90" s="393"/>
      <c r="AE90" s="393"/>
      <c r="AF90" s="393"/>
      <c r="AG90" s="393"/>
      <c r="AH90" s="393"/>
      <c r="AI90" s="393"/>
      <c r="AJ90" s="393"/>
      <c r="AK90" s="393"/>
    </row>
    <row r="91" spans="1:37" ht="15.45" x14ac:dyDescent="0.4">
      <c r="A91" s="393"/>
      <c r="B91" s="394"/>
      <c r="C91" s="488"/>
      <c r="D91" s="488"/>
      <c r="E91" s="488"/>
      <c r="F91" s="488"/>
      <c r="G91" s="488"/>
      <c r="H91" s="393"/>
      <c r="I91" s="393"/>
      <c r="J91" s="393"/>
      <c r="K91" s="393"/>
      <c r="L91" s="393"/>
      <c r="M91" s="393"/>
      <c r="N91" s="393"/>
      <c r="O91" s="393"/>
      <c r="P91" s="393"/>
      <c r="Q91" s="393"/>
      <c r="R91" s="393"/>
      <c r="S91" s="393"/>
      <c r="T91" s="393"/>
      <c r="U91" s="393"/>
      <c r="V91" s="393"/>
      <c r="W91" s="393"/>
      <c r="X91" s="393"/>
      <c r="Y91" s="393"/>
      <c r="Z91" s="393"/>
      <c r="AA91" s="393"/>
      <c r="AB91" s="393"/>
      <c r="AC91" s="393"/>
      <c r="AD91" s="393"/>
      <c r="AE91" s="393"/>
      <c r="AF91" s="393"/>
      <c r="AG91" s="393"/>
      <c r="AH91" s="393"/>
      <c r="AI91" s="393"/>
      <c r="AJ91" s="393"/>
      <c r="AK91" s="393"/>
    </row>
    <row r="92" spans="1:37" ht="15.45" x14ac:dyDescent="0.4">
      <c r="A92" s="393"/>
      <c r="B92" s="394"/>
      <c r="C92" s="488"/>
      <c r="D92" s="488"/>
      <c r="E92" s="488"/>
      <c r="F92" s="488"/>
      <c r="G92" s="488"/>
      <c r="H92" s="393"/>
      <c r="I92" s="393"/>
      <c r="J92" s="393"/>
      <c r="K92" s="393"/>
      <c r="L92" s="393"/>
      <c r="M92" s="393"/>
      <c r="N92" s="393"/>
      <c r="O92" s="393"/>
      <c r="P92" s="393"/>
      <c r="Q92" s="393"/>
      <c r="R92" s="393"/>
      <c r="S92" s="393"/>
      <c r="T92" s="393"/>
      <c r="U92" s="393"/>
      <c r="V92" s="393"/>
      <c r="W92" s="393"/>
      <c r="X92" s="393"/>
      <c r="Y92" s="393"/>
      <c r="Z92" s="393"/>
      <c r="AA92" s="393"/>
      <c r="AB92" s="393"/>
      <c r="AC92" s="393"/>
      <c r="AD92" s="393"/>
      <c r="AE92" s="393"/>
      <c r="AF92" s="393"/>
      <c r="AG92" s="393"/>
      <c r="AH92" s="393"/>
      <c r="AI92" s="393"/>
      <c r="AJ92" s="393"/>
      <c r="AK92" s="393"/>
    </row>
    <row r="93" spans="1:37" ht="15.45" x14ac:dyDescent="0.4">
      <c r="A93" s="393"/>
      <c r="B93" s="394"/>
      <c r="C93" s="488"/>
      <c r="D93" s="488"/>
      <c r="E93" s="488"/>
      <c r="F93" s="488"/>
      <c r="G93" s="488"/>
      <c r="H93" s="393"/>
      <c r="I93" s="393"/>
      <c r="J93" s="393"/>
      <c r="K93" s="393"/>
      <c r="L93" s="393"/>
      <c r="M93" s="393"/>
      <c r="N93" s="393"/>
      <c r="O93" s="393"/>
      <c r="P93" s="393"/>
      <c r="Q93" s="393"/>
      <c r="R93" s="393"/>
      <c r="S93" s="393"/>
      <c r="T93" s="393"/>
      <c r="U93" s="393"/>
      <c r="V93" s="393"/>
      <c r="W93" s="393"/>
      <c r="X93" s="393"/>
      <c r="Y93" s="393"/>
      <c r="Z93" s="393"/>
      <c r="AA93" s="393"/>
      <c r="AB93" s="393"/>
      <c r="AC93" s="393"/>
      <c r="AD93" s="393"/>
      <c r="AE93" s="393"/>
      <c r="AF93" s="393"/>
      <c r="AG93" s="393"/>
      <c r="AH93" s="393"/>
      <c r="AI93" s="393"/>
      <c r="AJ93" s="393"/>
      <c r="AK93" s="393"/>
    </row>
    <row r="94" spans="1:37" ht="15.45" x14ac:dyDescent="0.4">
      <c r="A94" s="393"/>
      <c r="B94" s="394"/>
      <c r="C94" s="488"/>
      <c r="D94" s="488"/>
      <c r="E94" s="488"/>
      <c r="F94" s="488"/>
      <c r="G94" s="488"/>
      <c r="H94" s="393"/>
      <c r="I94" s="393"/>
      <c r="J94" s="393"/>
      <c r="K94" s="393"/>
      <c r="L94" s="393"/>
      <c r="M94" s="393"/>
      <c r="N94" s="393"/>
      <c r="O94" s="393"/>
      <c r="P94" s="393"/>
      <c r="Q94" s="393"/>
      <c r="R94" s="393"/>
      <c r="S94" s="393"/>
      <c r="T94" s="393"/>
      <c r="U94" s="393"/>
      <c r="V94" s="393"/>
      <c r="W94" s="393"/>
      <c r="X94" s="393"/>
      <c r="Y94" s="393"/>
      <c r="Z94" s="393"/>
      <c r="AA94" s="393"/>
      <c r="AB94" s="393"/>
      <c r="AC94" s="393"/>
      <c r="AD94" s="393"/>
      <c r="AE94" s="393"/>
      <c r="AF94" s="393"/>
      <c r="AG94" s="393"/>
      <c r="AH94" s="393"/>
      <c r="AI94" s="393"/>
      <c r="AJ94" s="393"/>
      <c r="AK94" s="393"/>
    </row>
    <row r="95" spans="1:37" ht="15.45" x14ac:dyDescent="0.4">
      <c r="A95" s="393"/>
      <c r="B95" s="394"/>
      <c r="C95" s="488"/>
      <c r="D95" s="488"/>
      <c r="E95" s="488"/>
      <c r="F95" s="488"/>
      <c r="G95" s="488"/>
      <c r="H95" s="393"/>
      <c r="I95" s="393"/>
      <c r="J95" s="393"/>
      <c r="K95" s="393"/>
      <c r="L95" s="393"/>
      <c r="M95" s="393"/>
      <c r="N95" s="393"/>
      <c r="O95" s="393"/>
      <c r="P95" s="393"/>
      <c r="Q95" s="393"/>
      <c r="R95" s="393"/>
      <c r="S95" s="393"/>
      <c r="T95" s="393"/>
      <c r="U95" s="393"/>
      <c r="V95" s="393"/>
      <c r="W95" s="393"/>
      <c r="X95" s="393"/>
      <c r="Y95" s="393"/>
      <c r="Z95" s="393"/>
      <c r="AA95" s="393"/>
      <c r="AB95" s="393"/>
      <c r="AC95" s="393"/>
      <c r="AD95" s="393"/>
      <c r="AE95" s="393"/>
      <c r="AF95" s="393"/>
      <c r="AG95" s="393"/>
      <c r="AH95" s="393"/>
      <c r="AI95" s="393"/>
      <c r="AJ95" s="393"/>
      <c r="AK95" s="393"/>
    </row>
    <row r="96" spans="1:37" ht="15.45" x14ac:dyDescent="0.4">
      <c r="A96" s="393"/>
      <c r="B96" s="394"/>
      <c r="C96" s="488"/>
      <c r="D96" s="488"/>
      <c r="E96" s="488"/>
      <c r="F96" s="488"/>
      <c r="G96" s="488"/>
      <c r="H96" s="393"/>
      <c r="I96" s="393"/>
      <c r="J96" s="393"/>
      <c r="K96" s="393"/>
      <c r="L96" s="393"/>
      <c r="M96" s="393"/>
      <c r="N96" s="393"/>
      <c r="O96" s="393"/>
      <c r="P96" s="393"/>
      <c r="Q96" s="393"/>
      <c r="R96" s="393"/>
      <c r="S96" s="393"/>
      <c r="T96" s="393"/>
      <c r="U96" s="393"/>
      <c r="V96" s="393"/>
      <c r="W96" s="393"/>
      <c r="X96" s="393"/>
      <c r="Y96" s="393"/>
      <c r="Z96" s="393"/>
      <c r="AA96" s="393"/>
      <c r="AB96" s="393"/>
      <c r="AC96" s="393"/>
      <c r="AD96" s="393"/>
      <c r="AE96" s="393"/>
      <c r="AF96" s="393"/>
      <c r="AG96" s="393"/>
      <c r="AH96" s="393"/>
      <c r="AI96" s="393"/>
      <c r="AJ96" s="393"/>
      <c r="AK96" s="393"/>
    </row>
    <row r="97" spans="1:37" ht="15.45" x14ac:dyDescent="0.4">
      <c r="A97" s="393"/>
      <c r="B97" s="394"/>
      <c r="C97" s="488"/>
      <c r="D97" s="488"/>
      <c r="E97" s="488"/>
      <c r="F97" s="488"/>
      <c r="G97" s="488"/>
      <c r="H97" s="393"/>
      <c r="I97" s="393"/>
      <c r="J97" s="393"/>
      <c r="K97" s="393"/>
      <c r="L97" s="393"/>
      <c r="M97" s="393"/>
      <c r="N97" s="393"/>
      <c r="O97" s="393"/>
      <c r="P97" s="393"/>
      <c r="Q97" s="393"/>
      <c r="R97" s="393"/>
      <c r="S97" s="393"/>
      <c r="T97" s="393"/>
      <c r="U97" s="393"/>
      <c r="V97" s="393"/>
      <c r="W97" s="393"/>
      <c r="X97" s="393"/>
      <c r="Y97" s="393"/>
      <c r="Z97" s="393"/>
      <c r="AA97" s="393"/>
      <c r="AB97" s="393"/>
      <c r="AC97" s="393"/>
      <c r="AD97" s="393"/>
      <c r="AE97" s="393"/>
      <c r="AF97" s="393"/>
      <c r="AG97" s="393"/>
      <c r="AH97" s="393"/>
      <c r="AI97" s="393"/>
      <c r="AJ97" s="393"/>
      <c r="AK97" s="393"/>
    </row>
    <row r="98" spans="1:37" ht="15.45" x14ac:dyDescent="0.4">
      <c r="A98" s="393"/>
      <c r="B98" s="394"/>
      <c r="C98" s="488"/>
      <c r="D98" s="488"/>
      <c r="E98" s="488"/>
      <c r="F98" s="488"/>
      <c r="G98" s="488"/>
      <c r="H98" s="393"/>
      <c r="I98" s="393"/>
      <c r="J98" s="393"/>
      <c r="K98" s="393"/>
      <c r="L98" s="393"/>
      <c r="M98" s="393"/>
      <c r="N98" s="393"/>
      <c r="O98" s="393"/>
      <c r="P98" s="393"/>
      <c r="Q98" s="393"/>
      <c r="R98" s="393"/>
      <c r="S98" s="393"/>
      <c r="T98" s="393"/>
      <c r="U98" s="393"/>
      <c r="V98" s="393"/>
      <c r="W98" s="393"/>
      <c r="X98" s="393"/>
      <c r="Y98" s="393"/>
      <c r="Z98" s="393"/>
      <c r="AA98" s="393"/>
      <c r="AB98" s="393"/>
      <c r="AC98" s="393"/>
      <c r="AD98" s="393"/>
      <c r="AE98" s="393"/>
      <c r="AF98" s="393"/>
      <c r="AG98" s="393"/>
      <c r="AH98" s="393"/>
      <c r="AI98" s="393"/>
      <c r="AJ98" s="393"/>
      <c r="AK98" s="393"/>
    </row>
    <row r="99" spans="1:37" ht="15.45" x14ac:dyDescent="0.4">
      <c r="A99" s="393"/>
      <c r="B99" s="394"/>
      <c r="C99" s="488"/>
      <c r="D99" s="488"/>
      <c r="E99" s="488"/>
      <c r="F99" s="488"/>
      <c r="G99" s="488"/>
      <c r="H99" s="393"/>
      <c r="I99" s="393"/>
      <c r="J99" s="393"/>
      <c r="K99" s="393"/>
      <c r="L99" s="393"/>
      <c r="M99" s="393"/>
      <c r="N99" s="393"/>
      <c r="O99" s="393"/>
      <c r="P99" s="393"/>
      <c r="Q99" s="393"/>
      <c r="R99" s="393"/>
      <c r="S99" s="393"/>
      <c r="T99" s="393"/>
      <c r="U99" s="393"/>
      <c r="V99" s="393"/>
      <c r="W99" s="393"/>
      <c r="X99" s="393"/>
      <c r="Y99" s="393"/>
      <c r="Z99" s="393"/>
      <c r="AA99" s="393"/>
      <c r="AB99" s="393"/>
      <c r="AC99" s="393"/>
      <c r="AD99" s="393"/>
      <c r="AE99" s="393"/>
      <c r="AF99" s="393"/>
      <c r="AG99" s="393"/>
      <c r="AH99" s="393"/>
      <c r="AI99" s="393"/>
      <c r="AJ99" s="393"/>
      <c r="AK99" s="393"/>
    </row>
    <row r="100" spans="1:37" ht="15.45" x14ac:dyDescent="0.4">
      <c r="A100" s="393"/>
      <c r="B100" s="394"/>
      <c r="C100" s="488"/>
      <c r="D100" s="488"/>
      <c r="E100" s="488"/>
      <c r="F100" s="488"/>
      <c r="G100" s="488"/>
      <c r="H100" s="393"/>
      <c r="I100" s="393"/>
      <c r="J100" s="393"/>
      <c r="K100" s="393"/>
      <c r="L100" s="393"/>
      <c r="M100" s="393"/>
      <c r="N100" s="393"/>
      <c r="O100" s="393"/>
      <c r="P100" s="393"/>
      <c r="Q100" s="393"/>
      <c r="R100" s="393"/>
      <c r="S100" s="393"/>
      <c r="T100" s="393"/>
      <c r="U100" s="393"/>
      <c r="V100" s="393"/>
      <c r="W100" s="393"/>
      <c r="X100" s="393"/>
      <c r="Y100" s="393"/>
      <c r="Z100" s="393"/>
      <c r="AA100" s="393"/>
      <c r="AB100" s="393"/>
      <c r="AC100" s="393"/>
      <c r="AD100" s="393"/>
      <c r="AE100" s="393"/>
      <c r="AF100" s="393"/>
      <c r="AG100" s="393"/>
      <c r="AH100" s="393"/>
      <c r="AI100" s="393"/>
      <c r="AJ100" s="393"/>
      <c r="AK100" s="393"/>
    </row>
    <row r="101" spans="1:37" ht="15.45" x14ac:dyDescent="0.4">
      <c r="A101" s="393"/>
      <c r="B101" s="394"/>
      <c r="C101" s="488"/>
      <c r="D101" s="488"/>
      <c r="E101" s="488"/>
      <c r="F101" s="488"/>
      <c r="G101" s="488"/>
      <c r="H101" s="393"/>
      <c r="I101" s="393"/>
      <c r="J101" s="393"/>
      <c r="K101" s="393"/>
      <c r="L101" s="393"/>
      <c r="M101" s="393"/>
      <c r="N101" s="393"/>
      <c r="O101" s="393"/>
      <c r="P101" s="393"/>
      <c r="Q101" s="393"/>
      <c r="R101" s="393"/>
      <c r="S101" s="393"/>
      <c r="T101" s="393"/>
      <c r="U101" s="393"/>
      <c r="V101" s="393"/>
      <c r="W101" s="393"/>
      <c r="X101" s="393"/>
      <c r="Y101" s="393"/>
      <c r="Z101" s="393"/>
      <c r="AA101" s="393"/>
      <c r="AB101" s="393"/>
      <c r="AC101" s="393"/>
      <c r="AD101" s="393"/>
      <c r="AE101" s="393"/>
      <c r="AF101" s="393"/>
      <c r="AG101" s="393"/>
      <c r="AH101" s="393"/>
      <c r="AI101" s="393"/>
      <c r="AJ101" s="393"/>
      <c r="AK101" s="393"/>
    </row>
    <row r="102" spans="1:37" ht="15.45" x14ac:dyDescent="0.4">
      <c r="A102" s="393"/>
      <c r="B102" s="394"/>
      <c r="C102" s="488"/>
      <c r="D102" s="488"/>
      <c r="E102" s="488"/>
      <c r="F102" s="488"/>
      <c r="G102" s="488"/>
      <c r="H102" s="393"/>
      <c r="I102" s="393"/>
      <c r="J102" s="393"/>
      <c r="K102" s="393"/>
      <c r="L102" s="393"/>
      <c r="M102" s="393"/>
      <c r="N102" s="393"/>
      <c r="O102" s="393"/>
      <c r="P102" s="393"/>
      <c r="Q102" s="393"/>
      <c r="R102" s="393"/>
      <c r="S102" s="393"/>
      <c r="T102" s="393"/>
      <c r="U102" s="393"/>
      <c r="V102" s="393"/>
      <c r="W102" s="393"/>
      <c r="X102" s="393"/>
      <c r="Y102" s="393"/>
      <c r="Z102" s="393"/>
      <c r="AA102" s="393"/>
      <c r="AB102" s="393"/>
      <c r="AC102" s="393"/>
      <c r="AD102" s="393"/>
      <c r="AE102" s="393"/>
      <c r="AF102" s="393"/>
      <c r="AG102" s="393"/>
      <c r="AH102" s="393"/>
      <c r="AI102" s="393"/>
      <c r="AJ102" s="393"/>
      <c r="AK102" s="393"/>
    </row>
    <row r="103" spans="1:37" ht="15.45" x14ac:dyDescent="0.4">
      <c r="A103" s="393"/>
      <c r="B103" s="394"/>
      <c r="C103" s="488"/>
      <c r="D103" s="488"/>
      <c r="E103" s="488"/>
      <c r="F103" s="488"/>
      <c r="G103" s="488"/>
      <c r="H103" s="393"/>
      <c r="I103" s="393"/>
      <c r="J103" s="393"/>
      <c r="K103" s="393"/>
      <c r="L103" s="393"/>
      <c r="M103" s="393"/>
      <c r="N103" s="393"/>
      <c r="O103" s="393"/>
      <c r="P103" s="393"/>
      <c r="Q103" s="393"/>
      <c r="R103" s="393"/>
      <c r="S103" s="393"/>
      <c r="T103" s="393"/>
      <c r="U103" s="393"/>
      <c r="V103" s="393"/>
      <c r="W103" s="393"/>
      <c r="X103" s="393"/>
      <c r="Y103" s="393"/>
      <c r="Z103" s="393"/>
      <c r="AA103" s="393"/>
      <c r="AB103" s="393"/>
      <c r="AC103" s="393"/>
      <c r="AD103" s="393"/>
      <c r="AE103" s="393"/>
      <c r="AF103" s="393"/>
      <c r="AG103" s="393"/>
      <c r="AH103" s="393"/>
      <c r="AI103" s="393"/>
      <c r="AJ103" s="393"/>
      <c r="AK103" s="393"/>
    </row>
    <row r="104" spans="1:37" ht="15.45" x14ac:dyDescent="0.4">
      <c r="A104" s="393"/>
      <c r="B104" s="394"/>
      <c r="C104" s="488"/>
      <c r="D104" s="488"/>
      <c r="E104" s="488"/>
      <c r="F104" s="488"/>
      <c r="G104" s="488"/>
      <c r="H104" s="393"/>
      <c r="I104" s="393"/>
      <c r="J104" s="393"/>
      <c r="K104" s="393"/>
      <c r="L104" s="393"/>
      <c r="M104" s="393"/>
      <c r="N104" s="393"/>
      <c r="O104" s="393"/>
      <c r="P104" s="393"/>
      <c r="Q104" s="393"/>
      <c r="R104" s="393"/>
      <c r="S104" s="393"/>
      <c r="T104" s="393"/>
      <c r="U104" s="393"/>
      <c r="V104" s="393"/>
      <c r="W104" s="393"/>
      <c r="X104" s="393"/>
      <c r="Y104" s="393"/>
      <c r="Z104" s="393"/>
      <c r="AA104" s="393"/>
      <c r="AB104" s="393"/>
      <c r="AC104" s="393"/>
      <c r="AD104" s="393"/>
      <c r="AE104" s="393"/>
      <c r="AF104" s="393"/>
      <c r="AG104" s="393"/>
      <c r="AH104" s="393"/>
      <c r="AI104" s="393"/>
      <c r="AJ104" s="393"/>
      <c r="AK104" s="393"/>
    </row>
    <row r="105" spans="1:37" ht="15.45" x14ac:dyDescent="0.4">
      <c r="A105" s="393"/>
      <c r="B105" s="394"/>
      <c r="C105" s="488"/>
      <c r="D105" s="488"/>
      <c r="E105" s="488"/>
      <c r="F105" s="488"/>
      <c r="G105" s="488"/>
      <c r="H105" s="393"/>
      <c r="I105" s="393"/>
      <c r="J105" s="393"/>
      <c r="K105" s="393"/>
      <c r="L105" s="393"/>
      <c r="M105" s="393"/>
      <c r="N105" s="393"/>
      <c r="O105" s="393"/>
      <c r="P105" s="393"/>
      <c r="Q105" s="393"/>
      <c r="R105" s="393"/>
      <c r="S105" s="393"/>
      <c r="T105" s="393"/>
      <c r="U105" s="393"/>
      <c r="V105" s="393"/>
      <c r="W105" s="393"/>
      <c r="X105" s="393"/>
      <c r="Y105" s="393"/>
      <c r="Z105" s="393"/>
      <c r="AA105" s="393"/>
      <c r="AB105" s="393"/>
      <c r="AC105" s="393"/>
      <c r="AD105" s="393"/>
      <c r="AE105" s="393"/>
      <c r="AF105" s="393"/>
      <c r="AG105" s="393"/>
      <c r="AH105" s="393"/>
      <c r="AI105" s="393"/>
      <c r="AJ105" s="393"/>
      <c r="AK105" s="393"/>
    </row>
    <row r="106" spans="1:37" ht="15.45" x14ac:dyDescent="0.4">
      <c r="A106" s="393"/>
      <c r="B106" s="394"/>
      <c r="C106" s="488"/>
      <c r="D106" s="488"/>
      <c r="E106" s="488"/>
      <c r="F106" s="488"/>
      <c r="G106" s="488"/>
      <c r="H106" s="393"/>
      <c r="I106" s="393"/>
      <c r="J106" s="393"/>
      <c r="K106" s="393"/>
      <c r="L106" s="393"/>
      <c r="M106" s="393"/>
      <c r="N106" s="393"/>
      <c r="O106" s="393"/>
      <c r="P106" s="393"/>
      <c r="Q106" s="393"/>
      <c r="R106" s="393"/>
      <c r="S106" s="393"/>
      <c r="T106" s="393"/>
      <c r="U106" s="393"/>
      <c r="V106" s="393"/>
      <c r="W106" s="393"/>
      <c r="X106" s="393"/>
      <c r="Y106" s="393"/>
      <c r="Z106" s="393"/>
      <c r="AA106" s="393"/>
      <c r="AB106" s="393"/>
      <c r="AC106" s="393"/>
      <c r="AD106" s="393"/>
      <c r="AE106" s="393"/>
      <c r="AF106" s="393"/>
      <c r="AG106" s="393"/>
      <c r="AH106" s="393"/>
      <c r="AI106" s="393"/>
      <c r="AJ106" s="393"/>
      <c r="AK106" s="393"/>
    </row>
    <row r="107" spans="1:37" ht="15.45" x14ac:dyDescent="0.4">
      <c r="A107" s="393"/>
      <c r="B107" s="394"/>
      <c r="C107" s="488"/>
      <c r="D107" s="488"/>
      <c r="E107" s="488"/>
      <c r="F107" s="488"/>
      <c r="G107" s="488"/>
      <c r="H107" s="393"/>
      <c r="I107" s="393"/>
      <c r="J107" s="393"/>
      <c r="K107" s="393"/>
      <c r="L107" s="393"/>
      <c r="M107" s="393"/>
      <c r="N107" s="393"/>
      <c r="O107" s="393"/>
      <c r="P107" s="393"/>
      <c r="Q107" s="393"/>
      <c r="R107" s="393"/>
      <c r="S107" s="393"/>
      <c r="T107" s="393"/>
      <c r="U107" s="393"/>
      <c r="V107" s="393"/>
      <c r="W107" s="393"/>
      <c r="X107" s="393"/>
      <c r="Y107" s="393"/>
      <c r="Z107" s="393"/>
      <c r="AA107" s="393"/>
      <c r="AB107" s="393"/>
      <c r="AC107" s="393"/>
      <c r="AD107" s="393"/>
      <c r="AE107" s="393"/>
      <c r="AF107" s="393"/>
      <c r="AG107" s="393"/>
      <c r="AH107" s="393"/>
      <c r="AI107" s="393"/>
      <c r="AJ107" s="393"/>
      <c r="AK107" s="393"/>
    </row>
    <row r="108" spans="1:37" ht="15.45" x14ac:dyDescent="0.4">
      <c r="A108" s="393"/>
      <c r="B108" s="394"/>
      <c r="C108" s="488"/>
      <c r="D108" s="488"/>
      <c r="E108" s="488"/>
      <c r="F108" s="488"/>
      <c r="G108" s="488"/>
      <c r="H108" s="393"/>
      <c r="I108" s="393"/>
      <c r="J108" s="393"/>
      <c r="K108" s="393"/>
      <c r="L108" s="393"/>
      <c r="M108" s="393"/>
      <c r="N108" s="393"/>
      <c r="O108" s="393"/>
      <c r="P108" s="393"/>
      <c r="Q108" s="393"/>
      <c r="R108" s="393"/>
      <c r="S108" s="393"/>
      <c r="T108" s="393"/>
      <c r="U108" s="393"/>
      <c r="V108" s="393"/>
      <c r="W108" s="393"/>
      <c r="X108" s="393"/>
      <c r="Y108" s="393"/>
      <c r="Z108" s="393"/>
      <c r="AA108" s="393"/>
      <c r="AB108" s="393"/>
      <c r="AC108" s="393"/>
      <c r="AD108" s="393"/>
      <c r="AE108" s="393"/>
      <c r="AF108" s="393"/>
      <c r="AG108" s="393"/>
      <c r="AH108" s="393"/>
      <c r="AI108" s="393"/>
      <c r="AJ108" s="393"/>
      <c r="AK108" s="393"/>
    </row>
    <row r="109" spans="1:37" ht="15.45" x14ac:dyDescent="0.4">
      <c r="A109" s="393"/>
      <c r="B109" s="394"/>
      <c r="C109" s="488"/>
      <c r="D109" s="488"/>
      <c r="E109" s="488"/>
      <c r="F109" s="488"/>
      <c r="G109" s="488"/>
      <c r="H109" s="393"/>
      <c r="I109" s="393"/>
      <c r="J109" s="393"/>
      <c r="K109" s="393"/>
      <c r="L109" s="393"/>
      <c r="M109" s="393"/>
      <c r="N109" s="393"/>
      <c r="O109" s="393"/>
      <c r="P109" s="393"/>
      <c r="Q109" s="393"/>
      <c r="R109" s="393"/>
      <c r="S109" s="393"/>
      <c r="T109" s="393"/>
      <c r="U109" s="393"/>
      <c r="V109" s="393"/>
      <c r="W109" s="393"/>
      <c r="X109" s="393"/>
      <c r="Y109" s="393"/>
      <c r="Z109" s="393"/>
      <c r="AA109" s="393"/>
      <c r="AB109" s="393"/>
      <c r="AC109" s="393"/>
      <c r="AD109" s="393"/>
      <c r="AE109" s="393"/>
      <c r="AF109" s="393"/>
      <c r="AG109" s="393"/>
      <c r="AH109" s="393"/>
      <c r="AI109" s="393"/>
      <c r="AJ109" s="393"/>
      <c r="AK109" s="393"/>
    </row>
    <row r="110" spans="1:37" ht="15.45" x14ac:dyDescent="0.4">
      <c r="A110" s="393"/>
      <c r="B110" s="394"/>
      <c r="C110" s="488"/>
      <c r="D110" s="488"/>
      <c r="E110" s="488"/>
      <c r="F110" s="488"/>
      <c r="G110" s="488"/>
      <c r="H110" s="393"/>
      <c r="I110" s="393"/>
      <c r="J110" s="393"/>
      <c r="K110" s="393"/>
      <c r="L110" s="393"/>
      <c r="M110" s="393"/>
      <c r="N110" s="393"/>
      <c r="O110" s="393"/>
      <c r="P110" s="393"/>
      <c r="Q110" s="393"/>
      <c r="R110" s="393"/>
      <c r="S110" s="393"/>
      <c r="T110" s="393"/>
      <c r="U110" s="393"/>
      <c r="V110" s="393"/>
      <c r="W110" s="393"/>
      <c r="X110" s="393"/>
      <c r="Y110" s="393"/>
      <c r="Z110" s="393"/>
      <c r="AA110" s="393"/>
      <c r="AB110" s="393"/>
      <c r="AC110" s="393"/>
      <c r="AD110" s="393"/>
      <c r="AE110" s="393"/>
      <c r="AF110" s="393"/>
      <c r="AG110" s="393"/>
      <c r="AH110" s="393"/>
      <c r="AI110" s="393"/>
      <c r="AJ110" s="393"/>
      <c r="AK110" s="393"/>
    </row>
    <row r="111" spans="1:37" ht="15.45" x14ac:dyDescent="0.4">
      <c r="A111" s="393"/>
      <c r="B111" s="394"/>
      <c r="C111" s="488"/>
      <c r="D111" s="488"/>
      <c r="E111" s="488"/>
      <c r="F111" s="488"/>
      <c r="G111" s="488"/>
      <c r="H111" s="393"/>
      <c r="I111" s="393"/>
      <c r="J111" s="393"/>
      <c r="K111" s="393"/>
      <c r="L111" s="393"/>
      <c r="M111" s="393"/>
      <c r="N111" s="393"/>
      <c r="O111" s="393"/>
      <c r="P111" s="393"/>
      <c r="Q111" s="393"/>
      <c r="R111" s="393"/>
      <c r="S111" s="393"/>
      <c r="T111" s="393"/>
      <c r="U111" s="393"/>
      <c r="V111" s="393"/>
      <c r="W111" s="393"/>
      <c r="X111" s="393"/>
      <c r="Y111" s="393"/>
      <c r="Z111" s="393"/>
      <c r="AA111" s="393"/>
      <c r="AB111" s="393"/>
      <c r="AC111" s="393"/>
      <c r="AD111" s="393"/>
      <c r="AE111" s="393"/>
      <c r="AF111" s="393"/>
      <c r="AG111" s="393"/>
      <c r="AH111" s="393"/>
      <c r="AI111" s="393"/>
      <c r="AJ111" s="393"/>
      <c r="AK111" s="393"/>
    </row>
    <row r="112" spans="1:37" ht="15.45" x14ac:dyDescent="0.4">
      <c r="A112" s="393"/>
      <c r="B112" s="394"/>
      <c r="C112" s="488"/>
      <c r="D112" s="488"/>
      <c r="E112" s="488"/>
      <c r="F112" s="488"/>
      <c r="G112" s="488"/>
      <c r="H112" s="393"/>
      <c r="I112" s="393"/>
      <c r="J112" s="393"/>
      <c r="K112" s="393"/>
      <c r="L112" s="393"/>
      <c r="M112" s="393"/>
      <c r="N112" s="393"/>
      <c r="O112" s="393"/>
      <c r="P112" s="393"/>
      <c r="Q112" s="393"/>
      <c r="R112" s="393"/>
      <c r="S112" s="393"/>
      <c r="T112" s="393"/>
      <c r="U112" s="393"/>
      <c r="V112" s="393"/>
      <c r="W112" s="393"/>
      <c r="X112" s="393"/>
      <c r="Y112" s="393"/>
      <c r="Z112" s="393"/>
      <c r="AA112" s="393"/>
      <c r="AB112" s="393"/>
      <c r="AC112" s="393"/>
      <c r="AD112" s="393"/>
      <c r="AE112" s="393"/>
      <c r="AF112" s="393"/>
      <c r="AG112" s="393"/>
      <c r="AH112" s="393"/>
      <c r="AI112" s="393"/>
      <c r="AJ112" s="393"/>
      <c r="AK112" s="393"/>
    </row>
    <row r="113" spans="1:37" ht="15.45" x14ac:dyDescent="0.4">
      <c r="A113" s="393"/>
      <c r="B113" s="394"/>
      <c r="C113" s="488"/>
      <c r="D113" s="488"/>
      <c r="E113" s="488"/>
      <c r="F113" s="488"/>
      <c r="G113" s="488"/>
      <c r="H113" s="393"/>
      <c r="I113" s="393"/>
      <c r="J113" s="393"/>
      <c r="K113" s="393"/>
      <c r="L113" s="393"/>
      <c r="M113" s="393"/>
      <c r="N113" s="393"/>
      <c r="O113" s="393"/>
      <c r="P113" s="393"/>
      <c r="Q113" s="393"/>
      <c r="R113" s="393"/>
      <c r="S113" s="393"/>
      <c r="T113" s="393"/>
      <c r="U113" s="393"/>
      <c r="V113" s="393"/>
      <c r="W113" s="393"/>
      <c r="X113" s="393"/>
      <c r="Y113" s="393"/>
      <c r="Z113" s="393"/>
      <c r="AA113" s="393"/>
      <c r="AB113" s="393"/>
      <c r="AC113" s="393"/>
      <c r="AD113" s="393"/>
      <c r="AE113" s="393"/>
      <c r="AF113" s="393"/>
      <c r="AG113" s="393"/>
      <c r="AH113" s="393"/>
      <c r="AI113" s="393"/>
      <c r="AJ113" s="393"/>
      <c r="AK113" s="393"/>
    </row>
    <row r="114" spans="1:37" ht="15.45" x14ac:dyDescent="0.4">
      <c r="A114" s="393"/>
      <c r="B114" s="394"/>
      <c r="C114" s="488"/>
      <c r="D114" s="488"/>
      <c r="E114" s="488"/>
      <c r="F114" s="488"/>
      <c r="G114" s="488"/>
      <c r="H114" s="393"/>
      <c r="I114" s="393"/>
      <c r="J114" s="393"/>
      <c r="K114" s="393"/>
      <c r="L114" s="393"/>
      <c r="M114" s="393"/>
      <c r="N114" s="393"/>
      <c r="O114" s="393"/>
      <c r="P114" s="393"/>
      <c r="Q114" s="393"/>
      <c r="R114" s="393"/>
      <c r="S114" s="393"/>
      <c r="T114" s="393"/>
      <c r="U114" s="393"/>
      <c r="V114" s="393"/>
      <c r="W114" s="393"/>
      <c r="X114" s="393"/>
      <c r="Y114" s="393"/>
      <c r="Z114" s="393"/>
      <c r="AA114" s="393"/>
      <c r="AB114" s="393"/>
      <c r="AC114" s="393"/>
      <c r="AD114" s="393"/>
      <c r="AE114" s="393"/>
      <c r="AF114" s="393"/>
      <c r="AG114" s="393"/>
      <c r="AH114" s="393"/>
      <c r="AI114" s="393"/>
      <c r="AJ114" s="393"/>
      <c r="AK114" s="393"/>
    </row>
    <row r="115" spans="1:37" ht="15.45" x14ac:dyDescent="0.4">
      <c r="A115" s="393"/>
      <c r="B115" s="394"/>
      <c r="C115" s="488"/>
      <c r="D115" s="488"/>
      <c r="E115" s="488"/>
      <c r="F115" s="488"/>
      <c r="G115" s="488"/>
      <c r="H115" s="393"/>
      <c r="I115" s="393"/>
      <c r="J115" s="393"/>
      <c r="K115" s="393"/>
      <c r="L115" s="393"/>
      <c r="M115" s="393"/>
      <c r="N115" s="393"/>
      <c r="O115" s="393"/>
      <c r="P115" s="393"/>
      <c r="Q115" s="393"/>
      <c r="R115" s="393"/>
      <c r="S115" s="393"/>
      <c r="T115" s="393"/>
      <c r="U115" s="393"/>
      <c r="V115" s="393"/>
      <c r="W115" s="393"/>
      <c r="X115" s="393"/>
      <c r="Y115" s="393"/>
      <c r="Z115" s="393"/>
      <c r="AA115" s="393"/>
      <c r="AB115" s="393"/>
      <c r="AC115" s="393"/>
      <c r="AD115" s="393"/>
      <c r="AE115" s="393"/>
      <c r="AF115" s="393"/>
      <c r="AG115" s="393"/>
      <c r="AH115" s="393"/>
      <c r="AI115" s="393"/>
      <c r="AJ115" s="393"/>
      <c r="AK115" s="393"/>
    </row>
    <row r="116" spans="1:37" ht="15.45" x14ac:dyDescent="0.4">
      <c r="A116" s="393"/>
      <c r="B116" s="394"/>
      <c r="C116" s="488"/>
      <c r="D116" s="488"/>
      <c r="E116" s="488"/>
      <c r="F116" s="488"/>
      <c r="G116" s="488"/>
      <c r="H116" s="393"/>
      <c r="I116" s="393"/>
      <c r="J116" s="393"/>
      <c r="K116" s="393"/>
      <c r="L116" s="393"/>
      <c r="M116" s="393"/>
      <c r="N116" s="393"/>
      <c r="O116" s="393"/>
      <c r="P116" s="393"/>
      <c r="Q116" s="393"/>
      <c r="R116" s="393"/>
      <c r="S116" s="393"/>
      <c r="T116" s="393"/>
      <c r="U116" s="393"/>
      <c r="V116" s="393"/>
      <c r="W116" s="393"/>
      <c r="X116" s="393"/>
      <c r="Y116" s="393"/>
      <c r="Z116" s="393"/>
      <c r="AA116" s="393"/>
      <c r="AB116" s="393"/>
      <c r="AC116" s="393"/>
      <c r="AD116" s="393"/>
      <c r="AE116" s="393"/>
      <c r="AF116" s="393"/>
      <c r="AG116" s="393"/>
      <c r="AH116" s="393"/>
      <c r="AI116" s="393"/>
      <c r="AJ116" s="393"/>
      <c r="AK116" s="393"/>
    </row>
    <row r="117" spans="1:37" ht="15.45" x14ac:dyDescent="0.4">
      <c r="A117" s="393"/>
      <c r="B117" s="394"/>
      <c r="C117" s="488"/>
      <c r="D117" s="488"/>
      <c r="E117" s="488"/>
      <c r="F117" s="488"/>
      <c r="G117" s="488"/>
      <c r="H117" s="393"/>
      <c r="I117" s="393"/>
      <c r="J117" s="393"/>
      <c r="K117" s="393"/>
      <c r="L117" s="393"/>
      <c r="M117" s="393"/>
      <c r="N117" s="393"/>
      <c r="O117" s="393"/>
      <c r="P117" s="393"/>
      <c r="Q117" s="393"/>
      <c r="R117" s="393"/>
      <c r="S117" s="393"/>
      <c r="T117" s="393"/>
      <c r="U117" s="393"/>
      <c r="V117" s="393"/>
      <c r="W117" s="393"/>
      <c r="X117" s="393"/>
      <c r="Y117" s="393"/>
      <c r="Z117" s="393"/>
      <c r="AA117" s="393"/>
      <c r="AB117" s="393"/>
      <c r="AC117" s="393"/>
      <c r="AD117" s="393"/>
      <c r="AE117" s="393"/>
      <c r="AF117" s="393"/>
      <c r="AG117" s="393"/>
      <c r="AH117" s="393"/>
      <c r="AI117" s="393"/>
      <c r="AJ117" s="393"/>
      <c r="AK117" s="393"/>
    </row>
    <row r="118" spans="1:37" ht="15.45" x14ac:dyDescent="0.4">
      <c r="A118" s="393"/>
      <c r="B118" s="394"/>
      <c r="C118" s="488"/>
      <c r="D118" s="488"/>
      <c r="E118" s="488"/>
      <c r="F118" s="488"/>
      <c r="G118" s="488"/>
      <c r="H118" s="393"/>
      <c r="I118" s="393"/>
      <c r="J118" s="393"/>
      <c r="K118" s="393"/>
      <c r="L118" s="393"/>
      <c r="M118" s="393"/>
      <c r="N118" s="393"/>
      <c r="O118" s="393"/>
      <c r="P118" s="393"/>
      <c r="Q118" s="393"/>
      <c r="R118" s="393"/>
      <c r="S118" s="393"/>
      <c r="T118" s="393"/>
      <c r="U118" s="393"/>
      <c r="V118" s="393"/>
      <c r="W118" s="393"/>
      <c r="X118" s="393"/>
      <c r="Y118" s="393"/>
      <c r="Z118" s="393"/>
      <c r="AA118" s="393"/>
      <c r="AB118" s="393"/>
      <c r="AC118" s="393"/>
      <c r="AD118" s="393"/>
      <c r="AE118" s="393"/>
      <c r="AF118" s="393"/>
      <c r="AG118" s="393"/>
      <c r="AH118" s="393"/>
      <c r="AI118" s="393"/>
      <c r="AJ118" s="393"/>
      <c r="AK118" s="393"/>
    </row>
    <row r="119" spans="1:37" ht="15.45" x14ac:dyDescent="0.4">
      <c r="A119" s="393"/>
      <c r="B119" s="394"/>
      <c r="C119" s="488"/>
      <c r="D119" s="488"/>
      <c r="E119" s="488"/>
      <c r="F119" s="488"/>
      <c r="G119" s="488"/>
      <c r="H119" s="393"/>
      <c r="I119" s="393"/>
      <c r="J119" s="393"/>
      <c r="K119" s="393"/>
      <c r="L119" s="393"/>
      <c r="M119" s="393"/>
      <c r="N119" s="393"/>
      <c r="O119" s="393"/>
      <c r="P119" s="393"/>
      <c r="Q119" s="393"/>
      <c r="R119" s="393"/>
      <c r="S119" s="393"/>
      <c r="T119" s="393"/>
      <c r="U119" s="393"/>
      <c r="V119" s="393"/>
      <c r="W119" s="393"/>
      <c r="X119" s="393"/>
      <c r="Y119" s="393"/>
      <c r="Z119" s="393"/>
      <c r="AA119" s="393"/>
      <c r="AB119" s="393"/>
      <c r="AC119" s="393"/>
      <c r="AD119" s="393"/>
      <c r="AE119" s="393"/>
      <c r="AF119" s="393"/>
      <c r="AG119" s="393"/>
      <c r="AH119" s="393"/>
      <c r="AI119" s="393"/>
      <c r="AJ119" s="393"/>
      <c r="AK119" s="393"/>
    </row>
    <row r="120" spans="1:37" ht="15.45" x14ac:dyDescent="0.4">
      <c r="A120" s="393"/>
      <c r="B120" s="394"/>
      <c r="C120" s="488"/>
      <c r="D120" s="488"/>
      <c r="E120" s="488"/>
      <c r="F120" s="488"/>
      <c r="G120" s="488"/>
      <c r="H120" s="393"/>
      <c r="I120" s="393"/>
      <c r="J120" s="393"/>
      <c r="K120" s="393"/>
      <c r="L120" s="393"/>
      <c r="M120" s="393"/>
      <c r="N120" s="393"/>
      <c r="O120" s="393"/>
      <c r="P120" s="393"/>
      <c r="Q120" s="393"/>
      <c r="R120" s="393"/>
      <c r="S120" s="393"/>
      <c r="T120" s="393"/>
      <c r="U120" s="393"/>
      <c r="V120" s="393"/>
      <c r="W120" s="393"/>
      <c r="X120" s="393"/>
      <c r="Y120" s="393"/>
      <c r="Z120" s="393"/>
      <c r="AA120" s="393"/>
      <c r="AB120" s="393"/>
      <c r="AC120" s="393"/>
      <c r="AD120" s="393"/>
      <c r="AE120" s="393"/>
      <c r="AF120" s="393"/>
      <c r="AG120" s="393"/>
      <c r="AH120" s="393"/>
      <c r="AI120" s="393"/>
      <c r="AJ120" s="393"/>
      <c r="AK120" s="393"/>
    </row>
    <row r="121" spans="1:37" ht="15.45" x14ac:dyDescent="0.4">
      <c r="A121" s="393"/>
      <c r="B121" s="394"/>
      <c r="C121" s="488"/>
      <c r="D121" s="488"/>
      <c r="E121" s="488"/>
      <c r="F121" s="488"/>
      <c r="G121" s="488"/>
      <c r="H121" s="393"/>
      <c r="I121" s="393"/>
      <c r="J121" s="393"/>
      <c r="K121" s="393"/>
      <c r="L121" s="393"/>
      <c r="M121" s="393"/>
      <c r="N121" s="393"/>
      <c r="O121" s="393"/>
      <c r="P121" s="393"/>
      <c r="Q121" s="393"/>
      <c r="R121" s="393"/>
      <c r="S121" s="393"/>
      <c r="T121" s="393"/>
      <c r="U121" s="393"/>
      <c r="V121" s="393"/>
      <c r="W121" s="393"/>
      <c r="X121" s="393"/>
      <c r="Y121" s="393"/>
      <c r="Z121" s="393"/>
      <c r="AA121" s="393"/>
      <c r="AB121" s="393"/>
      <c r="AC121" s="393"/>
      <c r="AD121" s="393"/>
      <c r="AE121" s="393"/>
      <c r="AF121" s="393"/>
      <c r="AG121" s="393"/>
      <c r="AH121" s="393"/>
      <c r="AI121" s="393"/>
      <c r="AJ121" s="393"/>
      <c r="AK121" s="393"/>
    </row>
    <row r="122" spans="1:37" ht="15.45" x14ac:dyDescent="0.4">
      <c r="A122" s="393"/>
      <c r="B122" s="394"/>
      <c r="C122" s="488"/>
      <c r="D122" s="488"/>
      <c r="E122" s="488"/>
      <c r="F122" s="488"/>
      <c r="G122" s="488"/>
      <c r="H122" s="393"/>
      <c r="I122" s="393"/>
      <c r="J122" s="393"/>
      <c r="K122" s="393"/>
      <c r="L122" s="393"/>
      <c r="M122" s="393"/>
      <c r="N122" s="393"/>
      <c r="O122" s="393"/>
      <c r="P122" s="393"/>
      <c r="Q122" s="393"/>
      <c r="R122" s="393"/>
      <c r="S122" s="393"/>
      <c r="T122" s="393"/>
      <c r="U122" s="393"/>
      <c r="V122" s="393"/>
      <c r="W122" s="393"/>
      <c r="X122" s="393"/>
      <c r="Y122" s="393"/>
      <c r="Z122" s="393"/>
      <c r="AA122" s="393"/>
      <c r="AB122" s="393"/>
      <c r="AC122" s="393"/>
      <c r="AD122" s="393"/>
      <c r="AE122" s="393"/>
      <c r="AF122" s="393"/>
      <c r="AG122" s="393"/>
      <c r="AH122" s="393"/>
      <c r="AI122" s="393"/>
      <c r="AJ122" s="393"/>
      <c r="AK122" s="393"/>
    </row>
    <row r="123" spans="1:37" ht="15.45" x14ac:dyDescent="0.4">
      <c r="A123" s="393"/>
      <c r="B123" s="394"/>
      <c r="C123" s="488"/>
      <c r="D123" s="488"/>
      <c r="E123" s="488"/>
      <c r="F123" s="488"/>
      <c r="G123" s="488"/>
      <c r="H123" s="393"/>
      <c r="I123" s="393"/>
      <c r="J123" s="393"/>
      <c r="K123" s="393"/>
      <c r="L123" s="393"/>
      <c r="M123" s="393"/>
      <c r="N123" s="393"/>
      <c r="O123" s="393"/>
      <c r="P123" s="393"/>
      <c r="Q123" s="393"/>
      <c r="R123" s="393"/>
      <c r="S123" s="393"/>
      <c r="T123" s="393"/>
      <c r="U123" s="393"/>
      <c r="V123" s="393"/>
      <c r="W123" s="393"/>
      <c r="X123" s="393"/>
      <c r="Y123" s="393"/>
      <c r="Z123" s="393"/>
      <c r="AA123" s="393"/>
      <c r="AB123" s="393"/>
      <c r="AC123" s="393"/>
      <c r="AD123" s="393"/>
      <c r="AE123" s="393"/>
      <c r="AF123" s="393"/>
      <c r="AG123" s="393"/>
      <c r="AH123" s="393"/>
      <c r="AI123" s="393"/>
      <c r="AJ123" s="393"/>
      <c r="AK123" s="393"/>
    </row>
    <row r="124" spans="1:37" ht="15.45" x14ac:dyDescent="0.4">
      <c r="A124" s="393"/>
      <c r="B124" s="394"/>
      <c r="C124" s="488"/>
      <c r="D124" s="488"/>
      <c r="E124" s="488"/>
      <c r="F124" s="488"/>
      <c r="G124" s="488"/>
      <c r="H124" s="393"/>
      <c r="I124" s="393"/>
      <c r="J124" s="393"/>
      <c r="K124" s="393"/>
      <c r="L124" s="393"/>
      <c r="M124" s="393"/>
      <c r="N124" s="393"/>
      <c r="O124" s="393"/>
      <c r="P124" s="393"/>
      <c r="Q124" s="393"/>
      <c r="R124" s="393"/>
      <c r="S124" s="393"/>
      <c r="T124" s="393"/>
      <c r="U124" s="393"/>
      <c r="V124" s="393"/>
      <c r="W124" s="393"/>
      <c r="X124" s="393"/>
      <c r="Y124" s="393"/>
      <c r="Z124" s="393"/>
      <c r="AA124" s="393"/>
      <c r="AB124" s="393"/>
      <c r="AC124" s="393"/>
      <c r="AD124" s="393"/>
      <c r="AE124" s="393"/>
      <c r="AF124" s="393"/>
      <c r="AG124" s="393"/>
      <c r="AH124" s="393"/>
      <c r="AI124" s="393"/>
      <c r="AJ124" s="393"/>
      <c r="AK124" s="393"/>
    </row>
    <row r="125" spans="1:37" ht="15.45" x14ac:dyDescent="0.4">
      <c r="A125" s="393"/>
      <c r="B125" s="394"/>
      <c r="C125" s="488"/>
      <c r="D125" s="488"/>
      <c r="E125" s="488"/>
      <c r="F125" s="488"/>
      <c r="G125" s="488"/>
      <c r="H125" s="393"/>
      <c r="I125" s="393"/>
      <c r="J125" s="393"/>
      <c r="K125" s="393"/>
      <c r="L125" s="393"/>
      <c r="M125" s="393"/>
      <c r="N125" s="393"/>
      <c r="O125" s="393"/>
      <c r="P125" s="393"/>
      <c r="Q125" s="393"/>
      <c r="R125" s="393"/>
      <c r="S125" s="393"/>
      <c r="T125" s="393"/>
      <c r="U125" s="393"/>
      <c r="V125" s="393"/>
      <c r="W125" s="393"/>
      <c r="X125" s="393"/>
      <c r="Y125" s="393"/>
      <c r="Z125" s="393"/>
      <c r="AA125" s="393"/>
      <c r="AB125" s="393"/>
      <c r="AC125" s="393"/>
      <c r="AD125" s="393"/>
      <c r="AE125" s="393"/>
      <c r="AF125" s="393"/>
      <c r="AG125" s="393"/>
      <c r="AH125" s="393"/>
      <c r="AI125" s="393"/>
      <c r="AJ125" s="393"/>
      <c r="AK125" s="393"/>
    </row>
    <row r="126" spans="1:37" ht="15.45" x14ac:dyDescent="0.4">
      <c r="A126" s="393"/>
      <c r="B126" s="394"/>
      <c r="C126" s="488"/>
      <c r="D126" s="488"/>
      <c r="E126" s="488"/>
      <c r="F126" s="488"/>
      <c r="G126" s="488"/>
      <c r="H126" s="393"/>
      <c r="I126" s="393"/>
      <c r="J126" s="393"/>
      <c r="K126" s="393"/>
      <c r="L126" s="393"/>
      <c r="M126" s="393"/>
      <c r="N126" s="393"/>
      <c r="O126" s="393"/>
      <c r="P126" s="393"/>
      <c r="Q126" s="393"/>
      <c r="R126" s="393"/>
      <c r="S126" s="393"/>
      <c r="T126" s="393"/>
      <c r="U126" s="393"/>
      <c r="V126" s="393"/>
      <c r="W126" s="393"/>
      <c r="X126" s="393"/>
      <c r="Y126" s="393"/>
      <c r="Z126" s="393"/>
      <c r="AA126" s="393"/>
      <c r="AB126" s="393"/>
      <c r="AC126" s="393"/>
      <c r="AD126" s="393"/>
      <c r="AE126" s="393"/>
      <c r="AF126" s="393"/>
      <c r="AG126" s="393"/>
      <c r="AH126" s="393"/>
      <c r="AI126" s="393"/>
      <c r="AJ126" s="393"/>
      <c r="AK126" s="393"/>
    </row>
    <row r="127" spans="1:37" ht="15.45" x14ac:dyDescent="0.4">
      <c r="A127" s="393"/>
      <c r="B127" s="394"/>
      <c r="C127" s="488"/>
      <c r="D127" s="488"/>
      <c r="E127" s="488"/>
      <c r="F127" s="488"/>
      <c r="G127" s="488"/>
      <c r="H127" s="393"/>
      <c r="I127" s="393"/>
      <c r="J127" s="393"/>
      <c r="K127" s="393"/>
      <c r="L127" s="393"/>
      <c r="M127" s="393"/>
      <c r="N127" s="393"/>
      <c r="O127" s="393"/>
      <c r="P127" s="393"/>
      <c r="Q127" s="393"/>
      <c r="R127" s="393"/>
      <c r="S127" s="393"/>
      <c r="T127" s="393"/>
      <c r="U127" s="393"/>
      <c r="V127" s="393"/>
      <c r="W127" s="393"/>
      <c r="X127" s="393"/>
      <c r="Y127" s="393"/>
      <c r="Z127" s="393"/>
      <c r="AA127" s="393"/>
      <c r="AB127" s="393"/>
      <c r="AC127" s="393"/>
      <c r="AD127" s="393"/>
      <c r="AE127" s="393"/>
      <c r="AF127" s="393"/>
      <c r="AG127" s="393"/>
      <c r="AH127" s="393"/>
      <c r="AI127" s="393"/>
      <c r="AJ127" s="393"/>
      <c r="AK127" s="393"/>
    </row>
    <row r="128" spans="1:37" ht="15.45" x14ac:dyDescent="0.4">
      <c r="A128" s="393"/>
      <c r="B128" s="394"/>
      <c r="C128" s="488"/>
      <c r="D128" s="488"/>
      <c r="E128" s="488"/>
      <c r="F128" s="488"/>
      <c r="G128" s="488"/>
      <c r="H128" s="393"/>
      <c r="I128" s="393"/>
      <c r="J128" s="393"/>
      <c r="K128" s="393"/>
      <c r="L128" s="393"/>
      <c r="M128" s="393"/>
      <c r="N128" s="393"/>
      <c r="O128" s="393"/>
      <c r="P128" s="393"/>
      <c r="Q128" s="393"/>
      <c r="R128" s="393"/>
      <c r="S128" s="393"/>
      <c r="T128" s="393"/>
      <c r="U128" s="393"/>
      <c r="V128" s="393"/>
      <c r="W128" s="393"/>
      <c r="X128" s="393"/>
      <c r="Y128" s="393"/>
      <c r="Z128" s="393"/>
      <c r="AA128" s="393"/>
      <c r="AB128" s="393"/>
      <c r="AC128" s="393"/>
      <c r="AD128" s="393"/>
      <c r="AE128" s="393"/>
      <c r="AF128" s="393"/>
      <c r="AG128" s="393"/>
      <c r="AH128" s="393"/>
      <c r="AI128" s="393"/>
      <c r="AJ128" s="393"/>
      <c r="AK128" s="393"/>
    </row>
    <row r="129" spans="1:37" ht="15.45" x14ac:dyDescent="0.4">
      <c r="A129" s="393"/>
      <c r="B129" s="394"/>
      <c r="C129" s="488"/>
      <c r="D129" s="488"/>
      <c r="E129" s="488"/>
      <c r="F129" s="488"/>
      <c r="G129" s="488"/>
      <c r="H129" s="393"/>
      <c r="I129" s="393"/>
      <c r="J129" s="393"/>
      <c r="K129" s="393"/>
      <c r="L129" s="393"/>
      <c r="M129" s="393"/>
      <c r="N129" s="393"/>
      <c r="O129" s="393"/>
      <c r="P129" s="393"/>
      <c r="Q129" s="393"/>
      <c r="R129" s="393"/>
      <c r="S129" s="393"/>
      <c r="T129" s="393"/>
      <c r="U129" s="393"/>
      <c r="V129" s="393"/>
      <c r="W129" s="393"/>
      <c r="X129" s="393"/>
      <c r="Y129" s="393"/>
      <c r="Z129" s="393"/>
      <c r="AA129" s="393"/>
      <c r="AB129" s="393"/>
      <c r="AC129" s="393"/>
      <c r="AD129" s="393"/>
      <c r="AE129" s="393"/>
      <c r="AF129" s="393"/>
      <c r="AG129" s="393"/>
      <c r="AH129" s="393"/>
      <c r="AI129" s="393"/>
      <c r="AJ129" s="393"/>
      <c r="AK129" s="393"/>
    </row>
    <row r="130" spans="1:37" ht="15.45" x14ac:dyDescent="0.4">
      <c r="A130" s="393"/>
      <c r="B130" s="394"/>
      <c r="C130" s="488"/>
      <c r="D130" s="488"/>
      <c r="E130" s="488"/>
      <c r="F130" s="488"/>
      <c r="G130" s="488"/>
      <c r="H130" s="393"/>
      <c r="I130" s="393"/>
      <c r="J130" s="393"/>
      <c r="K130" s="393"/>
      <c r="L130" s="393"/>
      <c r="M130" s="393"/>
      <c r="N130" s="393"/>
      <c r="O130" s="393"/>
      <c r="P130" s="393"/>
      <c r="Q130" s="393"/>
      <c r="R130" s="393"/>
      <c r="S130" s="393"/>
      <c r="T130" s="393"/>
      <c r="U130" s="393"/>
      <c r="V130" s="393"/>
      <c r="W130" s="393"/>
      <c r="X130" s="393"/>
      <c r="Y130" s="393"/>
      <c r="Z130" s="393"/>
      <c r="AA130" s="393"/>
      <c r="AB130" s="393"/>
      <c r="AC130" s="393"/>
      <c r="AD130" s="393"/>
      <c r="AE130" s="393"/>
      <c r="AF130" s="393"/>
      <c r="AG130" s="393"/>
      <c r="AH130" s="393"/>
      <c r="AI130" s="393"/>
      <c r="AJ130" s="393"/>
      <c r="AK130" s="393"/>
    </row>
    <row r="131" spans="1:37" ht="15.45" x14ac:dyDescent="0.4">
      <c r="A131" s="393"/>
      <c r="B131" s="394"/>
      <c r="C131" s="488"/>
      <c r="D131" s="488"/>
      <c r="E131" s="488"/>
      <c r="F131" s="488"/>
      <c r="G131" s="488"/>
      <c r="H131" s="393"/>
      <c r="I131" s="393"/>
      <c r="J131" s="393"/>
      <c r="K131" s="393"/>
      <c r="L131" s="393"/>
      <c r="M131" s="393"/>
      <c r="N131" s="393"/>
      <c r="O131" s="393"/>
      <c r="P131" s="393"/>
      <c r="Q131" s="393"/>
      <c r="R131" s="393"/>
      <c r="S131" s="393"/>
      <c r="T131" s="393"/>
      <c r="U131" s="393"/>
      <c r="V131" s="393"/>
      <c r="W131" s="393"/>
      <c r="X131" s="393"/>
      <c r="Y131" s="393"/>
      <c r="Z131" s="393"/>
      <c r="AA131" s="393"/>
      <c r="AB131" s="393"/>
      <c r="AC131" s="393"/>
      <c r="AD131" s="393"/>
      <c r="AE131" s="393"/>
      <c r="AF131" s="393"/>
      <c r="AG131" s="393"/>
      <c r="AH131" s="393"/>
      <c r="AI131" s="393"/>
      <c r="AJ131" s="393"/>
      <c r="AK131" s="393"/>
    </row>
    <row r="132" spans="1:37" ht="15.45" x14ac:dyDescent="0.4">
      <c r="A132" s="393"/>
      <c r="B132" s="394"/>
      <c r="C132" s="488"/>
      <c r="D132" s="488"/>
      <c r="E132" s="488"/>
      <c r="F132" s="488"/>
      <c r="G132" s="488"/>
      <c r="H132" s="393"/>
      <c r="I132" s="393"/>
      <c r="J132" s="393"/>
      <c r="K132" s="393"/>
      <c r="L132" s="393"/>
      <c r="M132" s="393"/>
      <c r="N132" s="393"/>
      <c r="O132" s="393"/>
      <c r="P132" s="393"/>
      <c r="Q132" s="393"/>
      <c r="R132" s="393"/>
      <c r="S132" s="393"/>
      <c r="T132" s="393"/>
      <c r="U132" s="393"/>
      <c r="V132" s="393"/>
      <c r="W132" s="393"/>
      <c r="X132" s="393"/>
      <c r="Y132" s="393"/>
      <c r="Z132" s="393"/>
      <c r="AA132" s="393"/>
      <c r="AB132" s="393"/>
      <c r="AC132" s="393"/>
      <c r="AD132" s="393"/>
      <c r="AE132" s="393"/>
      <c r="AF132" s="393"/>
      <c r="AG132" s="393"/>
      <c r="AH132" s="393"/>
      <c r="AI132" s="393"/>
      <c r="AJ132" s="393"/>
      <c r="AK132" s="393"/>
    </row>
    <row r="133" spans="1:37" ht="15.45" x14ac:dyDescent="0.4">
      <c r="A133" s="393"/>
      <c r="B133" s="394"/>
      <c r="C133" s="488"/>
      <c r="D133" s="488"/>
      <c r="E133" s="488"/>
      <c r="F133" s="488"/>
      <c r="G133" s="488"/>
      <c r="H133" s="393"/>
      <c r="I133" s="393"/>
      <c r="J133" s="393"/>
      <c r="K133" s="393"/>
      <c r="L133" s="393"/>
      <c r="M133" s="393"/>
      <c r="N133" s="393"/>
      <c r="O133" s="393"/>
      <c r="P133" s="393"/>
      <c r="Q133" s="393"/>
      <c r="R133" s="393"/>
      <c r="S133" s="393"/>
      <c r="T133" s="393"/>
      <c r="U133" s="393"/>
      <c r="V133" s="393"/>
      <c r="W133" s="393"/>
      <c r="X133" s="393"/>
      <c r="Y133" s="393"/>
      <c r="Z133" s="393"/>
      <c r="AA133" s="393"/>
      <c r="AB133" s="393"/>
      <c r="AC133" s="393"/>
      <c r="AD133" s="393"/>
      <c r="AE133" s="393"/>
      <c r="AF133" s="393"/>
      <c r="AG133" s="393"/>
      <c r="AH133" s="393"/>
      <c r="AI133" s="393"/>
      <c r="AJ133" s="393"/>
      <c r="AK133" s="393"/>
    </row>
    <row r="134" spans="1:37" ht="15.45" x14ac:dyDescent="0.4">
      <c r="A134" s="393"/>
      <c r="B134" s="394"/>
      <c r="C134" s="488"/>
      <c r="D134" s="488"/>
      <c r="E134" s="488"/>
      <c r="F134" s="488"/>
      <c r="G134" s="488"/>
      <c r="H134" s="393"/>
      <c r="I134" s="393"/>
      <c r="J134" s="393"/>
      <c r="K134" s="393"/>
      <c r="L134" s="393"/>
      <c r="M134" s="393"/>
      <c r="N134" s="393"/>
      <c r="O134" s="393"/>
      <c r="P134" s="393"/>
      <c r="Q134" s="393"/>
      <c r="R134" s="393"/>
      <c r="S134" s="393"/>
      <c r="T134" s="393"/>
      <c r="U134" s="393"/>
      <c r="V134" s="393"/>
      <c r="W134" s="393"/>
      <c r="X134" s="393"/>
      <c r="Y134" s="393"/>
      <c r="Z134" s="393"/>
      <c r="AA134" s="393"/>
      <c r="AB134" s="393"/>
      <c r="AC134" s="393"/>
      <c r="AD134" s="393"/>
      <c r="AE134" s="393"/>
      <c r="AF134" s="393"/>
      <c r="AG134" s="393"/>
      <c r="AH134" s="393"/>
      <c r="AI134" s="393"/>
      <c r="AJ134" s="393"/>
      <c r="AK134" s="393"/>
    </row>
    <row r="135" spans="1:37" ht="15.45" x14ac:dyDescent="0.4">
      <c r="A135" s="393"/>
      <c r="B135" s="394"/>
      <c r="C135" s="488"/>
      <c r="D135" s="488"/>
      <c r="E135" s="488"/>
      <c r="F135" s="488"/>
      <c r="G135" s="488"/>
      <c r="H135" s="393"/>
      <c r="I135" s="393"/>
      <c r="J135" s="393"/>
      <c r="K135" s="393"/>
      <c r="L135" s="393"/>
      <c r="M135" s="393"/>
      <c r="N135" s="393"/>
      <c r="O135" s="393"/>
      <c r="P135" s="393"/>
      <c r="Q135" s="393"/>
      <c r="R135" s="393"/>
      <c r="S135" s="393"/>
      <c r="T135" s="393"/>
      <c r="U135" s="393"/>
      <c r="V135" s="393"/>
      <c r="W135" s="393"/>
      <c r="X135" s="393"/>
      <c r="Y135" s="393"/>
      <c r="Z135" s="393"/>
      <c r="AA135" s="393"/>
      <c r="AB135" s="393"/>
      <c r="AC135" s="393"/>
      <c r="AD135" s="393"/>
      <c r="AE135" s="393"/>
      <c r="AF135" s="393"/>
      <c r="AG135" s="393"/>
      <c r="AH135" s="393"/>
      <c r="AI135" s="393"/>
      <c r="AJ135" s="393"/>
      <c r="AK135" s="393"/>
    </row>
    <row r="136" spans="1:37" ht="15.45" x14ac:dyDescent="0.4">
      <c r="A136" s="393"/>
      <c r="B136" s="394"/>
      <c r="C136" s="488"/>
      <c r="D136" s="488"/>
      <c r="E136" s="488"/>
      <c r="F136" s="488"/>
      <c r="G136" s="488"/>
      <c r="H136" s="393"/>
      <c r="I136" s="393"/>
      <c r="J136" s="393"/>
      <c r="K136" s="393"/>
      <c r="L136" s="393"/>
      <c r="M136" s="393"/>
      <c r="N136" s="393"/>
      <c r="O136" s="393"/>
      <c r="P136" s="393"/>
      <c r="Q136" s="393"/>
      <c r="R136" s="393"/>
      <c r="S136" s="393"/>
      <c r="T136" s="393"/>
      <c r="U136" s="393"/>
      <c r="V136" s="393"/>
      <c r="W136" s="393"/>
      <c r="X136" s="393"/>
      <c r="Y136" s="393"/>
      <c r="Z136" s="393"/>
      <c r="AA136" s="393"/>
      <c r="AB136" s="393"/>
      <c r="AC136" s="393"/>
      <c r="AD136" s="393"/>
      <c r="AE136" s="393"/>
      <c r="AF136" s="393"/>
      <c r="AG136" s="393"/>
      <c r="AH136" s="393"/>
      <c r="AI136" s="393"/>
      <c r="AJ136" s="393"/>
      <c r="AK136" s="393"/>
    </row>
    <row r="137" spans="1:37" ht="15.45" x14ac:dyDescent="0.4">
      <c r="A137" s="393"/>
      <c r="B137" s="394"/>
      <c r="C137" s="488"/>
      <c r="D137" s="488"/>
      <c r="E137" s="488"/>
      <c r="F137" s="488"/>
      <c r="G137" s="488"/>
      <c r="H137" s="393"/>
      <c r="I137" s="393"/>
      <c r="J137" s="393"/>
      <c r="K137" s="393"/>
      <c r="L137" s="393"/>
      <c r="M137" s="393"/>
      <c r="N137" s="393"/>
      <c r="O137" s="393"/>
      <c r="P137" s="393"/>
      <c r="Q137" s="393"/>
      <c r="R137" s="393"/>
      <c r="S137" s="393"/>
      <c r="T137" s="393"/>
      <c r="U137" s="393"/>
      <c r="V137" s="393"/>
      <c r="W137" s="393"/>
      <c r="X137" s="393"/>
      <c r="Y137" s="393"/>
      <c r="Z137" s="393"/>
      <c r="AA137" s="393"/>
      <c r="AB137" s="393"/>
      <c r="AC137" s="393"/>
      <c r="AD137" s="393"/>
      <c r="AE137" s="393"/>
      <c r="AF137" s="393"/>
      <c r="AG137" s="393"/>
      <c r="AH137" s="393"/>
      <c r="AI137" s="393"/>
      <c r="AJ137" s="393"/>
      <c r="AK137" s="393"/>
    </row>
    <row r="138" spans="1:37" ht="15.45" x14ac:dyDescent="0.4">
      <c r="A138" s="393"/>
      <c r="B138" s="394"/>
      <c r="C138" s="488"/>
      <c r="D138" s="488"/>
      <c r="E138" s="488"/>
      <c r="F138" s="488"/>
      <c r="G138" s="488"/>
      <c r="H138" s="393"/>
      <c r="I138" s="393"/>
      <c r="J138" s="393"/>
      <c r="K138" s="393"/>
      <c r="L138" s="393"/>
      <c r="M138" s="393"/>
      <c r="N138" s="393"/>
      <c r="O138" s="393"/>
      <c r="P138" s="393"/>
      <c r="Q138" s="393"/>
      <c r="R138" s="393"/>
      <c r="S138" s="393"/>
      <c r="T138" s="393"/>
      <c r="U138" s="393"/>
      <c r="V138" s="393"/>
      <c r="W138" s="393"/>
      <c r="X138" s="393"/>
      <c r="Y138" s="393"/>
      <c r="Z138" s="393"/>
      <c r="AA138" s="393"/>
      <c r="AB138" s="393"/>
      <c r="AC138" s="393"/>
      <c r="AD138" s="393"/>
      <c r="AE138" s="393"/>
      <c r="AF138" s="393"/>
      <c r="AG138" s="393"/>
      <c r="AH138" s="393"/>
      <c r="AI138" s="393"/>
      <c r="AJ138" s="393"/>
      <c r="AK138" s="393"/>
    </row>
    <row r="139" spans="1:37" ht="15.45" x14ac:dyDescent="0.4">
      <c r="A139" s="393"/>
      <c r="B139" s="394"/>
      <c r="C139" s="488"/>
      <c r="D139" s="488"/>
      <c r="E139" s="488"/>
      <c r="F139" s="488"/>
      <c r="G139" s="488"/>
      <c r="H139" s="393"/>
      <c r="I139" s="393"/>
      <c r="J139" s="393"/>
      <c r="K139" s="393"/>
      <c r="L139" s="393"/>
      <c r="M139" s="393"/>
      <c r="N139" s="393"/>
      <c r="O139" s="393"/>
      <c r="P139" s="393"/>
      <c r="Q139" s="393"/>
      <c r="R139" s="393"/>
      <c r="S139" s="393"/>
      <c r="T139" s="393"/>
      <c r="U139" s="393"/>
      <c r="V139" s="393"/>
      <c r="W139" s="393"/>
      <c r="X139" s="393"/>
      <c r="Y139" s="393"/>
      <c r="Z139" s="393"/>
      <c r="AA139" s="393"/>
      <c r="AB139" s="393"/>
      <c r="AC139" s="393"/>
      <c r="AD139" s="393"/>
      <c r="AE139" s="393"/>
      <c r="AF139" s="393"/>
      <c r="AG139" s="393"/>
      <c r="AH139" s="393"/>
      <c r="AI139" s="393"/>
      <c r="AJ139" s="393"/>
      <c r="AK139" s="393"/>
    </row>
    <row r="140" spans="1:37" ht="15.45" x14ac:dyDescent="0.4">
      <c r="A140" s="393"/>
      <c r="B140" s="394"/>
      <c r="C140" s="488"/>
      <c r="D140" s="488"/>
      <c r="E140" s="488"/>
      <c r="F140" s="488"/>
      <c r="G140" s="488"/>
      <c r="H140" s="393"/>
      <c r="I140" s="393"/>
      <c r="J140" s="393"/>
      <c r="K140" s="393"/>
      <c r="L140" s="393"/>
      <c r="M140" s="393"/>
      <c r="N140" s="393"/>
      <c r="O140" s="393"/>
      <c r="P140" s="393"/>
      <c r="Q140" s="393"/>
      <c r="R140" s="393"/>
      <c r="S140" s="393"/>
      <c r="T140" s="393"/>
      <c r="U140" s="393"/>
      <c r="V140" s="393"/>
      <c r="W140" s="393"/>
      <c r="X140" s="393"/>
      <c r="Y140" s="393"/>
      <c r="Z140" s="393"/>
      <c r="AA140" s="393"/>
      <c r="AB140" s="393"/>
      <c r="AC140" s="393"/>
      <c r="AD140" s="393"/>
      <c r="AE140" s="393"/>
      <c r="AF140" s="393"/>
      <c r="AG140" s="393"/>
      <c r="AH140" s="393"/>
      <c r="AI140" s="393"/>
      <c r="AJ140" s="393"/>
      <c r="AK140" s="393"/>
    </row>
    <row r="141" spans="1:37" ht="15.45" x14ac:dyDescent="0.4">
      <c r="A141" s="393"/>
      <c r="B141" s="394"/>
      <c r="C141" s="488"/>
      <c r="D141" s="488"/>
      <c r="E141" s="488"/>
      <c r="F141" s="488"/>
      <c r="G141" s="488"/>
      <c r="H141" s="393"/>
      <c r="I141" s="393"/>
      <c r="J141" s="393"/>
      <c r="K141" s="393"/>
      <c r="L141" s="393"/>
      <c r="M141" s="393"/>
      <c r="N141" s="393"/>
      <c r="O141" s="393"/>
      <c r="P141" s="393"/>
      <c r="Q141" s="393"/>
      <c r="R141" s="393"/>
      <c r="S141" s="393"/>
      <c r="T141" s="393"/>
      <c r="U141" s="393"/>
      <c r="V141" s="393"/>
      <c r="W141" s="393"/>
      <c r="X141" s="393"/>
      <c r="Y141" s="393"/>
      <c r="Z141" s="393"/>
      <c r="AA141" s="393"/>
      <c r="AB141" s="393"/>
      <c r="AC141" s="393"/>
      <c r="AD141" s="393"/>
      <c r="AE141" s="393"/>
      <c r="AF141" s="393"/>
      <c r="AG141" s="393"/>
      <c r="AH141" s="393"/>
      <c r="AI141" s="393"/>
      <c r="AJ141" s="393"/>
      <c r="AK141" s="393"/>
    </row>
    <row r="142" spans="1:37" ht="15.45" x14ac:dyDescent="0.4">
      <c r="A142" s="393"/>
      <c r="B142" s="394"/>
      <c r="C142" s="488"/>
      <c r="D142" s="488"/>
      <c r="E142" s="488"/>
      <c r="F142" s="488"/>
      <c r="G142" s="488"/>
      <c r="H142" s="393"/>
      <c r="I142" s="393"/>
      <c r="J142" s="393"/>
      <c r="K142" s="393"/>
      <c r="L142" s="393"/>
      <c r="M142" s="393"/>
      <c r="N142" s="393"/>
      <c r="O142" s="393"/>
      <c r="P142" s="393"/>
      <c r="Q142" s="393"/>
      <c r="R142" s="393"/>
      <c r="S142" s="393"/>
      <c r="T142" s="393"/>
      <c r="U142" s="393"/>
      <c r="V142" s="393"/>
      <c r="W142" s="393"/>
      <c r="X142" s="393"/>
      <c r="Y142" s="393"/>
      <c r="Z142" s="393"/>
      <c r="AA142" s="393"/>
      <c r="AB142" s="393"/>
      <c r="AC142" s="393"/>
      <c r="AD142" s="393"/>
      <c r="AE142" s="393"/>
      <c r="AF142" s="393"/>
      <c r="AG142" s="393"/>
      <c r="AH142" s="393"/>
      <c r="AI142" s="393"/>
      <c r="AJ142" s="393"/>
      <c r="AK142" s="393"/>
    </row>
    <row r="143" spans="1:37" ht="15.45" x14ac:dyDescent="0.4">
      <c r="A143" s="393"/>
      <c r="B143" s="394"/>
      <c r="C143" s="488"/>
      <c r="D143" s="488"/>
      <c r="E143" s="488"/>
      <c r="F143" s="488"/>
      <c r="G143" s="488"/>
      <c r="H143" s="393"/>
      <c r="I143" s="393"/>
      <c r="J143" s="393"/>
      <c r="K143" s="393"/>
      <c r="L143" s="393"/>
      <c r="M143" s="393"/>
      <c r="N143" s="393"/>
      <c r="O143" s="393"/>
      <c r="P143" s="393"/>
      <c r="Q143" s="393"/>
      <c r="R143" s="393"/>
      <c r="S143" s="393"/>
      <c r="T143" s="393"/>
      <c r="U143" s="393"/>
      <c r="V143" s="393"/>
      <c r="W143" s="393"/>
      <c r="X143" s="393"/>
      <c r="Y143" s="393"/>
      <c r="Z143" s="393"/>
      <c r="AA143" s="393"/>
      <c r="AB143" s="393"/>
      <c r="AC143" s="393"/>
      <c r="AD143" s="393"/>
      <c r="AE143" s="393"/>
      <c r="AF143" s="393"/>
      <c r="AG143" s="393"/>
      <c r="AH143" s="393"/>
      <c r="AI143" s="393"/>
      <c r="AJ143" s="393"/>
      <c r="AK143" s="393"/>
    </row>
    <row r="144" spans="1:37" ht="15.45" x14ac:dyDescent="0.4">
      <c r="A144" s="393"/>
      <c r="B144" s="394"/>
      <c r="C144" s="488"/>
      <c r="D144" s="488"/>
      <c r="E144" s="488"/>
      <c r="F144" s="488"/>
      <c r="G144" s="488"/>
      <c r="H144" s="393"/>
      <c r="I144" s="393"/>
      <c r="J144" s="393"/>
      <c r="K144" s="393"/>
      <c r="L144" s="393"/>
      <c r="M144" s="393"/>
      <c r="N144" s="393"/>
      <c r="O144" s="393"/>
      <c r="P144" s="393"/>
      <c r="Q144" s="393"/>
      <c r="R144" s="393"/>
      <c r="S144" s="393"/>
      <c r="T144" s="393"/>
      <c r="U144" s="393"/>
      <c r="V144" s="393"/>
      <c r="W144" s="393"/>
      <c r="X144" s="393"/>
      <c r="Y144" s="393"/>
      <c r="Z144" s="393"/>
      <c r="AA144" s="393"/>
      <c r="AB144" s="393"/>
      <c r="AC144" s="393"/>
      <c r="AD144" s="393"/>
      <c r="AE144" s="393"/>
      <c r="AF144" s="393"/>
      <c r="AG144" s="393"/>
      <c r="AH144" s="393"/>
      <c r="AI144" s="393"/>
      <c r="AJ144" s="393"/>
      <c r="AK144" s="393"/>
    </row>
    <row r="145" spans="1:37" ht="15.45" x14ac:dyDescent="0.4">
      <c r="A145" s="393"/>
      <c r="B145" s="394"/>
      <c r="C145" s="488"/>
      <c r="D145" s="488"/>
      <c r="E145" s="488"/>
      <c r="F145" s="488"/>
      <c r="G145" s="488"/>
      <c r="H145" s="393"/>
      <c r="I145" s="393"/>
      <c r="J145" s="393"/>
      <c r="K145" s="393"/>
      <c r="L145" s="393"/>
      <c r="M145" s="393"/>
      <c r="N145" s="393"/>
      <c r="O145" s="393"/>
      <c r="P145" s="393"/>
      <c r="Q145" s="393"/>
      <c r="R145" s="393"/>
      <c r="S145" s="393"/>
      <c r="T145" s="393"/>
      <c r="U145" s="393"/>
      <c r="V145" s="393"/>
      <c r="W145" s="393"/>
      <c r="X145" s="393"/>
      <c r="Y145" s="393"/>
      <c r="Z145" s="393"/>
      <c r="AA145" s="393"/>
      <c r="AB145" s="393"/>
      <c r="AC145" s="393"/>
      <c r="AD145" s="393"/>
      <c r="AE145" s="393"/>
      <c r="AF145" s="393"/>
      <c r="AG145" s="393"/>
      <c r="AH145" s="393"/>
      <c r="AI145" s="393"/>
      <c r="AJ145" s="393"/>
      <c r="AK145" s="393"/>
    </row>
    <row r="146" spans="1:37" ht="15.45" x14ac:dyDescent="0.4">
      <c r="A146" s="393"/>
      <c r="B146" s="394"/>
      <c r="C146" s="488"/>
      <c r="D146" s="488"/>
      <c r="E146" s="488"/>
      <c r="F146" s="488"/>
      <c r="G146" s="488"/>
      <c r="H146" s="393"/>
      <c r="I146" s="393"/>
      <c r="J146" s="393"/>
      <c r="K146" s="393"/>
      <c r="L146" s="393"/>
      <c r="M146" s="393"/>
      <c r="N146" s="393"/>
      <c r="O146" s="393"/>
      <c r="P146" s="393"/>
      <c r="Q146" s="393"/>
      <c r="R146" s="393"/>
      <c r="S146" s="393"/>
      <c r="T146" s="393"/>
      <c r="U146" s="393"/>
      <c r="V146" s="393"/>
      <c r="W146" s="393"/>
      <c r="X146" s="393"/>
      <c r="Y146" s="393"/>
      <c r="Z146" s="393"/>
      <c r="AA146" s="393"/>
      <c r="AB146" s="393"/>
      <c r="AC146" s="393"/>
      <c r="AD146" s="393"/>
      <c r="AE146" s="393"/>
      <c r="AF146" s="393"/>
      <c r="AG146" s="393"/>
      <c r="AH146" s="393"/>
      <c r="AI146" s="393"/>
      <c r="AJ146" s="393"/>
      <c r="AK146" s="393"/>
    </row>
    <row r="147" spans="1:37" ht="15.45" x14ac:dyDescent="0.4">
      <c r="A147" s="393"/>
      <c r="B147" s="394"/>
      <c r="C147" s="488"/>
      <c r="D147" s="488"/>
      <c r="E147" s="488"/>
      <c r="F147" s="488"/>
      <c r="G147" s="488"/>
      <c r="H147" s="393"/>
      <c r="I147" s="393"/>
      <c r="J147" s="393"/>
      <c r="K147" s="393"/>
      <c r="L147" s="393"/>
      <c r="M147" s="393"/>
      <c r="N147" s="393"/>
      <c r="O147" s="393"/>
      <c r="P147" s="393"/>
      <c r="Q147" s="393"/>
      <c r="R147" s="393"/>
      <c r="S147" s="393"/>
      <c r="T147" s="393"/>
      <c r="U147" s="393"/>
      <c r="V147" s="393"/>
      <c r="W147" s="393"/>
      <c r="X147" s="393"/>
      <c r="Y147" s="393"/>
      <c r="Z147" s="393"/>
      <c r="AA147" s="393"/>
      <c r="AB147" s="393"/>
      <c r="AC147" s="393"/>
      <c r="AD147" s="393"/>
      <c r="AE147" s="393"/>
      <c r="AF147" s="393"/>
      <c r="AG147" s="393"/>
      <c r="AH147" s="393"/>
      <c r="AI147" s="393"/>
      <c r="AJ147" s="393"/>
      <c r="AK147" s="393"/>
    </row>
    <row r="148" spans="1:37" ht="15.45" x14ac:dyDescent="0.4">
      <c r="A148" s="393"/>
      <c r="B148" s="394"/>
      <c r="C148" s="488"/>
      <c r="D148" s="488"/>
      <c r="E148" s="488"/>
      <c r="F148" s="488"/>
      <c r="G148" s="488"/>
      <c r="H148" s="393"/>
      <c r="I148" s="393"/>
      <c r="J148" s="393"/>
      <c r="K148" s="393"/>
      <c r="L148" s="393"/>
      <c r="M148" s="393"/>
      <c r="N148" s="393"/>
      <c r="O148" s="393"/>
      <c r="P148" s="393"/>
      <c r="Q148" s="393"/>
      <c r="R148" s="393"/>
      <c r="S148" s="393"/>
      <c r="T148" s="393"/>
      <c r="U148" s="393"/>
      <c r="V148" s="393"/>
      <c r="W148" s="393"/>
      <c r="X148" s="393"/>
      <c r="Y148" s="393"/>
      <c r="Z148" s="393"/>
      <c r="AA148" s="393"/>
      <c r="AB148" s="393"/>
      <c r="AC148" s="393"/>
      <c r="AD148" s="393"/>
      <c r="AE148" s="393"/>
      <c r="AF148" s="393"/>
      <c r="AG148" s="393"/>
      <c r="AH148" s="393"/>
      <c r="AI148" s="393"/>
      <c r="AJ148" s="393"/>
      <c r="AK148" s="393"/>
    </row>
    <row r="149" spans="1:37" ht="15.45" x14ac:dyDescent="0.4">
      <c r="A149" s="393"/>
      <c r="B149" s="394"/>
      <c r="C149" s="488"/>
      <c r="D149" s="488"/>
      <c r="E149" s="488"/>
      <c r="F149" s="488"/>
      <c r="G149" s="488"/>
      <c r="H149" s="393"/>
      <c r="I149" s="393"/>
      <c r="J149" s="393"/>
      <c r="K149" s="393"/>
      <c r="L149" s="393"/>
      <c r="M149" s="393"/>
      <c r="N149" s="393"/>
      <c r="O149" s="393"/>
      <c r="P149" s="393"/>
      <c r="Q149" s="393"/>
      <c r="R149" s="393"/>
      <c r="S149" s="393"/>
      <c r="T149" s="393"/>
      <c r="U149" s="393"/>
      <c r="V149" s="393"/>
      <c r="W149" s="393"/>
      <c r="X149" s="393"/>
      <c r="Y149" s="393"/>
      <c r="Z149" s="393"/>
      <c r="AA149" s="393"/>
      <c r="AB149" s="393"/>
      <c r="AC149" s="393"/>
      <c r="AD149" s="393"/>
      <c r="AE149" s="393"/>
      <c r="AF149" s="393"/>
      <c r="AG149" s="393"/>
      <c r="AH149" s="393"/>
      <c r="AI149" s="393"/>
      <c r="AJ149" s="393"/>
      <c r="AK149" s="393"/>
    </row>
    <row r="150" spans="1:37" ht="15.45" x14ac:dyDescent="0.4">
      <c r="A150" s="393"/>
      <c r="B150" s="394"/>
      <c r="C150" s="488"/>
      <c r="D150" s="488"/>
      <c r="E150" s="488"/>
      <c r="F150" s="488"/>
      <c r="G150" s="488"/>
      <c r="H150" s="393"/>
      <c r="I150" s="393"/>
      <c r="J150" s="393"/>
      <c r="K150" s="393"/>
      <c r="L150" s="393"/>
      <c r="M150" s="393"/>
      <c r="N150" s="393"/>
      <c r="O150" s="393"/>
      <c r="P150" s="393"/>
      <c r="Q150" s="393"/>
      <c r="R150" s="393"/>
      <c r="S150" s="393"/>
      <c r="T150" s="393"/>
      <c r="U150" s="393"/>
      <c r="V150" s="393"/>
      <c r="W150" s="393"/>
      <c r="X150" s="393"/>
      <c r="Y150" s="393"/>
      <c r="Z150" s="393"/>
      <c r="AA150" s="393"/>
      <c r="AB150" s="393"/>
      <c r="AC150" s="393"/>
      <c r="AD150" s="393"/>
      <c r="AE150" s="393"/>
      <c r="AF150" s="393"/>
      <c r="AG150" s="393"/>
      <c r="AH150" s="393"/>
      <c r="AI150" s="393"/>
      <c r="AJ150" s="393"/>
      <c r="AK150" s="393"/>
    </row>
    <row r="151" spans="1:37" ht="15.45" x14ac:dyDescent="0.4">
      <c r="A151" s="393"/>
      <c r="B151" s="394"/>
      <c r="C151" s="488"/>
      <c r="D151" s="488"/>
      <c r="E151" s="488"/>
      <c r="F151" s="488"/>
      <c r="G151" s="488"/>
      <c r="H151" s="393"/>
      <c r="I151" s="393"/>
      <c r="J151" s="393"/>
      <c r="K151" s="393"/>
      <c r="L151" s="393"/>
      <c r="M151" s="393"/>
      <c r="N151" s="393"/>
      <c r="O151" s="393"/>
      <c r="P151" s="393"/>
      <c r="Q151" s="393"/>
      <c r="R151" s="393"/>
      <c r="S151" s="393"/>
      <c r="T151" s="393"/>
      <c r="U151" s="393"/>
      <c r="V151" s="393"/>
      <c r="W151" s="393"/>
      <c r="X151" s="393"/>
      <c r="Y151" s="393"/>
      <c r="Z151" s="393"/>
      <c r="AA151" s="393"/>
      <c r="AB151" s="393"/>
      <c r="AC151" s="393"/>
      <c r="AD151" s="393"/>
      <c r="AE151" s="393"/>
      <c r="AF151" s="393"/>
      <c r="AG151" s="393"/>
      <c r="AH151" s="393"/>
      <c r="AI151" s="393"/>
      <c r="AJ151" s="393"/>
      <c r="AK151" s="393"/>
    </row>
    <row r="152" spans="1:37" ht="15.45" x14ac:dyDescent="0.4">
      <c r="A152" s="393"/>
      <c r="B152" s="394"/>
      <c r="C152" s="488"/>
      <c r="D152" s="488"/>
      <c r="E152" s="488"/>
      <c r="F152" s="488"/>
      <c r="G152" s="488"/>
      <c r="H152" s="393"/>
      <c r="I152" s="393"/>
      <c r="J152" s="393"/>
      <c r="K152" s="393"/>
      <c r="L152" s="393"/>
      <c r="M152" s="393"/>
      <c r="N152" s="393"/>
      <c r="O152" s="393"/>
      <c r="P152" s="393"/>
      <c r="Q152" s="393"/>
      <c r="R152" s="393"/>
      <c r="S152" s="393"/>
      <c r="T152" s="393"/>
      <c r="U152" s="393"/>
      <c r="V152" s="393"/>
      <c r="W152" s="393"/>
      <c r="X152" s="393"/>
      <c r="Y152" s="393"/>
      <c r="Z152" s="393"/>
      <c r="AA152" s="393"/>
      <c r="AB152" s="393"/>
      <c r="AC152" s="393"/>
      <c r="AD152" s="393"/>
      <c r="AE152" s="393"/>
      <c r="AF152" s="393"/>
      <c r="AG152" s="393"/>
      <c r="AH152" s="393"/>
      <c r="AI152" s="393"/>
      <c r="AJ152" s="393"/>
      <c r="AK152" s="393"/>
    </row>
    <row r="153" spans="1:37" ht="15.45" x14ac:dyDescent="0.4">
      <c r="A153" s="393"/>
      <c r="B153" s="394"/>
      <c r="C153" s="488"/>
      <c r="D153" s="488"/>
      <c r="E153" s="488"/>
      <c r="F153" s="488"/>
      <c r="G153" s="488"/>
      <c r="H153" s="393"/>
      <c r="I153" s="393"/>
      <c r="J153" s="393"/>
      <c r="K153" s="393"/>
      <c r="L153" s="393"/>
      <c r="M153" s="393"/>
      <c r="N153" s="393"/>
      <c r="O153" s="393"/>
      <c r="P153" s="393"/>
      <c r="Q153" s="393"/>
      <c r="R153" s="393"/>
      <c r="S153" s="393"/>
      <c r="T153" s="393"/>
      <c r="U153" s="393"/>
      <c r="V153" s="393"/>
      <c r="W153" s="393"/>
      <c r="X153" s="393"/>
      <c r="Y153" s="393"/>
      <c r="Z153" s="393"/>
      <c r="AA153" s="393"/>
      <c r="AB153" s="393"/>
      <c r="AC153" s="393"/>
      <c r="AD153" s="393"/>
      <c r="AE153" s="393"/>
      <c r="AF153" s="393"/>
      <c r="AG153" s="393"/>
      <c r="AH153" s="393"/>
      <c r="AI153" s="393"/>
      <c r="AJ153" s="393"/>
      <c r="AK153" s="393"/>
    </row>
    <row r="154" spans="1:37" ht="15.45" x14ac:dyDescent="0.4">
      <c r="A154" s="393"/>
      <c r="B154" s="394"/>
      <c r="C154" s="488"/>
      <c r="D154" s="488"/>
      <c r="E154" s="488"/>
      <c r="F154" s="488"/>
      <c r="G154" s="488"/>
      <c r="H154" s="393"/>
      <c r="I154" s="393"/>
      <c r="J154" s="393"/>
      <c r="K154" s="393"/>
      <c r="L154" s="393"/>
      <c r="M154" s="393"/>
      <c r="N154" s="393"/>
      <c r="O154" s="393"/>
      <c r="P154" s="393"/>
      <c r="Q154" s="393"/>
      <c r="R154" s="393"/>
      <c r="S154" s="393"/>
      <c r="T154" s="393"/>
      <c r="U154" s="393"/>
      <c r="V154" s="393"/>
      <c r="W154" s="393"/>
      <c r="X154" s="393"/>
      <c r="Y154" s="393"/>
      <c r="Z154" s="393"/>
      <c r="AA154" s="393"/>
      <c r="AB154" s="393"/>
      <c r="AC154" s="393"/>
      <c r="AD154" s="393"/>
      <c r="AE154" s="393"/>
      <c r="AF154" s="393"/>
      <c r="AG154" s="393"/>
      <c r="AH154" s="393"/>
      <c r="AI154" s="393"/>
      <c r="AJ154" s="393"/>
      <c r="AK154" s="393"/>
    </row>
    <row r="155" spans="1:37" ht="15.45" x14ac:dyDescent="0.4">
      <c r="A155" s="393"/>
      <c r="B155" s="394"/>
      <c r="C155" s="488"/>
      <c r="D155" s="488"/>
      <c r="E155" s="488"/>
      <c r="F155" s="488"/>
      <c r="G155" s="488"/>
      <c r="H155" s="393"/>
      <c r="I155" s="393"/>
      <c r="J155" s="393"/>
      <c r="K155" s="393"/>
      <c r="L155" s="393"/>
      <c r="M155" s="393"/>
      <c r="N155" s="393"/>
      <c r="O155" s="393"/>
      <c r="P155" s="393"/>
      <c r="Q155" s="393"/>
      <c r="R155" s="393"/>
      <c r="S155" s="393"/>
      <c r="T155" s="393"/>
      <c r="U155" s="393"/>
      <c r="V155" s="393"/>
      <c r="W155" s="393"/>
      <c r="X155" s="393"/>
      <c r="Y155" s="393"/>
      <c r="Z155" s="393"/>
      <c r="AA155" s="393"/>
      <c r="AB155" s="393"/>
      <c r="AC155" s="393"/>
      <c r="AD155" s="393"/>
      <c r="AE155" s="393"/>
      <c r="AF155" s="393"/>
      <c r="AG155" s="393"/>
      <c r="AH155" s="393"/>
      <c r="AI155" s="393"/>
      <c r="AJ155" s="393"/>
      <c r="AK155" s="393"/>
    </row>
    <row r="156" spans="1:37" ht="15.45" x14ac:dyDescent="0.4">
      <c r="A156" s="393"/>
      <c r="B156" s="394"/>
      <c r="C156" s="488"/>
      <c r="D156" s="488"/>
      <c r="E156" s="488"/>
      <c r="F156" s="488"/>
      <c r="G156" s="488"/>
      <c r="H156" s="393"/>
      <c r="I156" s="393"/>
      <c r="J156" s="393"/>
      <c r="K156" s="393"/>
      <c r="L156" s="393"/>
      <c r="M156" s="393"/>
      <c r="N156" s="393"/>
      <c r="O156" s="393"/>
      <c r="P156" s="393"/>
      <c r="Q156" s="393"/>
      <c r="R156" s="393"/>
      <c r="S156" s="393"/>
      <c r="T156" s="393"/>
      <c r="U156" s="393"/>
      <c r="V156" s="393"/>
      <c r="W156" s="393"/>
      <c r="X156" s="393"/>
      <c r="Y156" s="393"/>
      <c r="Z156" s="393"/>
      <c r="AA156" s="393"/>
      <c r="AB156" s="393"/>
      <c r="AC156" s="393"/>
      <c r="AD156" s="393"/>
      <c r="AE156" s="393"/>
      <c r="AF156" s="393"/>
      <c r="AG156" s="393"/>
      <c r="AH156" s="393"/>
      <c r="AI156" s="393"/>
      <c r="AJ156" s="393"/>
      <c r="AK156" s="393"/>
    </row>
    <row r="157" spans="1:37" ht="15.45" x14ac:dyDescent="0.4">
      <c r="A157" s="393"/>
      <c r="B157" s="394"/>
      <c r="C157" s="488"/>
      <c r="D157" s="488"/>
      <c r="E157" s="488"/>
      <c r="F157" s="488"/>
      <c r="G157" s="488"/>
      <c r="H157" s="393"/>
      <c r="I157" s="393"/>
      <c r="J157" s="393"/>
      <c r="K157" s="393"/>
      <c r="L157" s="393"/>
      <c r="M157" s="393"/>
      <c r="N157" s="393"/>
      <c r="O157" s="393"/>
      <c r="P157" s="393"/>
      <c r="Q157" s="393"/>
      <c r="R157" s="393"/>
      <c r="S157" s="393"/>
      <c r="T157" s="393"/>
      <c r="U157" s="393"/>
      <c r="V157" s="393"/>
      <c r="W157" s="393"/>
      <c r="X157" s="393"/>
      <c r="Y157" s="393"/>
      <c r="Z157" s="393"/>
      <c r="AA157" s="393"/>
      <c r="AB157" s="393"/>
      <c r="AC157" s="393"/>
      <c r="AD157" s="393"/>
      <c r="AE157" s="393"/>
      <c r="AF157" s="393"/>
      <c r="AG157" s="393"/>
      <c r="AH157" s="393"/>
      <c r="AI157" s="393"/>
      <c r="AJ157" s="393"/>
      <c r="AK157" s="393"/>
    </row>
    <row r="158" spans="1:37" ht="15.45" x14ac:dyDescent="0.4">
      <c r="A158" s="393"/>
      <c r="B158" s="394"/>
      <c r="C158" s="488"/>
      <c r="D158" s="488"/>
      <c r="E158" s="488"/>
      <c r="F158" s="488"/>
      <c r="G158" s="488"/>
      <c r="H158" s="393"/>
      <c r="I158" s="393"/>
      <c r="J158" s="393"/>
      <c r="K158" s="393"/>
      <c r="L158" s="393"/>
      <c r="M158" s="393"/>
      <c r="N158" s="393"/>
      <c r="O158" s="393"/>
      <c r="P158" s="393"/>
      <c r="Q158" s="393"/>
      <c r="R158" s="393"/>
      <c r="S158" s="393"/>
      <c r="T158" s="393"/>
      <c r="U158" s="393"/>
      <c r="V158" s="393"/>
      <c r="W158" s="393"/>
      <c r="X158" s="393"/>
      <c r="Y158" s="393"/>
      <c r="Z158" s="393"/>
      <c r="AA158" s="393"/>
      <c r="AB158" s="393"/>
      <c r="AC158" s="393"/>
      <c r="AD158" s="393"/>
      <c r="AE158" s="393"/>
      <c r="AF158" s="393"/>
      <c r="AG158" s="393"/>
      <c r="AH158" s="393"/>
      <c r="AI158" s="393"/>
      <c r="AJ158" s="393"/>
      <c r="AK158" s="393"/>
    </row>
    <row r="159" spans="1:37" ht="15.45" x14ac:dyDescent="0.4">
      <c r="A159" s="393"/>
      <c r="B159" s="394"/>
      <c r="C159" s="488"/>
      <c r="D159" s="488"/>
      <c r="E159" s="488"/>
      <c r="F159" s="488"/>
      <c r="G159" s="488"/>
      <c r="H159" s="393"/>
      <c r="I159" s="393"/>
      <c r="J159" s="393"/>
      <c r="K159" s="393"/>
      <c r="L159" s="393"/>
      <c r="M159" s="393"/>
      <c r="N159" s="393"/>
      <c r="O159" s="393"/>
      <c r="P159" s="393"/>
      <c r="Q159" s="393"/>
      <c r="R159" s="393"/>
      <c r="S159" s="393"/>
      <c r="T159" s="393"/>
      <c r="U159" s="393"/>
      <c r="V159" s="393"/>
      <c r="W159" s="393"/>
      <c r="X159" s="393"/>
      <c r="Y159" s="393"/>
      <c r="Z159" s="393"/>
      <c r="AA159" s="393"/>
      <c r="AB159" s="393"/>
      <c r="AC159" s="393"/>
      <c r="AD159" s="393"/>
      <c r="AE159" s="393"/>
      <c r="AF159" s="393"/>
      <c r="AG159" s="393"/>
      <c r="AH159" s="393"/>
      <c r="AI159" s="393"/>
      <c r="AJ159" s="393"/>
      <c r="AK159" s="393"/>
    </row>
    <row r="160" spans="1:37" ht="15.45" x14ac:dyDescent="0.4">
      <c r="A160" s="393"/>
      <c r="B160" s="394"/>
      <c r="C160" s="488"/>
      <c r="D160" s="488"/>
      <c r="E160" s="488"/>
      <c r="F160" s="488"/>
      <c r="G160" s="488"/>
      <c r="H160" s="393"/>
      <c r="I160" s="393"/>
      <c r="J160" s="393"/>
      <c r="K160" s="393"/>
      <c r="L160" s="393"/>
      <c r="M160" s="393"/>
      <c r="N160" s="393"/>
      <c r="O160" s="393"/>
      <c r="P160" s="393"/>
      <c r="Q160" s="393"/>
      <c r="R160" s="393"/>
      <c r="S160" s="393"/>
      <c r="T160" s="393"/>
      <c r="U160" s="393"/>
      <c r="V160" s="393"/>
      <c r="W160" s="393"/>
      <c r="X160" s="393"/>
      <c r="Y160" s="393"/>
      <c r="Z160" s="393"/>
      <c r="AA160" s="393"/>
      <c r="AB160" s="393"/>
      <c r="AC160" s="393"/>
      <c r="AD160" s="393"/>
      <c r="AE160" s="393"/>
      <c r="AF160" s="393"/>
      <c r="AG160" s="393"/>
      <c r="AH160" s="393"/>
      <c r="AI160" s="393"/>
      <c r="AJ160" s="393"/>
      <c r="AK160" s="393"/>
    </row>
    <row r="161" spans="1:37" ht="15.45" x14ac:dyDescent="0.4">
      <c r="A161" s="393"/>
      <c r="B161" s="394"/>
      <c r="C161" s="488"/>
      <c r="D161" s="488"/>
      <c r="E161" s="488"/>
      <c r="F161" s="488"/>
      <c r="G161" s="488"/>
      <c r="H161" s="393"/>
      <c r="I161" s="393"/>
      <c r="J161" s="393"/>
      <c r="K161" s="393"/>
      <c r="L161" s="393"/>
      <c r="M161" s="393"/>
      <c r="N161" s="393"/>
      <c r="O161" s="393"/>
      <c r="P161" s="393"/>
      <c r="Q161" s="393"/>
      <c r="R161" s="393"/>
      <c r="S161" s="393"/>
      <c r="T161" s="393"/>
      <c r="U161" s="393"/>
      <c r="V161" s="393"/>
      <c r="W161" s="393"/>
      <c r="X161" s="393"/>
      <c r="Y161" s="393"/>
      <c r="Z161" s="393"/>
      <c r="AA161" s="393"/>
      <c r="AB161" s="393"/>
      <c r="AC161" s="393"/>
      <c r="AD161" s="393"/>
      <c r="AE161" s="393"/>
      <c r="AF161" s="393"/>
      <c r="AG161" s="393"/>
      <c r="AH161" s="393"/>
      <c r="AI161" s="393"/>
      <c r="AJ161" s="393"/>
      <c r="AK161" s="393"/>
    </row>
    <row r="162" spans="1:37" ht="15.45" x14ac:dyDescent="0.4">
      <c r="A162" s="393"/>
      <c r="B162" s="394"/>
      <c r="C162" s="488"/>
      <c r="D162" s="488"/>
      <c r="E162" s="488"/>
      <c r="F162" s="488"/>
      <c r="G162" s="488"/>
      <c r="H162" s="393"/>
      <c r="I162" s="393"/>
      <c r="J162" s="393"/>
      <c r="K162" s="393"/>
      <c r="L162" s="393"/>
      <c r="M162" s="393"/>
      <c r="N162" s="393"/>
      <c r="O162" s="393"/>
      <c r="P162" s="393"/>
      <c r="Q162" s="393"/>
      <c r="R162" s="393"/>
      <c r="S162" s="393"/>
      <c r="T162" s="393"/>
      <c r="U162" s="393"/>
      <c r="V162" s="393"/>
      <c r="W162" s="393"/>
      <c r="X162" s="393"/>
      <c r="Y162" s="393"/>
      <c r="Z162" s="393"/>
      <c r="AA162" s="393"/>
      <c r="AB162" s="393"/>
      <c r="AC162" s="393"/>
      <c r="AD162" s="393"/>
      <c r="AE162" s="393"/>
      <c r="AF162" s="393"/>
      <c r="AG162" s="393"/>
      <c r="AH162" s="393"/>
      <c r="AI162" s="393"/>
      <c r="AJ162" s="393"/>
      <c r="AK162" s="393"/>
    </row>
    <row r="163" spans="1:37" ht="15.45" x14ac:dyDescent="0.4">
      <c r="A163" s="393"/>
      <c r="B163" s="394"/>
      <c r="C163" s="488"/>
      <c r="D163" s="488"/>
      <c r="E163" s="488"/>
      <c r="F163" s="488"/>
      <c r="G163" s="488"/>
      <c r="H163" s="393"/>
      <c r="I163" s="393"/>
      <c r="J163" s="393"/>
      <c r="K163" s="393"/>
      <c r="L163" s="393"/>
      <c r="M163" s="393"/>
      <c r="N163" s="393"/>
      <c r="O163" s="393"/>
      <c r="P163" s="393"/>
      <c r="Q163" s="393"/>
      <c r="R163" s="393"/>
      <c r="S163" s="393"/>
      <c r="T163" s="393"/>
      <c r="U163" s="393"/>
      <c r="V163" s="393"/>
      <c r="W163" s="393"/>
      <c r="X163" s="393"/>
      <c r="Y163" s="393"/>
      <c r="Z163" s="393"/>
      <c r="AA163" s="393"/>
      <c r="AB163" s="393"/>
      <c r="AC163" s="393"/>
      <c r="AD163" s="393"/>
      <c r="AE163" s="393"/>
      <c r="AF163" s="393"/>
      <c r="AG163" s="393"/>
      <c r="AH163" s="393"/>
      <c r="AI163" s="393"/>
      <c r="AJ163" s="393"/>
      <c r="AK163" s="393"/>
    </row>
    <row r="164" spans="1:37" ht="15.45" x14ac:dyDescent="0.4">
      <c r="A164" s="393"/>
      <c r="B164" s="394"/>
      <c r="C164" s="488"/>
      <c r="D164" s="488"/>
      <c r="E164" s="488"/>
      <c r="F164" s="488"/>
      <c r="G164" s="488"/>
      <c r="H164" s="393"/>
      <c r="I164" s="393"/>
      <c r="J164" s="393"/>
      <c r="K164" s="393"/>
      <c r="L164" s="393"/>
      <c r="M164" s="393"/>
      <c r="N164" s="393"/>
      <c r="O164" s="393"/>
      <c r="P164" s="393"/>
      <c r="Q164" s="393"/>
      <c r="R164" s="393"/>
      <c r="S164" s="393"/>
      <c r="T164" s="393"/>
      <c r="U164" s="393"/>
      <c r="V164" s="393"/>
      <c r="W164" s="393"/>
      <c r="X164" s="393"/>
      <c r="Y164" s="393"/>
      <c r="Z164" s="393"/>
      <c r="AA164" s="393"/>
      <c r="AB164" s="393"/>
      <c r="AC164" s="393"/>
      <c r="AD164" s="393"/>
      <c r="AE164" s="393"/>
      <c r="AF164" s="393"/>
      <c r="AG164" s="393"/>
      <c r="AH164" s="393"/>
      <c r="AI164" s="393"/>
      <c r="AJ164" s="393"/>
      <c r="AK164" s="393"/>
    </row>
    <row r="165" spans="1:37" ht="15.45" x14ac:dyDescent="0.4">
      <c r="A165" s="393"/>
      <c r="B165" s="394"/>
      <c r="C165" s="488"/>
      <c r="D165" s="488"/>
      <c r="E165" s="488"/>
      <c r="F165" s="488"/>
      <c r="G165" s="488"/>
      <c r="H165" s="393"/>
      <c r="I165" s="393"/>
      <c r="J165" s="393"/>
      <c r="K165" s="393"/>
      <c r="L165" s="393"/>
      <c r="M165" s="393"/>
      <c r="N165" s="393"/>
      <c r="O165" s="393"/>
      <c r="P165" s="393"/>
      <c r="Q165" s="393"/>
      <c r="R165" s="393"/>
      <c r="S165" s="393"/>
      <c r="T165" s="393"/>
      <c r="U165" s="393"/>
      <c r="V165" s="393"/>
      <c r="W165" s="393"/>
      <c r="X165" s="393"/>
      <c r="Y165" s="393"/>
      <c r="Z165" s="393"/>
      <c r="AA165" s="393"/>
      <c r="AB165" s="393"/>
      <c r="AC165" s="393"/>
      <c r="AD165" s="393"/>
      <c r="AE165" s="393"/>
      <c r="AF165" s="393"/>
      <c r="AG165" s="393"/>
      <c r="AH165" s="393"/>
      <c r="AI165" s="393"/>
      <c r="AJ165" s="393"/>
      <c r="AK165" s="393"/>
    </row>
    <row r="166" spans="1:37" ht="15.45" x14ac:dyDescent="0.4">
      <c r="A166" s="393"/>
      <c r="B166" s="394"/>
      <c r="C166" s="488"/>
      <c r="D166" s="488"/>
      <c r="E166" s="488"/>
      <c r="F166" s="488"/>
      <c r="G166" s="488"/>
      <c r="H166" s="393"/>
      <c r="I166" s="393"/>
      <c r="J166" s="393"/>
      <c r="K166" s="393"/>
      <c r="L166" s="393"/>
      <c r="M166" s="393"/>
      <c r="N166" s="393"/>
      <c r="O166" s="393"/>
      <c r="P166" s="393"/>
      <c r="Q166" s="393"/>
      <c r="R166" s="393"/>
      <c r="S166" s="393"/>
      <c r="T166" s="393"/>
      <c r="U166" s="393"/>
      <c r="V166" s="393"/>
      <c r="W166" s="393"/>
      <c r="X166" s="393"/>
      <c r="Y166" s="393"/>
      <c r="Z166" s="393"/>
      <c r="AA166" s="393"/>
      <c r="AB166" s="393"/>
      <c r="AC166" s="393"/>
      <c r="AD166" s="393"/>
      <c r="AE166" s="393"/>
      <c r="AF166" s="393"/>
      <c r="AG166" s="393"/>
      <c r="AH166" s="393"/>
      <c r="AI166" s="393"/>
      <c r="AJ166" s="393"/>
      <c r="AK166" s="393"/>
    </row>
    <row r="167" spans="1:37" ht="15.45" x14ac:dyDescent="0.4">
      <c r="A167" s="393"/>
      <c r="B167" s="394"/>
      <c r="C167" s="488"/>
      <c r="D167" s="488"/>
      <c r="E167" s="488"/>
      <c r="F167" s="488"/>
      <c r="G167" s="488"/>
      <c r="H167" s="393"/>
      <c r="I167" s="393"/>
      <c r="J167" s="393"/>
      <c r="K167" s="393"/>
      <c r="L167" s="393"/>
      <c r="M167" s="393"/>
      <c r="N167" s="393"/>
      <c r="O167" s="393"/>
      <c r="P167" s="393"/>
      <c r="Q167" s="393"/>
      <c r="R167" s="393"/>
      <c r="S167" s="393"/>
      <c r="T167" s="393"/>
      <c r="U167" s="393"/>
      <c r="V167" s="393"/>
      <c r="W167" s="393"/>
      <c r="X167" s="393"/>
      <c r="Y167" s="393"/>
      <c r="Z167" s="393"/>
      <c r="AA167" s="393"/>
      <c r="AB167" s="393"/>
      <c r="AC167" s="393"/>
      <c r="AD167" s="393"/>
      <c r="AE167" s="393"/>
      <c r="AF167" s="393"/>
      <c r="AG167" s="393"/>
      <c r="AH167" s="393"/>
      <c r="AI167" s="393"/>
      <c r="AJ167" s="393"/>
      <c r="AK167" s="393"/>
    </row>
    <row r="168" spans="1:37" ht="15.45" x14ac:dyDescent="0.4">
      <c r="A168" s="393"/>
      <c r="B168" s="394"/>
      <c r="C168" s="488"/>
      <c r="D168" s="488"/>
      <c r="E168" s="488"/>
      <c r="F168" s="488"/>
      <c r="G168" s="488"/>
      <c r="H168" s="393"/>
      <c r="I168" s="393"/>
      <c r="J168" s="393"/>
      <c r="K168" s="393"/>
      <c r="L168" s="393"/>
      <c r="M168" s="393"/>
      <c r="N168" s="393"/>
      <c r="O168" s="393"/>
      <c r="P168" s="393"/>
      <c r="Q168" s="393"/>
      <c r="R168" s="393"/>
      <c r="S168" s="393"/>
      <c r="T168" s="393"/>
      <c r="U168" s="393"/>
      <c r="V168" s="393"/>
      <c r="W168" s="393"/>
      <c r="X168" s="393"/>
      <c r="Y168" s="393"/>
      <c r="Z168" s="393"/>
      <c r="AA168" s="393"/>
      <c r="AB168" s="393"/>
      <c r="AC168" s="393"/>
      <c r="AD168" s="393"/>
      <c r="AE168" s="393"/>
      <c r="AF168" s="393"/>
      <c r="AG168" s="393"/>
      <c r="AH168" s="393"/>
      <c r="AI168" s="393"/>
      <c r="AJ168" s="393"/>
      <c r="AK168" s="393"/>
    </row>
    <row r="169" spans="1:37" ht="15.45" x14ac:dyDescent="0.4">
      <c r="A169" s="393"/>
      <c r="B169" s="394"/>
      <c r="C169" s="488"/>
      <c r="D169" s="488"/>
      <c r="E169" s="488"/>
      <c r="F169" s="488"/>
      <c r="G169" s="488"/>
      <c r="H169" s="393"/>
      <c r="I169" s="393"/>
      <c r="J169" s="393"/>
      <c r="K169" s="393"/>
      <c r="L169" s="393"/>
      <c r="M169" s="393"/>
      <c r="N169" s="393"/>
      <c r="O169" s="393"/>
      <c r="P169" s="393"/>
      <c r="Q169" s="393"/>
      <c r="R169" s="393"/>
      <c r="S169" s="393"/>
      <c r="T169" s="393"/>
      <c r="U169" s="393"/>
      <c r="V169" s="393"/>
      <c r="W169" s="393"/>
      <c r="X169" s="393"/>
      <c r="Y169" s="393"/>
      <c r="Z169" s="393"/>
      <c r="AA169" s="393"/>
      <c r="AB169" s="393"/>
      <c r="AC169" s="393"/>
      <c r="AD169" s="393"/>
      <c r="AE169" s="393"/>
      <c r="AF169" s="393"/>
      <c r="AG169" s="393"/>
      <c r="AH169" s="393"/>
      <c r="AI169" s="393"/>
      <c r="AJ169" s="393"/>
      <c r="AK169" s="393"/>
    </row>
    <row r="170" spans="1:37" ht="15.45" x14ac:dyDescent="0.4">
      <c r="A170" s="393"/>
      <c r="B170" s="394"/>
      <c r="C170" s="488"/>
      <c r="D170" s="488"/>
      <c r="E170" s="488"/>
      <c r="F170" s="488"/>
      <c r="G170" s="488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393"/>
      <c r="T170" s="393"/>
      <c r="U170" s="393"/>
      <c r="V170" s="393"/>
      <c r="W170" s="393"/>
      <c r="X170" s="393"/>
      <c r="Y170" s="393"/>
      <c r="Z170" s="393"/>
      <c r="AA170" s="393"/>
      <c r="AB170" s="393"/>
      <c r="AC170" s="393"/>
      <c r="AD170" s="393"/>
      <c r="AE170" s="393"/>
      <c r="AF170" s="393"/>
      <c r="AG170" s="393"/>
      <c r="AH170" s="393"/>
      <c r="AI170" s="393"/>
      <c r="AJ170" s="393"/>
      <c r="AK170" s="393"/>
    </row>
    <row r="171" spans="1:37" ht="15.45" x14ac:dyDescent="0.4">
      <c r="A171" s="393"/>
      <c r="B171" s="394"/>
      <c r="C171" s="488"/>
      <c r="D171" s="488"/>
      <c r="E171" s="488"/>
      <c r="F171" s="488"/>
      <c r="G171" s="488"/>
      <c r="H171" s="393"/>
      <c r="I171" s="393"/>
      <c r="J171" s="393"/>
      <c r="K171" s="393"/>
      <c r="L171" s="393"/>
      <c r="M171" s="393"/>
      <c r="N171" s="393"/>
      <c r="O171" s="393"/>
      <c r="P171" s="393"/>
      <c r="Q171" s="393"/>
      <c r="R171" s="393"/>
      <c r="S171" s="393"/>
      <c r="T171" s="393"/>
      <c r="U171" s="393"/>
      <c r="V171" s="393"/>
      <c r="W171" s="393"/>
      <c r="X171" s="393"/>
      <c r="Y171" s="393"/>
      <c r="Z171" s="393"/>
      <c r="AA171" s="393"/>
      <c r="AB171" s="393"/>
      <c r="AC171" s="393"/>
      <c r="AD171" s="393"/>
      <c r="AE171" s="393"/>
      <c r="AF171" s="393"/>
      <c r="AG171" s="393"/>
      <c r="AH171" s="393"/>
      <c r="AI171" s="393"/>
      <c r="AJ171" s="393"/>
      <c r="AK171" s="393"/>
    </row>
    <row r="172" spans="1:37" ht="15.45" x14ac:dyDescent="0.4">
      <c r="A172" s="393"/>
      <c r="B172" s="394"/>
      <c r="C172" s="488"/>
      <c r="D172" s="488"/>
      <c r="E172" s="488"/>
      <c r="F172" s="488"/>
      <c r="G172" s="488"/>
      <c r="H172" s="393"/>
      <c r="I172" s="393"/>
      <c r="J172" s="393"/>
      <c r="K172" s="393"/>
      <c r="L172" s="393"/>
      <c r="M172" s="393"/>
      <c r="N172" s="393"/>
      <c r="O172" s="393"/>
      <c r="P172" s="393"/>
      <c r="Q172" s="393"/>
      <c r="R172" s="393"/>
      <c r="S172" s="393"/>
      <c r="T172" s="393"/>
      <c r="U172" s="393"/>
      <c r="V172" s="393"/>
      <c r="W172" s="393"/>
      <c r="X172" s="393"/>
      <c r="Y172" s="393"/>
      <c r="Z172" s="393"/>
      <c r="AA172" s="393"/>
      <c r="AB172" s="393"/>
      <c r="AC172" s="393"/>
      <c r="AD172" s="393"/>
      <c r="AE172" s="393"/>
      <c r="AF172" s="393"/>
      <c r="AG172" s="393"/>
      <c r="AH172" s="393"/>
      <c r="AI172" s="393"/>
      <c r="AJ172" s="393"/>
      <c r="AK172" s="393"/>
    </row>
    <row r="173" spans="1:37" ht="15.45" x14ac:dyDescent="0.4">
      <c r="A173" s="393"/>
      <c r="B173" s="394"/>
      <c r="C173" s="488"/>
      <c r="D173" s="488"/>
      <c r="E173" s="488"/>
      <c r="F173" s="488"/>
      <c r="G173" s="488"/>
      <c r="H173" s="393"/>
      <c r="I173" s="393"/>
      <c r="J173" s="393"/>
      <c r="K173" s="393"/>
      <c r="L173" s="393"/>
      <c r="M173" s="393"/>
      <c r="N173" s="393"/>
      <c r="O173" s="393"/>
      <c r="P173" s="393"/>
      <c r="Q173" s="393"/>
      <c r="R173" s="393"/>
      <c r="S173" s="393"/>
      <c r="T173" s="393"/>
      <c r="U173" s="393"/>
      <c r="V173" s="393"/>
      <c r="W173" s="393"/>
      <c r="X173" s="393"/>
      <c r="Y173" s="393"/>
      <c r="Z173" s="393"/>
      <c r="AA173" s="393"/>
      <c r="AB173" s="393"/>
      <c r="AC173" s="393"/>
      <c r="AD173" s="393"/>
      <c r="AE173" s="393"/>
      <c r="AF173" s="393"/>
      <c r="AG173" s="393"/>
      <c r="AH173" s="393"/>
      <c r="AI173" s="393"/>
      <c r="AJ173" s="393"/>
      <c r="AK173" s="393"/>
    </row>
    <row r="174" spans="1:37" ht="15.45" x14ac:dyDescent="0.4">
      <c r="A174" s="393"/>
      <c r="B174" s="394"/>
      <c r="C174" s="488"/>
      <c r="D174" s="488"/>
      <c r="E174" s="488"/>
      <c r="F174" s="488"/>
      <c r="G174" s="488"/>
      <c r="H174" s="393"/>
      <c r="I174" s="393"/>
      <c r="J174" s="393"/>
      <c r="K174" s="393"/>
      <c r="L174" s="393"/>
      <c r="M174" s="393"/>
      <c r="N174" s="393"/>
      <c r="O174" s="393"/>
      <c r="P174" s="393"/>
      <c r="Q174" s="393"/>
      <c r="R174" s="393"/>
      <c r="S174" s="393"/>
      <c r="T174" s="393"/>
      <c r="U174" s="393"/>
      <c r="V174" s="393"/>
      <c r="W174" s="393"/>
      <c r="X174" s="393"/>
      <c r="Y174" s="393"/>
      <c r="Z174" s="393"/>
      <c r="AA174" s="393"/>
      <c r="AB174" s="393"/>
      <c r="AC174" s="393"/>
      <c r="AD174" s="393"/>
      <c r="AE174" s="393"/>
      <c r="AF174" s="393"/>
      <c r="AG174" s="393"/>
      <c r="AH174" s="393"/>
      <c r="AI174" s="393"/>
      <c r="AJ174" s="393"/>
      <c r="AK174" s="393"/>
    </row>
    <row r="175" spans="1:37" ht="15.45" x14ac:dyDescent="0.4">
      <c r="A175" s="393"/>
      <c r="B175" s="394"/>
      <c r="C175" s="488"/>
      <c r="D175" s="488"/>
      <c r="E175" s="488"/>
      <c r="F175" s="488"/>
      <c r="G175" s="488"/>
      <c r="H175" s="393"/>
      <c r="I175" s="393"/>
      <c r="J175" s="393"/>
      <c r="K175" s="393"/>
      <c r="L175" s="393"/>
      <c r="M175" s="393"/>
      <c r="N175" s="393"/>
      <c r="O175" s="393"/>
      <c r="P175" s="393"/>
      <c r="Q175" s="393"/>
      <c r="R175" s="393"/>
      <c r="S175" s="393"/>
      <c r="T175" s="393"/>
      <c r="U175" s="393"/>
      <c r="V175" s="393"/>
      <c r="W175" s="393"/>
      <c r="X175" s="393"/>
      <c r="Y175" s="393"/>
      <c r="Z175" s="393"/>
      <c r="AA175" s="393"/>
      <c r="AB175" s="393"/>
      <c r="AC175" s="393"/>
      <c r="AD175" s="393"/>
      <c r="AE175" s="393"/>
      <c r="AF175" s="393"/>
      <c r="AG175" s="393"/>
      <c r="AH175" s="393"/>
      <c r="AI175" s="393"/>
      <c r="AJ175" s="393"/>
      <c r="AK175" s="393"/>
    </row>
    <row r="176" spans="1:37" ht="15.45" x14ac:dyDescent="0.4">
      <c r="A176" s="393"/>
      <c r="B176" s="394"/>
      <c r="C176" s="488"/>
      <c r="D176" s="488"/>
      <c r="E176" s="488"/>
      <c r="F176" s="488"/>
      <c r="G176" s="488"/>
      <c r="H176" s="393"/>
      <c r="I176" s="393"/>
      <c r="J176" s="393"/>
      <c r="K176" s="393"/>
      <c r="L176" s="393"/>
      <c r="M176" s="393"/>
      <c r="N176" s="393"/>
      <c r="O176" s="393"/>
      <c r="P176" s="393"/>
      <c r="Q176" s="393"/>
      <c r="R176" s="393"/>
      <c r="S176" s="393"/>
      <c r="T176" s="393"/>
      <c r="U176" s="393"/>
      <c r="V176" s="393"/>
      <c r="W176" s="393"/>
      <c r="X176" s="393"/>
      <c r="Y176" s="393"/>
      <c r="Z176" s="393"/>
      <c r="AA176" s="393"/>
      <c r="AB176" s="393"/>
      <c r="AC176" s="393"/>
      <c r="AD176" s="393"/>
      <c r="AE176" s="393"/>
      <c r="AF176" s="393"/>
      <c r="AG176" s="393"/>
      <c r="AH176" s="393"/>
      <c r="AI176" s="393"/>
      <c r="AJ176" s="393"/>
      <c r="AK176" s="393"/>
    </row>
    <row r="177" spans="1:37" ht="15.45" x14ac:dyDescent="0.4">
      <c r="A177" s="393"/>
      <c r="B177" s="394"/>
      <c r="C177" s="488"/>
      <c r="D177" s="488"/>
      <c r="E177" s="488"/>
      <c r="F177" s="488"/>
      <c r="G177" s="488"/>
      <c r="H177" s="393"/>
      <c r="I177" s="393"/>
      <c r="J177" s="393"/>
      <c r="K177" s="393"/>
      <c r="L177" s="393"/>
      <c r="M177" s="393"/>
      <c r="N177" s="393"/>
      <c r="O177" s="393"/>
      <c r="P177" s="393"/>
      <c r="Q177" s="393"/>
      <c r="R177" s="393"/>
      <c r="S177" s="393"/>
      <c r="T177" s="393"/>
      <c r="U177" s="393"/>
      <c r="V177" s="393"/>
      <c r="W177" s="393"/>
      <c r="X177" s="393"/>
      <c r="Y177" s="393"/>
      <c r="Z177" s="393"/>
      <c r="AA177" s="393"/>
      <c r="AB177" s="393"/>
      <c r="AC177" s="393"/>
      <c r="AD177" s="393"/>
      <c r="AE177" s="393"/>
      <c r="AF177" s="393"/>
      <c r="AG177" s="393"/>
      <c r="AH177" s="393"/>
      <c r="AI177" s="393"/>
      <c r="AJ177" s="393"/>
      <c r="AK177" s="393"/>
    </row>
    <row r="178" spans="1:37" ht="15.45" x14ac:dyDescent="0.4">
      <c r="A178" s="393"/>
      <c r="B178" s="394"/>
      <c r="C178" s="488"/>
      <c r="D178" s="488"/>
      <c r="E178" s="488"/>
      <c r="F178" s="488"/>
      <c r="G178" s="488"/>
      <c r="H178" s="393"/>
      <c r="I178" s="393"/>
      <c r="J178" s="393"/>
      <c r="K178" s="393"/>
      <c r="L178" s="393"/>
      <c r="M178" s="393"/>
      <c r="N178" s="393"/>
      <c r="O178" s="393"/>
      <c r="P178" s="393"/>
      <c r="Q178" s="393"/>
      <c r="R178" s="393"/>
      <c r="S178" s="393"/>
      <c r="T178" s="393"/>
      <c r="U178" s="393"/>
      <c r="V178" s="393"/>
      <c r="W178" s="393"/>
      <c r="X178" s="393"/>
      <c r="Y178" s="393"/>
      <c r="Z178" s="393"/>
      <c r="AA178" s="393"/>
      <c r="AB178" s="393"/>
      <c r="AC178" s="393"/>
      <c r="AD178" s="393"/>
      <c r="AE178" s="393"/>
      <c r="AF178" s="393"/>
      <c r="AG178" s="393"/>
      <c r="AH178" s="393"/>
      <c r="AI178" s="393"/>
      <c r="AJ178" s="393"/>
      <c r="AK178" s="393"/>
    </row>
    <row r="179" spans="1:37" ht="15.45" x14ac:dyDescent="0.4">
      <c r="A179" s="393"/>
      <c r="B179" s="394"/>
      <c r="C179" s="488"/>
      <c r="D179" s="488"/>
      <c r="E179" s="488"/>
      <c r="F179" s="488"/>
      <c r="G179" s="488"/>
      <c r="H179" s="393"/>
      <c r="I179" s="393"/>
      <c r="J179" s="393"/>
      <c r="K179" s="393"/>
      <c r="L179" s="393"/>
      <c r="M179" s="393"/>
      <c r="N179" s="393"/>
      <c r="O179" s="393"/>
      <c r="P179" s="393"/>
      <c r="Q179" s="393"/>
      <c r="R179" s="393"/>
      <c r="S179" s="393"/>
      <c r="T179" s="393"/>
      <c r="U179" s="393"/>
      <c r="V179" s="393"/>
      <c r="W179" s="393"/>
      <c r="X179" s="393"/>
      <c r="Y179" s="393"/>
      <c r="Z179" s="393"/>
      <c r="AA179" s="393"/>
      <c r="AB179" s="393"/>
      <c r="AC179" s="393"/>
      <c r="AD179" s="393"/>
      <c r="AE179" s="393"/>
      <c r="AF179" s="393"/>
      <c r="AG179" s="393"/>
      <c r="AH179" s="393"/>
      <c r="AI179" s="393"/>
      <c r="AJ179" s="393"/>
      <c r="AK179" s="393"/>
    </row>
    <row r="180" spans="1:37" ht="15.45" x14ac:dyDescent="0.4">
      <c r="A180" s="393"/>
      <c r="B180" s="394"/>
      <c r="C180" s="488"/>
      <c r="D180" s="488"/>
      <c r="E180" s="488"/>
      <c r="F180" s="488"/>
      <c r="G180" s="488"/>
      <c r="H180" s="393"/>
      <c r="I180" s="393"/>
      <c r="J180" s="393"/>
      <c r="K180" s="393"/>
      <c r="L180" s="393"/>
      <c r="M180" s="393"/>
      <c r="N180" s="393"/>
      <c r="O180" s="393"/>
      <c r="P180" s="393"/>
      <c r="Q180" s="393"/>
      <c r="R180" s="393"/>
      <c r="S180" s="393"/>
      <c r="T180" s="393"/>
      <c r="U180" s="393"/>
      <c r="V180" s="393"/>
      <c r="W180" s="393"/>
      <c r="X180" s="393"/>
      <c r="Y180" s="393"/>
      <c r="Z180" s="393"/>
      <c r="AA180" s="393"/>
      <c r="AB180" s="393"/>
      <c r="AC180" s="393"/>
      <c r="AD180" s="393"/>
      <c r="AE180" s="393"/>
      <c r="AF180" s="393"/>
      <c r="AG180" s="393"/>
      <c r="AH180" s="393"/>
      <c r="AI180" s="393"/>
      <c r="AJ180" s="393"/>
      <c r="AK180" s="393"/>
    </row>
    <row r="181" spans="1:37" ht="15.45" x14ac:dyDescent="0.4">
      <c r="A181" s="393"/>
      <c r="B181" s="394"/>
      <c r="C181" s="488"/>
      <c r="D181" s="488"/>
      <c r="E181" s="488"/>
      <c r="F181" s="488"/>
      <c r="G181" s="488"/>
      <c r="H181" s="393"/>
      <c r="I181" s="393"/>
      <c r="J181" s="393"/>
      <c r="K181" s="393"/>
      <c r="L181" s="393"/>
      <c r="M181" s="393"/>
      <c r="N181" s="393"/>
      <c r="O181" s="393"/>
      <c r="P181" s="393"/>
      <c r="Q181" s="393"/>
      <c r="R181" s="393"/>
      <c r="S181" s="393"/>
      <c r="T181" s="393"/>
      <c r="U181" s="393"/>
      <c r="V181" s="393"/>
      <c r="W181" s="393"/>
      <c r="X181" s="393"/>
      <c r="Y181" s="393"/>
      <c r="Z181" s="393"/>
      <c r="AA181" s="393"/>
      <c r="AB181" s="393"/>
      <c r="AC181" s="393"/>
      <c r="AD181" s="393"/>
      <c r="AE181" s="393"/>
      <c r="AF181" s="393"/>
      <c r="AG181" s="393"/>
      <c r="AH181" s="393"/>
      <c r="AI181" s="393"/>
      <c r="AJ181" s="393"/>
      <c r="AK181" s="393"/>
    </row>
    <row r="182" spans="1:37" ht="15.45" x14ac:dyDescent="0.4">
      <c r="A182" s="393"/>
      <c r="B182" s="394"/>
      <c r="C182" s="488"/>
      <c r="D182" s="488"/>
      <c r="E182" s="488"/>
      <c r="F182" s="488"/>
      <c r="G182" s="488"/>
      <c r="H182" s="393"/>
      <c r="I182" s="393"/>
      <c r="J182" s="393"/>
      <c r="K182" s="393"/>
      <c r="L182" s="393"/>
      <c r="M182" s="393"/>
      <c r="N182" s="393"/>
      <c r="O182" s="393"/>
      <c r="P182" s="393"/>
      <c r="Q182" s="393"/>
      <c r="R182" s="393"/>
      <c r="S182" s="393"/>
      <c r="T182" s="393"/>
      <c r="U182" s="393"/>
      <c r="V182" s="393"/>
      <c r="W182" s="393"/>
      <c r="X182" s="393"/>
      <c r="Y182" s="393"/>
      <c r="Z182" s="393"/>
      <c r="AA182" s="393"/>
      <c r="AB182" s="393"/>
      <c r="AC182" s="393"/>
      <c r="AD182" s="393"/>
      <c r="AE182" s="393"/>
      <c r="AF182" s="393"/>
      <c r="AG182" s="393"/>
      <c r="AH182" s="393"/>
      <c r="AI182" s="393"/>
      <c r="AJ182" s="393"/>
      <c r="AK182" s="393"/>
    </row>
    <row r="183" spans="1:37" ht="15.45" x14ac:dyDescent="0.4">
      <c r="A183" s="393"/>
      <c r="B183" s="394"/>
      <c r="C183" s="488"/>
      <c r="D183" s="488"/>
      <c r="E183" s="488"/>
      <c r="F183" s="488"/>
      <c r="G183" s="488"/>
      <c r="H183" s="393"/>
      <c r="I183" s="393"/>
      <c r="J183" s="393"/>
      <c r="K183" s="393"/>
      <c r="L183" s="393"/>
      <c r="M183" s="393"/>
      <c r="N183" s="393"/>
      <c r="O183" s="393"/>
      <c r="P183" s="393"/>
      <c r="Q183" s="393"/>
      <c r="R183" s="393"/>
      <c r="S183" s="393"/>
      <c r="T183" s="393"/>
      <c r="U183" s="393"/>
      <c r="V183" s="393"/>
      <c r="W183" s="393"/>
      <c r="X183" s="393"/>
      <c r="Y183" s="393"/>
      <c r="Z183" s="393"/>
      <c r="AA183" s="393"/>
      <c r="AB183" s="393"/>
      <c r="AC183" s="393"/>
      <c r="AD183" s="393"/>
      <c r="AE183" s="393"/>
      <c r="AF183" s="393"/>
      <c r="AG183" s="393"/>
      <c r="AH183" s="393"/>
      <c r="AI183" s="393"/>
      <c r="AJ183" s="393"/>
      <c r="AK183" s="393"/>
    </row>
    <row r="184" spans="1:37" ht="15.45" x14ac:dyDescent="0.4">
      <c r="A184" s="393"/>
      <c r="B184" s="394"/>
      <c r="C184" s="488"/>
      <c r="D184" s="488"/>
      <c r="E184" s="488"/>
      <c r="F184" s="488"/>
      <c r="G184" s="488"/>
      <c r="H184" s="393"/>
      <c r="I184" s="393"/>
      <c r="J184" s="393"/>
      <c r="K184" s="393"/>
      <c r="L184" s="393"/>
      <c r="M184" s="393"/>
      <c r="N184" s="393"/>
      <c r="O184" s="393"/>
      <c r="P184" s="393"/>
      <c r="Q184" s="393"/>
      <c r="R184" s="393"/>
      <c r="S184" s="393"/>
      <c r="T184" s="393"/>
      <c r="U184" s="393"/>
      <c r="V184" s="393"/>
      <c r="W184" s="393"/>
      <c r="X184" s="393"/>
      <c r="Y184" s="393"/>
      <c r="Z184" s="393"/>
      <c r="AA184" s="393"/>
      <c r="AB184" s="393"/>
      <c r="AC184" s="393"/>
      <c r="AD184" s="393"/>
      <c r="AE184" s="393"/>
      <c r="AF184" s="393"/>
      <c r="AG184" s="393"/>
      <c r="AH184" s="393"/>
      <c r="AI184" s="393"/>
      <c r="AJ184" s="393"/>
      <c r="AK184" s="393"/>
    </row>
    <row r="185" spans="1:37" ht="15.45" x14ac:dyDescent="0.4">
      <c r="A185" s="393"/>
      <c r="B185" s="394"/>
      <c r="C185" s="488"/>
      <c r="D185" s="488"/>
      <c r="E185" s="488"/>
      <c r="F185" s="488"/>
      <c r="G185" s="488"/>
      <c r="H185" s="393"/>
      <c r="I185" s="393"/>
      <c r="J185" s="393"/>
      <c r="K185" s="393"/>
      <c r="L185" s="393"/>
      <c r="M185" s="393"/>
      <c r="N185" s="393"/>
      <c r="O185" s="393"/>
      <c r="P185" s="393"/>
      <c r="Q185" s="393"/>
      <c r="R185" s="393"/>
      <c r="S185" s="393"/>
      <c r="T185" s="393"/>
      <c r="U185" s="393"/>
      <c r="V185" s="393"/>
      <c r="W185" s="393"/>
      <c r="X185" s="393"/>
      <c r="Y185" s="393"/>
      <c r="Z185" s="393"/>
      <c r="AA185" s="393"/>
      <c r="AB185" s="393"/>
      <c r="AC185" s="393"/>
      <c r="AD185" s="393"/>
      <c r="AE185" s="393"/>
      <c r="AF185" s="393"/>
      <c r="AG185" s="393"/>
      <c r="AH185" s="393"/>
      <c r="AI185" s="393"/>
      <c r="AJ185" s="393"/>
      <c r="AK185" s="393"/>
    </row>
    <row r="186" spans="1:37" ht="15.45" x14ac:dyDescent="0.4">
      <c r="A186" s="393"/>
      <c r="B186" s="394"/>
      <c r="C186" s="496"/>
      <c r="D186" s="496"/>
      <c r="E186" s="496"/>
      <c r="F186" s="496"/>
      <c r="G186" s="496"/>
      <c r="H186" s="393"/>
      <c r="I186" s="393"/>
      <c r="J186" s="393"/>
      <c r="K186" s="393"/>
      <c r="L186" s="393"/>
      <c r="M186" s="393"/>
      <c r="N186" s="393"/>
      <c r="O186" s="393"/>
      <c r="P186" s="393"/>
      <c r="Q186" s="393"/>
      <c r="R186" s="393"/>
      <c r="S186" s="393"/>
      <c r="T186" s="393"/>
      <c r="U186" s="393"/>
      <c r="V186" s="393"/>
      <c r="W186" s="393"/>
      <c r="X186" s="393"/>
      <c r="Y186" s="393"/>
      <c r="Z186" s="393"/>
      <c r="AA186" s="393"/>
      <c r="AB186" s="393"/>
      <c r="AC186" s="393"/>
      <c r="AD186" s="393"/>
      <c r="AE186" s="393"/>
      <c r="AF186" s="393"/>
      <c r="AG186" s="393"/>
      <c r="AH186" s="393"/>
      <c r="AI186" s="393"/>
      <c r="AJ186" s="393"/>
      <c r="AK186" s="393"/>
    </row>
    <row r="187" spans="1:37" ht="15.45" x14ac:dyDescent="0.4">
      <c r="A187" s="393"/>
      <c r="B187" s="394"/>
      <c r="C187" s="496"/>
      <c r="D187" s="496"/>
      <c r="E187" s="496"/>
      <c r="F187" s="496"/>
      <c r="G187" s="496"/>
      <c r="H187" s="393"/>
      <c r="I187" s="393"/>
      <c r="J187" s="393"/>
      <c r="K187" s="393"/>
      <c r="L187" s="393"/>
      <c r="M187" s="393"/>
      <c r="N187" s="393"/>
      <c r="O187" s="393"/>
      <c r="P187" s="393"/>
      <c r="Q187" s="393"/>
      <c r="R187" s="393"/>
      <c r="S187" s="393"/>
      <c r="T187" s="393"/>
      <c r="U187" s="393"/>
      <c r="V187" s="393"/>
      <c r="W187" s="393"/>
      <c r="X187" s="393"/>
      <c r="Y187" s="393"/>
      <c r="Z187" s="393"/>
      <c r="AA187" s="393"/>
      <c r="AB187" s="393"/>
      <c r="AC187" s="393"/>
      <c r="AD187" s="393"/>
      <c r="AE187" s="393"/>
      <c r="AF187" s="393"/>
      <c r="AG187" s="393"/>
      <c r="AH187" s="393"/>
      <c r="AI187" s="393"/>
      <c r="AJ187" s="393"/>
      <c r="AK187" s="393"/>
    </row>
    <row r="188" spans="1:37" ht="15.45" x14ac:dyDescent="0.4">
      <c r="A188" s="393"/>
      <c r="B188" s="394"/>
      <c r="C188" s="496"/>
      <c r="D188" s="496"/>
      <c r="E188" s="496"/>
      <c r="F188" s="496"/>
      <c r="G188" s="496"/>
      <c r="H188" s="393"/>
      <c r="I188" s="393"/>
      <c r="J188" s="393"/>
      <c r="K188" s="393"/>
      <c r="L188" s="393"/>
      <c r="M188" s="393"/>
      <c r="N188" s="393"/>
      <c r="O188" s="393"/>
      <c r="P188" s="393"/>
      <c r="Q188" s="393"/>
      <c r="R188" s="393"/>
      <c r="S188" s="393"/>
      <c r="T188" s="393"/>
      <c r="U188" s="393"/>
      <c r="V188" s="393"/>
      <c r="W188" s="393"/>
      <c r="X188" s="393"/>
      <c r="Y188" s="393"/>
      <c r="Z188" s="393"/>
      <c r="AA188" s="393"/>
      <c r="AB188" s="393"/>
      <c r="AC188" s="393"/>
      <c r="AD188" s="393"/>
      <c r="AE188" s="393"/>
      <c r="AF188" s="393"/>
      <c r="AG188" s="393"/>
      <c r="AH188" s="393"/>
      <c r="AI188" s="393"/>
      <c r="AJ188" s="393"/>
      <c r="AK188" s="393"/>
    </row>
    <row r="189" spans="1:37" ht="15.45" x14ac:dyDescent="0.4">
      <c r="A189" s="393"/>
      <c r="B189" s="394"/>
      <c r="C189" s="393"/>
      <c r="D189" s="393"/>
      <c r="E189" s="393"/>
      <c r="F189" s="393"/>
      <c r="G189" s="393"/>
      <c r="H189" s="393"/>
      <c r="I189" s="393"/>
      <c r="J189" s="393"/>
      <c r="K189" s="393"/>
      <c r="L189" s="393"/>
      <c r="M189" s="393"/>
      <c r="N189" s="393"/>
      <c r="O189" s="393"/>
      <c r="P189" s="393"/>
      <c r="Q189" s="393"/>
      <c r="R189" s="393"/>
      <c r="S189" s="393"/>
      <c r="T189" s="393"/>
      <c r="U189" s="393"/>
      <c r="V189" s="393"/>
      <c r="W189" s="393"/>
      <c r="X189" s="393"/>
      <c r="Y189" s="393"/>
      <c r="Z189" s="393"/>
      <c r="AA189" s="393"/>
      <c r="AB189" s="393"/>
      <c r="AC189" s="393"/>
      <c r="AD189" s="393"/>
      <c r="AE189" s="393"/>
      <c r="AF189" s="393"/>
      <c r="AG189" s="393"/>
      <c r="AH189" s="393"/>
      <c r="AI189" s="393"/>
      <c r="AJ189" s="393"/>
      <c r="AK189" s="393"/>
    </row>
    <row r="190" spans="1:37" ht="15.45" x14ac:dyDescent="0.4">
      <c r="A190" s="393"/>
      <c r="B190" s="394"/>
      <c r="C190" s="393"/>
      <c r="D190" s="393"/>
      <c r="E190" s="393"/>
      <c r="F190" s="393"/>
      <c r="G190" s="393"/>
      <c r="H190" s="393"/>
      <c r="I190" s="393"/>
      <c r="J190" s="393"/>
      <c r="K190" s="393"/>
      <c r="L190" s="393"/>
      <c r="M190" s="393"/>
      <c r="N190" s="393"/>
      <c r="O190" s="393"/>
      <c r="P190" s="393"/>
      <c r="Q190" s="393"/>
      <c r="R190" s="393"/>
      <c r="S190" s="393"/>
      <c r="T190" s="393"/>
      <c r="U190" s="393"/>
      <c r="V190" s="393"/>
      <c r="W190" s="393"/>
      <c r="X190" s="393"/>
      <c r="Y190" s="393"/>
      <c r="Z190" s="393"/>
      <c r="AA190" s="393"/>
      <c r="AB190" s="393"/>
      <c r="AC190" s="393"/>
      <c r="AD190" s="393"/>
      <c r="AE190" s="393"/>
      <c r="AF190" s="393"/>
      <c r="AG190" s="393"/>
      <c r="AH190" s="393"/>
      <c r="AI190" s="393"/>
      <c r="AJ190" s="393"/>
      <c r="AK190" s="393"/>
    </row>
    <row r="191" spans="1:37" ht="15.45" x14ac:dyDescent="0.4">
      <c r="A191" s="393"/>
      <c r="B191" s="394"/>
      <c r="C191" s="393"/>
      <c r="D191" s="393"/>
      <c r="E191" s="393"/>
      <c r="F191" s="393"/>
      <c r="G191" s="393"/>
      <c r="H191" s="393"/>
      <c r="I191" s="393"/>
      <c r="J191" s="393"/>
      <c r="K191" s="393"/>
      <c r="L191" s="393"/>
      <c r="M191" s="393"/>
      <c r="N191" s="393"/>
      <c r="O191" s="393"/>
      <c r="P191" s="393"/>
      <c r="Q191" s="393"/>
      <c r="R191" s="393"/>
      <c r="S191" s="393"/>
      <c r="T191" s="393"/>
      <c r="U191" s="393"/>
      <c r="V191" s="393"/>
      <c r="W191" s="393"/>
      <c r="X191" s="393"/>
      <c r="Y191" s="393"/>
      <c r="Z191" s="393"/>
      <c r="AA191" s="393"/>
      <c r="AB191" s="393"/>
      <c r="AC191" s="393"/>
      <c r="AD191" s="393"/>
      <c r="AE191" s="393"/>
      <c r="AF191" s="393"/>
      <c r="AG191" s="393"/>
      <c r="AH191" s="393"/>
      <c r="AI191" s="393"/>
      <c r="AJ191" s="393"/>
      <c r="AK191" s="393"/>
    </row>
    <row r="192" spans="1:37" ht="15.45" x14ac:dyDescent="0.4">
      <c r="A192" s="393"/>
      <c r="B192" s="394"/>
      <c r="C192" s="393"/>
      <c r="D192" s="393"/>
      <c r="E192" s="393"/>
      <c r="F192" s="393"/>
      <c r="G192" s="393"/>
      <c r="H192" s="393"/>
      <c r="I192" s="393"/>
      <c r="J192" s="393"/>
      <c r="K192" s="393"/>
      <c r="L192" s="393"/>
      <c r="M192" s="393"/>
      <c r="N192" s="393"/>
      <c r="O192" s="393"/>
      <c r="P192" s="393"/>
      <c r="Q192" s="393"/>
      <c r="R192" s="393"/>
      <c r="S192" s="393"/>
      <c r="T192" s="393"/>
      <c r="U192" s="393"/>
      <c r="V192" s="393"/>
      <c r="W192" s="393"/>
      <c r="X192" s="393"/>
      <c r="Y192" s="393"/>
      <c r="Z192" s="393"/>
      <c r="AA192" s="393"/>
      <c r="AB192" s="393"/>
      <c r="AC192" s="393"/>
      <c r="AD192" s="393"/>
      <c r="AE192" s="393"/>
      <c r="AF192" s="393"/>
      <c r="AG192" s="393"/>
      <c r="AH192" s="393"/>
      <c r="AI192" s="393"/>
      <c r="AJ192" s="393"/>
      <c r="AK192" s="393"/>
    </row>
    <row r="193" spans="1:37" ht="15.45" x14ac:dyDescent="0.4">
      <c r="A193" s="393"/>
      <c r="B193" s="394"/>
      <c r="C193" s="393"/>
      <c r="D193" s="393"/>
      <c r="E193" s="393"/>
      <c r="F193" s="393"/>
      <c r="G193" s="393"/>
      <c r="H193" s="393"/>
      <c r="I193" s="393"/>
      <c r="J193" s="393"/>
      <c r="K193" s="393"/>
      <c r="L193" s="393"/>
      <c r="M193" s="393"/>
      <c r="N193" s="393"/>
      <c r="O193" s="393"/>
      <c r="P193" s="393"/>
      <c r="Q193" s="393"/>
      <c r="R193" s="393"/>
      <c r="S193" s="393"/>
      <c r="T193" s="393"/>
      <c r="U193" s="393"/>
      <c r="V193" s="393"/>
      <c r="W193" s="393"/>
      <c r="X193" s="393"/>
      <c r="Y193" s="393"/>
      <c r="Z193" s="393"/>
      <c r="AA193" s="393"/>
      <c r="AB193" s="393"/>
      <c r="AC193" s="393"/>
      <c r="AD193" s="393"/>
      <c r="AE193" s="393"/>
      <c r="AF193" s="393"/>
      <c r="AG193" s="393"/>
      <c r="AH193" s="393"/>
      <c r="AI193" s="393"/>
      <c r="AJ193" s="393"/>
      <c r="AK193" s="393"/>
    </row>
    <row r="194" spans="1:37" ht="15.45" x14ac:dyDescent="0.4">
      <c r="A194" s="393"/>
      <c r="B194" s="394"/>
      <c r="C194" s="393"/>
      <c r="D194" s="393"/>
      <c r="E194" s="393"/>
      <c r="F194" s="393"/>
      <c r="G194" s="393"/>
      <c r="H194" s="393"/>
      <c r="I194" s="393"/>
      <c r="J194" s="393"/>
      <c r="K194" s="393"/>
      <c r="L194" s="393"/>
      <c r="M194" s="393"/>
      <c r="N194" s="393"/>
      <c r="O194" s="393"/>
      <c r="P194" s="393"/>
      <c r="Q194" s="393"/>
      <c r="R194" s="393"/>
      <c r="S194" s="393"/>
      <c r="T194" s="393"/>
      <c r="U194" s="393"/>
      <c r="V194" s="393"/>
      <c r="W194" s="393"/>
      <c r="X194" s="393"/>
      <c r="Y194" s="393"/>
      <c r="Z194" s="393"/>
      <c r="AA194" s="393"/>
      <c r="AB194" s="393"/>
      <c r="AC194" s="393"/>
      <c r="AD194" s="393"/>
      <c r="AE194" s="393"/>
      <c r="AF194" s="393"/>
      <c r="AG194" s="393"/>
      <c r="AH194" s="393"/>
      <c r="AI194" s="393"/>
      <c r="AJ194" s="393"/>
      <c r="AK194" s="393"/>
    </row>
  </sheetData>
  <sheetProtection selectLockedCells="1"/>
  <mergeCells count="32">
    <mergeCell ref="K1:N1"/>
    <mergeCell ref="C19:C20"/>
    <mergeCell ref="D19:D20"/>
    <mergeCell ref="A1:A2"/>
    <mergeCell ref="B19:B20"/>
    <mergeCell ref="H19:H20"/>
    <mergeCell ref="H1:J1"/>
    <mergeCell ref="C1:F1"/>
    <mergeCell ref="D7:F7"/>
    <mergeCell ref="D11:F11"/>
    <mergeCell ref="J23:N23"/>
    <mergeCell ref="K6:N6"/>
    <mergeCell ref="J3:N3"/>
    <mergeCell ref="C57:F57"/>
    <mergeCell ref="B50:F50"/>
    <mergeCell ref="A41:U41"/>
    <mergeCell ref="B43:F43"/>
    <mergeCell ref="C51:F51"/>
    <mergeCell ref="D14:E14"/>
    <mergeCell ref="B13:F13"/>
    <mergeCell ref="F19:F20"/>
    <mergeCell ref="L4:N4"/>
    <mergeCell ref="K5:N5"/>
    <mergeCell ref="K8:N8"/>
    <mergeCell ref="E19:E20"/>
    <mergeCell ref="J31:J32"/>
    <mergeCell ref="K31:K32"/>
    <mergeCell ref="L31:L32"/>
    <mergeCell ref="M31:M32"/>
    <mergeCell ref="N31:N32"/>
    <mergeCell ref="P31:P32"/>
    <mergeCell ref="O31:O32"/>
  </mergeCell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0A81B9E-2E68-4DC4-938D-5CB32CC181DD}">
          <x14:formula1>
            <xm:f>'Per Diem'!$A$2:$A$16</xm:f>
          </x14:formula1>
          <xm:sqref>B45</xm:sqref>
        </x14:dataValidation>
        <x14:dataValidation type="list" showInputMessage="1" showErrorMessage="1" xr:uid="{9D8A10C2-D841-4E60-AB18-EDB115BCD79D}">
          <x14:formula1>
            <xm:f>'Work Area'!$A$31:$A$32</xm:f>
          </x14:formula1>
          <xm:sqref>C14</xm:sqref>
        </x14:dataValidation>
        <x14:dataValidation type="list" allowBlank="1" showInputMessage="1" showErrorMessage="1" xr:uid="{57CE79AE-7657-4A90-B32C-FF7425177A03}">
          <x14:formula1>
            <xm:f>'Work Area'!$A$31:$A$32</xm:f>
          </x14:formula1>
          <xm:sqref>K4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A0830-8BB8-4090-8435-F4A9E0EA00AF}">
  <dimension ref="A1:W4"/>
  <sheetViews>
    <sheetView workbookViewId="0">
      <selection activeCell="P14" sqref="P14"/>
    </sheetView>
  </sheetViews>
  <sheetFormatPr defaultRowHeight="14.6" x14ac:dyDescent="0.4"/>
  <cols>
    <col min="1" max="1" width="7.3828125" bestFit="1" customWidth="1"/>
    <col min="2" max="2" width="12.3046875" bestFit="1" customWidth="1"/>
    <col min="3" max="3" width="12.84375" bestFit="1" customWidth="1"/>
    <col min="4" max="4" width="15.15234375" bestFit="1" customWidth="1"/>
    <col min="5" max="5" width="21.84375" bestFit="1" customWidth="1"/>
    <col min="6" max="6" width="8.3046875" style="288" customWidth="1"/>
    <col min="7" max="7" width="7.3828125" bestFit="1" customWidth="1"/>
    <col min="8" max="8" width="12.3046875" bestFit="1" customWidth="1"/>
    <col min="9" max="9" width="12.84375" bestFit="1" customWidth="1"/>
    <col min="10" max="10" width="15.15234375" bestFit="1" customWidth="1"/>
    <col min="11" max="11" width="21.84375" bestFit="1" customWidth="1"/>
    <col min="12" max="12" width="6.3046875" customWidth="1"/>
    <col min="13" max="13" width="7.3828125" bestFit="1" customWidth="1"/>
    <col min="14" max="14" width="12.3046875" bestFit="1" customWidth="1"/>
    <col min="15" max="15" width="12.84375" bestFit="1" customWidth="1"/>
    <col min="16" max="16" width="15.15234375" bestFit="1" customWidth="1"/>
    <col min="17" max="17" width="21.84375" bestFit="1" customWidth="1"/>
    <col min="19" max="19" width="7.3828125" bestFit="1" customWidth="1"/>
    <col min="20" max="20" width="12.3046875" bestFit="1" customWidth="1"/>
    <col min="21" max="21" width="12.84375" bestFit="1" customWidth="1"/>
    <col min="22" max="22" width="15.15234375" bestFit="1" customWidth="1"/>
    <col min="23" max="23" width="21.84375" bestFit="1" customWidth="1"/>
  </cols>
  <sheetData>
    <row r="1" spans="1:23" x14ac:dyDescent="0.4">
      <c r="A1" s="1157" t="s">
        <v>432</v>
      </c>
      <c r="B1" s="1157"/>
      <c r="C1" s="1157"/>
      <c r="D1" s="1157"/>
      <c r="E1" s="1157"/>
      <c r="G1" s="1158" t="s">
        <v>433</v>
      </c>
      <c r="H1" s="1158"/>
      <c r="I1" s="1158"/>
      <c r="J1" s="1158"/>
      <c r="K1" s="1158"/>
      <c r="M1" s="1159" t="s">
        <v>434</v>
      </c>
      <c r="N1" s="1159"/>
      <c r="O1" s="1159"/>
      <c r="P1" s="1159"/>
      <c r="Q1" s="1159"/>
      <c r="S1" s="1160" t="s">
        <v>925</v>
      </c>
      <c r="T1" s="1160"/>
      <c r="U1" s="1160"/>
      <c r="V1" s="1160"/>
      <c r="W1" s="1160"/>
    </row>
    <row r="2" spans="1:23" x14ac:dyDescent="0.4">
      <c r="A2" s="288" t="s">
        <v>11</v>
      </c>
      <c r="B2" s="288" t="s">
        <v>435</v>
      </c>
      <c r="C2" s="288" t="s">
        <v>436</v>
      </c>
      <c r="D2" s="288" t="s">
        <v>501</v>
      </c>
      <c r="E2" s="288" t="s">
        <v>715</v>
      </c>
      <c r="G2" s="288" t="s">
        <v>11</v>
      </c>
      <c r="H2" s="288" t="s">
        <v>435</v>
      </c>
      <c r="I2" s="288" t="s">
        <v>436</v>
      </c>
      <c r="J2" s="288" t="s">
        <v>501</v>
      </c>
      <c r="K2" s="288" t="s">
        <v>715</v>
      </c>
      <c r="M2" s="288" t="s">
        <v>11</v>
      </c>
      <c r="N2" s="288" t="s">
        <v>435</v>
      </c>
      <c r="O2" s="288" t="s">
        <v>436</v>
      </c>
      <c r="P2" s="288" t="s">
        <v>501</v>
      </c>
      <c r="Q2" s="288" t="s">
        <v>715</v>
      </c>
      <c r="S2" s="288" t="s">
        <v>11</v>
      </c>
      <c r="T2" s="288" t="s">
        <v>435</v>
      </c>
      <c r="U2" s="288" t="s">
        <v>436</v>
      </c>
      <c r="V2" s="288" t="s">
        <v>501</v>
      </c>
      <c r="W2" s="288" t="s">
        <v>715</v>
      </c>
    </row>
    <row r="3" spans="1:23" x14ac:dyDescent="0.4">
      <c r="A3" s="88"/>
      <c r="B3" s="288"/>
      <c r="C3" s="288"/>
      <c r="D3" s="288"/>
      <c r="E3" s="288"/>
      <c r="G3" s="88"/>
      <c r="H3" s="288"/>
      <c r="I3" s="288"/>
      <c r="J3" s="288"/>
      <c r="K3" s="288"/>
      <c r="M3" s="88"/>
      <c r="N3" s="288"/>
      <c r="O3" s="288"/>
      <c r="P3" s="288"/>
      <c r="Q3" s="288"/>
      <c r="S3" s="88"/>
      <c r="T3" s="288"/>
      <c r="U3" s="288"/>
      <c r="V3" s="288"/>
      <c r="W3" s="288"/>
    </row>
    <row r="4" spans="1:23" x14ac:dyDescent="0.4">
      <c r="A4" s="288"/>
      <c r="B4" s="288"/>
      <c r="C4" s="288"/>
      <c r="D4" s="288"/>
      <c r="E4" s="288"/>
      <c r="G4" s="288"/>
      <c r="H4" s="288"/>
      <c r="I4" s="288"/>
      <c r="J4" s="288"/>
      <c r="K4" s="288"/>
      <c r="M4" s="288"/>
      <c r="N4" s="288"/>
      <c r="O4" s="288"/>
      <c r="P4" s="288"/>
      <c r="Q4" s="288"/>
      <c r="S4" s="288"/>
      <c r="T4" s="288"/>
      <c r="U4" s="288"/>
      <c r="V4" s="288"/>
      <c r="W4" s="288"/>
    </row>
  </sheetData>
  <mergeCells count="4">
    <mergeCell ref="A1:E1"/>
    <mergeCell ref="G1:K1"/>
    <mergeCell ref="M1:Q1"/>
    <mergeCell ref="S1:W1"/>
  </mergeCell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42D57-F8AB-4A8E-8BAF-C9C7024F78CC}">
  <sheetPr codeName="Sheet7"/>
  <dimension ref="A1:AN428"/>
  <sheetViews>
    <sheetView workbookViewId="0">
      <pane xSplit="3" ySplit="2" topLeftCell="D153" activePane="bottomRight" state="frozen"/>
      <selection pane="topRight" activeCell="D1" sqref="D1"/>
      <selection pane="bottomLeft" activeCell="A3" sqref="A3"/>
      <selection pane="bottomRight" activeCell="E181" sqref="E181"/>
    </sheetView>
  </sheetViews>
  <sheetFormatPr defaultRowHeight="14.6" x14ac:dyDescent="0.4"/>
  <cols>
    <col min="1" max="1" width="12.3046875" style="6" customWidth="1"/>
    <col min="2" max="2" width="26.84375" customWidth="1"/>
    <col min="3" max="3" width="44.69140625" customWidth="1"/>
    <col min="4" max="4" width="10.53515625" style="10" customWidth="1"/>
    <col min="5" max="5" width="9.84375" style="5" bestFit="1" customWidth="1"/>
    <col min="6" max="6" width="15.15234375" style="273" customWidth="1"/>
    <col min="7" max="7" width="18.3046875" style="273" customWidth="1"/>
    <col min="8" max="8" width="19.53515625" style="273" customWidth="1"/>
    <col min="9" max="9" width="23.3046875" style="273" customWidth="1"/>
    <col min="10" max="10" width="19.3046875" style="273" customWidth="1"/>
    <col min="11" max="11" width="21.15234375" style="273" customWidth="1"/>
    <col min="12" max="12" width="22.53515625" style="273" customWidth="1"/>
    <col min="13" max="13" width="12.53515625" style="278" customWidth="1"/>
    <col min="14" max="14" width="22.84375" style="278" bestFit="1" customWidth="1"/>
    <col min="15" max="15" width="16.15234375" style="278" customWidth="1"/>
    <col min="16" max="16" width="21.3046875" style="278" bestFit="1" customWidth="1"/>
    <col min="17" max="18" width="14.3046875" style="278" customWidth="1"/>
    <col min="19" max="19" width="12.3046875" style="278" customWidth="1"/>
    <col min="20" max="20" width="12.53515625" style="28" customWidth="1"/>
    <col min="21" max="21" width="22.84375" style="28" bestFit="1" customWidth="1"/>
    <col min="22" max="22" width="16.15234375" style="28" customWidth="1"/>
    <col min="23" max="25" width="14.3046875" style="28" customWidth="1"/>
    <col min="26" max="26" width="12.3046875" style="28" customWidth="1"/>
    <col min="27" max="27" width="12.53515625" style="200" customWidth="1"/>
    <col min="28" max="28" width="22.84375" style="200" bestFit="1" customWidth="1"/>
    <col min="29" max="29" width="16.15234375" style="200" customWidth="1"/>
    <col min="30" max="32" width="14.3046875" style="200" customWidth="1"/>
    <col min="33" max="33" width="12.3046875" style="200" customWidth="1"/>
    <col min="34" max="34" width="12.3046875" style="30" bestFit="1" customWidth="1"/>
    <col min="35" max="35" width="12.3046875" style="27" bestFit="1" customWidth="1"/>
    <col min="36" max="36" width="12.3046875" style="28" bestFit="1" customWidth="1"/>
    <col min="37" max="37" width="12.3046875" style="200" bestFit="1" customWidth="1"/>
    <col min="38" max="38" width="12.3046875" customWidth="1"/>
    <col min="39" max="39" width="12.3046875" style="98" customWidth="1"/>
    <col min="40" max="40" width="83.3046875" style="22" customWidth="1"/>
  </cols>
  <sheetData>
    <row r="1" spans="1:40" x14ac:dyDescent="0.4">
      <c r="B1">
        <v>1</v>
      </c>
      <c r="C1">
        <v>2</v>
      </c>
      <c r="D1">
        <v>3</v>
      </c>
      <c r="E1" s="98">
        <v>4</v>
      </c>
      <c r="F1" s="273">
        <v>5</v>
      </c>
      <c r="G1" s="273">
        <v>6</v>
      </c>
      <c r="H1" s="273">
        <v>7</v>
      </c>
      <c r="I1" s="273">
        <v>8</v>
      </c>
      <c r="J1" s="273">
        <v>9</v>
      </c>
      <c r="K1" s="273">
        <v>10</v>
      </c>
      <c r="L1" s="273">
        <v>11</v>
      </c>
      <c r="M1" s="278">
        <v>12</v>
      </c>
      <c r="N1" s="278">
        <v>13</v>
      </c>
      <c r="O1" s="278">
        <v>14</v>
      </c>
      <c r="P1" s="278">
        <v>15</v>
      </c>
      <c r="Q1" s="278">
        <v>16</v>
      </c>
      <c r="R1" s="278">
        <v>17</v>
      </c>
      <c r="S1" s="278">
        <v>18</v>
      </c>
      <c r="T1" s="28">
        <v>19</v>
      </c>
      <c r="U1" s="28">
        <v>20</v>
      </c>
      <c r="V1" s="28">
        <v>21</v>
      </c>
      <c r="W1" s="28">
        <v>22</v>
      </c>
      <c r="X1" s="28">
        <v>23</v>
      </c>
      <c r="Y1" s="28">
        <v>24</v>
      </c>
      <c r="Z1" s="28">
        <v>25</v>
      </c>
      <c r="AA1" s="200">
        <v>26</v>
      </c>
      <c r="AB1" s="200">
        <v>27</v>
      </c>
      <c r="AC1" s="200">
        <v>28</v>
      </c>
      <c r="AD1" s="200">
        <v>29</v>
      </c>
      <c r="AE1" s="200">
        <v>30</v>
      </c>
      <c r="AF1" s="200">
        <v>31</v>
      </c>
      <c r="AG1" s="200">
        <v>32</v>
      </c>
      <c r="AH1" s="30">
        <v>33</v>
      </c>
      <c r="AI1" s="27">
        <v>34</v>
      </c>
      <c r="AJ1" s="28">
        <v>35</v>
      </c>
      <c r="AK1" s="200">
        <v>36</v>
      </c>
      <c r="AL1" s="98">
        <v>37</v>
      </c>
      <c r="AM1" s="98">
        <v>38</v>
      </c>
    </row>
    <row r="2" spans="1:40" ht="15" thickBot="1" x14ac:dyDescent="0.45">
      <c r="A2" s="3" t="s">
        <v>416</v>
      </c>
      <c r="B2" s="3" t="s">
        <v>11</v>
      </c>
      <c r="C2" s="3" t="s">
        <v>12</v>
      </c>
      <c r="D2" s="11" t="s">
        <v>361</v>
      </c>
      <c r="E2" s="1" t="s">
        <v>13</v>
      </c>
      <c r="F2" s="274" t="s">
        <v>414</v>
      </c>
      <c r="G2" s="274" t="s">
        <v>417</v>
      </c>
      <c r="H2" s="274" t="s">
        <v>421</v>
      </c>
      <c r="I2" s="274" t="s">
        <v>422</v>
      </c>
      <c r="J2" s="274" t="s">
        <v>423</v>
      </c>
      <c r="K2" s="274" t="s">
        <v>454</v>
      </c>
      <c r="L2" s="274" t="s">
        <v>495</v>
      </c>
      <c r="M2" s="279" t="s">
        <v>414</v>
      </c>
      <c r="N2" s="279" t="s">
        <v>417</v>
      </c>
      <c r="O2" s="279" t="s">
        <v>421</v>
      </c>
      <c r="P2" s="279" t="s">
        <v>422</v>
      </c>
      <c r="Q2" s="279" t="s">
        <v>423</v>
      </c>
      <c r="R2" s="279" t="s">
        <v>454</v>
      </c>
      <c r="S2" s="279" t="s">
        <v>495</v>
      </c>
      <c r="T2" s="150" t="s">
        <v>414</v>
      </c>
      <c r="U2" s="150" t="s">
        <v>417</v>
      </c>
      <c r="V2" s="150" t="s">
        <v>421</v>
      </c>
      <c r="W2" s="150" t="s">
        <v>422</v>
      </c>
      <c r="X2" s="150" t="s">
        <v>423</v>
      </c>
      <c r="Y2" s="150" t="s">
        <v>454</v>
      </c>
      <c r="Z2" s="150" t="s">
        <v>495</v>
      </c>
      <c r="AA2" s="201" t="s">
        <v>414</v>
      </c>
      <c r="AB2" s="201" t="s">
        <v>417</v>
      </c>
      <c r="AC2" s="201" t="s">
        <v>421</v>
      </c>
      <c r="AD2" s="201" t="s">
        <v>422</v>
      </c>
      <c r="AE2" s="201" t="s">
        <v>423</v>
      </c>
      <c r="AF2" s="201" t="s">
        <v>454</v>
      </c>
      <c r="AG2" s="201" t="s">
        <v>495</v>
      </c>
      <c r="AH2" s="160" t="s">
        <v>458</v>
      </c>
      <c r="AI2" s="155" t="s">
        <v>459</v>
      </c>
      <c r="AJ2" s="150" t="s">
        <v>460</v>
      </c>
      <c r="AK2" s="201" t="s">
        <v>797</v>
      </c>
      <c r="AL2" s="7" t="s">
        <v>478</v>
      </c>
      <c r="AM2" s="7" t="s">
        <v>810</v>
      </c>
      <c r="AN2" s="23" t="s">
        <v>879</v>
      </c>
    </row>
    <row r="3" spans="1:40" ht="15" thickTop="1" x14ac:dyDescent="0.4">
      <c r="A3" s="2" t="s">
        <v>0</v>
      </c>
      <c r="B3" s="2" t="s">
        <v>418</v>
      </c>
      <c r="C3" s="2" t="s">
        <v>418</v>
      </c>
      <c r="D3" s="12"/>
      <c r="E3" s="8">
        <v>0</v>
      </c>
      <c r="F3" s="275" t="s">
        <v>418</v>
      </c>
      <c r="G3" s="275" t="s">
        <v>418</v>
      </c>
      <c r="H3" s="275" t="s">
        <v>418</v>
      </c>
      <c r="I3" s="275" t="s">
        <v>418</v>
      </c>
      <c r="J3" s="275" t="s">
        <v>418</v>
      </c>
      <c r="K3" s="275" t="s">
        <v>418</v>
      </c>
      <c r="L3" s="275" t="s">
        <v>418</v>
      </c>
      <c r="M3" s="280" t="s">
        <v>418</v>
      </c>
      <c r="N3" s="280" t="s">
        <v>418</v>
      </c>
      <c r="O3" s="280" t="s">
        <v>418</v>
      </c>
      <c r="P3" s="280" t="s">
        <v>418</v>
      </c>
      <c r="Q3" s="280" t="s">
        <v>418</v>
      </c>
      <c r="R3" s="280" t="s">
        <v>418</v>
      </c>
      <c r="S3" s="280" t="s">
        <v>418</v>
      </c>
      <c r="T3" s="247" t="s">
        <v>418</v>
      </c>
      <c r="U3" s="247" t="s">
        <v>418</v>
      </c>
      <c r="V3" s="247" t="s">
        <v>418</v>
      </c>
      <c r="W3" s="247" t="s">
        <v>418</v>
      </c>
      <c r="X3" s="247" t="s">
        <v>418</v>
      </c>
      <c r="Y3" s="247" t="s">
        <v>418</v>
      </c>
      <c r="Z3" s="247" t="s">
        <v>418</v>
      </c>
      <c r="AA3" s="248" t="s">
        <v>418</v>
      </c>
      <c r="AB3" s="248" t="s">
        <v>418</v>
      </c>
      <c r="AC3" s="248" t="s">
        <v>418</v>
      </c>
      <c r="AD3" s="248" t="s">
        <v>418</v>
      </c>
      <c r="AE3" s="248" t="s">
        <v>418</v>
      </c>
      <c r="AF3" s="248" t="s">
        <v>418</v>
      </c>
      <c r="AG3" s="248" t="s">
        <v>418</v>
      </c>
    </row>
    <row r="4" spans="1:40" x14ac:dyDescent="0.4">
      <c r="A4" s="60" t="s">
        <v>0</v>
      </c>
      <c r="B4" s="2" t="s">
        <v>250</v>
      </c>
      <c r="C4" s="2" t="s">
        <v>251</v>
      </c>
      <c r="D4" s="12">
        <v>18.25</v>
      </c>
      <c r="E4" s="4">
        <v>46.580089999999998</v>
      </c>
      <c r="F4" s="275" t="s">
        <v>418</v>
      </c>
      <c r="G4" s="275" t="s">
        <v>418</v>
      </c>
      <c r="H4" s="275" t="s">
        <v>418</v>
      </c>
      <c r="I4" s="275" t="s">
        <v>418</v>
      </c>
      <c r="J4" s="275" t="s">
        <v>418</v>
      </c>
      <c r="K4" s="275" t="s">
        <v>418</v>
      </c>
      <c r="L4" s="275" t="s">
        <v>418</v>
      </c>
      <c r="M4" s="280" t="s">
        <v>418</v>
      </c>
      <c r="N4" s="280" t="s">
        <v>418</v>
      </c>
      <c r="O4" s="280" t="s">
        <v>418</v>
      </c>
      <c r="P4" s="280" t="s">
        <v>418</v>
      </c>
      <c r="Q4" s="280" t="s">
        <v>418</v>
      </c>
      <c r="R4" s="280" t="s">
        <v>418</v>
      </c>
      <c r="S4" s="280" t="s">
        <v>418</v>
      </c>
      <c r="T4" s="247" t="s">
        <v>418</v>
      </c>
      <c r="U4" s="247" t="s">
        <v>418</v>
      </c>
      <c r="V4" s="247" t="s">
        <v>418</v>
      </c>
      <c r="W4" s="247" t="s">
        <v>418</v>
      </c>
      <c r="X4" s="247" t="s">
        <v>418</v>
      </c>
      <c r="Y4" s="247" t="s">
        <v>418</v>
      </c>
      <c r="Z4" s="247" t="s">
        <v>418</v>
      </c>
      <c r="AA4" s="248" t="s">
        <v>418</v>
      </c>
      <c r="AB4" s="248" t="s">
        <v>418</v>
      </c>
      <c r="AC4" s="248" t="s">
        <v>418</v>
      </c>
      <c r="AD4" s="248" t="s">
        <v>418</v>
      </c>
      <c r="AE4" s="248" t="s">
        <v>418</v>
      </c>
      <c r="AF4" s="248" t="s">
        <v>418</v>
      </c>
      <c r="AG4" s="248" t="s">
        <v>418</v>
      </c>
    </row>
    <row r="5" spans="1:40" x14ac:dyDescent="0.4">
      <c r="A5" s="60" t="s">
        <v>0</v>
      </c>
      <c r="B5" s="2" t="s">
        <v>252</v>
      </c>
      <c r="C5" s="2" t="s">
        <v>253</v>
      </c>
      <c r="D5" s="12">
        <v>18.5</v>
      </c>
      <c r="E5" s="4">
        <v>43.086579999999998</v>
      </c>
      <c r="F5" s="275" t="s">
        <v>418</v>
      </c>
      <c r="G5" s="275" t="s">
        <v>418</v>
      </c>
      <c r="H5" s="275" t="s">
        <v>418</v>
      </c>
      <c r="I5" s="275" t="s">
        <v>418</v>
      </c>
      <c r="J5" s="275" t="s">
        <v>418</v>
      </c>
      <c r="K5" s="275" t="s">
        <v>418</v>
      </c>
      <c r="L5" s="275" t="s">
        <v>418</v>
      </c>
      <c r="M5" s="280" t="s">
        <v>418</v>
      </c>
      <c r="N5" s="280" t="s">
        <v>418</v>
      </c>
      <c r="O5" s="280" t="s">
        <v>418</v>
      </c>
      <c r="P5" s="280" t="s">
        <v>418</v>
      </c>
      <c r="Q5" s="280" t="s">
        <v>418</v>
      </c>
      <c r="R5" s="280" t="s">
        <v>418</v>
      </c>
      <c r="S5" s="280" t="s">
        <v>418</v>
      </c>
      <c r="T5" s="247" t="s">
        <v>418</v>
      </c>
      <c r="U5" s="247" t="s">
        <v>418</v>
      </c>
      <c r="V5" s="247" t="s">
        <v>418</v>
      </c>
      <c r="W5" s="247" t="s">
        <v>418</v>
      </c>
      <c r="X5" s="247" t="s">
        <v>418</v>
      </c>
      <c r="Y5" s="247" t="s">
        <v>418</v>
      </c>
      <c r="Z5" s="247" t="s">
        <v>418</v>
      </c>
      <c r="AA5" s="248" t="s">
        <v>418</v>
      </c>
      <c r="AB5" s="248" t="s">
        <v>418</v>
      </c>
      <c r="AC5" s="248" t="s">
        <v>418</v>
      </c>
      <c r="AD5" s="248" t="s">
        <v>418</v>
      </c>
      <c r="AE5" s="248" t="s">
        <v>418</v>
      </c>
      <c r="AF5" s="248" t="s">
        <v>418</v>
      </c>
      <c r="AG5" s="248" t="s">
        <v>418</v>
      </c>
    </row>
    <row r="6" spans="1:40" x14ac:dyDescent="0.4">
      <c r="A6" s="60" t="s">
        <v>0</v>
      </c>
      <c r="B6" s="2" t="s">
        <v>254</v>
      </c>
      <c r="C6" s="2" t="s">
        <v>255</v>
      </c>
      <c r="D6" s="12">
        <v>20</v>
      </c>
      <c r="E6" s="4">
        <v>46.580089999999998</v>
      </c>
      <c r="F6" s="275" t="s">
        <v>418</v>
      </c>
      <c r="G6" s="275" t="s">
        <v>418</v>
      </c>
      <c r="H6" s="275" t="s">
        <v>418</v>
      </c>
      <c r="I6" s="275" t="s">
        <v>418</v>
      </c>
      <c r="J6" s="275" t="s">
        <v>418</v>
      </c>
      <c r="K6" s="275" t="s">
        <v>418</v>
      </c>
      <c r="L6" s="275" t="s">
        <v>418</v>
      </c>
      <c r="M6" s="280" t="s">
        <v>418</v>
      </c>
      <c r="N6" s="280" t="s">
        <v>418</v>
      </c>
      <c r="O6" s="280" t="s">
        <v>418</v>
      </c>
      <c r="P6" s="280" t="s">
        <v>418</v>
      </c>
      <c r="Q6" s="280" t="s">
        <v>418</v>
      </c>
      <c r="R6" s="280" t="s">
        <v>418</v>
      </c>
      <c r="S6" s="280" t="s">
        <v>418</v>
      </c>
      <c r="T6" s="247" t="s">
        <v>418</v>
      </c>
      <c r="U6" s="247" t="s">
        <v>418</v>
      </c>
      <c r="V6" s="247" t="s">
        <v>418</v>
      </c>
      <c r="W6" s="247" t="s">
        <v>418</v>
      </c>
      <c r="X6" s="247" t="s">
        <v>418</v>
      </c>
      <c r="Y6" s="247" t="s">
        <v>418</v>
      </c>
      <c r="Z6" s="247" t="s">
        <v>418</v>
      </c>
      <c r="AA6" s="248" t="s">
        <v>418</v>
      </c>
      <c r="AB6" s="248" t="s">
        <v>418</v>
      </c>
      <c r="AC6" s="248" t="s">
        <v>418</v>
      </c>
      <c r="AD6" s="248" t="s">
        <v>418</v>
      </c>
      <c r="AE6" s="248" t="s">
        <v>418</v>
      </c>
      <c r="AF6" s="248" t="s">
        <v>418</v>
      </c>
      <c r="AG6" s="248" t="s">
        <v>418</v>
      </c>
    </row>
    <row r="7" spans="1:40" x14ac:dyDescent="0.4">
      <c r="A7" s="60" t="s">
        <v>0</v>
      </c>
      <c r="B7" s="2" t="s">
        <v>256</v>
      </c>
      <c r="C7" s="2" t="s">
        <v>257</v>
      </c>
      <c r="D7" s="12">
        <v>20</v>
      </c>
      <c r="E7" s="4">
        <v>60.93</v>
      </c>
      <c r="F7" s="275" t="s">
        <v>14</v>
      </c>
      <c r="G7" s="276" t="str">
        <f>IF('Area A'!$E$29&gt;0,$B$273,IF('Area A'!$D$31&gt;0,$B$273,IF('Area A'!$E$33&gt;0,'Item List'!$B$255,"None")))</f>
        <v>None</v>
      </c>
      <c r="H7" s="277" t="str">
        <f>$B$259</f>
        <v>INT-90°/650 rail</v>
      </c>
      <c r="I7" s="275" t="s">
        <v>418</v>
      </c>
      <c r="J7" s="275" t="s">
        <v>418</v>
      </c>
      <c r="K7" s="275" t="s">
        <v>418</v>
      </c>
      <c r="L7" s="275" t="s">
        <v>418</v>
      </c>
      <c r="M7" s="280" t="s">
        <v>14</v>
      </c>
      <c r="N7" s="281" t="str">
        <f>IF('Area B'!$E$29&gt;0,$B$273,IF('Area B'!$D$31&gt;0,$B$273,IF('Area B'!$E$33&gt;0,'Item List'!$B$255,"None")))</f>
        <v>None</v>
      </c>
      <c r="O7" s="282" t="s">
        <v>134</v>
      </c>
      <c r="P7" s="280" t="s">
        <v>418</v>
      </c>
      <c r="Q7" s="280" t="s">
        <v>418</v>
      </c>
      <c r="R7" s="280" t="s">
        <v>418</v>
      </c>
      <c r="S7" s="280" t="s">
        <v>418</v>
      </c>
      <c r="T7" s="247" t="s">
        <v>14</v>
      </c>
      <c r="U7" s="206" t="str">
        <f>IF('Area C'!$E$29&gt;0,$B$273,IF('Area C'!$D$31&gt;0,$B$273,IF('Area C'!$E$33&gt;0,'Item List'!$B$255,"None")))</f>
        <v>None</v>
      </c>
      <c r="V7" s="154" t="s">
        <v>134</v>
      </c>
      <c r="W7" s="247" t="s">
        <v>418</v>
      </c>
      <c r="X7" s="247" t="s">
        <v>418</v>
      </c>
      <c r="Y7" s="247" t="s">
        <v>418</v>
      </c>
      <c r="Z7" s="247" t="s">
        <v>418</v>
      </c>
      <c r="AA7" s="248" t="s">
        <v>14</v>
      </c>
      <c r="AB7" s="249" t="str">
        <f>IF('Area D'!$E$29&gt;0,$B$273,IF('Area D'!$D$31&gt;0,$B$273,IF('Area D'!$E$33&gt;0,'Item List'!$B$255,"None")))</f>
        <v>None</v>
      </c>
      <c r="AC7" s="202" t="s">
        <v>134</v>
      </c>
      <c r="AD7" s="248" t="s">
        <v>418</v>
      </c>
      <c r="AE7" s="248" t="s">
        <v>418</v>
      </c>
      <c r="AF7" s="248" t="s">
        <v>418</v>
      </c>
      <c r="AG7" s="248" t="s">
        <v>418</v>
      </c>
    </row>
    <row r="8" spans="1:40" x14ac:dyDescent="0.4">
      <c r="A8" s="60" t="s">
        <v>0</v>
      </c>
      <c r="B8" s="2" t="s">
        <v>258</v>
      </c>
      <c r="C8" s="2" t="s">
        <v>259</v>
      </c>
      <c r="D8" s="12">
        <v>20</v>
      </c>
      <c r="E8" s="4">
        <v>55.17</v>
      </c>
      <c r="F8" s="275" t="s">
        <v>30</v>
      </c>
      <c r="G8" s="276" t="str">
        <f>IF('Area A'!$E$29&gt;0,$B$274,IF('Area A'!$D$31&gt;0,$B$273,IF('Area A'!$E$33&gt;0,'Item List'!$B$256,"None")))</f>
        <v>None</v>
      </c>
      <c r="H8" s="277" t="str">
        <f>$B$259</f>
        <v>INT-90°/650 rail</v>
      </c>
      <c r="I8" s="275" t="s">
        <v>418</v>
      </c>
      <c r="J8" s="275" t="s">
        <v>418</v>
      </c>
      <c r="K8" s="275" t="s">
        <v>418</v>
      </c>
      <c r="L8" s="275" t="s">
        <v>418</v>
      </c>
      <c r="M8" s="280" t="s">
        <v>30</v>
      </c>
      <c r="N8" s="281" t="str">
        <f>IF('Area B'!$E$29&gt;0,$B$274,IF('Area B'!$D$31&gt;0,$B$273,IF('Area B'!$E$33&gt;0,'Item List'!$B$256,"None")))</f>
        <v>None</v>
      </c>
      <c r="O8" s="282" t="s">
        <v>134</v>
      </c>
      <c r="P8" s="280" t="s">
        <v>418</v>
      </c>
      <c r="Q8" s="280" t="s">
        <v>418</v>
      </c>
      <c r="R8" s="280" t="s">
        <v>418</v>
      </c>
      <c r="S8" s="280" t="s">
        <v>418</v>
      </c>
      <c r="T8" s="247" t="s">
        <v>30</v>
      </c>
      <c r="U8" s="206" t="str">
        <f>IF('Area C'!$E$29&gt;0,$B$274,IF('Area C'!$D$31&gt;0,$B$273,IF('Area C'!$E$33&gt;0,'Item List'!$B$256,"None")))</f>
        <v>None</v>
      </c>
      <c r="V8" s="154" t="s">
        <v>134</v>
      </c>
      <c r="W8" s="247" t="s">
        <v>418</v>
      </c>
      <c r="X8" s="247" t="s">
        <v>418</v>
      </c>
      <c r="Y8" s="247" t="s">
        <v>418</v>
      </c>
      <c r="Z8" s="247" t="s">
        <v>418</v>
      </c>
      <c r="AA8" s="248" t="s">
        <v>30</v>
      </c>
      <c r="AB8" s="249" t="str">
        <f>IF('Area D'!$E$29&gt;0,$B$274,IF('Area D'!$D$31&gt;0,$B$273,IF('Area D'!$E$33&gt;0,'Item List'!$B$256,"None")))</f>
        <v>None</v>
      </c>
      <c r="AC8" s="202" t="s">
        <v>134</v>
      </c>
      <c r="AD8" s="248" t="s">
        <v>418</v>
      </c>
      <c r="AE8" s="248" t="s">
        <v>418</v>
      </c>
      <c r="AF8" s="248" t="s">
        <v>418</v>
      </c>
      <c r="AG8" s="248" t="s">
        <v>418</v>
      </c>
    </row>
    <row r="9" spans="1:40" x14ac:dyDescent="0.4">
      <c r="A9" s="60" t="s">
        <v>0</v>
      </c>
      <c r="B9" s="2" t="s">
        <v>260</v>
      </c>
      <c r="C9" s="2" t="s">
        <v>261</v>
      </c>
      <c r="D9" s="12">
        <v>20</v>
      </c>
      <c r="E9" s="4">
        <v>71.417429999999996</v>
      </c>
      <c r="F9" s="275" t="s">
        <v>32</v>
      </c>
      <c r="G9" s="276" t="str">
        <f>IF('Area A'!$E$29&gt;0,$B$275,IF('Area A'!$D$31&gt;0,$B$273,IF('Area A'!$E$33&gt;0,'Item List'!$B$257,"None")))</f>
        <v>None</v>
      </c>
      <c r="H9" s="277" t="str">
        <f>$B$259</f>
        <v>INT-90°/650 rail</v>
      </c>
      <c r="I9" s="275" t="s">
        <v>418</v>
      </c>
      <c r="J9" s="275" t="s">
        <v>418</v>
      </c>
      <c r="K9" s="275" t="s">
        <v>418</v>
      </c>
      <c r="L9" s="275" t="s">
        <v>418</v>
      </c>
      <c r="M9" s="280" t="s">
        <v>32</v>
      </c>
      <c r="N9" s="281" t="str">
        <f>IF('Area B'!$E$29&gt;0,$B$275,IF('Area B'!$D$31&gt;0,$B$273,IF('Area B'!$E$33&gt;0,'Item List'!$B$257,"None")))</f>
        <v>None</v>
      </c>
      <c r="O9" s="282" t="s">
        <v>134</v>
      </c>
      <c r="P9" s="280" t="s">
        <v>418</v>
      </c>
      <c r="Q9" s="280" t="s">
        <v>418</v>
      </c>
      <c r="R9" s="280" t="s">
        <v>418</v>
      </c>
      <c r="S9" s="280" t="s">
        <v>418</v>
      </c>
      <c r="T9" s="247" t="s">
        <v>32</v>
      </c>
      <c r="U9" s="206" t="str">
        <f>IF('Area C'!$E$29&gt;0,$B$275,IF('Area C'!$D$31&gt;0,$B$273,IF('Area C'!$E$33&gt;0,'Item List'!$B$257,"None")))</f>
        <v>None</v>
      </c>
      <c r="V9" s="154" t="s">
        <v>134</v>
      </c>
      <c r="W9" s="247" t="s">
        <v>418</v>
      </c>
      <c r="X9" s="247" t="s">
        <v>418</v>
      </c>
      <c r="Y9" s="247" t="s">
        <v>418</v>
      </c>
      <c r="Z9" s="247" t="s">
        <v>418</v>
      </c>
      <c r="AA9" s="248" t="s">
        <v>32</v>
      </c>
      <c r="AB9" s="249" t="str">
        <f>IF('Area D'!$E$29&gt;0,$B$275,IF('Area D'!$D$31&gt;0,$B$273,IF('Area D'!$E$33&gt;0,'Item List'!$B$257,"None")))</f>
        <v>None</v>
      </c>
      <c r="AC9" s="202" t="s">
        <v>134</v>
      </c>
      <c r="AD9" s="248" t="s">
        <v>418</v>
      </c>
      <c r="AE9" s="248" t="s">
        <v>418</v>
      </c>
      <c r="AF9" s="248" t="s">
        <v>418</v>
      </c>
      <c r="AG9" s="248" t="s">
        <v>418</v>
      </c>
    </row>
    <row r="10" spans="1:40" x14ac:dyDescent="0.4">
      <c r="A10" s="60" t="s">
        <v>0</v>
      </c>
      <c r="B10" s="2" t="s">
        <v>262</v>
      </c>
      <c r="C10" s="2" t="s">
        <v>263</v>
      </c>
      <c r="D10" s="12">
        <v>20</v>
      </c>
      <c r="E10" s="4">
        <v>55.17</v>
      </c>
      <c r="F10" s="275" t="s">
        <v>34</v>
      </c>
      <c r="G10" s="276" t="str">
        <f>IF('Area A'!$E$29&gt;0,$B$276,IF('Area A'!$D$31&gt;0,$B$273,IF('Area A'!$E$33&gt;0,'Item List'!$B$258,"None")))</f>
        <v>None</v>
      </c>
      <c r="H10" s="277" t="str">
        <f>$B$259</f>
        <v>INT-90°/650 rail</v>
      </c>
      <c r="I10" s="275" t="s">
        <v>418</v>
      </c>
      <c r="J10" s="275" t="s">
        <v>418</v>
      </c>
      <c r="K10" s="275" t="s">
        <v>418</v>
      </c>
      <c r="L10" s="275" t="s">
        <v>418</v>
      </c>
      <c r="M10" s="280" t="s">
        <v>34</v>
      </c>
      <c r="N10" s="281" t="str">
        <f>IF('Area B'!$E$29&gt;0,$B$276,IF('Area B'!$D$31&gt;0,$B$273,IF('Area B'!$E$33&gt;0,'Item List'!$B$258,"None")))</f>
        <v>None</v>
      </c>
      <c r="O10" s="282" t="s">
        <v>134</v>
      </c>
      <c r="P10" s="280" t="s">
        <v>418</v>
      </c>
      <c r="Q10" s="280" t="s">
        <v>418</v>
      </c>
      <c r="R10" s="280" t="s">
        <v>418</v>
      </c>
      <c r="S10" s="280" t="s">
        <v>418</v>
      </c>
      <c r="T10" s="247" t="s">
        <v>34</v>
      </c>
      <c r="U10" s="206" t="str">
        <f>IF('Area C'!$E$29&gt;0,$B$276,IF('Area C'!$D$31&gt;0,$B$273,IF('Area C'!$E$33&gt;0,'Item List'!$B$258,"None")))</f>
        <v>None</v>
      </c>
      <c r="V10" s="154" t="s">
        <v>134</v>
      </c>
      <c r="W10" s="247" t="s">
        <v>418</v>
      </c>
      <c r="X10" s="247" t="s">
        <v>418</v>
      </c>
      <c r="Y10" s="247" t="s">
        <v>418</v>
      </c>
      <c r="Z10" s="247" t="s">
        <v>418</v>
      </c>
      <c r="AA10" s="248" t="s">
        <v>34</v>
      </c>
      <c r="AB10" s="249" t="str">
        <f>IF('Area D'!$E$29&gt;0,$B$276,IF('Area D'!$D$31&gt;0,$B$273,IF('Area D'!$E$33&gt;0,'Item List'!$B$258,"None")))</f>
        <v>None</v>
      </c>
      <c r="AC10" s="202" t="s">
        <v>134</v>
      </c>
      <c r="AD10" s="248" t="s">
        <v>418</v>
      </c>
      <c r="AE10" s="248" t="s">
        <v>418</v>
      </c>
      <c r="AF10" s="248" t="s">
        <v>418</v>
      </c>
      <c r="AG10" s="248" t="s">
        <v>418</v>
      </c>
    </row>
    <row r="11" spans="1:40" x14ac:dyDescent="0.4">
      <c r="A11" s="60" t="s">
        <v>0</v>
      </c>
      <c r="B11" s="2" t="s">
        <v>389</v>
      </c>
      <c r="C11" s="2" t="s">
        <v>390</v>
      </c>
      <c r="D11" s="12">
        <v>20</v>
      </c>
      <c r="E11" s="4">
        <v>87.89</v>
      </c>
      <c r="F11" s="275" t="str">
        <f>B197</f>
        <v>225 EP</v>
      </c>
      <c r="G11" s="275" t="s">
        <v>418</v>
      </c>
      <c r="H11" s="277" t="str">
        <f>B305</f>
        <v>Splice Series 225</v>
      </c>
      <c r="I11" s="275" t="s">
        <v>418</v>
      </c>
      <c r="J11" s="275" t="s">
        <v>418</v>
      </c>
      <c r="K11" s="275" t="s">
        <v>418</v>
      </c>
      <c r="L11" s="275" t="s">
        <v>418</v>
      </c>
      <c r="M11" s="280" t="s">
        <v>418</v>
      </c>
      <c r="N11" s="280" t="s">
        <v>418</v>
      </c>
      <c r="O11" s="282" t="s">
        <v>706</v>
      </c>
      <c r="P11" s="280" t="s">
        <v>418</v>
      </c>
      <c r="Q11" s="280" t="s">
        <v>418</v>
      </c>
      <c r="R11" s="280" t="s">
        <v>418</v>
      </c>
      <c r="S11" s="280" t="s">
        <v>418</v>
      </c>
      <c r="T11" s="247" t="s">
        <v>418</v>
      </c>
      <c r="U11" s="247" t="s">
        <v>418</v>
      </c>
      <c r="V11" s="154" t="s">
        <v>706</v>
      </c>
      <c r="W11" s="247" t="s">
        <v>418</v>
      </c>
      <c r="X11" s="247" t="s">
        <v>418</v>
      </c>
      <c r="Y11" s="247" t="s">
        <v>418</v>
      </c>
      <c r="Z11" s="247" t="s">
        <v>418</v>
      </c>
      <c r="AA11" s="248" t="s">
        <v>418</v>
      </c>
      <c r="AB11" s="248" t="s">
        <v>418</v>
      </c>
      <c r="AC11" s="202" t="s">
        <v>706</v>
      </c>
      <c r="AD11" s="248" t="s">
        <v>418</v>
      </c>
      <c r="AE11" s="248" t="s">
        <v>418</v>
      </c>
      <c r="AF11" s="248" t="s">
        <v>418</v>
      </c>
      <c r="AG11" s="248" t="s">
        <v>418</v>
      </c>
    </row>
    <row r="12" spans="1:40" x14ac:dyDescent="0.4">
      <c r="A12" s="60" t="s">
        <v>0</v>
      </c>
      <c r="B12" s="2" t="s">
        <v>264</v>
      </c>
      <c r="C12" s="2" t="s">
        <v>265</v>
      </c>
      <c r="D12" s="12">
        <v>20</v>
      </c>
      <c r="E12" s="4">
        <v>51.52</v>
      </c>
      <c r="F12" s="275" t="str">
        <f>B199</f>
        <v>375 EP - Mil</v>
      </c>
      <c r="G12" s="276" t="str">
        <f>IF(('Area A'!$E$29+'Area A'!$E$30)&gt;0,'Item List'!$B$314,IF('Area A'!$J$31&gt;0,'Item List'!$B$313,IF(('Area A'!$J$33+'Area A'!$J$34)&gt;0,'Item List'!$B$281,"none")))</f>
        <v>none</v>
      </c>
      <c r="H12" s="277" t="str">
        <f>B291</f>
        <v>RCB1</v>
      </c>
      <c r="I12" s="277" t="str">
        <f>B267</f>
        <v>PC1- POW Blk</v>
      </c>
      <c r="J12" s="275" t="s">
        <v>418</v>
      </c>
      <c r="K12" s="275" t="s">
        <v>418</v>
      </c>
      <c r="L12" s="275" t="s">
        <v>418</v>
      </c>
      <c r="M12" s="280" t="s">
        <v>418</v>
      </c>
      <c r="N12" s="281" t="str">
        <f>IF(('Area B'!$E$29+'Area B'!$E$30)&gt;0,'Item List'!$B$314,IF('Area B'!$J$31&gt;0,'Item List'!$B$313,IF(('Area B'!$J$33+'Area B'!$J$34)&gt;0,'Item List'!$B$281,"none")))</f>
        <v>none</v>
      </c>
      <c r="O12" s="282" t="s">
        <v>324</v>
      </c>
      <c r="P12" s="280" t="s">
        <v>157</v>
      </c>
      <c r="Q12" s="280" t="s">
        <v>418</v>
      </c>
      <c r="R12" s="280" t="s">
        <v>418</v>
      </c>
      <c r="S12" s="280" t="s">
        <v>418</v>
      </c>
      <c r="T12" s="247" t="s">
        <v>418</v>
      </c>
      <c r="U12" s="206" t="str">
        <f>IF(('Area C'!$E$29+'Area C'!$E$30)&gt;0,'Item List'!$B$314,IF('Area C'!$J$31&gt;0,'Item List'!$B$313,IF(('Area C'!$J$33+'Area C'!$J$34)&gt;0,'Item List'!$B$281,"none")))</f>
        <v>none</v>
      </c>
      <c r="V12" s="154" t="s">
        <v>324</v>
      </c>
      <c r="W12" s="247" t="s">
        <v>157</v>
      </c>
      <c r="X12" s="247" t="s">
        <v>418</v>
      </c>
      <c r="Y12" s="247" t="s">
        <v>418</v>
      </c>
      <c r="Z12" s="247" t="s">
        <v>418</v>
      </c>
      <c r="AA12" s="248" t="s">
        <v>418</v>
      </c>
      <c r="AB12" s="249" t="str">
        <f>IF(('Area D'!$E$29+'Area D'!$E$30)&gt;0,'Item List'!$B$314,IF('Area D'!$J$31&gt;0,'Item List'!$B$313,IF(('Area D'!$J$33+'Area D'!$J$34)&gt;0,'Item List'!$B$281,"none")))</f>
        <v>none</v>
      </c>
      <c r="AC12" s="202" t="s">
        <v>324</v>
      </c>
      <c r="AD12" s="248" t="s">
        <v>157</v>
      </c>
      <c r="AE12" s="248" t="s">
        <v>418</v>
      </c>
      <c r="AF12" s="248" t="s">
        <v>418</v>
      </c>
      <c r="AG12" s="248" t="s">
        <v>418</v>
      </c>
    </row>
    <row r="13" spans="1:40" x14ac:dyDescent="0.4">
      <c r="A13" s="60" t="s">
        <v>0</v>
      </c>
      <c r="B13" s="2" t="s">
        <v>266</v>
      </c>
      <c r="C13" s="2" t="s">
        <v>267</v>
      </c>
      <c r="D13" s="12">
        <v>20</v>
      </c>
      <c r="E13" s="4">
        <v>48.03</v>
      </c>
      <c r="F13" s="275" t="str">
        <f>B199</f>
        <v>375 EP - Mil</v>
      </c>
      <c r="G13" s="276" t="str">
        <f>IF(('Area A'!$E$29+'Area A'!$E$30)&gt;0,'Item List'!$B$314,IF('Area A'!$J$31&gt;0,'Item List'!$B$313,IF(('Area A'!$J$33+'Area A'!$J$34)&gt;0,'Item List'!$B$282,"none")))</f>
        <v>none</v>
      </c>
      <c r="H13" s="277" t="str">
        <f>B291</f>
        <v>RCB1</v>
      </c>
      <c r="I13" s="277" t="str">
        <f>B268</f>
        <v>PC1- POW Br</v>
      </c>
      <c r="J13" s="275" t="s">
        <v>418</v>
      </c>
      <c r="K13" s="275" t="s">
        <v>418</v>
      </c>
      <c r="L13" s="275" t="s">
        <v>418</v>
      </c>
      <c r="M13" s="280" t="s">
        <v>418</v>
      </c>
      <c r="N13" s="281" t="str">
        <f>IF(('Area B'!$E$29+'Area B'!$E$30)&gt;0,'Item List'!$B$314,IF('Area B'!$J$31&gt;0,'Item List'!$B$313,IF(('Area B'!$J$33+'Area B'!$J$34)&gt;0,'Item List'!$B$282,"none")))</f>
        <v>none</v>
      </c>
      <c r="O13" s="282" t="s">
        <v>324</v>
      </c>
      <c r="P13" s="280" t="s">
        <v>159</v>
      </c>
      <c r="Q13" s="280" t="s">
        <v>418</v>
      </c>
      <c r="R13" s="280" t="s">
        <v>418</v>
      </c>
      <c r="S13" s="280" t="s">
        <v>418</v>
      </c>
      <c r="T13" s="247" t="s">
        <v>418</v>
      </c>
      <c r="U13" s="206" t="str">
        <f>IF(('Area C'!$E$29+'Area C'!$E$30)&gt;0,'Item List'!$B$314,IF('Area C'!$J$31&gt;0,'Item List'!$B$313,IF(('Area C'!$J$33+'Area C'!$J$34)&gt;0,'Item List'!$B$282,"none")))</f>
        <v>none</v>
      </c>
      <c r="V13" s="154" t="s">
        <v>324</v>
      </c>
      <c r="W13" s="247" t="s">
        <v>159</v>
      </c>
      <c r="X13" s="247" t="s">
        <v>418</v>
      </c>
      <c r="Y13" s="247" t="s">
        <v>418</v>
      </c>
      <c r="Z13" s="247" t="s">
        <v>418</v>
      </c>
      <c r="AA13" s="248" t="s">
        <v>418</v>
      </c>
      <c r="AB13" s="249" t="str">
        <f>IF(('Area D'!$E$29+'Area D'!$E$30)&gt;0,'Item List'!$B$314,IF('Area D'!$J$31&gt;0,'Item List'!$B$313,IF(('Area D'!$J$33+'Area D'!$J$34)&gt;0,'Item List'!$B$282,"none")))</f>
        <v>none</v>
      </c>
      <c r="AC13" s="202" t="s">
        <v>324</v>
      </c>
      <c r="AD13" s="248" t="s">
        <v>159</v>
      </c>
      <c r="AE13" s="248" t="s">
        <v>418</v>
      </c>
      <c r="AF13" s="248" t="s">
        <v>418</v>
      </c>
      <c r="AG13" s="248" t="s">
        <v>418</v>
      </c>
    </row>
    <row r="14" spans="1:40" x14ac:dyDescent="0.4">
      <c r="A14" s="60" t="s">
        <v>0</v>
      </c>
      <c r="B14" s="2" t="s">
        <v>268</v>
      </c>
      <c r="C14" s="2" t="s">
        <v>269</v>
      </c>
      <c r="D14" s="12">
        <v>20</v>
      </c>
      <c r="E14" s="4">
        <v>59.38</v>
      </c>
      <c r="F14" s="275" t="str">
        <f>B199</f>
        <v>375 EP - Mil</v>
      </c>
      <c r="G14" s="276" t="str">
        <f>IF(('Area A'!$E$29+'Area A'!$E$30)&gt;0,'Item List'!$B$314,IF('Area A'!$J$31&gt;0,'Item List'!$B$313,IF(('Area A'!$J$33+'Area A'!$J$34)&gt;0,'Item List'!$B$283,"none")))</f>
        <v>none</v>
      </c>
      <c r="H14" s="277" t="str">
        <f>B291</f>
        <v>RCB1</v>
      </c>
      <c r="I14" s="277" t="str">
        <f>B270</f>
        <v>PC1-Cl</v>
      </c>
      <c r="J14" s="275" t="s">
        <v>418</v>
      </c>
      <c r="K14" s="275" t="s">
        <v>418</v>
      </c>
      <c r="L14" s="275" t="s">
        <v>418</v>
      </c>
      <c r="M14" s="280" t="s">
        <v>418</v>
      </c>
      <c r="N14" s="281" t="str">
        <f>IF(('Area B'!$E$29+'Area B'!$E$30)&gt;0,'Item List'!$B$314,IF('Area B'!$J$31&gt;0,'Item List'!$B$313,IF(('Area B'!$J$33+'Area B'!$J$34)&gt;0,'Item List'!$B$283,"none")))</f>
        <v>none</v>
      </c>
      <c r="O14" s="282" t="s">
        <v>324</v>
      </c>
      <c r="P14" s="280" t="s">
        <v>411</v>
      </c>
      <c r="Q14" s="280" t="s">
        <v>418</v>
      </c>
      <c r="R14" s="280" t="s">
        <v>418</v>
      </c>
      <c r="S14" s="280" t="s">
        <v>418</v>
      </c>
      <c r="T14" s="247" t="s">
        <v>418</v>
      </c>
      <c r="U14" s="206" t="str">
        <f>IF(('Area C'!$E$29+'Area C'!$E$30)&gt;0,'Item List'!$B$314,IF('Area C'!$J$31&gt;0,'Item List'!$B$313,IF(('Area C'!$J$33+'Area C'!$J$34)&gt;0,'Item List'!$B$283,"none")))</f>
        <v>none</v>
      </c>
      <c r="V14" s="154" t="s">
        <v>324</v>
      </c>
      <c r="W14" s="247" t="s">
        <v>411</v>
      </c>
      <c r="X14" s="247" t="s">
        <v>418</v>
      </c>
      <c r="Y14" s="247" t="s">
        <v>418</v>
      </c>
      <c r="Z14" s="247" t="s">
        <v>418</v>
      </c>
      <c r="AA14" s="248" t="s">
        <v>418</v>
      </c>
      <c r="AB14" s="249" t="str">
        <f>IF(('Area D'!$E$29+'Area D'!$E$30)&gt;0,'Item List'!$B$314,IF('Area D'!$J$31&gt;0,'Item List'!$B$313,IF(('Area D'!$J$33+'Area D'!$J$34)&gt;0,'Item List'!$B$283,"none")))</f>
        <v>none</v>
      </c>
      <c r="AC14" s="202" t="s">
        <v>324</v>
      </c>
      <c r="AD14" s="248" t="s">
        <v>411</v>
      </c>
      <c r="AE14" s="248" t="s">
        <v>418</v>
      </c>
      <c r="AF14" s="248" t="s">
        <v>418</v>
      </c>
      <c r="AG14" s="248" t="s">
        <v>418</v>
      </c>
    </row>
    <row r="15" spans="1:40" x14ac:dyDescent="0.4">
      <c r="A15" s="60" t="s">
        <v>0</v>
      </c>
      <c r="B15" s="2" t="s">
        <v>270</v>
      </c>
      <c r="C15" s="2" t="s">
        <v>271</v>
      </c>
      <c r="D15" s="12">
        <v>20</v>
      </c>
      <c r="E15" s="4">
        <v>47.68</v>
      </c>
      <c r="F15" s="275" t="str">
        <f>B199</f>
        <v>375 EP - Mil</v>
      </c>
      <c r="G15" s="276" t="str">
        <f>IF(('Area A'!$E$29+'Area A'!$E$30)&gt;0,'Item List'!$B$314,IF('Area A'!$J$31&gt;0,'Item List'!$B$313,IF(('Area A'!$J$33+'Area A'!$J$34)&gt;0,'Item List'!$B$284,"none")))</f>
        <v>none</v>
      </c>
      <c r="H15" s="275" t="str">
        <f>B291</f>
        <v>RCB1</v>
      </c>
      <c r="I15" s="277" t="str">
        <f>B269</f>
        <v>PC1- POW W</v>
      </c>
      <c r="J15" s="275" t="s">
        <v>418</v>
      </c>
      <c r="K15" s="275" t="s">
        <v>418</v>
      </c>
      <c r="L15" s="275" t="s">
        <v>418</v>
      </c>
      <c r="M15" s="280" t="s">
        <v>418</v>
      </c>
      <c r="N15" s="281" t="str">
        <f>IF(('Area B'!$E$29+'Area B'!$E$30)&gt;0,'Item List'!$B$314,IF('Area B'!$J$31&gt;0,'Item List'!$B$313,IF(('Area B'!$J$33+'Area B'!$J$34)&gt;0,'Item List'!$B$284,"none")))</f>
        <v>none</v>
      </c>
      <c r="O15" s="282" t="s">
        <v>324</v>
      </c>
      <c r="P15" s="280" t="s">
        <v>161</v>
      </c>
      <c r="Q15" s="280" t="s">
        <v>418</v>
      </c>
      <c r="R15" s="280" t="s">
        <v>418</v>
      </c>
      <c r="S15" s="280" t="s">
        <v>418</v>
      </c>
      <c r="T15" s="247" t="s">
        <v>418</v>
      </c>
      <c r="U15" s="206" t="str">
        <f>IF(('Area C'!$E$29+'Area C'!$E$30)&gt;0,'Item List'!$B$314,IF('Area C'!$J$31&gt;0,'Item List'!$B$313,IF(('Area C'!$J$33+'Area C'!$J$34)&gt;0,'Item List'!$B$284,"none")))</f>
        <v>none</v>
      </c>
      <c r="V15" s="154" t="s">
        <v>324</v>
      </c>
      <c r="W15" s="247" t="s">
        <v>161</v>
      </c>
      <c r="X15" s="247" t="s">
        <v>418</v>
      </c>
      <c r="Y15" s="247" t="s">
        <v>418</v>
      </c>
      <c r="Z15" s="247" t="s">
        <v>418</v>
      </c>
      <c r="AA15" s="248" t="s">
        <v>418</v>
      </c>
      <c r="AB15" s="249" t="str">
        <f>IF(('Area D'!$E$29+'Area D'!$E$30)&gt;0,'Item List'!$B$314,IF('Area D'!$J$31&gt;0,'Item List'!$B$313,IF(('Area D'!$J$33+'Area D'!$J$34)&gt;0,'Item List'!$B$284,"none")))</f>
        <v>none</v>
      </c>
      <c r="AC15" s="202" t="s">
        <v>324</v>
      </c>
      <c r="AD15" s="248" t="s">
        <v>161</v>
      </c>
      <c r="AE15" s="248" t="s">
        <v>418</v>
      </c>
      <c r="AF15" s="248" t="s">
        <v>418</v>
      </c>
      <c r="AG15" s="248" t="s">
        <v>418</v>
      </c>
    </row>
    <row r="16" spans="1:40" x14ac:dyDescent="0.4">
      <c r="A16" s="60" t="s">
        <v>0</v>
      </c>
      <c r="B16" s="2" t="s">
        <v>272</v>
      </c>
      <c r="C16" s="2" t="s">
        <v>273</v>
      </c>
      <c r="D16" s="12">
        <v>20</v>
      </c>
      <c r="E16" s="4">
        <v>23.643750000000001</v>
      </c>
      <c r="F16" s="275" t="s">
        <v>418</v>
      </c>
      <c r="G16" s="276" t="str">
        <f>IF('Area A'!$E$29&gt;0,$B$273,IF('Area A'!$D$31&gt;0,$B$273,IF('Area A'!$E$33&gt;0,'Item List'!$B$255,"None")))</f>
        <v>None</v>
      </c>
      <c r="H16" s="275" t="s">
        <v>418</v>
      </c>
      <c r="I16" s="275" t="s">
        <v>418</v>
      </c>
      <c r="J16" s="275" t="s">
        <v>418</v>
      </c>
      <c r="K16" s="275" t="s">
        <v>418</v>
      </c>
      <c r="L16" s="275" t="s">
        <v>418</v>
      </c>
      <c r="M16" s="280" t="s">
        <v>418</v>
      </c>
      <c r="N16" s="281" t="str">
        <f>IF('Area B'!$E$29&gt;0,I273,IF('Area B'!$D$31&gt;0,$B$273,IF('Area B'!$E$33&gt;0,'Item List'!$B$255,"None")))</f>
        <v>None</v>
      </c>
      <c r="O16" s="280" t="s">
        <v>418</v>
      </c>
      <c r="P16" s="280" t="s">
        <v>418</v>
      </c>
      <c r="Q16" s="280" t="s">
        <v>418</v>
      </c>
      <c r="R16" s="280" t="s">
        <v>418</v>
      </c>
      <c r="S16" s="280" t="s">
        <v>418</v>
      </c>
      <c r="T16" s="247" t="s">
        <v>418</v>
      </c>
      <c r="U16" s="206" t="str">
        <f>IF('Area C'!$E$29&gt;0,P273,IF('Area C'!$D$31&gt;0,$B$273,IF('Area C'!$E$33&gt;0,'Item List'!$B$255,"None")))</f>
        <v>None</v>
      </c>
      <c r="V16" s="247" t="s">
        <v>418</v>
      </c>
      <c r="W16" s="247" t="s">
        <v>418</v>
      </c>
      <c r="X16" s="247" t="s">
        <v>418</v>
      </c>
      <c r="Y16" s="247" t="s">
        <v>418</v>
      </c>
      <c r="Z16" s="247" t="s">
        <v>418</v>
      </c>
      <c r="AA16" s="248" t="s">
        <v>418</v>
      </c>
      <c r="AB16" s="249" t="str">
        <f>IF('Area D'!$E$29&gt;0,W273,IF('Area D'!$D$31&gt;0,$B$273,IF('Area D'!$E$33&gt;0,'Item List'!$B$255,"None")))</f>
        <v>None</v>
      </c>
      <c r="AC16" s="248" t="s">
        <v>418</v>
      </c>
      <c r="AD16" s="248" t="s">
        <v>418</v>
      </c>
      <c r="AE16" s="248" t="s">
        <v>418</v>
      </c>
      <c r="AF16" s="248" t="s">
        <v>418</v>
      </c>
      <c r="AG16" s="248" t="s">
        <v>418</v>
      </c>
    </row>
    <row r="17" spans="1:40" x14ac:dyDescent="0.4">
      <c r="A17" s="60" t="s">
        <v>0</v>
      </c>
      <c r="B17" s="2" t="s">
        <v>274</v>
      </c>
      <c r="C17" s="2" t="s">
        <v>275</v>
      </c>
      <c r="D17" s="12">
        <v>20</v>
      </c>
      <c r="E17" s="4">
        <v>20.94</v>
      </c>
      <c r="F17" s="275" t="s">
        <v>418</v>
      </c>
      <c r="G17" s="276" t="str">
        <f>IF('Area A'!$E$29&gt;0,$B$274,IF('Area A'!$D$31&gt;0,$B$273,IF('Area A'!$E$33&gt;0,'Item List'!$B$256,"none")))</f>
        <v>none</v>
      </c>
      <c r="H17" s="275" t="s">
        <v>418</v>
      </c>
      <c r="I17" s="275" t="s">
        <v>418</v>
      </c>
      <c r="J17" s="275" t="s">
        <v>418</v>
      </c>
      <c r="K17" s="275" t="s">
        <v>418</v>
      </c>
      <c r="L17" s="275" t="s">
        <v>418</v>
      </c>
      <c r="M17" s="280" t="s">
        <v>418</v>
      </c>
      <c r="N17" s="281" t="str">
        <f>IF('Area B'!$E$29&gt;0,I274,IF('Area B'!$D$31&gt;0,$B$273,IF('Area B'!$E$33&gt;0,'Item List'!$B$256,"none")))</f>
        <v>none</v>
      </c>
      <c r="O17" s="280" t="s">
        <v>418</v>
      </c>
      <c r="P17" s="280" t="s">
        <v>418</v>
      </c>
      <c r="Q17" s="280" t="s">
        <v>418</v>
      </c>
      <c r="R17" s="280" t="s">
        <v>418</v>
      </c>
      <c r="S17" s="280" t="s">
        <v>418</v>
      </c>
      <c r="T17" s="247" t="s">
        <v>418</v>
      </c>
      <c r="U17" s="206" t="str">
        <f>IF('Area C'!$E$29&gt;0,P274,IF('Area C'!$D$31&gt;0,$B$273,IF('Area C'!$E$33&gt;0,'Item List'!$B$256,"none")))</f>
        <v>none</v>
      </c>
      <c r="V17" s="247" t="s">
        <v>418</v>
      </c>
      <c r="W17" s="247" t="s">
        <v>418</v>
      </c>
      <c r="X17" s="247" t="s">
        <v>418</v>
      </c>
      <c r="Y17" s="247" t="s">
        <v>418</v>
      </c>
      <c r="Z17" s="247" t="s">
        <v>418</v>
      </c>
      <c r="AA17" s="248" t="s">
        <v>418</v>
      </c>
      <c r="AB17" s="249" t="str">
        <f>IF('Area D'!$E$29&gt;0,W274,IF('Area D'!$D$31&gt;0,$B$273,IF('Area D'!$E$33&gt;0,'Item List'!$B$256,"none")))</f>
        <v>none</v>
      </c>
      <c r="AC17" s="248" t="s">
        <v>418</v>
      </c>
      <c r="AD17" s="248" t="s">
        <v>418</v>
      </c>
      <c r="AE17" s="248" t="s">
        <v>418</v>
      </c>
      <c r="AF17" s="248" t="s">
        <v>418</v>
      </c>
      <c r="AG17" s="248" t="s">
        <v>418</v>
      </c>
    </row>
    <row r="18" spans="1:40" x14ac:dyDescent="0.4">
      <c r="A18" s="60" t="s">
        <v>0</v>
      </c>
      <c r="B18" s="2" t="s">
        <v>276</v>
      </c>
      <c r="C18" s="2" t="s">
        <v>277</v>
      </c>
      <c r="D18" s="12">
        <v>20</v>
      </c>
      <c r="E18" s="4">
        <v>29.67</v>
      </c>
      <c r="F18" s="275" t="s">
        <v>418</v>
      </c>
      <c r="G18" s="276" t="str">
        <f>IF('Area A'!$E$29&gt;0,$B$275,IF('Area A'!$D$31&gt;0,$B$273,IF('Area A'!$E$33&gt;0,'Item List'!$B$257,"none")))</f>
        <v>none</v>
      </c>
      <c r="H18" s="275" t="s">
        <v>418</v>
      </c>
      <c r="I18" s="275" t="s">
        <v>418</v>
      </c>
      <c r="J18" s="275" t="s">
        <v>418</v>
      </c>
      <c r="K18" s="275" t="s">
        <v>418</v>
      </c>
      <c r="L18" s="275" t="s">
        <v>418</v>
      </c>
      <c r="M18" s="280" t="s">
        <v>418</v>
      </c>
      <c r="N18" s="281" t="str">
        <f>IF('Area B'!$E$29&gt;0,I275,IF('Area B'!$D$31&gt;0,$B$273,IF('Area B'!$E$33&gt;0,'Item List'!$B$257,"none")))</f>
        <v>none</v>
      </c>
      <c r="O18" s="280" t="s">
        <v>418</v>
      </c>
      <c r="P18" s="280" t="s">
        <v>418</v>
      </c>
      <c r="Q18" s="280" t="s">
        <v>418</v>
      </c>
      <c r="R18" s="280" t="s">
        <v>418</v>
      </c>
      <c r="S18" s="280" t="s">
        <v>418</v>
      </c>
      <c r="T18" s="247" t="s">
        <v>418</v>
      </c>
      <c r="U18" s="206" t="str">
        <f>IF('Area C'!$E$29&gt;0,P275,IF('Area C'!$D$31&gt;0,$B$273,IF('Area C'!$E$33&gt;0,'Item List'!$B$257,"none")))</f>
        <v>none</v>
      </c>
      <c r="V18" s="247" t="s">
        <v>418</v>
      </c>
      <c r="W18" s="247" t="s">
        <v>418</v>
      </c>
      <c r="X18" s="247" t="s">
        <v>418</v>
      </c>
      <c r="Y18" s="247" t="s">
        <v>418</v>
      </c>
      <c r="Z18" s="247" t="s">
        <v>418</v>
      </c>
      <c r="AA18" s="248" t="s">
        <v>418</v>
      </c>
      <c r="AB18" s="249" t="str">
        <f>IF('Area D'!$E$29&gt;0,W275,IF('Area D'!$D$31&gt;0,$B$273,IF('Area D'!$E$33&gt;0,'Item List'!$B$257,"none")))</f>
        <v>none</v>
      </c>
      <c r="AC18" s="248" t="s">
        <v>418</v>
      </c>
      <c r="AD18" s="248" t="s">
        <v>418</v>
      </c>
      <c r="AE18" s="248" t="s">
        <v>418</v>
      </c>
      <c r="AF18" s="248" t="s">
        <v>418</v>
      </c>
      <c r="AG18" s="248" t="s">
        <v>418</v>
      </c>
    </row>
    <row r="19" spans="1:40" x14ac:dyDescent="0.4">
      <c r="A19" s="60" t="s">
        <v>0</v>
      </c>
      <c r="B19" s="2" t="s">
        <v>278</v>
      </c>
      <c r="C19" s="2" t="s">
        <v>279</v>
      </c>
      <c r="D19" s="12">
        <v>20</v>
      </c>
      <c r="E19" s="4">
        <v>54.29</v>
      </c>
      <c r="F19" s="275" t="s">
        <v>418</v>
      </c>
      <c r="G19" s="276" t="str">
        <f>IF('Area A'!$E$29&gt;0,$B$276,IF('Area A'!$D$31&gt;0,$B$273,IF('Area A'!$E$33&gt;0,'Item List'!$B$258,"None")))</f>
        <v>None</v>
      </c>
      <c r="H19" s="275" t="s">
        <v>418</v>
      </c>
      <c r="I19" s="275" t="s">
        <v>418</v>
      </c>
      <c r="J19" s="275" t="s">
        <v>418</v>
      </c>
      <c r="K19" s="275" t="s">
        <v>418</v>
      </c>
      <c r="L19" s="275" t="s">
        <v>418</v>
      </c>
      <c r="M19" s="280" t="s">
        <v>418</v>
      </c>
      <c r="N19" s="281" t="str">
        <f>IF('Area B'!$E$29&gt;0,I276,IF('Area B'!$D$31&gt;0,$B$273,IF('Area B'!$E$33&gt;0,'Item List'!$B$258,"None")))</f>
        <v>None</v>
      </c>
      <c r="O19" s="280" t="s">
        <v>418</v>
      </c>
      <c r="P19" s="280" t="s">
        <v>418</v>
      </c>
      <c r="Q19" s="280" t="s">
        <v>418</v>
      </c>
      <c r="R19" s="280" t="s">
        <v>418</v>
      </c>
      <c r="S19" s="280" t="s">
        <v>418</v>
      </c>
      <c r="T19" s="247" t="s">
        <v>418</v>
      </c>
      <c r="U19" s="206" t="str">
        <f>IF('Area C'!$E$29&gt;0,P276,IF('Area C'!$D$31&gt;0,$B$273,IF('Area C'!$E$33&gt;0,'Item List'!$B$258,"None")))</f>
        <v>None</v>
      </c>
      <c r="V19" s="247" t="s">
        <v>418</v>
      </c>
      <c r="W19" s="247" t="s">
        <v>418</v>
      </c>
      <c r="X19" s="247" t="s">
        <v>418</v>
      </c>
      <c r="Y19" s="247" t="s">
        <v>418</v>
      </c>
      <c r="Z19" s="247" t="s">
        <v>418</v>
      </c>
      <c r="AA19" s="248" t="s">
        <v>418</v>
      </c>
      <c r="AB19" s="249" t="str">
        <f>IF('Area D'!$E$29&gt;0,W276,IF('Area D'!$D$31&gt;0,$B$273,IF('Area D'!$E$33&gt;0,'Item List'!$B$258,"None")))</f>
        <v>None</v>
      </c>
      <c r="AC19" s="248" t="s">
        <v>418</v>
      </c>
      <c r="AD19" s="248" t="s">
        <v>418</v>
      </c>
      <c r="AE19" s="248" t="s">
        <v>418</v>
      </c>
      <c r="AF19" s="248" t="s">
        <v>418</v>
      </c>
      <c r="AG19" s="248" t="s">
        <v>418</v>
      </c>
    </row>
    <row r="20" spans="1:40" x14ac:dyDescent="0.4">
      <c r="A20" s="60" t="s">
        <v>0</v>
      </c>
      <c r="B20" s="2" t="s">
        <v>391</v>
      </c>
      <c r="C20" s="2" t="s">
        <v>392</v>
      </c>
      <c r="D20" s="12">
        <v>20</v>
      </c>
      <c r="E20" s="4">
        <v>93.846999999999994</v>
      </c>
      <c r="F20" s="275" t="s">
        <v>859</v>
      </c>
      <c r="G20" s="275" t="s">
        <v>418</v>
      </c>
      <c r="H20" s="277" t="str">
        <f>B255</f>
        <v>FI- Blk</v>
      </c>
      <c r="I20" s="275" t="s">
        <v>124</v>
      </c>
      <c r="J20" s="275" t="s">
        <v>189</v>
      </c>
      <c r="K20" s="275" t="s">
        <v>418</v>
      </c>
      <c r="L20" s="275" t="s">
        <v>418</v>
      </c>
      <c r="M20" s="280" t="s">
        <v>859</v>
      </c>
      <c r="N20" s="280" t="s">
        <v>418</v>
      </c>
      <c r="O20" s="282" t="s">
        <v>113</v>
      </c>
      <c r="P20" s="280" t="s">
        <v>124</v>
      </c>
      <c r="Q20" s="280" t="s">
        <v>189</v>
      </c>
      <c r="R20" s="280" t="s">
        <v>418</v>
      </c>
      <c r="S20" s="280" t="s">
        <v>418</v>
      </c>
      <c r="T20" s="247" t="s">
        <v>859</v>
      </c>
      <c r="U20" s="247" t="s">
        <v>418</v>
      </c>
      <c r="V20" s="154" t="s">
        <v>113</v>
      </c>
      <c r="W20" s="247" t="s">
        <v>124</v>
      </c>
      <c r="X20" s="247" t="s">
        <v>189</v>
      </c>
      <c r="Y20" s="247" t="s">
        <v>418</v>
      </c>
      <c r="Z20" s="247" t="s">
        <v>418</v>
      </c>
      <c r="AA20" s="248" t="s">
        <v>859</v>
      </c>
      <c r="AB20" s="248" t="s">
        <v>418</v>
      </c>
      <c r="AC20" s="202" t="s">
        <v>113</v>
      </c>
      <c r="AD20" s="248" t="s">
        <v>124</v>
      </c>
      <c r="AE20" s="248" t="s">
        <v>189</v>
      </c>
      <c r="AF20" s="248" t="s">
        <v>418</v>
      </c>
      <c r="AG20" s="248" t="s">
        <v>418</v>
      </c>
    </row>
    <row r="21" spans="1:40" x14ac:dyDescent="0.4">
      <c r="A21" s="60" t="s">
        <v>0</v>
      </c>
      <c r="B21" s="2" t="s">
        <v>505</v>
      </c>
      <c r="C21" s="2" t="s">
        <v>506</v>
      </c>
      <c r="D21" s="12">
        <v>20</v>
      </c>
      <c r="E21" s="4">
        <v>101</v>
      </c>
      <c r="F21" s="275" t="s">
        <v>859</v>
      </c>
      <c r="G21" s="275" t="s">
        <v>418</v>
      </c>
      <c r="H21" s="277" t="str">
        <f>B257</f>
        <v>FI- Cl</v>
      </c>
      <c r="I21" s="275" t="s">
        <v>418</v>
      </c>
      <c r="J21" s="275" t="s">
        <v>189</v>
      </c>
      <c r="K21" s="275" t="s">
        <v>418</v>
      </c>
      <c r="L21" s="275" t="s">
        <v>418</v>
      </c>
      <c r="M21" s="280" t="s">
        <v>859</v>
      </c>
      <c r="N21" s="280" t="s">
        <v>418</v>
      </c>
      <c r="O21" s="282" t="s">
        <v>117</v>
      </c>
      <c r="P21" s="280" t="s">
        <v>418</v>
      </c>
      <c r="Q21" s="280" t="s">
        <v>189</v>
      </c>
      <c r="R21" s="280" t="s">
        <v>418</v>
      </c>
      <c r="S21" s="280" t="s">
        <v>418</v>
      </c>
      <c r="T21" s="247" t="s">
        <v>859</v>
      </c>
      <c r="U21" s="247" t="s">
        <v>418</v>
      </c>
      <c r="V21" s="154" t="s">
        <v>117</v>
      </c>
      <c r="W21" s="247" t="s">
        <v>418</v>
      </c>
      <c r="X21" s="247" t="s">
        <v>189</v>
      </c>
      <c r="Y21" s="247" t="s">
        <v>418</v>
      </c>
      <c r="Z21" s="247" t="s">
        <v>418</v>
      </c>
      <c r="AA21" s="248" t="s">
        <v>859</v>
      </c>
      <c r="AB21" s="248" t="s">
        <v>418</v>
      </c>
      <c r="AC21" s="202" t="s">
        <v>117</v>
      </c>
      <c r="AD21" s="248" t="s">
        <v>418</v>
      </c>
      <c r="AE21" s="248" t="s">
        <v>189</v>
      </c>
      <c r="AF21" s="248" t="s">
        <v>418</v>
      </c>
      <c r="AG21" s="248" t="s">
        <v>418</v>
      </c>
    </row>
    <row r="22" spans="1:40" x14ac:dyDescent="0.4">
      <c r="A22" s="60" t="s">
        <v>0</v>
      </c>
      <c r="B22" s="2" t="s">
        <v>106</v>
      </c>
      <c r="C22" s="2" t="s">
        <v>455</v>
      </c>
      <c r="D22" s="12">
        <v>20</v>
      </c>
      <c r="E22" s="4">
        <v>85.846670000000003</v>
      </c>
      <c r="F22" s="275" t="s">
        <v>418</v>
      </c>
      <c r="G22" s="275" t="s">
        <v>418</v>
      </c>
      <c r="H22" s="275" t="s">
        <v>418</v>
      </c>
      <c r="I22" s="275" t="s">
        <v>418</v>
      </c>
      <c r="J22" s="275" t="s">
        <v>418</v>
      </c>
      <c r="K22" s="275" t="s">
        <v>418</v>
      </c>
      <c r="L22" s="275" t="s">
        <v>418</v>
      </c>
      <c r="M22" s="280" t="s">
        <v>418</v>
      </c>
      <c r="N22" s="280" t="s">
        <v>418</v>
      </c>
      <c r="O22" s="280" t="s">
        <v>418</v>
      </c>
      <c r="P22" s="280" t="s">
        <v>418</v>
      </c>
      <c r="Q22" s="280" t="s">
        <v>418</v>
      </c>
      <c r="R22" s="280" t="s">
        <v>418</v>
      </c>
      <c r="S22" s="280" t="s">
        <v>418</v>
      </c>
      <c r="T22" s="247" t="s">
        <v>418</v>
      </c>
      <c r="U22" s="247" t="s">
        <v>418</v>
      </c>
      <c r="V22" s="247" t="s">
        <v>418</v>
      </c>
      <c r="W22" s="247" t="s">
        <v>418</v>
      </c>
      <c r="X22" s="247" t="s">
        <v>418</v>
      </c>
      <c r="Y22" s="247" t="s">
        <v>418</v>
      </c>
      <c r="Z22" s="247" t="s">
        <v>418</v>
      </c>
      <c r="AA22" s="248" t="s">
        <v>418</v>
      </c>
      <c r="AB22" s="248" t="s">
        <v>418</v>
      </c>
      <c r="AC22" s="248" t="s">
        <v>418</v>
      </c>
      <c r="AD22" s="248" t="s">
        <v>418</v>
      </c>
      <c r="AE22" s="248" t="s">
        <v>418</v>
      </c>
      <c r="AF22" s="248" t="s">
        <v>418</v>
      </c>
      <c r="AG22" s="248" t="s">
        <v>418</v>
      </c>
    </row>
    <row r="23" spans="1:40" x14ac:dyDescent="0.4">
      <c r="A23" s="60" t="s">
        <v>0</v>
      </c>
      <c r="B23" s="2" t="s">
        <v>280</v>
      </c>
      <c r="C23" s="2" t="s">
        <v>281</v>
      </c>
      <c r="D23" s="12">
        <v>20</v>
      </c>
      <c r="E23" s="4">
        <v>60.64</v>
      </c>
      <c r="F23" s="275" t="s">
        <v>16</v>
      </c>
      <c r="G23" s="276" t="str">
        <f>IF('Area A'!$E$29&gt;0,$B$273,IF('Area A'!$D$31&gt;0,$B$273,IF('Area A'!$E$33&gt;0,'Item List'!$B$255,"None")))</f>
        <v>None</v>
      </c>
      <c r="H23" s="275" t="s">
        <v>418</v>
      </c>
      <c r="I23" s="275" t="s">
        <v>418</v>
      </c>
      <c r="J23" s="275" t="s">
        <v>418</v>
      </c>
      <c r="K23" s="275" t="s">
        <v>418</v>
      </c>
      <c r="L23" s="275" t="s">
        <v>418</v>
      </c>
      <c r="M23" s="280" t="s">
        <v>16</v>
      </c>
      <c r="N23" s="281" t="str">
        <f>IF('Area B'!$E$29&gt;0,$B$273,IF('Area B'!$D$31&gt;0,$B$273,IF('Area B'!$E$33&gt;0,'Item List'!$B$255,"None")))</f>
        <v>None</v>
      </c>
      <c r="O23" s="280" t="s">
        <v>418</v>
      </c>
      <c r="P23" s="280" t="s">
        <v>418</v>
      </c>
      <c r="Q23" s="280" t="s">
        <v>418</v>
      </c>
      <c r="R23" s="280" t="s">
        <v>418</v>
      </c>
      <c r="S23" s="280" t="s">
        <v>418</v>
      </c>
      <c r="T23" s="247" t="s">
        <v>16</v>
      </c>
      <c r="U23" s="206" t="str">
        <f>IF('Area C'!$E$29&gt;0,$B$273,IF('Area C'!$D$31&gt;0,$B$273,IF('Area C'!$E$33&gt;0,'Item List'!$B$255,"None")))</f>
        <v>None</v>
      </c>
      <c r="V23" s="247" t="s">
        <v>418</v>
      </c>
      <c r="W23" s="247" t="s">
        <v>418</v>
      </c>
      <c r="X23" s="247" t="s">
        <v>418</v>
      </c>
      <c r="Y23" s="247" t="s">
        <v>418</v>
      </c>
      <c r="Z23" s="247" t="s">
        <v>418</v>
      </c>
      <c r="AA23" s="248" t="s">
        <v>16</v>
      </c>
      <c r="AB23" s="249" t="str">
        <f>IF('Area D'!$E$29&gt;0,$B$273,IF('Area D'!$D$31&gt;0,$B$273,IF('Area D'!$E$33&gt;0,'Item List'!$B$255,"None")))</f>
        <v>None</v>
      </c>
      <c r="AC23" s="248" t="s">
        <v>418</v>
      </c>
      <c r="AD23" s="248" t="s">
        <v>418</v>
      </c>
      <c r="AE23" s="248" t="s">
        <v>418</v>
      </c>
      <c r="AF23" s="248" t="s">
        <v>418</v>
      </c>
      <c r="AG23" s="248" t="s">
        <v>418</v>
      </c>
    </row>
    <row r="24" spans="1:40" x14ac:dyDescent="0.4">
      <c r="A24" s="60" t="s">
        <v>0</v>
      </c>
      <c r="B24" s="2" t="s">
        <v>282</v>
      </c>
      <c r="C24" s="2" t="s">
        <v>283</v>
      </c>
      <c r="D24" s="12">
        <v>20</v>
      </c>
      <c r="E24" s="4">
        <v>55.44</v>
      </c>
      <c r="F24" s="275" t="s">
        <v>58</v>
      </c>
      <c r="G24" s="276" t="str">
        <f>IF('Area A'!$E$29&gt;0,$B$274,IF('Area A'!$D$31&gt;0,$B$273,IF('Area A'!$E$33&gt;0,'Item List'!$B$256,"None")))</f>
        <v>None</v>
      </c>
      <c r="H24" s="275" t="s">
        <v>418</v>
      </c>
      <c r="I24" s="275" t="s">
        <v>418</v>
      </c>
      <c r="J24" s="275" t="s">
        <v>418</v>
      </c>
      <c r="K24" s="275" t="s">
        <v>418</v>
      </c>
      <c r="L24" s="275" t="s">
        <v>418</v>
      </c>
      <c r="M24" s="280" t="s">
        <v>58</v>
      </c>
      <c r="N24" s="281" t="str">
        <f>IF('Area B'!$E$29&gt;0,$B$274,IF('Area B'!$D$31&gt;0,$B$273,IF('Area B'!$E$33&gt;0,'Item List'!$B$256,"None")))</f>
        <v>None</v>
      </c>
      <c r="O24" s="280" t="s">
        <v>418</v>
      </c>
      <c r="P24" s="280" t="s">
        <v>418</v>
      </c>
      <c r="Q24" s="280" t="s">
        <v>418</v>
      </c>
      <c r="R24" s="280" t="s">
        <v>418</v>
      </c>
      <c r="S24" s="280" t="s">
        <v>418</v>
      </c>
      <c r="T24" s="247" t="s">
        <v>58</v>
      </c>
      <c r="U24" s="206" t="str">
        <f>IF('Area C'!$E$29&gt;0,$B$274,IF('Area C'!$D$31&gt;0,$B$273,IF('Area C'!$E$33&gt;0,'Item List'!$B$256,"None")))</f>
        <v>None</v>
      </c>
      <c r="V24" s="247" t="s">
        <v>418</v>
      </c>
      <c r="W24" s="247" t="s">
        <v>418</v>
      </c>
      <c r="X24" s="247" t="s">
        <v>418</v>
      </c>
      <c r="Y24" s="247" t="s">
        <v>418</v>
      </c>
      <c r="Z24" s="247" t="s">
        <v>418</v>
      </c>
      <c r="AA24" s="248" t="s">
        <v>58</v>
      </c>
      <c r="AB24" s="249" t="str">
        <f>IF('Area D'!$E$29&gt;0,$B$274,IF('Area D'!$D$31&gt;0,$B$273,IF('Area D'!$E$33&gt;0,'Item List'!$B$256,"None")))</f>
        <v>None</v>
      </c>
      <c r="AC24" s="248" t="s">
        <v>418</v>
      </c>
      <c r="AD24" s="248" t="s">
        <v>418</v>
      </c>
      <c r="AE24" s="248" t="s">
        <v>418</v>
      </c>
      <c r="AF24" s="248" t="s">
        <v>418</v>
      </c>
      <c r="AG24" s="248" t="s">
        <v>418</v>
      </c>
    </row>
    <row r="25" spans="1:40" x14ac:dyDescent="0.4">
      <c r="A25" s="60" t="s">
        <v>0</v>
      </c>
      <c r="B25" s="2" t="s">
        <v>284</v>
      </c>
      <c r="C25" s="2" t="s">
        <v>285</v>
      </c>
      <c r="D25" s="12">
        <v>20</v>
      </c>
      <c r="E25" s="4">
        <v>57.922330000000002</v>
      </c>
      <c r="F25" s="275" t="s">
        <v>60</v>
      </c>
      <c r="G25" s="276" t="str">
        <f>IF('Area A'!$E$29&gt;0,$B$275,IF('Area A'!$D$31&gt;0,$B$273,IF('Area A'!$E$33&gt;0,'Item List'!$B$257,"None")))</f>
        <v>None</v>
      </c>
      <c r="H25" s="275" t="s">
        <v>418</v>
      </c>
      <c r="I25" s="275" t="s">
        <v>418</v>
      </c>
      <c r="J25" s="275" t="s">
        <v>418</v>
      </c>
      <c r="K25" s="275" t="s">
        <v>418</v>
      </c>
      <c r="L25" s="275" t="s">
        <v>418</v>
      </c>
      <c r="M25" s="280" t="s">
        <v>60</v>
      </c>
      <c r="N25" s="281" t="str">
        <f>IF('Area B'!$E$29&gt;0,$B$275,IF('Area B'!$D$31&gt;0,$B$273,IF('Area B'!$E$33&gt;0,'Item List'!$B$257,"None")))</f>
        <v>None</v>
      </c>
      <c r="O25" s="280" t="s">
        <v>418</v>
      </c>
      <c r="P25" s="280" t="s">
        <v>418</v>
      </c>
      <c r="Q25" s="280" t="s">
        <v>418</v>
      </c>
      <c r="R25" s="280" t="s">
        <v>418</v>
      </c>
      <c r="S25" s="280" t="s">
        <v>418</v>
      </c>
      <c r="T25" s="247" t="s">
        <v>60</v>
      </c>
      <c r="U25" s="206" t="str">
        <f>IF('Area C'!$E$29&gt;0,$B$275,IF('Area C'!$D$31&gt;0,$B$273,IF('Area C'!$E$33&gt;0,'Item List'!$B$257,"None")))</f>
        <v>None</v>
      </c>
      <c r="V25" s="247" t="s">
        <v>418</v>
      </c>
      <c r="W25" s="247" t="s">
        <v>418</v>
      </c>
      <c r="X25" s="247" t="s">
        <v>418</v>
      </c>
      <c r="Y25" s="247" t="s">
        <v>418</v>
      </c>
      <c r="Z25" s="247" t="s">
        <v>418</v>
      </c>
      <c r="AA25" s="248" t="s">
        <v>60</v>
      </c>
      <c r="AB25" s="249" t="str">
        <f>IF('Area D'!$E$29&gt;0,$B$275,IF('Area D'!$D$31&gt;0,$B$273,IF('Area D'!$E$33&gt;0,'Item List'!$B$257,"None")))</f>
        <v>None</v>
      </c>
      <c r="AC25" s="248" t="s">
        <v>418</v>
      </c>
      <c r="AD25" s="248" t="s">
        <v>418</v>
      </c>
      <c r="AE25" s="248" t="s">
        <v>418</v>
      </c>
      <c r="AF25" s="248" t="s">
        <v>418</v>
      </c>
      <c r="AG25" s="248" t="s">
        <v>418</v>
      </c>
    </row>
    <row r="26" spans="1:40" ht="17.25" customHeight="1" x14ac:dyDescent="0.4">
      <c r="A26" s="60" t="s">
        <v>0</v>
      </c>
      <c r="B26" s="2" t="s">
        <v>286</v>
      </c>
      <c r="C26" s="2" t="s">
        <v>287</v>
      </c>
      <c r="D26" s="12">
        <v>20</v>
      </c>
      <c r="E26" s="4">
        <v>48.95</v>
      </c>
      <c r="F26" s="275" t="s">
        <v>62</v>
      </c>
      <c r="G26" s="276" t="str">
        <f>IF('Area A'!$E$29&gt;0,$B$276,IF('Area A'!$D$31&gt;0,$B$273,IF('Area A'!$E$33&gt;0,'Item List'!$B$258,"None")))</f>
        <v>None</v>
      </c>
      <c r="H26" s="275" t="s">
        <v>418</v>
      </c>
      <c r="I26" s="275" t="s">
        <v>418</v>
      </c>
      <c r="J26" s="275" t="s">
        <v>418</v>
      </c>
      <c r="K26" s="275" t="s">
        <v>418</v>
      </c>
      <c r="L26" s="275" t="s">
        <v>418</v>
      </c>
      <c r="M26" s="280" t="s">
        <v>62</v>
      </c>
      <c r="N26" s="281" t="str">
        <f>IF('Area B'!$E$29&gt;0,$B$276,IF('Area B'!$D$31&gt;0,$B$273,IF('Area B'!$E$33&gt;0,'Item List'!$B$258,"None")))</f>
        <v>None</v>
      </c>
      <c r="O26" s="280" t="s">
        <v>418</v>
      </c>
      <c r="P26" s="280" t="s">
        <v>418</v>
      </c>
      <c r="Q26" s="280" t="s">
        <v>418</v>
      </c>
      <c r="R26" s="280" t="s">
        <v>418</v>
      </c>
      <c r="S26" s="280" t="s">
        <v>418</v>
      </c>
      <c r="T26" s="247" t="s">
        <v>62</v>
      </c>
      <c r="U26" s="206" t="str">
        <f>IF('Area C'!$E$29&gt;0,$B$276,IF('Area C'!$D$31&gt;0,$B$273,IF('Area C'!$E$33&gt;0,'Item List'!$B$258,"None")))</f>
        <v>None</v>
      </c>
      <c r="V26" s="247" t="s">
        <v>418</v>
      </c>
      <c r="W26" s="247" t="s">
        <v>418</v>
      </c>
      <c r="X26" s="247" t="s">
        <v>418</v>
      </c>
      <c r="Y26" s="247" t="s">
        <v>418</v>
      </c>
      <c r="Z26" s="247" t="s">
        <v>418</v>
      </c>
      <c r="AA26" s="248" t="s">
        <v>62</v>
      </c>
      <c r="AB26" s="249" t="str">
        <f>IF('Area D'!$E$29&gt;0,$B$276,IF('Area D'!$D$31&gt;0,$B$273,IF('Area D'!$E$33&gt;0,'Item List'!$B$258,"None")))</f>
        <v>None</v>
      </c>
      <c r="AC26" s="248" t="s">
        <v>418</v>
      </c>
      <c r="AD26" s="248" t="s">
        <v>418</v>
      </c>
      <c r="AE26" s="248" t="s">
        <v>418</v>
      </c>
      <c r="AF26" s="248" t="s">
        <v>418</v>
      </c>
      <c r="AG26" s="248" t="s">
        <v>418</v>
      </c>
    </row>
    <row r="27" spans="1:40" s="229" customFormat="1" ht="17.25" customHeight="1" x14ac:dyDescent="0.4">
      <c r="A27" s="60" t="s">
        <v>0</v>
      </c>
      <c r="B27" s="99" t="s">
        <v>862</v>
      </c>
      <c r="C27" s="99" t="s">
        <v>865</v>
      </c>
      <c r="D27" s="12">
        <v>18</v>
      </c>
      <c r="E27" s="4">
        <v>285.12</v>
      </c>
      <c r="F27" s="275" t="s">
        <v>418</v>
      </c>
      <c r="G27" s="275" t="s">
        <v>418</v>
      </c>
      <c r="H27" s="275" t="s">
        <v>418</v>
      </c>
      <c r="I27" s="275" t="s">
        <v>418</v>
      </c>
      <c r="J27" s="275" t="s">
        <v>418</v>
      </c>
      <c r="K27" s="275" t="s">
        <v>418</v>
      </c>
      <c r="L27" s="275" t="s">
        <v>418</v>
      </c>
      <c r="M27" s="280" t="s">
        <v>418</v>
      </c>
      <c r="N27" s="280" t="s">
        <v>418</v>
      </c>
      <c r="O27" s="280" t="s">
        <v>418</v>
      </c>
      <c r="P27" s="280" t="s">
        <v>418</v>
      </c>
      <c r="Q27" s="280" t="s">
        <v>418</v>
      </c>
      <c r="R27" s="280" t="s">
        <v>418</v>
      </c>
      <c r="S27" s="280" t="s">
        <v>418</v>
      </c>
      <c r="T27" s="247" t="s">
        <v>418</v>
      </c>
      <c r="U27" s="247" t="s">
        <v>418</v>
      </c>
      <c r="V27" s="247" t="s">
        <v>418</v>
      </c>
      <c r="W27" s="247" t="s">
        <v>418</v>
      </c>
      <c r="X27" s="247" t="s">
        <v>418</v>
      </c>
      <c r="Y27" s="247" t="s">
        <v>418</v>
      </c>
      <c r="Z27" s="247" t="s">
        <v>418</v>
      </c>
      <c r="AA27" s="248" t="s">
        <v>418</v>
      </c>
      <c r="AB27" s="248" t="s">
        <v>418</v>
      </c>
      <c r="AC27" s="248" t="s">
        <v>418</v>
      </c>
      <c r="AD27" s="248" t="s">
        <v>418</v>
      </c>
      <c r="AE27" s="248" t="s">
        <v>418</v>
      </c>
      <c r="AF27" s="248" t="s">
        <v>418</v>
      </c>
      <c r="AG27" s="248" t="s">
        <v>418</v>
      </c>
      <c r="AH27" s="30"/>
      <c r="AI27" s="27"/>
      <c r="AJ27" s="28"/>
      <c r="AK27" s="200"/>
      <c r="AN27" s="22"/>
    </row>
    <row r="28" spans="1:40" s="229" customFormat="1" ht="17.25" customHeight="1" x14ac:dyDescent="0.4">
      <c r="A28" s="60" t="s">
        <v>0</v>
      </c>
      <c r="B28" s="99" t="s">
        <v>863</v>
      </c>
      <c r="C28" s="99" t="s">
        <v>864</v>
      </c>
      <c r="D28" s="12">
        <v>20</v>
      </c>
      <c r="E28" s="4">
        <v>175.4</v>
      </c>
      <c r="F28" s="275" t="s">
        <v>418</v>
      </c>
      <c r="G28" s="275" t="s">
        <v>418</v>
      </c>
      <c r="H28" s="275" t="s">
        <v>418</v>
      </c>
      <c r="I28" s="275" t="s">
        <v>418</v>
      </c>
      <c r="J28" s="275" t="s">
        <v>418</v>
      </c>
      <c r="K28" s="275" t="s">
        <v>418</v>
      </c>
      <c r="L28" s="275" t="s">
        <v>418</v>
      </c>
      <c r="M28" s="280" t="s">
        <v>418</v>
      </c>
      <c r="N28" s="280" t="s">
        <v>418</v>
      </c>
      <c r="O28" s="280" t="s">
        <v>418</v>
      </c>
      <c r="P28" s="280" t="s">
        <v>418</v>
      </c>
      <c r="Q28" s="280" t="s">
        <v>418</v>
      </c>
      <c r="R28" s="280" t="s">
        <v>418</v>
      </c>
      <c r="S28" s="280" t="s">
        <v>418</v>
      </c>
      <c r="T28" s="247" t="s">
        <v>418</v>
      </c>
      <c r="U28" s="247" t="s">
        <v>418</v>
      </c>
      <c r="V28" s="247" t="s">
        <v>418</v>
      </c>
      <c r="W28" s="247" t="s">
        <v>418</v>
      </c>
      <c r="X28" s="247" t="s">
        <v>418</v>
      </c>
      <c r="Y28" s="247" t="s">
        <v>418</v>
      </c>
      <c r="Z28" s="247" t="s">
        <v>418</v>
      </c>
      <c r="AA28" s="248" t="s">
        <v>418</v>
      </c>
      <c r="AB28" s="248" t="s">
        <v>418</v>
      </c>
      <c r="AC28" s="248" t="s">
        <v>418</v>
      </c>
      <c r="AD28" s="248" t="s">
        <v>418</v>
      </c>
      <c r="AE28" s="248" t="s">
        <v>418</v>
      </c>
      <c r="AF28" s="248" t="s">
        <v>418</v>
      </c>
      <c r="AG28" s="248" t="s">
        <v>418</v>
      </c>
      <c r="AH28" s="30"/>
      <c r="AI28" s="27"/>
      <c r="AJ28" s="28"/>
      <c r="AK28" s="200"/>
      <c r="AN28" s="22"/>
    </row>
    <row r="29" spans="1:40" x14ac:dyDescent="0.4">
      <c r="A29" s="7"/>
      <c r="B29" s="7"/>
      <c r="C29" s="7"/>
      <c r="D29" s="13"/>
      <c r="E29" s="8"/>
      <c r="F29" s="275" t="s">
        <v>418</v>
      </c>
      <c r="G29" s="275" t="s">
        <v>418</v>
      </c>
      <c r="H29" s="275" t="s">
        <v>418</v>
      </c>
      <c r="I29" s="275" t="s">
        <v>418</v>
      </c>
      <c r="J29" s="275" t="s">
        <v>418</v>
      </c>
      <c r="K29" s="275" t="s">
        <v>418</v>
      </c>
      <c r="L29" s="275" t="s">
        <v>418</v>
      </c>
      <c r="M29" s="280" t="s">
        <v>418</v>
      </c>
      <c r="N29" s="280" t="s">
        <v>418</v>
      </c>
      <c r="O29" s="280" t="s">
        <v>418</v>
      </c>
      <c r="P29" s="280" t="s">
        <v>418</v>
      </c>
      <c r="Q29" s="280" t="s">
        <v>418</v>
      </c>
      <c r="R29" s="280" t="s">
        <v>418</v>
      </c>
      <c r="S29" s="280" t="s">
        <v>418</v>
      </c>
      <c r="T29" s="247" t="s">
        <v>418</v>
      </c>
      <c r="U29" s="247" t="s">
        <v>418</v>
      </c>
      <c r="V29" s="247" t="s">
        <v>418</v>
      </c>
      <c r="W29" s="247" t="s">
        <v>418</v>
      </c>
      <c r="X29" s="247" t="s">
        <v>418</v>
      </c>
      <c r="Y29" s="247" t="s">
        <v>418</v>
      </c>
      <c r="Z29" s="247" t="s">
        <v>418</v>
      </c>
      <c r="AA29" s="248" t="s">
        <v>418</v>
      </c>
      <c r="AB29" s="248" t="s">
        <v>418</v>
      </c>
      <c r="AC29" s="248" t="s">
        <v>418</v>
      </c>
      <c r="AD29" s="248" t="s">
        <v>418</v>
      </c>
      <c r="AE29" s="248" t="s">
        <v>418</v>
      </c>
      <c r="AF29" s="248" t="s">
        <v>418</v>
      </c>
      <c r="AG29" s="248" t="s">
        <v>418</v>
      </c>
    </row>
    <row r="30" spans="1:40" x14ac:dyDescent="0.4">
      <c r="A30" s="60" t="s">
        <v>413</v>
      </c>
      <c r="B30" s="2" t="s">
        <v>418</v>
      </c>
      <c r="C30" s="2" t="s">
        <v>418</v>
      </c>
      <c r="D30" s="12">
        <v>0</v>
      </c>
      <c r="E30" s="8">
        <v>0</v>
      </c>
      <c r="F30" s="275" t="s">
        <v>418</v>
      </c>
      <c r="G30" s="275" t="s">
        <v>418</v>
      </c>
      <c r="H30" s="275" t="s">
        <v>418</v>
      </c>
      <c r="I30" s="275" t="s">
        <v>418</v>
      </c>
      <c r="J30" s="275" t="s">
        <v>418</v>
      </c>
      <c r="K30" s="275" t="s">
        <v>418</v>
      </c>
      <c r="L30" s="275" t="s">
        <v>418</v>
      </c>
      <c r="M30" s="280" t="s">
        <v>418</v>
      </c>
      <c r="N30" s="280" t="s">
        <v>418</v>
      </c>
      <c r="O30" s="280" t="s">
        <v>418</v>
      </c>
      <c r="P30" s="280" t="s">
        <v>418</v>
      </c>
      <c r="Q30" s="280" t="s">
        <v>418</v>
      </c>
      <c r="R30" s="280" t="s">
        <v>418</v>
      </c>
      <c r="S30" s="280" t="s">
        <v>418</v>
      </c>
      <c r="T30" s="247" t="s">
        <v>418</v>
      </c>
      <c r="U30" s="247" t="s">
        <v>418</v>
      </c>
      <c r="V30" s="247" t="s">
        <v>418</v>
      </c>
      <c r="W30" s="247" t="s">
        <v>418</v>
      </c>
      <c r="X30" s="247" t="s">
        <v>418</v>
      </c>
      <c r="Y30" s="247" t="s">
        <v>418</v>
      </c>
      <c r="Z30" s="247" t="s">
        <v>418</v>
      </c>
      <c r="AA30" s="248" t="s">
        <v>418</v>
      </c>
      <c r="AB30" s="248" t="s">
        <v>418</v>
      </c>
      <c r="AC30" s="248" t="s">
        <v>418</v>
      </c>
      <c r="AD30" s="248" t="s">
        <v>418</v>
      </c>
      <c r="AE30" s="248" t="s">
        <v>418</v>
      </c>
      <c r="AF30" s="248" t="s">
        <v>418</v>
      </c>
      <c r="AG30" s="248" t="s">
        <v>418</v>
      </c>
    </row>
    <row r="31" spans="1:40" x14ac:dyDescent="0.4">
      <c r="A31" s="60" t="s">
        <v>413</v>
      </c>
      <c r="B31" s="2" t="s">
        <v>22</v>
      </c>
      <c r="C31" s="2" t="s">
        <v>23</v>
      </c>
      <c r="D31" s="12">
        <v>20</v>
      </c>
      <c r="E31" s="4">
        <v>25.81</v>
      </c>
      <c r="F31" s="275" t="s">
        <v>418</v>
      </c>
      <c r="G31" s="276" t="str">
        <f>IF(('Area A'!$E$29+'Area A'!$E$30)&gt;0,'Item List'!$B$314,IF('Area A'!$J$31&gt;0,'Item List'!$B$312,IF(('Area A'!$J$33+'Area A'!$J$34)&gt;0,'Item List'!$B$281,"none")))</f>
        <v>none</v>
      </c>
      <c r="H31" s="277" t="str">
        <f>B291</f>
        <v>RCB1</v>
      </c>
      <c r="I31" s="275" t="s">
        <v>418</v>
      </c>
      <c r="J31" s="275" t="s">
        <v>418</v>
      </c>
      <c r="K31" s="275" t="s">
        <v>418</v>
      </c>
      <c r="L31" s="275" t="s">
        <v>418</v>
      </c>
      <c r="M31" s="280" t="s">
        <v>418</v>
      </c>
      <c r="N31" s="281" t="str">
        <f>IF(('Area B'!$E$29+'Area B'!$E$30)&gt;0,'Item List'!$B$314,IF('Area B'!$J$31&gt;0,'Item List'!$B$312,IF(('Area B'!$J$33+'Area B'!$J$34)&gt;0,'Item List'!$B$281,"none")))</f>
        <v>none</v>
      </c>
      <c r="O31" s="282" t="s">
        <v>324</v>
      </c>
      <c r="P31" s="280" t="s">
        <v>418</v>
      </c>
      <c r="Q31" s="280" t="s">
        <v>418</v>
      </c>
      <c r="R31" s="280" t="s">
        <v>418</v>
      </c>
      <c r="S31" s="280" t="s">
        <v>418</v>
      </c>
      <c r="T31" s="247" t="s">
        <v>418</v>
      </c>
      <c r="U31" s="206" t="str">
        <f>IF(('Area C'!$E$29+'Area C'!$E$30)&gt;0,'Item List'!$B$314,IF('Area C'!$J$31&gt;0,'Item List'!$B$312,IF(('Area C'!$J$33+'Area C'!$J$34)&gt;0,'Item List'!$B$281,"none")))</f>
        <v>none</v>
      </c>
      <c r="V31" s="154" t="s">
        <v>324</v>
      </c>
      <c r="W31" s="247" t="s">
        <v>418</v>
      </c>
      <c r="X31" s="247" t="s">
        <v>418</v>
      </c>
      <c r="Y31" s="247" t="s">
        <v>418</v>
      </c>
      <c r="Z31" s="247" t="s">
        <v>418</v>
      </c>
      <c r="AA31" s="248" t="s">
        <v>418</v>
      </c>
      <c r="AB31" s="249" t="str">
        <f>IF(('Area D'!$E$29+'Area D'!$E$30)&gt;0,'Item List'!$B$314,IF('Area D'!$J$31&gt;0,'Item List'!$B$312,IF(('Area D'!$J$33+'Area D'!$J$34)&gt;0,'Item List'!$B$281,"none")))</f>
        <v>none</v>
      </c>
      <c r="AC31" s="202" t="s">
        <v>324</v>
      </c>
      <c r="AD31" s="248" t="s">
        <v>418</v>
      </c>
      <c r="AE31" s="248" t="s">
        <v>418</v>
      </c>
      <c r="AF31" s="248" t="s">
        <v>418</v>
      </c>
      <c r="AG31" s="248" t="s">
        <v>418</v>
      </c>
    </row>
    <row r="32" spans="1:40" x14ac:dyDescent="0.4">
      <c r="A32" s="60" t="s">
        <v>413</v>
      </c>
      <c r="B32" s="2" t="s">
        <v>94</v>
      </c>
      <c r="C32" s="2" t="s">
        <v>95</v>
      </c>
      <c r="D32" s="12">
        <v>20</v>
      </c>
      <c r="E32" s="4">
        <v>23.06</v>
      </c>
      <c r="F32" s="275" t="s">
        <v>418</v>
      </c>
      <c r="G32" s="276" t="str">
        <f>IF(('Area A'!$E$29+'Area A'!$E$30)&gt;0,'Item List'!$B$314,IF('Area A'!$J$31&gt;0,'Item List'!$B$312,IF(('Area A'!$J$33+'Area A'!$J$34)&gt;0,'Item List'!$B$282,"none")))</f>
        <v>none</v>
      </c>
      <c r="H32" s="277" t="str">
        <f>B291</f>
        <v>RCB1</v>
      </c>
      <c r="I32" s="275" t="s">
        <v>418</v>
      </c>
      <c r="J32" s="275" t="s">
        <v>418</v>
      </c>
      <c r="K32" s="275" t="s">
        <v>418</v>
      </c>
      <c r="L32" s="275" t="s">
        <v>418</v>
      </c>
      <c r="M32" s="280" t="s">
        <v>418</v>
      </c>
      <c r="N32" s="281" t="str">
        <f>IF(('Area B'!$E$29+'Area B'!$E$30)&gt;0,'Item List'!$B$314,IF('Area B'!$J$31&gt;0,'Item List'!$B$312,IF(('Area B'!$J$33+'Area B'!$J$34)&gt;0,'Item List'!$B$282,"none")))</f>
        <v>none</v>
      </c>
      <c r="O32" s="282" t="s">
        <v>324</v>
      </c>
      <c r="P32" s="280" t="s">
        <v>418</v>
      </c>
      <c r="Q32" s="280" t="s">
        <v>418</v>
      </c>
      <c r="R32" s="280" t="s">
        <v>418</v>
      </c>
      <c r="S32" s="280" t="s">
        <v>418</v>
      </c>
      <c r="T32" s="247" t="s">
        <v>418</v>
      </c>
      <c r="U32" s="206" t="str">
        <f>IF(('Area C'!$E$29+'Area C'!$E$30)&gt;0,'Item List'!$B$314,IF('Area C'!$J$31&gt;0,'Item List'!$B$312,IF(('Area C'!$J$33+'Area C'!$J$34)&gt;0,'Item List'!$B$282,"none")))</f>
        <v>none</v>
      </c>
      <c r="V32" s="154" t="s">
        <v>324</v>
      </c>
      <c r="W32" s="247" t="s">
        <v>418</v>
      </c>
      <c r="X32" s="247" t="s">
        <v>418</v>
      </c>
      <c r="Y32" s="247" t="s">
        <v>418</v>
      </c>
      <c r="Z32" s="247" t="s">
        <v>418</v>
      </c>
      <c r="AA32" s="248" t="s">
        <v>418</v>
      </c>
      <c r="AB32" s="249" t="str">
        <f>IF(('Area D'!$E$29+'Area D'!$E$30)&gt;0,'Item List'!$B$314,IF('Area D'!$J$31&gt;0,'Item List'!$B$312,IF(('Area D'!$J$33+'Area D'!$J$34)&gt;0,'Item List'!$B$282,"none")))</f>
        <v>none</v>
      </c>
      <c r="AC32" s="202" t="s">
        <v>324</v>
      </c>
      <c r="AD32" s="248" t="s">
        <v>418</v>
      </c>
      <c r="AE32" s="248" t="s">
        <v>418</v>
      </c>
      <c r="AF32" s="248" t="s">
        <v>418</v>
      </c>
      <c r="AG32" s="248" t="s">
        <v>418</v>
      </c>
    </row>
    <row r="33" spans="1:39" x14ac:dyDescent="0.4">
      <c r="A33" s="60" t="s">
        <v>413</v>
      </c>
      <c r="B33" s="2" t="s">
        <v>96</v>
      </c>
      <c r="C33" s="2" t="s">
        <v>97</v>
      </c>
      <c r="D33" s="12">
        <v>20</v>
      </c>
      <c r="E33" s="4">
        <v>32.020000000000003</v>
      </c>
      <c r="F33" s="275" t="s">
        <v>418</v>
      </c>
      <c r="G33" s="276" t="str">
        <f>IF(('Area A'!$E$29+'Area A'!$E$30)&gt;0,'Item List'!$B$314,IF('Area A'!$J$31&gt;0,'Item List'!$B$312,IF(('Area A'!$J$33+'Area A'!$J$34)&gt;0,'Item List'!$B$283,"none")))</f>
        <v>none</v>
      </c>
      <c r="H33" s="277" t="str">
        <f>B291</f>
        <v>RCB1</v>
      </c>
      <c r="I33" s="275" t="s">
        <v>418</v>
      </c>
      <c r="J33" s="275" t="s">
        <v>418</v>
      </c>
      <c r="K33" s="275" t="s">
        <v>418</v>
      </c>
      <c r="L33" s="275" t="s">
        <v>418</v>
      </c>
      <c r="M33" s="280" t="s">
        <v>418</v>
      </c>
      <c r="N33" s="281" t="str">
        <f>IF(('Area B'!$E$29+'Area B'!$E$30)&gt;0,'Item List'!$B$314,IF('Area B'!$J$31&gt;0,'Item List'!$B$312,IF(('Area B'!$J$33+'Area B'!$J$34)&gt;0,'Item List'!$B$283,"none")))</f>
        <v>none</v>
      </c>
      <c r="O33" s="282" t="s">
        <v>324</v>
      </c>
      <c r="P33" s="280" t="s">
        <v>418</v>
      </c>
      <c r="Q33" s="280" t="s">
        <v>418</v>
      </c>
      <c r="R33" s="280" t="s">
        <v>418</v>
      </c>
      <c r="S33" s="280" t="s">
        <v>418</v>
      </c>
      <c r="T33" s="247" t="s">
        <v>418</v>
      </c>
      <c r="U33" s="206" t="str">
        <f>IF(('Area C'!$E$29+'Area C'!$E$30)&gt;0,'Item List'!$B$314,IF('Area C'!$J$31&gt;0,'Item List'!$B$312,IF(('Area C'!$J$33+'Area C'!$J$34)&gt;0,'Item List'!$B$283,"none")))</f>
        <v>none</v>
      </c>
      <c r="V33" s="154" t="s">
        <v>324</v>
      </c>
      <c r="W33" s="247" t="s">
        <v>418</v>
      </c>
      <c r="X33" s="247" t="s">
        <v>418</v>
      </c>
      <c r="Y33" s="247" t="s">
        <v>418</v>
      </c>
      <c r="Z33" s="247" t="s">
        <v>418</v>
      </c>
      <c r="AA33" s="248" t="s">
        <v>418</v>
      </c>
      <c r="AB33" s="249" t="str">
        <f>IF(('Area D'!$E$29+'Area D'!$E$30)&gt;0,'Item List'!$B$314,IF('Area D'!$J$31&gt;0,'Item List'!$B$312,IF(('Area D'!$J$33+'Area D'!$J$34)&gt;0,'Item List'!$B$283,"none")))</f>
        <v>none</v>
      </c>
      <c r="AC33" s="202" t="s">
        <v>324</v>
      </c>
      <c r="AD33" s="248" t="s">
        <v>418</v>
      </c>
      <c r="AE33" s="248" t="s">
        <v>418</v>
      </c>
      <c r="AF33" s="248" t="s">
        <v>418</v>
      </c>
      <c r="AG33" s="248" t="s">
        <v>418</v>
      </c>
    </row>
    <row r="34" spans="1:39" x14ac:dyDescent="0.4">
      <c r="A34" s="60" t="s">
        <v>413</v>
      </c>
      <c r="B34" s="2" t="s">
        <v>98</v>
      </c>
      <c r="C34" s="2" t="s">
        <v>99</v>
      </c>
      <c r="D34" s="12">
        <v>20</v>
      </c>
      <c r="E34" s="4">
        <v>22.9</v>
      </c>
      <c r="F34" s="275" t="s">
        <v>418</v>
      </c>
      <c r="G34" s="276" t="str">
        <f>IF(('Area A'!$E$29+'Area A'!$E$30)&gt;0,'Item List'!$B$314,IF('Area A'!$J$31&gt;0,'Item List'!$B$312,IF(('Area A'!$J$33+'Area A'!$J$34)&gt;0,'Item List'!$B$284,"none")))</f>
        <v>none</v>
      </c>
      <c r="H34" s="277" t="str">
        <f>B291</f>
        <v>RCB1</v>
      </c>
      <c r="I34" s="275" t="s">
        <v>418</v>
      </c>
      <c r="J34" s="275" t="s">
        <v>418</v>
      </c>
      <c r="K34" s="275" t="s">
        <v>418</v>
      </c>
      <c r="L34" s="275" t="s">
        <v>418</v>
      </c>
      <c r="M34" s="280" t="s">
        <v>418</v>
      </c>
      <c r="N34" s="281" t="str">
        <f>IF(('Area B'!$E$29+'Area B'!$E$30)&gt;0,'Item List'!$B$314,IF('Area B'!$J$31&gt;0,'Item List'!$B$312,IF(('Area B'!$J$33+'Area B'!$J$34)&gt;0,'Item List'!$B$284,"none")))</f>
        <v>none</v>
      </c>
      <c r="O34" s="282" t="s">
        <v>324</v>
      </c>
      <c r="P34" s="280" t="s">
        <v>418</v>
      </c>
      <c r="Q34" s="280" t="s">
        <v>418</v>
      </c>
      <c r="R34" s="280" t="s">
        <v>418</v>
      </c>
      <c r="S34" s="280" t="s">
        <v>418</v>
      </c>
      <c r="T34" s="247" t="s">
        <v>418</v>
      </c>
      <c r="U34" s="206" t="str">
        <f>IF(('Area C'!$E$29+'Area C'!$E$30)&gt;0,'Item List'!$B$314,IF('Area C'!$J$31&gt;0,'Item List'!$B$312,IF(('Area C'!$J$33+'Area C'!$J$34)&gt;0,'Item List'!$B$284,"none")))</f>
        <v>none</v>
      </c>
      <c r="V34" s="154" t="s">
        <v>324</v>
      </c>
      <c r="W34" s="247" t="s">
        <v>418</v>
      </c>
      <c r="X34" s="247" t="s">
        <v>418</v>
      </c>
      <c r="Y34" s="247" t="s">
        <v>418</v>
      </c>
      <c r="Z34" s="247" t="s">
        <v>418</v>
      </c>
      <c r="AA34" s="248" t="s">
        <v>418</v>
      </c>
      <c r="AB34" s="249" t="str">
        <f>IF(('Area D'!$E$29+'Area D'!$E$30)&gt;0,'Item List'!$B$314,IF('Area D'!$J$31&gt;0,'Item List'!$B$312,IF(('Area D'!$J$33+'Area D'!$J$34)&gt;0,'Item List'!$B$284,"none")))</f>
        <v>none</v>
      </c>
      <c r="AC34" s="202" t="s">
        <v>324</v>
      </c>
      <c r="AD34" s="248" t="s">
        <v>418</v>
      </c>
      <c r="AE34" s="248" t="s">
        <v>418</v>
      </c>
      <c r="AF34" s="248" t="s">
        <v>418</v>
      </c>
      <c r="AG34" s="248" t="s">
        <v>418</v>
      </c>
    </row>
    <row r="35" spans="1:39" x14ac:dyDescent="0.4">
      <c r="A35" s="60" t="s">
        <v>413</v>
      </c>
      <c r="B35" s="2" t="s">
        <v>24</v>
      </c>
      <c r="C35" s="2" t="s">
        <v>25</v>
      </c>
      <c r="D35" s="12">
        <v>20</v>
      </c>
      <c r="E35" s="4">
        <v>40.35</v>
      </c>
      <c r="F35" s="275" t="s">
        <v>418</v>
      </c>
      <c r="G35" s="276" t="str">
        <f>IF(('Area A'!$E$29+'Area A'!$E$30)&gt;0,"none",IF('Area A'!$J$31&gt;0,'Item List'!$B$312,IF(('Area A'!$J$33+'Area A'!$J$34)&gt;0,'Item List'!$B$285,"none")))</f>
        <v>none</v>
      </c>
      <c r="H35" s="277" t="str">
        <f>B293</f>
        <v>RCB2</v>
      </c>
      <c r="I35" s="275" t="s">
        <v>418</v>
      </c>
      <c r="J35" s="275" t="s">
        <v>418</v>
      </c>
      <c r="K35" s="275" t="s">
        <v>418</v>
      </c>
      <c r="L35" s="275" t="s">
        <v>418</v>
      </c>
      <c r="M35" s="280" t="s">
        <v>418</v>
      </c>
      <c r="N35" s="281" t="str">
        <f>IF(('Area B'!$E$29+'Area B'!$E$30)&gt;0,"none",IF('Area B'!$J$31&gt;0,'Item List'!$B$312,IF(('Area B'!$J$33+'Area B'!$J$34)&gt;0,'Item List'!$B$285,"none")))</f>
        <v>none</v>
      </c>
      <c r="O35" s="282" t="s">
        <v>328</v>
      </c>
      <c r="P35" s="280" t="s">
        <v>418</v>
      </c>
      <c r="Q35" s="280" t="s">
        <v>418</v>
      </c>
      <c r="R35" s="280" t="s">
        <v>418</v>
      </c>
      <c r="S35" s="280" t="s">
        <v>418</v>
      </c>
      <c r="T35" s="247" t="s">
        <v>418</v>
      </c>
      <c r="U35" s="206" t="str">
        <f>IF(('Area C'!$E$29+'Area C'!$E$30)&gt;0,"none",IF('Area C'!$J$31&gt;0,'Item List'!$B$312,IF(('Area C'!$J$33+'Area C'!$J$34)&gt;0,'Item List'!$B$285,"none")))</f>
        <v>none</v>
      </c>
      <c r="V35" s="154" t="s">
        <v>328</v>
      </c>
      <c r="W35" s="247" t="s">
        <v>418</v>
      </c>
      <c r="X35" s="247" t="s">
        <v>418</v>
      </c>
      <c r="Y35" s="247" t="s">
        <v>418</v>
      </c>
      <c r="Z35" s="247" t="s">
        <v>418</v>
      </c>
      <c r="AA35" s="248" t="s">
        <v>418</v>
      </c>
      <c r="AB35" s="249" t="str">
        <f>IF(('Area D'!$E$29+'Area D'!$E$30)&gt;0,"none",IF('Area D'!$J$31&gt;0,'Item List'!$B$312,IF(('Area D'!$J$33+'Area D'!$J$34)&gt;0,'Item List'!$B$285,"none")))</f>
        <v>none</v>
      </c>
      <c r="AC35" s="202" t="s">
        <v>328</v>
      </c>
      <c r="AD35" s="248" t="s">
        <v>418</v>
      </c>
      <c r="AE35" s="248" t="s">
        <v>418</v>
      </c>
      <c r="AF35" s="248" t="s">
        <v>418</v>
      </c>
      <c r="AG35" s="248" t="s">
        <v>418</v>
      </c>
    </row>
    <row r="36" spans="1:39" x14ac:dyDescent="0.4">
      <c r="A36" s="60" t="s">
        <v>413</v>
      </c>
      <c r="B36" s="2" t="s">
        <v>100</v>
      </c>
      <c r="C36" s="2" t="s">
        <v>101</v>
      </c>
      <c r="D36" s="12">
        <v>20</v>
      </c>
      <c r="E36" s="4">
        <v>37.32</v>
      </c>
      <c r="F36" s="275" t="s">
        <v>418</v>
      </c>
      <c r="G36" s="276" t="str">
        <f>IF(('Area A'!$E$29+'Area A'!$E$30)&gt;0,"none",IF('Area A'!$J$31&gt;0,'Item List'!$B$312,IF(('Area A'!$J$33+'Area A'!$J$34)&gt;0,'Item List'!$B$286,"none")))</f>
        <v>none</v>
      </c>
      <c r="H36" s="277" t="str">
        <f>B293</f>
        <v>RCB2</v>
      </c>
      <c r="I36" s="275" t="s">
        <v>418</v>
      </c>
      <c r="J36" s="275" t="s">
        <v>418</v>
      </c>
      <c r="K36" s="275" t="s">
        <v>418</v>
      </c>
      <c r="L36" s="275" t="s">
        <v>418</v>
      </c>
      <c r="M36" s="280" t="s">
        <v>418</v>
      </c>
      <c r="N36" s="281" t="str">
        <f>IF(('Area B'!$E$29+'Area B'!$E$30)&gt;0,"none",IF('Area B'!$J$31&gt;0,'Item List'!$B$312,IF(('Area B'!$J$33+'Area B'!$J$34)&gt;0,'Item List'!$B$286,"none")))</f>
        <v>none</v>
      </c>
      <c r="O36" s="282" t="s">
        <v>328</v>
      </c>
      <c r="P36" s="280" t="s">
        <v>418</v>
      </c>
      <c r="Q36" s="280" t="s">
        <v>418</v>
      </c>
      <c r="R36" s="280" t="s">
        <v>418</v>
      </c>
      <c r="S36" s="280" t="s">
        <v>418</v>
      </c>
      <c r="T36" s="247" t="s">
        <v>418</v>
      </c>
      <c r="U36" s="206" t="str">
        <f>IF(('Area C'!$E$29+'Area C'!$E$30)&gt;0,"none",IF('Area C'!$J$31&gt;0,'Item List'!$B$312,IF(('Area C'!$J$33+'Area C'!$J$34)&gt;0,'Item List'!$B$286,"none")))</f>
        <v>none</v>
      </c>
      <c r="V36" s="154" t="s">
        <v>328</v>
      </c>
      <c r="W36" s="247" t="s">
        <v>418</v>
      </c>
      <c r="X36" s="247" t="s">
        <v>418</v>
      </c>
      <c r="Y36" s="247" t="s">
        <v>418</v>
      </c>
      <c r="Z36" s="247" t="s">
        <v>418</v>
      </c>
      <c r="AA36" s="248" t="s">
        <v>418</v>
      </c>
      <c r="AB36" s="249" t="str">
        <f>IF(('Area D'!$E$29+'Area D'!$E$30)&gt;0,"none",IF('Area D'!$J$31&gt;0,'Item List'!$B$312,IF(('Area D'!$J$33+'Area D'!$J$34)&gt;0,'Item List'!$B$286,"none")))</f>
        <v>none</v>
      </c>
      <c r="AC36" s="202" t="s">
        <v>328</v>
      </c>
      <c r="AD36" s="248" t="s">
        <v>418</v>
      </c>
      <c r="AE36" s="248" t="s">
        <v>418</v>
      </c>
      <c r="AF36" s="248" t="s">
        <v>418</v>
      </c>
      <c r="AG36" s="248" t="s">
        <v>418</v>
      </c>
    </row>
    <row r="37" spans="1:39" x14ac:dyDescent="0.4">
      <c r="A37" s="60" t="s">
        <v>413</v>
      </c>
      <c r="B37" s="2" t="s">
        <v>102</v>
      </c>
      <c r="C37" s="2" t="s">
        <v>103</v>
      </c>
      <c r="D37" s="12">
        <v>20</v>
      </c>
      <c r="E37" s="4">
        <v>46.38</v>
      </c>
      <c r="F37" s="275" t="s">
        <v>418</v>
      </c>
      <c r="G37" s="276" t="str">
        <f>IF(('Area A'!$E$29+'Area A'!$E$30)&gt;0,"none",IF('Area A'!$J$31&gt;0,'Item List'!$B$312,IF(('Area A'!$J$33+'Area A'!$J$34)&gt;0,'Item List'!$B$287,"none")))</f>
        <v>none</v>
      </c>
      <c r="H37" s="277" t="str">
        <f>B293</f>
        <v>RCB2</v>
      </c>
      <c r="I37" s="275" t="s">
        <v>418</v>
      </c>
      <c r="J37" s="275" t="s">
        <v>418</v>
      </c>
      <c r="K37" s="275" t="s">
        <v>418</v>
      </c>
      <c r="L37" s="275" t="s">
        <v>418</v>
      </c>
      <c r="M37" s="280" t="s">
        <v>418</v>
      </c>
      <c r="N37" s="281" t="str">
        <f>IF(('Area B'!$E$29+'Area B'!$E$30)&gt;0,"none",IF('Area B'!$J$31&gt;0,'Item List'!$B$312,IF(('Area B'!$J$33+'Area B'!$J$34)&gt;0,'Item List'!$B$287,"none")))</f>
        <v>none</v>
      </c>
      <c r="O37" s="282" t="s">
        <v>328</v>
      </c>
      <c r="P37" s="280" t="s">
        <v>418</v>
      </c>
      <c r="Q37" s="280" t="s">
        <v>418</v>
      </c>
      <c r="R37" s="280" t="s">
        <v>418</v>
      </c>
      <c r="S37" s="280" t="s">
        <v>418</v>
      </c>
      <c r="T37" s="247" t="s">
        <v>418</v>
      </c>
      <c r="U37" s="206" t="str">
        <f>IF(('Area C'!$E$29+'Area C'!$E$30)&gt;0,"none",IF('Area C'!$J$31&gt;0,'Item List'!$B$312,IF(('Area C'!$J$33+'Area C'!$J$34)&gt;0,'Item List'!$B$287,"none")))</f>
        <v>none</v>
      </c>
      <c r="V37" s="154" t="s">
        <v>328</v>
      </c>
      <c r="W37" s="247" t="s">
        <v>418</v>
      </c>
      <c r="X37" s="247" t="s">
        <v>418</v>
      </c>
      <c r="Y37" s="247" t="s">
        <v>418</v>
      </c>
      <c r="Z37" s="247" t="s">
        <v>418</v>
      </c>
      <c r="AA37" s="248" t="s">
        <v>418</v>
      </c>
      <c r="AB37" s="249" t="str">
        <f>IF(('Area D'!$E$29+'Area D'!$E$30)&gt;0,"none",IF('Area D'!$J$31&gt;0,'Item List'!$B$312,IF(('Area D'!$J$33+'Area D'!$J$34)&gt;0,'Item List'!$B$287,"none")))</f>
        <v>none</v>
      </c>
      <c r="AC37" s="202" t="s">
        <v>328</v>
      </c>
      <c r="AD37" s="248" t="s">
        <v>418</v>
      </c>
      <c r="AE37" s="248" t="s">
        <v>418</v>
      </c>
      <c r="AF37" s="248" t="s">
        <v>418</v>
      </c>
      <c r="AG37" s="248" t="s">
        <v>418</v>
      </c>
    </row>
    <row r="38" spans="1:39" x14ac:dyDescent="0.4">
      <c r="A38" s="60" t="s">
        <v>413</v>
      </c>
      <c r="B38" s="2" t="s">
        <v>104</v>
      </c>
      <c r="C38" s="2" t="s">
        <v>105</v>
      </c>
      <c r="D38" s="12">
        <v>20</v>
      </c>
      <c r="E38" s="4">
        <v>31.427009999999999</v>
      </c>
      <c r="F38" s="275" t="s">
        <v>418</v>
      </c>
      <c r="G38" s="276" t="str">
        <f>IF(('Area A'!$E$29+'Area A'!$E$30)&gt;0,"none",IF('Area A'!$J$31&gt;0,'Item List'!$B$312,IF(('Area A'!$J$33+'Area A'!$J$34)&gt;0,'Item List'!$B$288,"none")))</f>
        <v>none</v>
      </c>
      <c r="H38" s="277" t="str">
        <f>B293</f>
        <v>RCB2</v>
      </c>
      <c r="I38" s="275" t="s">
        <v>418</v>
      </c>
      <c r="J38" s="275" t="s">
        <v>418</v>
      </c>
      <c r="K38" s="275" t="s">
        <v>418</v>
      </c>
      <c r="L38" s="275" t="s">
        <v>418</v>
      </c>
      <c r="M38" s="280" t="s">
        <v>418</v>
      </c>
      <c r="N38" s="281" t="str">
        <f>IF(('Area B'!$E$29+'Area B'!$E$30)&gt;0,"none",IF('Area B'!$J$31&gt;0,'Item List'!$B$312,IF(('Area B'!$J$33+'Area B'!$J$34)&gt;0,'Item List'!$B$288,"none")))</f>
        <v>none</v>
      </c>
      <c r="O38" s="282" t="s">
        <v>328</v>
      </c>
      <c r="P38" s="280" t="s">
        <v>418</v>
      </c>
      <c r="Q38" s="280" t="s">
        <v>418</v>
      </c>
      <c r="R38" s="280" t="s">
        <v>418</v>
      </c>
      <c r="S38" s="280" t="s">
        <v>418</v>
      </c>
      <c r="T38" s="247" t="s">
        <v>418</v>
      </c>
      <c r="U38" s="206" t="str">
        <f>IF(('Area C'!$E$29+'Area C'!$E$30)&gt;0,"none",IF('Area C'!$J$31&gt;0,'Item List'!$B$312,IF(('Area C'!$J$33+'Area C'!$J$34)&gt;0,'Item List'!$B$288,"none")))</f>
        <v>none</v>
      </c>
      <c r="V38" s="154" t="s">
        <v>328</v>
      </c>
      <c r="W38" s="247" t="s">
        <v>418</v>
      </c>
      <c r="X38" s="247" t="s">
        <v>418</v>
      </c>
      <c r="Y38" s="247" t="s">
        <v>418</v>
      </c>
      <c r="Z38" s="247" t="s">
        <v>418</v>
      </c>
      <c r="AA38" s="248" t="s">
        <v>418</v>
      </c>
      <c r="AB38" s="249" t="str">
        <f>IF(('Area D'!$E$29+'Area D'!$E$30)&gt;0,"none",IF('Area D'!$J$31&gt;0,'Item List'!$B$312,IF(('Area D'!$J$33+'Area D'!$J$34)&gt;0,'Item List'!$B$288,"none")))</f>
        <v>none</v>
      </c>
      <c r="AC38" s="202" t="s">
        <v>328</v>
      </c>
      <c r="AD38" s="248" t="s">
        <v>418</v>
      </c>
      <c r="AE38" s="248" t="s">
        <v>418</v>
      </c>
      <c r="AF38" s="248" t="s">
        <v>418</v>
      </c>
      <c r="AG38" s="248" t="s">
        <v>418</v>
      </c>
    </row>
    <row r="39" spans="1:39" x14ac:dyDescent="0.4">
      <c r="A39" s="60" t="s">
        <v>413</v>
      </c>
      <c r="B39" s="2" t="s">
        <v>653</v>
      </c>
      <c r="C39" s="2" t="s">
        <v>657</v>
      </c>
      <c r="D39" s="12">
        <v>20</v>
      </c>
      <c r="E39" s="4">
        <v>48.513100000000001</v>
      </c>
      <c r="F39" s="275" t="s">
        <v>418</v>
      </c>
      <c r="G39" s="276" t="str">
        <f>IF(('Area A'!$E$29+'Area A'!$E$30)&gt;0,"none",IF('Area A'!$J$31&gt;0,'Item List'!$B$312,IF(('Area A'!$J$33+'Area A'!$J$34)&gt;0,'Item List'!$B$285,"none")))</f>
        <v>none</v>
      </c>
      <c r="H39" s="277" t="s">
        <v>872</v>
      </c>
      <c r="I39" s="275" t="s">
        <v>418</v>
      </c>
      <c r="J39" s="275" t="s">
        <v>418</v>
      </c>
      <c r="K39" s="275" t="s">
        <v>418</v>
      </c>
      <c r="L39" s="275" t="s">
        <v>418</v>
      </c>
      <c r="M39" s="280" t="s">
        <v>418</v>
      </c>
      <c r="N39" s="281" t="str">
        <f>IF(('Area B'!$E$29+'Area B'!$E$30)&gt;0,"none",IF('Area B'!$J$31&gt;0,'Item List'!$B$312,IF(('Area B'!$J$33+'Area B'!$J$34)&gt;0,'Item List'!$B$285,"none")))</f>
        <v>none</v>
      </c>
      <c r="O39" s="282" t="s">
        <v>872</v>
      </c>
      <c r="P39" s="280" t="s">
        <v>418</v>
      </c>
      <c r="Q39" s="280" t="s">
        <v>418</v>
      </c>
      <c r="R39" s="280" t="s">
        <v>418</v>
      </c>
      <c r="S39" s="280" t="s">
        <v>418</v>
      </c>
      <c r="T39" s="247" t="s">
        <v>418</v>
      </c>
      <c r="U39" s="206" t="str">
        <f>IF(('Area C'!$E$29+'Area C'!$E$30)&gt;0,"none",IF('Area C'!$J$31&gt;0,'Item List'!$B$312,IF(('Area C'!$J$33+'Area C'!$J$34)&gt;0,'Item List'!$B$285,"none")))</f>
        <v>none</v>
      </c>
      <c r="V39" s="154" t="s">
        <v>872</v>
      </c>
      <c r="W39" s="247" t="s">
        <v>418</v>
      </c>
      <c r="X39" s="247" t="s">
        <v>418</v>
      </c>
      <c r="Y39" s="247" t="s">
        <v>418</v>
      </c>
      <c r="Z39" s="247" t="s">
        <v>418</v>
      </c>
      <c r="AA39" s="248" t="s">
        <v>418</v>
      </c>
      <c r="AB39" s="249" t="str">
        <f>IF(('Area D'!$E$29+'Area D'!$E$30)&gt;0,"none",IF('Area D'!$J$31&gt;0,'Item List'!$B$312,IF(('Area D'!$J$33+'Area D'!$J$34)&gt;0,'Item List'!$B$285,"none")))</f>
        <v>none</v>
      </c>
      <c r="AC39" s="202" t="s">
        <v>872</v>
      </c>
      <c r="AD39" s="248" t="s">
        <v>418</v>
      </c>
      <c r="AE39" s="248" t="s">
        <v>418</v>
      </c>
      <c r="AF39" s="248" t="s">
        <v>418</v>
      </c>
      <c r="AG39" s="248" t="s">
        <v>418</v>
      </c>
    </row>
    <row r="40" spans="1:39" x14ac:dyDescent="0.4">
      <c r="A40" s="60" t="s">
        <v>413</v>
      </c>
      <c r="B40" s="2" t="s">
        <v>654</v>
      </c>
      <c r="C40" s="2" t="s">
        <v>658</v>
      </c>
      <c r="D40" s="12">
        <v>20</v>
      </c>
      <c r="E40" s="4">
        <v>48.514069999999997</v>
      </c>
      <c r="F40" s="275" t="s">
        <v>418</v>
      </c>
      <c r="G40" s="276" t="str">
        <f>IF(('Area A'!$E$29+'Area A'!$E$30)&gt;0,"none",IF('Area A'!$J$31&gt;0,'Item List'!$B$312,IF(('Area A'!$J$33+'Area A'!$J$34)&gt;0,'Item List'!$B$286,"none")))</f>
        <v>none</v>
      </c>
      <c r="H40" s="275" t="s">
        <v>872</v>
      </c>
      <c r="I40" s="275" t="s">
        <v>418</v>
      </c>
      <c r="J40" s="275" t="s">
        <v>418</v>
      </c>
      <c r="K40" s="275" t="s">
        <v>418</v>
      </c>
      <c r="L40" s="275" t="s">
        <v>418</v>
      </c>
      <c r="M40" s="280" t="s">
        <v>418</v>
      </c>
      <c r="N40" s="281" t="str">
        <f>IF(('Area B'!$E$29+'Area B'!$E$30)&gt;0,"none",IF('Area B'!$J$31&gt;0,'Item List'!$B$312,IF(('Area B'!$J$33+'Area B'!$J$34)&gt;0,'Item List'!$B$286,"none")))</f>
        <v>none</v>
      </c>
      <c r="O40" s="282" t="s">
        <v>872</v>
      </c>
      <c r="P40" s="280" t="s">
        <v>418</v>
      </c>
      <c r="Q40" s="280" t="s">
        <v>418</v>
      </c>
      <c r="R40" s="280" t="s">
        <v>418</v>
      </c>
      <c r="S40" s="280" t="s">
        <v>418</v>
      </c>
      <c r="T40" s="247" t="s">
        <v>418</v>
      </c>
      <c r="U40" s="206" t="str">
        <f>IF(('Area C'!$E$29+'Area C'!$E$30)&gt;0,"none",IF('Area C'!$J$31&gt;0,'Item List'!$B$312,IF(('Area C'!$J$33+'Area C'!$J$34)&gt;0,'Item List'!$B$286,"none")))</f>
        <v>none</v>
      </c>
      <c r="V40" s="154" t="s">
        <v>872</v>
      </c>
      <c r="W40" s="247" t="s">
        <v>418</v>
      </c>
      <c r="X40" s="247" t="s">
        <v>418</v>
      </c>
      <c r="Y40" s="247" t="s">
        <v>418</v>
      </c>
      <c r="Z40" s="247" t="s">
        <v>418</v>
      </c>
      <c r="AA40" s="248" t="s">
        <v>418</v>
      </c>
      <c r="AB40" s="249" t="str">
        <f>IF(('Area D'!$E$29+'Area D'!$E$30)&gt;0,"none",IF('Area D'!$J$31&gt;0,'Item List'!$B$312,IF(('Area D'!$J$33+'Area D'!$J$34)&gt;0,'Item List'!$B$286,"none")))</f>
        <v>none</v>
      </c>
      <c r="AC40" s="202" t="s">
        <v>872</v>
      </c>
      <c r="AD40" s="248" t="s">
        <v>418</v>
      </c>
      <c r="AE40" s="248" t="s">
        <v>418</v>
      </c>
      <c r="AF40" s="248" t="s">
        <v>418</v>
      </c>
      <c r="AG40" s="248" t="s">
        <v>418</v>
      </c>
    </row>
    <row r="41" spans="1:39" x14ac:dyDescent="0.4">
      <c r="A41" s="60" t="s">
        <v>413</v>
      </c>
      <c r="B41" s="2" t="s">
        <v>655</v>
      </c>
      <c r="C41" s="2" t="s">
        <v>659</v>
      </c>
      <c r="D41" s="12">
        <v>20</v>
      </c>
      <c r="E41" s="4">
        <v>55.000430000000001</v>
      </c>
      <c r="F41" s="275" t="s">
        <v>418</v>
      </c>
      <c r="G41" s="276" t="str">
        <f>IF(('Area A'!$E$29+'Area A'!$E$30)&gt;0,"none",IF('Area A'!$J$31&gt;0,'Item List'!$B$312,IF(('Area A'!$J$33+'Area A'!$J$34)&gt;0,'Item List'!$B$287,"none")))</f>
        <v>none</v>
      </c>
      <c r="H41" s="275" t="s">
        <v>872</v>
      </c>
      <c r="I41" s="275" t="s">
        <v>418</v>
      </c>
      <c r="J41" s="275" t="s">
        <v>418</v>
      </c>
      <c r="K41" s="275" t="s">
        <v>418</v>
      </c>
      <c r="L41" s="275" t="s">
        <v>418</v>
      </c>
      <c r="M41" s="280" t="s">
        <v>418</v>
      </c>
      <c r="N41" s="281" t="str">
        <f>IF(('Area B'!$E$29+'Area B'!$E$30)&gt;0,"none",IF('Area B'!$J$31&gt;0,'Item List'!$B$312,IF(('Area B'!$J$33+'Area B'!$J$34)&gt;0,'Item List'!$B$287,"none")))</f>
        <v>none</v>
      </c>
      <c r="O41" s="282" t="s">
        <v>872</v>
      </c>
      <c r="P41" s="280" t="s">
        <v>418</v>
      </c>
      <c r="Q41" s="280" t="s">
        <v>418</v>
      </c>
      <c r="R41" s="280" t="s">
        <v>418</v>
      </c>
      <c r="S41" s="280" t="s">
        <v>418</v>
      </c>
      <c r="T41" s="247" t="s">
        <v>418</v>
      </c>
      <c r="U41" s="206" t="str">
        <f>IF(('Area C'!$E$29+'Area C'!$E$30)&gt;0,"none",IF('Area C'!$J$31&gt;0,'Item List'!$B$312,IF(('Area C'!$J$33+'Area C'!$J$34)&gt;0,'Item List'!$B$287,"none")))</f>
        <v>none</v>
      </c>
      <c r="V41" s="154" t="s">
        <v>872</v>
      </c>
      <c r="W41" s="247" t="s">
        <v>418</v>
      </c>
      <c r="X41" s="247" t="s">
        <v>418</v>
      </c>
      <c r="Y41" s="247" t="s">
        <v>418</v>
      </c>
      <c r="Z41" s="247" t="s">
        <v>418</v>
      </c>
      <c r="AA41" s="248" t="s">
        <v>418</v>
      </c>
      <c r="AB41" s="249" t="str">
        <f>IF(('Area D'!$E$29+'Area D'!$E$30)&gt;0,"none",IF('Area D'!$J$31&gt;0,'Item List'!$B$312,IF(('Area D'!$J$33+'Area D'!$J$34)&gt;0,'Item List'!$B$287,"none")))</f>
        <v>none</v>
      </c>
      <c r="AC41" s="202" t="s">
        <v>872</v>
      </c>
      <c r="AD41" s="248" t="s">
        <v>418</v>
      </c>
      <c r="AE41" s="248" t="s">
        <v>418</v>
      </c>
      <c r="AF41" s="248" t="s">
        <v>418</v>
      </c>
      <c r="AG41" s="248" t="s">
        <v>418</v>
      </c>
    </row>
    <row r="42" spans="1:39" x14ac:dyDescent="0.4">
      <c r="A42" s="60" t="s">
        <v>413</v>
      </c>
      <c r="B42" s="2" t="s">
        <v>656</v>
      </c>
      <c r="C42" s="2" t="s">
        <v>660</v>
      </c>
      <c r="D42" s="12">
        <v>20</v>
      </c>
      <c r="E42" s="4">
        <v>54.068890000000003</v>
      </c>
      <c r="F42" s="275" t="s">
        <v>418</v>
      </c>
      <c r="G42" s="276" t="str">
        <f>IF(('Area A'!$E$29+'Area A'!$E$30)&gt;0,"none",IF('Area A'!$J$31&gt;0,'Item List'!$B$312,IF(('Area A'!$J$33+'Area A'!$J$34)&gt;0,'Item List'!$B$288,"none")))</f>
        <v>none</v>
      </c>
      <c r="H42" s="275" t="s">
        <v>872</v>
      </c>
      <c r="I42" s="275" t="s">
        <v>418</v>
      </c>
      <c r="J42" s="275" t="s">
        <v>418</v>
      </c>
      <c r="K42" s="275" t="s">
        <v>418</v>
      </c>
      <c r="L42" s="275" t="s">
        <v>418</v>
      </c>
      <c r="M42" s="280" t="s">
        <v>418</v>
      </c>
      <c r="N42" s="281" t="str">
        <f>IF(('Area B'!$E$29+'Area B'!$E$30)&gt;0,"none",IF('Area B'!$J$31&gt;0,'Item List'!$B$312,IF(('Area B'!$J$33+'Area B'!$J$34)&gt;0,'Item List'!$B$288,"none")))</f>
        <v>none</v>
      </c>
      <c r="O42" s="282" t="s">
        <v>872</v>
      </c>
      <c r="P42" s="280" t="s">
        <v>418</v>
      </c>
      <c r="Q42" s="280" t="s">
        <v>418</v>
      </c>
      <c r="R42" s="280" t="s">
        <v>418</v>
      </c>
      <c r="S42" s="280" t="s">
        <v>418</v>
      </c>
      <c r="T42" s="247" t="s">
        <v>418</v>
      </c>
      <c r="U42" s="206" t="str">
        <f>IF(('Area C'!$E$29+'Area C'!$E$30)&gt;0,"none",IF('Area C'!$J$31&gt;0,'Item List'!$B$312,IF(('Area C'!$J$33+'Area C'!$J$34)&gt;0,'Item List'!$B$288,"none")))</f>
        <v>none</v>
      </c>
      <c r="V42" s="154" t="s">
        <v>872</v>
      </c>
      <c r="W42" s="247" t="s">
        <v>418</v>
      </c>
      <c r="X42" s="247" t="s">
        <v>418</v>
      </c>
      <c r="Y42" s="247" t="s">
        <v>418</v>
      </c>
      <c r="Z42" s="247" t="s">
        <v>418</v>
      </c>
      <c r="AA42" s="248" t="s">
        <v>418</v>
      </c>
      <c r="AB42" s="249" t="str">
        <f>IF(('Area D'!$E$29+'Area D'!$E$30)&gt;0,"none",IF('Area D'!$J$31&gt;0,'Item List'!$B$312,IF(('Area D'!$J$33+'Area D'!$J$34)&gt;0,'Item List'!$B$288,"none")))</f>
        <v>none</v>
      </c>
      <c r="AC42" s="202" t="s">
        <v>872</v>
      </c>
      <c r="AD42" s="248" t="s">
        <v>418</v>
      </c>
      <c r="AE42" s="248" t="s">
        <v>418</v>
      </c>
      <c r="AF42" s="248" t="s">
        <v>418</v>
      </c>
      <c r="AG42" s="248" t="s">
        <v>418</v>
      </c>
    </row>
    <row r="43" spans="1:39" x14ac:dyDescent="0.4">
      <c r="A43" s="60" t="s">
        <v>413</v>
      </c>
      <c r="B43" s="2" t="s">
        <v>376</v>
      </c>
      <c r="C43" s="2" t="s">
        <v>377</v>
      </c>
      <c r="D43" s="12">
        <v>20</v>
      </c>
      <c r="E43" s="4">
        <v>43.7</v>
      </c>
      <c r="F43" s="275" t="s">
        <v>18</v>
      </c>
      <c r="G43" s="276" t="str">
        <f>IF(('Area A'!$E$29+'Area A'!$E$30)&gt;0,"none",IF('Area A'!$J$31&gt;0,'Item List'!$B$312,IF(('Area A'!$J$33+'Area A'!$J$34)&gt;0,'Item List'!$B$285,"none")))</f>
        <v>none</v>
      </c>
      <c r="H43" s="275" t="s">
        <v>418</v>
      </c>
      <c r="I43" s="275" t="s">
        <v>418</v>
      </c>
      <c r="J43" s="275" t="s">
        <v>418</v>
      </c>
      <c r="K43" s="275" t="s">
        <v>418</v>
      </c>
      <c r="L43" s="275" t="s">
        <v>418</v>
      </c>
      <c r="M43" s="280" t="s">
        <v>18</v>
      </c>
      <c r="N43" s="281" t="str">
        <f>IF(('Area B'!$E$29+'Area B'!$E$30)&gt;0,"none",IF('Area B'!$J$31&gt;0,'Item List'!$B$312,IF(('Area B'!$J$33+'Area B'!$J$34)&gt;0,'Item List'!$B$285,"none")))</f>
        <v>none</v>
      </c>
      <c r="O43" s="280" t="s">
        <v>418</v>
      </c>
      <c r="P43" s="280" t="s">
        <v>418</v>
      </c>
      <c r="Q43" s="280" t="s">
        <v>418</v>
      </c>
      <c r="R43" s="280" t="s">
        <v>418</v>
      </c>
      <c r="S43" s="280" t="s">
        <v>418</v>
      </c>
      <c r="T43" s="247" t="s">
        <v>18</v>
      </c>
      <c r="U43" s="206" t="str">
        <f>IF(('Area C'!$E$29+'Area C'!$E$30)&gt;0,"none",IF('Area C'!$J$31&gt;0,'Item List'!$B$312,IF(('Area C'!$J$33+'Area C'!$J$34)&gt;0,'Item List'!$B$285,"none")))</f>
        <v>none</v>
      </c>
      <c r="V43" s="247" t="s">
        <v>418</v>
      </c>
      <c r="W43" s="247" t="s">
        <v>418</v>
      </c>
      <c r="X43" s="247" t="s">
        <v>418</v>
      </c>
      <c r="Y43" s="247" t="s">
        <v>418</v>
      </c>
      <c r="Z43" s="247" t="s">
        <v>418</v>
      </c>
      <c r="AA43" s="248" t="s">
        <v>18</v>
      </c>
      <c r="AB43" s="249" t="str">
        <f>IF(('Area D'!$E$29+'Area D'!$E$30)&gt;0,"none",IF('Area D'!$J$31&gt;0,'Item List'!$B$312,IF(('Area D'!$J$33+'Area D'!$J$34)&gt;0,'Item List'!$B$285,"none")))</f>
        <v>none</v>
      </c>
      <c r="AC43" s="248" t="s">
        <v>418</v>
      </c>
      <c r="AD43" s="248" t="s">
        <v>418</v>
      </c>
      <c r="AE43" s="248" t="s">
        <v>418</v>
      </c>
      <c r="AF43" s="248" t="s">
        <v>418</v>
      </c>
      <c r="AG43" s="248" t="s">
        <v>418</v>
      </c>
    </row>
    <row r="44" spans="1:39" x14ac:dyDescent="0.4">
      <c r="A44" s="60" t="s">
        <v>413</v>
      </c>
      <c r="B44" s="2" t="s">
        <v>372</v>
      </c>
      <c r="C44" s="2" t="s">
        <v>373</v>
      </c>
      <c r="D44" s="12">
        <v>12</v>
      </c>
      <c r="E44" s="4">
        <v>255.04</v>
      </c>
      <c r="F44" s="275" t="s">
        <v>374</v>
      </c>
      <c r="G44" s="275" t="s">
        <v>418</v>
      </c>
      <c r="H44" s="277" t="str">
        <f>$B$308</f>
        <v>Holes Drilled - Base Shoe</v>
      </c>
      <c r="I44" s="277" t="s">
        <v>189</v>
      </c>
      <c r="J44" s="275" t="s">
        <v>418</v>
      </c>
      <c r="K44" s="275" t="s">
        <v>418</v>
      </c>
      <c r="L44" s="275" t="s">
        <v>418</v>
      </c>
      <c r="M44" s="280" t="s">
        <v>374</v>
      </c>
      <c r="N44" s="280" t="s">
        <v>418</v>
      </c>
      <c r="O44" s="282" t="str">
        <f>$B$308</f>
        <v>Holes Drilled - Base Shoe</v>
      </c>
      <c r="P44" s="282" t="s">
        <v>189</v>
      </c>
      <c r="Q44" s="280" t="s">
        <v>418</v>
      </c>
      <c r="R44" s="280" t="s">
        <v>418</v>
      </c>
      <c r="S44" s="280" t="s">
        <v>418</v>
      </c>
      <c r="T44" s="247" t="s">
        <v>374</v>
      </c>
      <c r="U44" s="247" t="s">
        <v>418</v>
      </c>
      <c r="V44" s="154" t="str">
        <f>$B$308</f>
        <v>Holes Drilled - Base Shoe</v>
      </c>
      <c r="W44" s="154" t="s">
        <v>189</v>
      </c>
      <c r="X44" s="247" t="s">
        <v>418</v>
      </c>
      <c r="Y44" s="247" t="s">
        <v>418</v>
      </c>
      <c r="Z44" s="247" t="s">
        <v>418</v>
      </c>
      <c r="AA44" s="248" t="s">
        <v>374</v>
      </c>
      <c r="AB44" s="248" t="s">
        <v>418</v>
      </c>
      <c r="AC44" s="202" t="str">
        <f>$B$308</f>
        <v>Holes Drilled - Base Shoe</v>
      </c>
      <c r="AD44" s="202" t="s">
        <v>189</v>
      </c>
      <c r="AE44" s="248" t="s">
        <v>418</v>
      </c>
      <c r="AF44" s="248" t="s">
        <v>418</v>
      </c>
      <c r="AG44" s="248" t="s">
        <v>418</v>
      </c>
      <c r="AH44" s="30">
        <f>ROUNDUP(('Project Materials'!$O$25*'Project Materials'!$P$25)/'Item List'!D44,0)</f>
        <v>0</v>
      </c>
      <c r="AI44" s="27">
        <f>ROUNDUP(('Project Materials'!$O$26*'Project Materials'!$P$26)/'Item List'!$D$44,0)</f>
        <v>0</v>
      </c>
      <c r="AJ44" s="28">
        <f>ROUNDUP(('Project Materials'!$O$27*'Project Materials'!$P$27)/'Item List'!$D$44,0)</f>
        <v>0</v>
      </c>
      <c r="AK44" s="256">
        <f>ROUNDUP(('Project Materials'!$O$28*'Project Materials'!$P$28)/'Item List'!$D$44,0)</f>
        <v>0</v>
      </c>
    </row>
    <row r="45" spans="1:39" x14ac:dyDescent="0.4">
      <c r="A45" s="2"/>
      <c r="B45" s="2"/>
      <c r="C45" s="2"/>
      <c r="D45" s="12"/>
      <c r="E45" s="4"/>
      <c r="F45" s="275" t="s">
        <v>418</v>
      </c>
      <c r="G45" s="275" t="s">
        <v>418</v>
      </c>
      <c r="H45" s="275" t="s">
        <v>418</v>
      </c>
      <c r="I45" s="275" t="s">
        <v>418</v>
      </c>
      <c r="J45" s="275" t="s">
        <v>418</v>
      </c>
      <c r="K45" s="275" t="s">
        <v>418</v>
      </c>
      <c r="L45" s="275" t="s">
        <v>418</v>
      </c>
      <c r="M45" s="280" t="s">
        <v>418</v>
      </c>
      <c r="N45" s="280" t="s">
        <v>418</v>
      </c>
      <c r="O45" s="280" t="s">
        <v>418</v>
      </c>
      <c r="P45" s="280" t="s">
        <v>418</v>
      </c>
      <c r="Q45" s="280" t="s">
        <v>418</v>
      </c>
      <c r="R45" s="280" t="s">
        <v>418</v>
      </c>
      <c r="S45" s="280" t="s">
        <v>418</v>
      </c>
      <c r="T45" s="247" t="s">
        <v>418</v>
      </c>
      <c r="U45" s="247" t="s">
        <v>418</v>
      </c>
      <c r="V45" s="247" t="s">
        <v>418</v>
      </c>
      <c r="W45" s="247" t="s">
        <v>418</v>
      </c>
      <c r="X45" s="247" t="s">
        <v>418</v>
      </c>
      <c r="Y45" s="247" t="s">
        <v>418</v>
      </c>
      <c r="Z45" s="247" t="s">
        <v>418</v>
      </c>
      <c r="AA45" s="248" t="s">
        <v>418</v>
      </c>
      <c r="AB45" s="248" t="s">
        <v>418</v>
      </c>
      <c r="AC45" s="248" t="s">
        <v>418</v>
      </c>
      <c r="AD45" s="248" t="s">
        <v>418</v>
      </c>
      <c r="AE45" s="248" t="s">
        <v>418</v>
      </c>
      <c r="AF45" s="248" t="s">
        <v>418</v>
      </c>
      <c r="AG45" s="248" t="s">
        <v>418</v>
      </c>
    </row>
    <row r="46" spans="1:39" x14ac:dyDescent="0.4">
      <c r="A46" s="2" t="s">
        <v>5</v>
      </c>
      <c r="B46" s="2" t="s">
        <v>418</v>
      </c>
      <c r="C46" s="2" t="s">
        <v>418</v>
      </c>
      <c r="D46" s="12"/>
      <c r="E46" s="8">
        <v>0</v>
      </c>
      <c r="F46" s="275" t="s">
        <v>418</v>
      </c>
      <c r="G46" s="275" t="s">
        <v>418</v>
      </c>
      <c r="H46" s="275" t="s">
        <v>418</v>
      </c>
      <c r="I46" s="275" t="s">
        <v>418</v>
      </c>
      <c r="J46" s="275" t="s">
        <v>418</v>
      </c>
      <c r="K46" s="275" t="s">
        <v>418</v>
      </c>
      <c r="L46" s="275" t="s">
        <v>418</v>
      </c>
      <c r="M46" s="280" t="s">
        <v>418</v>
      </c>
      <c r="N46" s="280" t="s">
        <v>418</v>
      </c>
      <c r="O46" s="280" t="s">
        <v>418</v>
      </c>
      <c r="P46" s="280" t="s">
        <v>418</v>
      </c>
      <c r="Q46" s="280" t="s">
        <v>418</v>
      </c>
      <c r="R46" s="280" t="s">
        <v>418</v>
      </c>
      <c r="S46" s="280" t="s">
        <v>418</v>
      </c>
      <c r="T46" s="247" t="s">
        <v>418</v>
      </c>
      <c r="U46" s="247" t="s">
        <v>418</v>
      </c>
      <c r="V46" s="247" t="s">
        <v>418</v>
      </c>
      <c r="W46" s="247" t="s">
        <v>418</v>
      </c>
      <c r="X46" s="247" t="s">
        <v>418</v>
      </c>
      <c r="Y46" s="247" t="s">
        <v>418</v>
      </c>
      <c r="Z46" s="247" t="s">
        <v>418</v>
      </c>
      <c r="AA46" s="248" t="s">
        <v>418</v>
      </c>
      <c r="AB46" s="248" t="s">
        <v>418</v>
      </c>
      <c r="AC46" s="248" t="s">
        <v>418</v>
      </c>
      <c r="AD46" s="248" t="s">
        <v>418</v>
      </c>
      <c r="AE46" s="248" t="s">
        <v>418</v>
      </c>
      <c r="AF46" s="248" t="s">
        <v>418</v>
      </c>
      <c r="AG46" s="248" t="s">
        <v>418</v>
      </c>
      <c r="AL46">
        <v>0</v>
      </c>
    </row>
    <row r="47" spans="1:39" x14ac:dyDescent="0.4">
      <c r="A47" s="60" t="s">
        <v>5</v>
      </c>
      <c r="B47" s="2" t="s">
        <v>547</v>
      </c>
      <c r="C47" s="2" t="s">
        <v>549</v>
      </c>
      <c r="D47" s="12">
        <v>18.5</v>
      </c>
      <c r="E47" s="4">
        <v>152</v>
      </c>
      <c r="F47" s="275" t="s">
        <v>418</v>
      </c>
      <c r="G47" s="275" t="s">
        <v>418</v>
      </c>
      <c r="H47" s="275" t="s">
        <v>418</v>
      </c>
      <c r="I47" s="275" t="s">
        <v>418</v>
      </c>
      <c r="J47" s="275" t="s">
        <v>418</v>
      </c>
      <c r="K47" s="275" t="s">
        <v>418</v>
      </c>
      <c r="L47" s="275" t="s">
        <v>418</v>
      </c>
      <c r="M47" s="280" t="s">
        <v>418</v>
      </c>
      <c r="N47" s="280" t="s">
        <v>418</v>
      </c>
      <c r="O47" s="280" t="s">
        <v>418</v>
      </c>
      <c r="P47" s="280" t="s">
        <v>418</v>
      </c>
      <c r="Q47" s="280" t="s">
        <v>418</v>
      </c>
      <c r="R47" s="280" t="s">
        <v>418</v>
      </c>
      <c r="S47" s="280" t="s">
        <v>418</v>
      </c>
      <c r="T47" s="247" t="s">
        <v>418</v>
      </c>
      <c r="U47" s="247" t="s">
        <v>418</v>
      </c>
      <c r="V47" s="247" t="s">
        <v>418</v>
      </c>
      <c r="W47" s="247" t="s">
        <v>418</v>
      </c>
      <c r="X47" s="247" t="s">
        <v>418</v>
      </c>
      <c r="Y47" s="247" t="s">
        <v>418</v>
      </c>
      <c r="Z47" s="247" t="s">
        <v>418</v>
      </c>
      <c r="AA47" s="248" t="s">
        <v>418</v>
      </c>
      <c r="AB47" s="248" t="s">
        <v>418</v>
      </c>
      <c r="AC47" s="248" t="s">
        <v>418</v>
      </c>
      <c r="AD47" s="248" t="s">
        <v>418</v>
      </c>
      <c r="AE47" s="248" t="s">
        <v>418</v>
      </c>
      <c r="AF47" s="248" t="s">
        <v>418</v>
      </c>
      <c r="AG47" s="248" t="s">
        <v>418</v>
      </c>
      <c r="AL47" s="33">
        <v>2.375</v>
      </c>
      <c r="AM47" s="33"/>
    </row>
    <row r="48" spans="1:39" x14ac:dyDescent="0.4">
      <c r="A48" s="60" t="s">
        <v>5</v>
      </c>
      <c r="B48" s="2" t="s">
        <v>548</v>
      </c>
      <c r="C48" s="2" t="s">
        <v>550</v>
      </c>
      <c r="D48" s="12">
        <v>18.5</v>
      </c>
      <c r="E48" s="4">
        <v>135.08000000000001</v>
      </c>
      <c r="F48" s="275" t="s">
        <v>418</v>
      </c>
      <c r="G48" s="275" t="s">
        <v>418</v>
      </c>
      <c r="H48" s="275" t="s">
        <v>418</v>
      </c>
      <c r="I48" s="275" t="s">
        <v>418</v>
      </c>
      <c r="J48" s="275" t="s">
        <v>418</v>
      </c>
      <c r="K48" s="275" t="s">
        <v>418</v>
      </c>
      <c r="L48" s="275" t="s">
        <v>418</v>
      </c>
      <c r="M48" s="280" t="s">
        <v>418</v>
      </c>
      <c r="N48" s="280" t="s">
        <v>418</v>
      </c>
      <c r="O48" s="280" t="s">
        <v>418</v>
      </c>
      <c r="P48" s="280" t="s">
        <v>418</v>
      </c>
      <c r="Q48" s="280" t="s">
        <v>418</v>
      </c>
      <c r="R48" s="280" t="s">
        <v>418</v>
      </c>
      <c r="S48" s="280" t="s">
        <v>418</v>
      </c>
      <c r="T48" s="247" t="s">
        <v>418</v>
      </c>
      <c r="U48" s="247" t="s">
        <v>418</v>
      </c>
      <c r="V48" s="247" t="s">
        <v>418</v>
      </c>
      <c r="W48" s="247" t="s">
        <v>418</v>
      </c>
      <c r="X48" s="247" t="s">
        <v>418</v>
      </c>
      <c r="Y48" s="247" t="s">
        <v>418</v>
      </c>
      <c r="Z48" s="247" t="s">
        <v>418</v>
      </c>
      <c r="AA48" s="248" t="s">
        <v>418</v>
      </c>
      <c r="AB48" s="248" t="s">
        <v>418</v>
      </c>
      <c r="AC48" s="248" t="s">
        <v>418</v>
      </c>
      <c r="AD48" s="248" t="s">
        <v>418</v>
      </c>
      <c r="AE48" s="248" t="s">
        <v>418</v>
      </c>
      <c r="AF48" s="248" t="s">
        <v>418</v>
      </c>
      <c r="AG48" s="248" t="s">
        <v>418</v>
      </c>
      <c r="AL48" s="33">
        <v>2.375</v>
      </c>
      <c r="AM48" s="33"/>
    </row>
    <row r="49" spans="1:39" x14ac:dyDescent="0.4">
      <c r="A49" s="60" t="s">
        <v>5</v>
      </c>
      <c r="B49" s="2" t="s">
        <v>165</v>
      </c>
      <c r="C49" s="2" t="s">
        <v>166</v>
      </c>
      <c r="D49" s="12">
        <v>18.75</v>
      </c>
      <c r="E49" s="4">
        <v>68.75</v>
      </c>
      <c r="F49" s="275" t="s">
        <v>418</v>
      </c>
      <c r="G49" s="275" t="s">
        <v>418</v>
      </c>
      <c r="H49" s="275" t="s">
        <v>418</v>
      </c>
      <c r="I49" s="275" t="s">
        <v>418</v>
      </c>
      <c r="J49" s="275" t="s">
        <v>418</v>
      </c>
      <c r="K49" s="275" t="s">
        <v>418</v>
      </c>
      <c r="L49" s="275" t="s">
        <v>418</v>
      </c>
      <c r="M49" s="280" t="s">
        <v>418</v>
      </c>
      <c r="N49" s="280" t="s">
        <v>418</v>
      </c>
      <c r="O49" s="280" t="s">
        <v>418</v>
      </c>
      <c r="P49" s="280" t="s">
        <v>418</v>
      </c>
      <c r="Q49" s="280" t="s">
        <v>418</v>
      </c>
      <c r="R49" s="280" t="s">
        <v>418</v>
      </c>
      <c r="S49" s="280" t="s">
        <v>418</v>
      </c>
      <c r="T49" s="247" t="s">
        <v>418</v>
      </c>
      <c r="U49" s="247" t="s">
        <v>418</v>
      </c>
      <c r="V49" s="247" t="s">
        <v>418</v>
      </c>
      <c r="W49" s="247" t="s">
        <v>418</v>
      </c>
      <c r="X49" s="247" t="s">
        <v>418</v>
      </c>
      <c r="Y49" s="247" t="s">
        <v>418</v>
      </c>
      <c r="Z49" s="247" t="s">
        <v>418</v>
      </c>
      <c r="AA49" s="248" t="s">
        <v>418</v>
      </c>
      <c r="AB49" s="248" t="s">
        <v>418</v>
      </c>
      <c r="AC49" s="248" t="s">
        <v>418</v>
      </c>
      <c r="AD49" s="248" t="s">
        <v>418</v>
      </c>
      <c r="AE49" s="248" t="s">
        <v>418</v>
      </c>
      <c r="AF49" s="248" t="s">
        <v>418</v>
      </c>
      <c r="AG49" s="248" t="s">
        <v>418</v>
      </c>
      <c r="AL49" s="33">
        <v>2.375</v>
      </c>
      <c r="AM49" s="33"/>
    </row>
    <row r="50" spans="1:39" x14ac:dyDescent="0.4">
      <c r="A50" s="60" t="s">
        <v>5</v>
      </c>
      <c r="B50" s="2" t="s">
        <v>167</v>
      </c>
      <c r="C50" s="2" t="s">
        <v>168</v>
      </c>
      <c r="D50" s="12">
        <v>18.75</v>
      </c>
      <c r="E50" s="4">
        <v>64.75</v>
      </c>
      <c r="F50" s="275" t="s">
        <v>418</v>
      </c>
      <c r="G50" s="275" t="s">
        <v>418</v>
      </c>
      <c r="H50" s="275" t="s">
        <v>418</v>
      </c>
      <c r="I50" s="275" t="s">
        <v>418</v>
      </c>
      <c r="J50" s="275" t="s">
        <v>418</v>
      </c>
      <c r="K50" s="275" t="s">
        <v>418</v>
      </c>
      <c r="L50" s="275" t="s">
        <v>418</v>
      </c>
      <c r="M50" s="280" t="s">
        <v>418</v>
      </c>
      <c r="N50" s="280" t="s">
        <v>418</v>
      </c>
      <c r="O50" s="280" t="s">
        <v>418</v>
      </c>
      <c r="P50" s="280" t="s">
        <v>418</v>
      </c>
      <c r="Q50" s="280" t="s">
        <v>418</v>
      </c>
      <c r="R50" s="280" t="s">
        <v>418</v>
      </c>
      <c r="S50" s="280" t="s">
        <v>418</v>
      </c>
      <c r="T50" s="247" t="s">
        <v>418</v>
      </c>
      <c r="U50" s="247" t="s">
        <v>418</v>
      </c>
      <c r="V50" s="247" t="s">
        <v>418</v>
      </c>
      <c r="W50" s="247" t="s">
        <v>418</v>
      </c>
      <c r="X50" s="247" t="s">
        <v>418</v>
      </c>
      <c r="Y50" s="247" t="s">
        <v>418</v>
      </c>
      <c r="Z50" s="247" t="s">
        <v>418</v>
      </c>
      <c r="AA50" s="248" t="s">
        <v>418</v>
      </c>
      <c r="AB50" s="248" t="s">
        <v>418</v>
      </c>
      <c r="AC50" s="248" t="s">
        <v>418</v>
      </c>
      <c r="AD50" s="248" t="s">
        <v>418</v>
      </c>
      <c r="AE50" s="248" t="s">
        <v>418</v>
      </c>
      <c r="AF50" s="248" t="s">
        <v>418</v>
      </c>
      <c r="AG50" s="248" t="s">
        <v>418</v>
      </c>
      <c r="AL50" s="33">
        <v>2.375</v>
      </c>
      <c r="AM50" s="33"/>
    </row>
    <row r="51" spans="1:39" x14ac:dyDescent="0.4">
      <c r="A51" s="60" t="s">
        <v>5</v>
      </c>
      <c r="B51" s="2" t="s">
        <v>169</v>
      </c>
      <c r="C51" s="2" t="s">
        <v>170</v>
      </c>
      <c r="D51" s="12">
        <v>18.75</v>
      </c>
      <c r="E51" s="4">
        <v>79.357979999999998</v>
      </c>
      <c r="F51" s="275" t="s">
        <v>418</v>
      </c>
      <c r="G51" s="275" t="s">
        <v>418</v>
      </c>
      <c r="H51" s="275" t="s">
        <v>418</v>
      </c>
      <c r="I51" s="275" t="s">
        <v>418</v>
      </c>
      <c r="J51" s="275" t="s">
        <v>418</v>
      </c>
      <c r="K51" s="275" t="s">
        <v>418</v>
      </c>
      <c r="L51" s="275" t="s">
        <v>418</v>
      </c>
      <c r="M51" s="280" t="s">
        <v>418</v>
      </c>
      <c r="N51" s="280" t="s">
        <v>418</v>
      </c>
      <c r="O51" s="280" t="s">
        <v>418</v>
      </c>
      <c r="P51" s="280" t="s">
        <v>418</v>
      </c>
      <c r="Q51" s="280" t="s">
        <v>418</v>
      </c>
      <c r="R51" s="280" t="s">
        <v>418</v>
      </c>
      <c r="S51" s="280" t="s">
        <v>418</v>
      </c>
      <c r="T51" s="247" t="s">
        <v>418</v>
      </c>
      <c r="U51" s="247" t="s">
        <v>418</v>
      </c>
      <c r="V51" s="247" t="s">
        <v>418</v>
      </c>
      <c r="W51" s="247" t="s">
        <v>418</v>
      </c>
      <c r="X51" s="247" t="s">
        <v>418</v>
      </c>
      <c r="Y51" s="247" t="s">
        <v>418</v>
      </c>
      <c r="Z51" s="247" t="s">
        <v>418</v>
      </c>
      <c r="AA51" s="248" t="s">
        <v>418</v>
      </c>
      <c r="AB51" s="248" t="s">
        <v>418</v>
      </c>
      <c r="AC51" s="248" t="s">
        <v>418</v>
      </c>
      <c r="AD51" s="248" t="s">
        <v>418</v>
      </c>
      <c r="AE51" s="248" t="s">
        <v>418</v>
      </c>
      <c r="AF51" s="248" t="s">
        <v>418</v>
      </c>
      <c r="AG51" s="248" t="s">
        <v>418</v>
      </c>
      <c r="AL51" s="33">
        <v>2.375</v>
      </c>
      <c r="AM51" s="33"/>
    </row>
    <row r="52" spans="1:39" x14ac:dyDescent="0.4">
      <c r="A52" s="60" t="s">
        <v>5</v>
      </c>
      <c r="B52" s="2" t="s">
        <v>379</v>
      </c>
      <c r="C52" s="2" t="s">
        <v>380</v>
      </c>
      <c r="D52" s="12">
        <v>18.75</v>
      </c>
      <c r="E52" s="4">
        <v>107.60899999999999</v>
      </c>
      <c r="F52" s="275" t="s">
        <v>418</v>
      </c>
      <c r="G52" s="275" t="s">
        <v>418</v>
      </c>
      <c r="H52" s="275" t="s">
        <v>418</v>
      </c>
      <c r="I52" s="275" t="s">
        <v>418</v>
      </c>
      <c r="J52" s="275" t="s">
        <v>418</v>
      </c>
      <c r="K52" s="275" t="s">
        <v>418</v>
      </c>
      <c r="L52" s="275" t="s">
        <v>418</v>
      </c>
      <c r="M52" s="280" t="s">
        <v>418</v>
      </c>
      <c r="N52" s="280" t="s">
        <v>418</v>
      </c>
      <c r="O52" s="280" t="s">
        <v>418</v>
      </c>
      <c r="P52" s="280" t="s">
        <v>418</v>
      </c>
      <c r="Q52" s="280" t="s">
        <v>418</v>
      </c>
      <c r="R52" s="280" t="s">
        <v>418</v>
      </c>
      <c r="S52" s="280" t="s">
        <v>418</v>
      </c>
      <c r="T52" s="247" t="s">
        <v>418</v>
      </c>
      <c r="U52" s="247" t="s">
        <v>418</v>
      </c>
      <c r="V52" s="247" t="s">
        <v>418</v>
      </c>
      <c r="W52" s="247" t="s">
        <v>418</v>
      </c>
      <c r="X52" s="247" t="s">
        <v>418</v>
      </c>
      <c r="Y52" s="247" t="s">
        <v>418</v>
      </c>
      <c r="Z52" s="247" t="s">
        <v>418</v>
      </c>
      <c r="AA52" s="248" t="s">
        <v>418</v>
      </c>
      <c r="AB52" s="248" t="s">
        <v>418</v>
      </c>
      <c r="AC52" s="248" t="s">
        <v>418</v>
      </c>
      <c r="AD52" s="248" t="s">
        <v>418</v>
      </c>
      <c r="AE52" s="248" t="s">
        <v>418</v>
      </c>
      <c r="AF52" s="248" t="s">
        <v>418</v>
      </c>
      <c r="AG52" s="248" t="s">
        <v>418</v>
      </c>
      <c r="AL52" s="33">
        <v>2.375</v>
      </c>
      <c r="AM52" s="33"/>
    </row>
    <row r="53" spans="1:39" x14ac:dyDescent="0.4">
      <c r="A53" s="60" t="s">
        <v>5</v>
      </c>
      <c r="B53" s="2" t="s">
        <v>171</v>
      </c>
      <c r="C53" s="2" t="s">
        <v>172</v>
      </c>
      <c r="D53" s="12">
        <v>18.75</v>
      </c>
      <c r="E53" s="4">
        <v>64.75</v>
      </c>
      <c r="F53" s="275" t="s">
        <v>418</v>
      </c>
      <c r="G53" s="275" t="s">
        <v>418</v>
      </c>
      <c r="H53" s="275" t="s">
        <v>418</v>
      </c>
      <c r="I53" s="275" t="s">
        <v>418</v>
      </c>
      <c r="J53" s="275" t="s">
        <v>418</v>
      </c>
      <c r="K53" s="275" t="s">
        <v>418</v>
      </c>
      <c r="L53" s="275" t="s">
        <v>418</v>
      </c>
      <c r="M53" s="280" t="s">
        <v>418</v>
      </c>
      <c r="N53" s="280" t="s">
        <v>418</v>
      </c>
      <c r="O53" s="280" t="s">
        <v>418</v>
      </c>
      <c r="P53" s="280" t="s">
        <v>418</v>
      </c>
      <c r="Q53" s="280" t="s">
        <v>418</v>
      </c>
      <c r="R53" s="280" t="s">
        <v>418</v>
      </c>
      <c r="S53" s="280" t="s">
        <v>418</v>
      </c>
      <c r="T53" s="247" t="s">
        <v>418</v>
      </c>
      <c r="U53" s="247" t="s">
        <v>418</v>
      </c>
      <c r="V53" s="247" t="s">
        <v>418</v>
      </c>
      <c r="W53" s="247" t="s">
        <v>418</v>
      </c>
      <c r="X53" s="247" t="s">
        <v>418</v>
      </c>
      <c r="Y53" s="247" t="s">
        <v>418</v>
      </c>
      <c r="Z53" s="247" t="s">
        <v>418</v>
      </c>
      <c r="AA53" s="248" t="s">
        <v>418</v>
      </c>
      <c r="AB53" s="248" t="s">
        <v>418</v>
      </c>
      <c r="AC53" s="248" t="s">
        <v>418</v>
      </c>
      <c r="AD53" s="248" t="s">
        <v>418</v>
      </c>
      <c r="AE53" s="248" t="s">
        <v>418</v>
      </c>
      <c r="AF53" s="248" t="s">
        <v>418</v>
      </c>
      <c r="AG53" s="248" t="s">
        <v>418</v>
      </c>
      <c r="AL53" s="33">
        <v>2.375</v>
      </c>
      <c r="AM53" s="33"/>
    </row>
    <row r="54" spans="1:39" x14ac:dyDescent="0.4">
      <c r="A54" s="60" t="s">
        <v>5</v>
      </c>
      <c r="B54" s="2" t="s">
        <v>381</v>
      </c>
      <c r="C54" s="2" t="s">
        <v>382</v>
      </c>
      <c r="D54" s="12">
        <v>15.5</v>
      </c>
      <c r="E54" s="4">
        <v>125.53389</v>
      </c>
      <c r="F54" s="275" t="s">
        <v>418</v>
      </c>
      <c r="G54" s="275" t="s">
        <v>418</v>
      </c>
      <c r="H54" s="275" t="s">
        <v>418</v>
      </c>
      <c r="I54" s="275" t="s">
        <v>418</v>
      </c>
      <c r="J54" s="275" t="s">
        <v>418</v>
      </c>
      <c r="K54" s="275" t="s">
        <v>418</v>
      </c>
      <c r="L54" s="275" t="s">
        <v>418</v>
      </c>
      <c r="M54" s="280" t="s">
        <v>418</v>
      </c>
      <c r="N54" s="280" t="s">
        <v>418</v>
      </c>
      <c r="O54" s="280" t="s">
        <v>418</v>
      </c>
      <c r="P54" s="280" t="s">
        <v>418</v>
      </c>
      <c r="Q54" s="280" t="s">
        <v>418</v>
      </c>
      <c r="R54" s="280" t="s">
        <v>418</v>
      </c>
      <c r="S54" s="280" t="s">
        <v>418</v>
      </c>
      <c r="T54" s="247" t="s">
        <v>418</v>
      </c>
      <c r="U54" s="247" t="s">
        <v>418</v>
      </c>
      <c r="V54" s="247" t="s">
        <v>418</v>
      </c>
      <c r="W54" s="247" t="s">
        <v>418</v>
      </c>
      <c r="X54" s="247" t="s">
        <v>418</v>
      </c>
      <c r="Y54" s="247" t="s">
        <v>418</v>
      </c>
      <c r="Z54" s="247" t="s">
        <v>418</v>
      </c>
      <c r="AA54" s="248" t="s">
        <v>418</v>
      </c>
      <c r="AB54" s="248" t="s">
        <v>418</v>
      </c>
      <c r="AC54" s="248" t="s">
        <v>418</v>
      </c>
      <c r="AD54" s="248" t="s">
        <v>418</v>
      </c>
      <c r="AE54" s="248" t="s">
        <v>418</v>
      </c>
      <c r="AF54" s="248" t="s">
        <v>418</v>
      </c>
      <c r="AG54" s="248" t="s">
        <v>418</v>
      </c>
      <c r="AL54" s="33">
        <v>2.375</v>
      </c>
      <c r="AM54" s="33"/>
    </row>
    <row r="55" spans="1:39" x14ac:dyDescent="0.4">
      <c r="A55" s="60" t="s">
        <v>5</v>
      </c>
      <c r="B55" s="2" t="s">
        <v>507</v>
      </c>
      <c r="C55" s="2" t="s">
        <v>508</v>
      </c>
      <c r="D55" s="12">
        <v>16.5</v>
      </c>
      <c r="E55" s="4">
        <v>49.393099999999997</v>
      </c>
      <c r="F55" s="275" t="s">
        <v>418</v>
      </c>
      <c r="G55" s="275" t="s">
        <v>418</v>
      </c>
      <c r="H55" s="275" t="s">
        <v>418</v>
      </c>
      <c r="I55" s="275" t="s">
        <v>418</v>
      </c>
      <c r="J55" s="275" t="s">
        <v>418</v>
      </c>
      <c r="K55" s="275" t="s">
        <v>418</v>
      </c>
      <c r="L55" s="275" t="s">
        <v>418</v>
      </c>
      <c r="M55" s="280" t="s">
        <v>418</v>
      </c>
      <c r="N55" s="280" t="s">
        <v>418</v>
      </c>
      <c r="O55" s="280" t="s">
        <v>418</v>
      </c>
      <c r="P55" s="280" t="s">
        <v>418</v>
      </c>
      <c r="Q55" s="280" t="s">
        <v>418</v>
      </c>
      <c r="R55" s="280" t="s">
        <v>418</v>
      </c>
      <c r="S55" s="280" t="s">
        <v>418</v>
      </c>
      <c r="T55" s="247" t="s">
        <v>418</v>
      </c>
      <c r="U55" s="247" t="s">
        <v>418</v>
      </c>
      <c r="V55" s="247" t="s">
        <v>418</v>
      </c>
      <c r="W55" s="247" t="s">
        <v>418</v>
      </c>
      <c r="X55" s="247" t="s">
        <v>418</v>
      </c>
      <c r="Y55" s="247" t="s">
        <v>418</v>
      </c>
      <c r="Z55" s="247" t="s">
        <v>418</v>
      </c>
      <c r="AA55" s="248" t="s">
        <v>418</v>
      </c>
      <c r="AB55" s="248" t="s">
        <v>418</v>
      </c>
      <c r="AC55" s="248" t="s">
        <v>418</v>
      </c>
      <c r="AD55" s="248" t="s">
        <v>418</v>
      </c>
      <c r="AE55" s="248" t="s">
        <v>418</v>
      </c>
      <c r="AF55" s="248" t="s">
        <v>418</v>
      </c>
      <c r="AG55" s="248" t="s">
        <v>418</v>
      </c>
      <c r="AL55" s="33">
        <v>1.5</v>
      </c>
      <c r="AM55" s="33"/>
    </row>
    <row r="56" spans="1:39" x14ac:dyDescent="0.4">
      <c r="A56" s="60" t="s">
        <v>5</v>
      </c>
      <c r="B56" s="2" t="s">
        <v>383</v>
      </c>
      <c r="C56" s="2" t="s">
        <v>384</v>
      </c>
      <c r="D56" s="12">
        <v>16.5</v>
      </c>
      <c r="E56" s="4">
        <v>63.07</v>
      </c>
      <c r="F56" s="275" t="s">
        <v>418</v>
      </c>
      <c r="G56" s="275" t="s">
        <v>418</v>
      </c>
      <c r="H56" s="275" t="s">
        <v>418</v>
      </c>
      <c r="I56" s="275" t="s">
        <v>418</v>
      </c>
      <c r="J56" s="275" t="s">
        <v>418</v>
      </c>
      <c r="K56" s="275" t="s">
        <v>418</v>
      </c>
      <c r="L56" s="275" t="s">
        <v>418</v>
      </c>
      <c r="M56" s="280" t="s">
        <v>418</v>
      </c>
      <c r="N56" s="280" t="s">
        <v>418</v>
      </c>
      <c r="O56" s="280" t="s">
        <v>418</v>
      </c>
      <c r="P56" s="280" t="s">
        <v>418</v>
      </c>
      <c r="Q56" s="280" t="s">
        <v>418</v>
      </c>
      <c r="R56" s="280" t="s">
        <v>418</v>
      </c>
      <c r="S56" s="280" t="s">
        <v>418</v>
      </c>
      <c r="T56" s="247" t="s">
        <v>418</v>
      </c>
      <c r="U56" s="247" t="s">
        <v>418</v>
      </c>
      <c r="V56" s="247" t="s">
        <v>418</v>
      </c>
      <c r="W56" s="247" t="s">
        <v>418</v>
      </c>
      <c r="X56" s="247" t="s">
        <v>418</v>
      </c>
      <c r="Y56" s="247" t="s">
        <v>418</v>
      </c>
      <c r="Z56" s="247" t="s">
        <v>418</v>
      </c>
      <c r="AA56" s="248" t="s">
        <v>418</v>
      </c>
      <c r="AB56" s="248" t="s">
        <v>418</v>
      </c>
      <c r="AC56" s="248" t="s">
        <v>418</v>
      </c>
      <c r="AD56" s="248" t="s">
        <v>418</v>
      </c>
      <c r="AE56" s="248" t="s">
        <v>418</v>
      </c>
      <c r="AF56" s="248" t="s">
        <v>418</v>
      </c>
      <c r="AG56" s="248" t="s">
        <v>418</v>
      </c>
      <c r="AL56" s="33">
        <v>1.5</v>
      </c>
      <c r="AM56" s="33"/>
    </row>
    <row r="57" spans="1:39" x14ac:dyDescent="0.4">
      <c r="A57" s="60"/>
      <c r="B57" s="2" t="s">
        <v>418</v>
      </c>
      <c r="C57" s="2" t="s">
        <v>418</v>
      </c>
      <c r="D57" s="12"/>
      <c r="E57" s="4"/>
      <c r="F57" s="275" t="s">
        <v>418</v>
      </c>
      <c r="G57" s="275" t="s">
        <v>418</v>
      </c>
      <c r="H57" s="275" t="s">
        <v>418</v>
      </c>
      <c r="I57" s="275" t="s">
        <v>418</v>
      </c>
      <c r="J57" s="275" t="s">
        <v>418</v>
      </c>
      <c r="K57" s="275" t="s">
        <v>418</v>
      </c>
      <c r="L57" s="275" t="s">
        <v>418</v>
      </c>
      <c r="M57" s="280" t="s">
        <v>418</v>
      </c>
      <c r="N57" s="280" t="s">
        <v>418</v>
      </c>
      <c r="O57" s="280" t="s">
        <v>418</v>
      </c>
      <c r="P57" s="280" t="s">
        <v>418</v>
      </c>
      <c r="Q57" s="280" t="s">
        <v>418</v>
      </c>
      <c r="R57" s="280" t="s">
        <v>418</v>
      </c>
      <c r="S57" s="280" t="s">
        <v>418</v>
      </c>
      <c r="T57" s="247" t="s">
        <v>418</v>
      </c>
      <c r="U57" s="247" t="s">
        <v>418</v>
      </c>
      <c r="V57" s="247" t="s">
        <v>418</v>
      </c>
      <c r="W57" s="247" t="s">
        <v>418</v>
      </c>
      <c r="X57" s="247" t="s">
        <v>418</v>
      </c>
      <c r="Y57" s="247" t="s">
        <v>418</v>
      </c>
      <c r="Z57" s="247" t="s">
        <v>418</v>
      </c>
      <c r="AA57" s="248" t="s">
        <v>418</v>
      </c>
      <c r="AB57" s="248" t="s">
        <v>418</v>
      </c>
      <c r="AC57" s="248" t="s">
        <v>418</v>
      </c>
      <c r="AD57" s="248" t="s">
        <v>418</v>
      </c>
      <c r="AE57" s="248" t="s">
        <v>418</v>
      </c>
      <c r="AF57" s="248" t="s">
        <v>418</v>
      </c>
      <c r="AG57" s="248" t="s">
        <v>418</v>
      </c>
      <c r="AL57" s="33"/>
      <c r="AM57" s="33"/>
    </row>
    <row r="58" spans="1:39" x14ac:dyDescent="0.4">
      <c r="A58" s="60" t="s">
        <v>5</v>
      </c>
      <c r="B58" s="2" t="s">
        <v>394</v>
      </c>
      <c r="C58" s="2" t="s">
        <v>395</v>
      </c>
      <c r="D58" s="12"/>
      <c r="E58" s="4">
        <v>18</v>
      </c>
      <c r="F58" s="275" t="s">
        <v>418</v>
      </c>
      <c r="G58" s="275" t="s">
        <v>418</v>
      </c>
      <c r="H58" s="275" t="s">
        <v>237</v>
      </c>
      <c r="I58" s="275" t="s">
        <v>418</v>
      </c>
      <c r="J58" s="275" t="s">
        <v>418</v>
      </c>
      <c r="K58" s="275" t="s">
        <v>418</v>
      </c>
      <c r="L58" s="275" t="s">
        <v>418</v>
      </c>
      <c r="M58" s="280" t="s">
        <v>418</v>
      </c>
      <c r="N58" s="280" t="s">
        <v>418</v>
      </c>
      <c r="O58" s="280" t="s">
        <v>237</v>
      </c>
      <c r="P58" s="280" t="s">
        <v>418</v>
      </c>
      <c r="Q58" s="280" t="s">
        <v>418</v>
      </c>
      <c r="R58" s="280" t="s">
        <v>418</v>
      </c>
      <c r="S58" s="280" t="s">
        <v>418</v>
      </c>
      <c r="T58" s="247" t="s">
        <v>418</v>
      </c>
      <c r="U58" s="247" t="s">
        <v>418</v>
      </c>
      <c r="V58" s="247" t="s">
        <v>237</v>
      </c>
      <c r="W58" s="247" t="s">
        <v>418</v>
      </c>
      <c r="X58" s="247" t="s">
        <v>418</v>
      </c>
      <c r="Y58" s="247" t="s">
        <v>418</v>
      </c>
      <c r="Z58" s="247" t="s">
        <v>418</v>
      </c>
      <c r="AA58" s="248" t="s">
        <v>418</v>
      </c>
      <c r="AB58" s="248" t="s">
        <v>418</v>
      </c>
      <c r="AC58" s="248" t="s">
        <v>237</v>
      </c>
      <c r="AD58" s="248" t="s">
        <v>418</v>
      </c>
      <c r="AE58" s="248" t="s">
        <v>418</v>
      </c>
      <c r="AF58" s="248" t="s">
        <v>418</v>
      </c>
      <c r="AG58" s="248" t="s">
        <v>418</v>
      </c>
      <c r="AH58" s="30">
        <f>SUM(IF('Area A'!$B$15='Item List'!$B$58,'Area A'!$E$15,0)+IF('Area A'!$B$16='Item List'!$B$58,'Area A'!$E$16,0)+IF('Area A'!$B$17='Item List'!$B$58,'Area A'!$E$17,0)+IF('Area A'!$B$18='Item List'!$B$58,'Area A'!$E$18,0))</f>
        <v>0</v>
      </c>
      <c r="AI58" s="27">
        <f>SUM(IF('Area B'!$B$15='Item List'!$B$58,'Area B'!$E$15,0)+IF('Area B'!$B$16='Item List'!$B$58,'Area B'!$E$16,0)+IF('Area B'!$B$17='Item List'!$B$58,'Area B'!$E$17,0)+IF('Area B'!$B$18='Item List'!$B$58,'Area B'!$E$18,0))</f>
        <v>0</v>
      </c>
      <c r="AJ58" s="28">
        <f>SUM(IF('Area C'!$B$15='Item List'!$B$58,'Area C'!$E$15,0)+IF('Area C'!$B$16='Item List'!$B$58,'Area C'!$E$16,0)+IF('Area C'!$B$17='Item List'!$B$58,'Area C'!$E$17,0)+IF('Area C'!$B$18='Item List'!$B$58,'Area C'!$E$18,0))</f>
        <v>0</v>
      </c>
      <c r="AK58" s="200">
        <f>SUM(IF('Area D'!$B$15='Item List'!$B$58,'Area D'!$E$15,0)+IF('Area D'!$B$16='Item List'!$B$58,'Area D'!$E$16,0)+IF('Area D'!$B$17='Item List'!$B$58,'Area D'!$E$17,0)+IF('Area D'!$B$18='Item List'!$B$58,'Area D'!$E$18,0))</f>
        <v>0</v>
      </c>
    </row>
    <row r="59" spans="1:39" x14ac:dyDescent="0.4">
      <c r="A59" s="60" t="s">
        <v>5</v>
      </c>
      <c r="B59" s="2" t="s">
        <v>396</v>
      </c>
      <c r="C59" s="2" t="s">
        <v>397</v>
      </c>
      <c r="D59" s="12"/>
      <c r="E59" s="4">
        <v>20</v>
      </c>
      <c r="F59" s="275" t="s">
        <v>418</v>
      </c>
      <c r="G59" s="275" t="s">
        <v>418</v>
      </c>
      <c r="H59" s="275" t="s">
        <v>239</v>
      </c>
      <c r="I59" s="275" t="s">
        <v>418</v>
      </c>
      <c r="J59" s="275" t="s">
        <v>418</v>
      </c>
      <c r="K59" s="275" t="s">
        <v>418</v>
      </c>
      <c r="L59" s="275" t="s">
        <v>418</v>
      </c>
      <c r="M59" s="280" t="s">
        <v>418</v>
      </c>
      <c r="N59" s="280" t="s">
        <v>418</v>
      </c>
      <c r="O59" s="280" t="s">
        <v>239</v>
      </c>
      <c r="P59" s="280" t="s">
        <v>418</v>
      </c>
      <c r="Q59" s="280" t="s">
        <v>418</v>
      </c>
      <c r="R59" s="280" t="s">
        <v>418</v>
      </c>
      <c r="S59" s="280" t="s">
        <v>418</v>
      </c>
      <c r="T59" s="247" t="s">
        <v>418</v>
      </c>
      <c r="U59" s="247" t="s">
        <v>418</v>
      </c>
      <c r="V59" s="247" t="s">
        <v>239</v>
      </c>
      <c r="W59" s="247" t="s">
        <v>418</v>
      </c>
      <c r="X59" s="247" t="s">
        <v>418</v>
      </c>
      <c r="Y59" s="247" t="s">
        <v>418</v>
      </c>
      <c r="Z59" s="247" t="s">
        <v>418</v>
      </c>
      <c r="AA59" s="248" t="s">
        <v>418</v>
      </c>
      <c r="AB59" s="248" t="s">
        <v>418</v>
      </c>
      <c r="AC59" s="248" t="s">
        <v>239</v>
      </c>
      <c r="AD59" s="248" t="s">
        <v>418</v>
      </c>
      <c r="AE59" s="248" t="s">
        <v>418</v>
      </c>
      <c r="AF59" s="248" t="s">
        <v>418</v>
      </c>
      <c r="AG59" s="248" t="s">
        <v>418</v>
      </c>
      <c r="AH59" s="30">
        <f>SUM(IF('Area A'!$B$15='Item List'!$B$59,'Area A'!$E$15,0)+IF('Area A'!$B$16='Item List'!$B$59,'Area A'!$E$16,0)+IF('Area A'!$B$17='Item List'!$B$59,'Area A'!$E$17,0)+IF('Area A'!$B$18='Item List'!$B$59,'Area A'!$E$18,0))</f>
        <v>0</v>
      </c>
      <c r="AI59" s="27">
        <f>SUM(IF('Area B'!$B$15='Item List'!$B$59,'Area B'!$E$15,0)+IF('Area B'!$B$16='Item List'!$B$59,'Area B'!$E$16,0)+IF('Area B'!$B$17='Item List'!$B$59,'Area B'!$E$17,0)+IF('Area B'!$B$18='Item List'!$B$59,'Area B'!$E$18,0))</f>
        <v>0</v>
      </c>
      <c r="AJ59" s="28">
        <f>SUM(IF('Area C'!$B$15='Item List'!$B$59,'Area C'!$E$15,0)+IF('Area C'!$B$16='Item List'!$B$59,'Area C'!$E$16,0)+IF('Area C'!$B$17='Item List'!$B$59,'Area C'!$E$17,0)+IF('Area C'!$B$18='Item List'!$B$59,'Area C'!$E$18,0))</f>
        <v>0</v>
      </c>
      <c r="AK59" s="200">
        <f>SUM(IF('Area D'!$B$15='Item List'!$B$59,'Area D'!$E$15,0)+IF('Area D'!$B$16='Item List'!$B$59,'Area D'!$E$16,0)+IF('Area D'!$B$17='Item List'!$B$59,'Area D'!$E$17,0)+IF('Area D'!$B$18='Item List'!$B$59,'Area D'!$E$18,0))</f>
        <v>0</v>
      </c>
    </row>
    <row r="60" spans="1:39" x14ac:dyDescent="0.4">
      <c r="A60" s="60" t="s">
        <v>5</v>
      </c>
      <c r="B60" s="2" t="s">
        <v>398</v>
      </c>
      <c r="C60" s="2" t="s">
        <v>399</v>
      </c>
      <c r="D60" s="12"/>
      <c r="E60" s="4">
        <v>18</v>
      </c>
      <c r="F60" s="275" t="s">
        <v>418</v>
      </c>
      <c r="G60" s="275" t="s">
        <v>418</v>
      </c>
      <c r="H60" s="275" t="s">
        <v>290</v>
      </c>
      <c r="I60" s="275" t="s">
        <v>418</v>
      </c>
      <c r="J60" s="275" t="s">
        <v>418</v>
      </c>
      <c r="K60" s="275" t="s">
        <v>418</v>
      </c>
      <c r="L60" s="275" t="s">
        <v>418</v>
      </c>
      <c r="M60" s="280" t="s">
        <v>418</v>
      </c>
      <c r="N60" s="280" t="s">
        <v>418</v>
      </c>
      <c r="O60" s="280" t="s">
        <v>290</v>
      </c>
      <c r="P60" s="280" t="s">
        <v>418</v>
      </c>
      <c r="Q60" s="280" t="s">
        <v>418</v>
      </c>
      <c r="R60" s="280" t="s">
        <v>418</v>
      </c>
      <c r="S60" s="280" t="s">
        <v>418</v>
      </c>
      <c r="T60" s="247" t="s">
        <v>418</v>
      </c>
      <c r="U60" s="247" t="s">
        <v>418</v>
      </c>
      <c r="V60" s="247" t="s">
        <v>290</v>
      </c>
      <c r="W60" s="247" t="s">
        <v>418</v>
      </c>
      <c r="X60" s="247" t="s">
        <v>418</v>
      </c>
      <c r="Y60" s="247" t="s">
        <v>418</v>
      </c>
      <c r="Z60" s="247" t="s">
        <v>418</v>
      </c>
      <c r="AA60" s="248" t="s">
        <v>418</v>
      </c>
      <c r="AB60" s="248" t="s">
        <v>418</v>
      </c>
      <c r="AC60" s="248" t="s">
        <v>290</v>
      </c>
      <c r="AD60" s="248" t="s">
        <v>418</v>
      </c>
      <c r="AE60" s="248" t="s">
        <v>418</v>
      </c>
      <c r="AF60" s="248" t="s">
        <v>418</v>
      </c>
      <c r="AG60" s="248" t="s">
        <v>418</v>
      </c>
      <c r="AH60" s="30">
        <f>SUM(IF('Area A'!$B$15='Item List'!$B$60,'Area A'!$E$15,0)+IF('Area A'!$B$16='Item List'!$B$60,'Area A'!$E$16,0)+IF('Area A'!$B$17='Item List'!$B$60,'Area A'!$E$17,0)+IF('Area A'!$B$18='Item List'!$B$60,'Area A'!$E$18,0))</f>
        <v>0</v>
      </c>
      <c r="AI60" s="27">
        <f>SUM(IF('Area B'!$B$15='Item List'!$B$60,'Area B'!$E$15,0)+IF('Area B'!$B$16='Item List'!$B$60,'Area B'!$E$16,0)+IF('Area B'!$B$17='Item List'!$B$60,'Area B'!$E$17,0)+IF('Area B'!$B$18='Item List'!$B$60,'Area B'!$E$18,0))</f>
        <v>0</v>
      </c>
      <c r="AJ60" s="28">
        <f>SUM(IF('Area C'!$B$15='Item List'!$B$60,'Area C'!$E$15,0)+IF('Area C'!$B$16='Item List'!$B$60,'Area C'!$E$16,0)+IF('Area C'!$B$17='Item List'!$B$60,'Area C'!$E$17,0)+IF('Area C'!$B$18='Item List'!$B$60,'Area C'!$E$18,0))</f>
        <v>0</v>
      </c>
      <c r="AK60" s="200">
        <f>SUM(IF('Area D'!$B$15='Item List'!$B$60,'Area D'!$E$15,0)+IF('Area D'!$B$16='Item List'!$B$60,'Area D'!$E$16,0)+IF('Area D'!$B$17='Item List'!$B$60,'Area D'!$E$17,0)+IF('Area D'!$B$18='Item List'!$B$60,'Area D'!$E$18,0))</f>
        <v>0</v>
      </c>
    </row>
    <row r="61" spans="1:39" x14ac:dyDescent="0.4">
      <c r="A61" s="60" t="s">
        <v>5</v>
      </c>
      <c r="B61" s="2" t="s">
        <v>400</v>
      </c>
      <c r="C61" s="2" t="s">
        <v>401</v>
      </c>
      <c r="D61" s="12"/>
      <c r="E61" s="4">
        <v>18</v>
      </c>
      <c r="F61" s="275" t="s">
        <v>418</v>
      </c>
      <c r="G61" s="275" t="s">
        <v>418</v>
      </c>
      <c r="H61" s="275" t="s">
        <v>241</v>
      </c>
      <c r="I61" s="275" t="s">
        <v>418</v>
      </c>
      <c r="J61" s="275" t="s">
        <v>418</v>
      </c>
      <c r="K61" s="275" t="s">
        <v>418</v>
      </c>
      <c r="L61" s="275" t="s">
        <v>418</v>
      </c>
      <c r="M61" s="280" t="s">
        <v>418</v>
      </c>
      <c r="N61" s="280" t="s">
        <v>418</v>
      </c>
      <c r="O61" s="280" t="s">
        <v>241</v>
      </c>
      <c r="P61" s="280" t="s">
        <v>418</v>
      </c>
      <c r="Q61" s="280" t="s">
        <v>418</v>
      </c>
      <c r="R61" s="280" t="s">
        <v>418</v>
      </c>
      <c r="S61" s="280" t="s">
        <v>418</v>
      </c>
      <c r="T61" s="247" t="s">
        <v>418</v>
      </c>
      <c r="U61" s="247" t="s">
        <v>418</v>
      </c>
      <c r="V61" s="247" t="s">
        <v>241</v>
      </c>
      <c r="W61" s="247" t="s">
        <v>418</v>
      </c>
      <c r="X61" s="247" t="s">
        <v>418</v>
      </c>
      <c r="Y61" s="247" t="s">
        <v>418</v>
      </c>
      <c r="Z61" s="247" t="s">
        <v>418</v>
      </c>
      <c r="AA61" s="248" t="s">
        <v>418</v>
      </c>
      <c r="AB61" s="248" t="s">
        <v>418</v>
      </c>
      <c r="AC61" s="248" t="s">
        <v>241</v>
      </c>
      <c r="AD61" s="248" t="s">
        <v>418</v>
      </c>
      <c r="AE61" s="248" t="s">
        <v>418</v>
      </c>
      <c r="AF61" s="248" t="s">
        <v>418</v>
      </c>
      <c r="AG61" s="248" t="s">
        <v>418</v>
      </c>
      <c r="AH61" s="30">
        <f>SUM(IF('Area A'!$B$15='Item List'!$B$61,'Area A'!$E$15,0)+IF('Area A'!$B$16='Item List'!$B$61,'Area A'!$E$16,0)+IF('Area A'!$B$17='Item List'!$B$61,'Area A'!$E$17,0)+IF('Area A'!$B$18='Item List'!$B$61,'Area A'!$E$18,0))</f>
        <v>0</v>
      </c>
      <c r="AI61" s="27">
        <f>SUM(IF('Area B'!$B$15='Item List'!$B$61,'Area B'!$E$15,0)+IF('Area B'!$B$16='Item List'!$B$61,'Area B'!$E$16,0)+IF('Area B'!$B$17='Item List'!$B$61,'Area B'!$E$17,0)+IF('Area B'!$B$18='Item List'!$B$61,'Area B'!$E$18,0))</f>
        <v>0</v>
      </c>
      <c r="AJ61" s="28">
        <f>SUM(IF('Area C'!$B$15='Item List'!$B$61,'Area C'!$E$15,0)+IF('Area C'!$B$16='Item List'!$B$61,'Area C'!$E$16,0)+IF('Area C'!$B$17='Item List'!$B$61,'Area C'!$E$17,0)+IF('Area C'!$B$18='Item List'!$B$61,'Area C'!$E$18,0))</f>
        <v>0</v>
      </c>
      <c r="AK61" s="200">
        <f>SUM(IF('Area D'!$B$15='Item List'!$B$61,'Area D'!$E$15,0)+IF('Area D'!$B$16='Item List'!$B$61,'Area D'!$E$16,0)+IF('Area D'!$B$17='Item List'!$B$61,'Area D'!$E$17,0)+IF('Area D'!$B$18='Item List'!$B$61,'Area D'!$E$18,0))</f>
        <v>0</v>
      </c>
    </row>
    <row r="62" spans="1:39" x14ac:dyDescent="0.4">
      <c r="A62" s="60" t="s">
        <v>5</v>
      </c>
      <c r="B62" s="2" t="s">
        <v>402</v>
      </c>
      <c r="C62" s="2" t="s">
        <v>403</v>
      </c>
      <c r="D62" s="12"/>
      <c r="E62" s="4">
        <v>21.5</v>
      </c>
      <c r="F62" s="275" t="s">
        <v>418</v>
      </c>
      <c r="G62" s="275" t="s">
        <v>418</v>
      </c>
      <c r="H62" s="275" t="s">
        <v>237</v>
      </c>
      <c r="I62" s="275" t="s">
        <v>418</v>
      </c>
      <c r="J62" s="275" t="s">
        <v>418</v>
      </c>
      <c r="K62" s="275" t="s">
        <v>418</v>
      </c>
      <c r="L62" s="275" t="s">
        <v>418</v>
      </c>
      <c r="M62" s="280" t="s">
        <v>418</v>
      </c>
      <c r="N62" s="280" t="s">
        <v>418</v>
      </c>
      <c r="O62" s="280" t="s">
        <v>237</v>
      </c>
      <c r="P62" s="280" t="s">
        <v>418</v>
      </c>
      <c r="Q62" s="280" t="s">
        <v>418</v>
      </c>
      <c r="R62" s="280" t="s">
        <v>418</v>
      </c>
      <c r="S62" s="280" t="s">
        <v>418</v>
      </c>
      <c r="T62" s="247" t="s">
        <v>418</v>
      </c>
      <c r="U62" s="247" t="s">
        <v>418</v>
      </c>
      <c r="V62" s="247" t="s">
        <v>237</v>
      </c>
      <c r="W62" s="247" t="s">
        <v>418</v>
      </c>
      <c r="X62" s="247" t="s">
        <v>418</v>
      </c>
      <c r="Y62" s="247" t="s">
        <v>418</v>
      </c>
      <c r="Z62" s="247" t="s">
        <v>418</v>
      </c>
      <c r="AA62" s="248" t="s">
        <v>418</v>
      </c>
      <c r="AB62" s="248" t="s">
        <v>418</v>
      </c>
      <c r="AC62" s="248" t="s">
        <v>237</v>
      </c>
      <c r="AD62" s="248" t="s">
        <v>418</v>
      </c>
      <c r="AE62" s="248" t="s">
        <v>418</v>
      </c>
      <c r="AF62" s="248" t="s">
        <v>418</v>
      </c>
      <c r="AG62" s="248" t="s">
        <v>418</v>
      </c>
      <c r="AH62" s="30">
        <f>SUM(IF('Area A'!$B$15='Item List'!$B$62,'Area A'!$E$15,0)+IF('Area A'!$B$16='Item List'!$B$62,'Area A'!$E$16,0)+IF('Area A'!$B$17='Item List'!$B$62,'Area A'!$E$17,0)+IF('Area A'!$B$18='Item List'!$B$62,'Area A'!$E$18,0))</f>
        <v>0</v>
      </c>
      <c r="AI62" s="27">
        <f>SUM(IF('Area B'!$B$15='Item List'!$B$62,'Area B'!$E$15,0)+IF('Area B'!$B$16='Item List'!$B$62,'Area B'!$E$16,0)+IF('Area B'!$B$17='Item List'!$B$62,'Area B'!$E$17,0)+IF('Area B'!$B$18='Item List'!$B$62,'Area B'!$E$18,0))</f>
        <v>0</v>
      </c>
      <c r="AJ62" s="28">
        <f>SUM(IF('Area C'!$B$15='Item List'!$B$62,'Area C'!$E$15,0)+IF('Area C'!$B$16='Item List'!$B$62,'Area C'!$E$16,0)+IF('Area C'!$B$17='Item List'!$B$62,'Area C'!$E$17,0)+IF('Area C'!$B$18='Item List'!$B$62,'Area C'!$E$18,0))</f>
        <v>0</v>
      </c>
      <c r="AK62" s="200">
        <f>SUM(IF('Area D'!$B$15='Item List'!$B$62,'Area D'!$E$15,0)+IF('Area D'!$B$16='Item List'!$B$62,'Area D'!$E$16,0)+IF('Area D'!$B$17='Item List'!$B$62,'Area D'!$E$17,0)+IF('Area D'!$B$18='Item List'!$B$62,'Area D'!$E$18,0))</f>
        <v>0</v>
      </c>
    </row>
    <row r="63" spans="1:39" x14ac:dyDescent="0.4">
      <c r="A63" s="60" t="s">
        <v>5</v>
      </c>
      <c r="B63" s="2" t="s">
        <v>404</v>
      </c>
      <c r="C63" s="2" t="s">
        <v>405</v>
      </c>
      <c r="D63" s="12"/>
      <c r="E63" s="4">
        <v>21.5</v>
      </c>
      <c r="F63" s="275" t="s">
        <v>418</v>
      </c>
      <c r="G63" s="275" t="s">
        <v>418</v>
      </c>
      <c r="H63" s="275" t="s">
        <v>239</v>
      </c>
      <c r="I63" s="275" t="s">
        <v>418</v>
      </c>
      <c r="J63" s="275" t="s">
        <v>418</v>
      </c>
      <c r="K63" s="275" t="s">
        <v>418</v>
      </c>
      <c r="L63" s="275" t="s">
        <v>418</v>
      </c>
      <c r="M63" s="280" t="s">
        <v>418</v>
      </c>
      <c r="N63" s="280" t="s">
        <v>418</v>
      </c>
      <c r="O63" s="280" t="s">
        <v>239</v>
      </c>
      <c r="P63" s="280" t="s">
        <v>418</v>
      </c>
      <c r="Q63" s="280" t="s">
        <v>418</v>
      </c>
      <c r="R63" s="280" t="s">
        <v>418</v>
      </c>
      <c r="S63" s="280" t="s">
        <v>418</v>
      </c>
      <c r="T63" s="247" t="s">
        <v>418</v>
      </c>
      <c r="U63" s="247" t="s">
        <v>418</v>
      </c>
      <c r="V63" s="247" t="s">
        <v>239</v>
      </c>
      <c r="W63" s="247" t="s">
        <v>418</v>
      </c>
      <c r="X63" s="247" t="s">
        <v>418</v>
      </c>
      <c r="Y63" s="247" t="s">
        <v>418</v>
      </c>
      <c r="Z63" s="247" t="s">
        <v>418</v>
      </c>
      <c r="AA63" s="248" t="s">
        <v>418</v>
      </c>
      <c r="AB63" s="248" t="s">
        <v>418</v>
      </c>
      <c r="AC63" s="248" t="s">
        <v>239</v>
      </c>
      <c r="AD63" s="248" t="s">
        <v>418</v>
      </c>
      <c r="AE63" s="248" t="s">
        <v>418</v>
      </c>
      <c r="AF63" s="248" t="s">
        <v>418</v>
      </c>
      <c r="AG63" s="248" t="s">
        <v>418</v>
      </c>
      <c r="AH63" s="30">
        <f>SUM(IF('Area A'!$B$15='Item List'!$B$63,'Area A'!$E$15,0)+IF('Area A'!$B$16='Item List'!$B$63,'Area A'!$E$16,0)+IF('Area A'!$B$17='Item List'!$B$63,'Area A'!$E$17,0)+IF('Area A'!$B$18='Item List'!$B$63,'Area A'!$E$18,0))</f>
        <v>0</v>
      </c>
      <c r="AI63" s="27">
        <f>SUM(IF('Area B'!$B$15='Item List'!$B$63,'Area B'!$E$15,0)+IF('Area B'!$B$16='Item List'!$B$63,'Area B'!$E$16,0)+IF('Area B'!$B$17='Item List'!$B$63,'Area B'!$E$17,0)+IF('Area B'!$B$18='Item List'!$B$63,'Area B'!$E$18,0))</f>
        <v>0</v>
      </c>
      <c r="AJ63" s="28">
        <f>SUM(IF('Area C'!$B$15='Item List'!$B$63,'Area C'!$E$15,0)+IF('Area C'!$B$16='Item List'!$B$63,'Area C'!$E$16,0)+IF('Area C'!$B$17='Item List'!$B$63,'Area C'!$E$17,0)+IF('Area C'!$B$18='Item List'!$B$63,'Area C'!$E$18,0))</f>
        <v>0</v>
      </c>
      <c r="AK63" s="200">
        <f>SUM(IF('Area D'!$B$15='Item List'!$B$63,'Area D'!$E$15,0)+IF('Area D'!$B$16='Item List'!$B$63,'Area D'!$E$16,0)+IF('Area D'!$B$17='Item List'!$B$63,'Area D'!$E$17,0)+IF('Area D'!$B$18='Item List'!$B$63,'Area D'!$E$18,0))</f>
        <v>0</v>
      </c>
    </row>
    <row r="64" spans="1:39" x14ac:dyDescent="0.4">
      <c r="A64" s="60" t="s">
        <v>5</v>
      </c>
      <c r="B64" s="2" t="s">
        <v>406</v>
      </c>
      <c r="C64" s="2" t="s">
        <v>407</v>
      </c>
      <c r="D64" s="12"/>
      <c r="E64" s="4">
        <v>21.5</v>
      </c>
      <c r="F64" s="275" t="s">
        <v>418</v>
      </c>
      <c r="G64" s="275" t="s">
        <v>418</v>
      </c>
      <c r="H64" s="275" t="s">
        <v>290</v>
      </c>
      <c r="I64" s="275" t="s">
        <v>418</v>
      </c>
      <c r="J64" s="275" t="s">
        <v>418</v>
      </c>
      <c r="K64" s="275" t="s">
        <v>418</v>
      </c>
      <c r="L64" s="275" t="s">
        <v>418</v>
      </c>
      <c r="M64" s="280" t="s">
        <v>418</v>
      </c>
      <c r="N64" s="280" t="s">
        <v>418</v>
      </c>
      <c r="O64" s="280" t="s">
        <v>290</v>
      </c>
      <c r="P64" s="280" t="s">
        <v>418</v>
      </c>
      <c r="Q64" s="280" t="s">
        <v>418</v>
      </c>
      <c r="R64" s="280" t="s">
        <v>418</v>
      </c>
      <c r="S64" s="280" t="s">
        <v>418</v>
      </c>
      <c r="T64" s="247" t="s">
        <v>418</v>
      </c>
      <c r="U64" s="247" t="s">
        <v>418</v>
      </c>
      <c r="V64" s="247" t="s">
        <v>290</v>
      </c>
      <c r="W64" s="247" t="s">
        <v>418</v>
      </c>
      <c r="X64" s="247" t="s">
        <v>418</v>
      </c>
      <c r="Y64" s="247" t="s">
        <v>418</v>
      </c>
      <c r="Z64" s="247" t="s">
        <v>418</v>
      </c>
      <c r="AA64" s="248" t="s">
        <v>418</v>
      </c>
      <c r="AB64" s="248" t="s">
        <v>418</v>
      </c>
      <c r="AC64" s="248" t="s">
        <v>290</v>
      </c>
      <c r="AD64" s="248" t="s">
        <v>418</v>
      </c>
      <c r="AE64" s="248" t="s">
        <v>418</v>
      </c>
      <c r="AF64" s="248" t="s">
        <v>418</v>
      </c>
      <c r="AG64" s="248" t="s">
        <v>418</v>
      </c>
      <c r="AH64" s="30">
        <f>SUM(IF('Area A'!$B$15='Item List'!$B$64,'Area A'!$E$15,0)+IF('Area A'!$B$16='Item List'!$B$64,'Area A'!$E$16,0)+IF('Area A'!$B$17='Item List'!$B$64,'Area A'!$E$17,0)+IF('Area A'!$B$18='Item List'!$B$64,'Area A'!$E$18,0))</f>
        <v>0</v>
      </c>
      <c r="AI64" s="27">
        <f>SUM(IF('Area B'!$B$15='Item List'!$B$64,'Area B'!$E$15,0)+IF('Area B'!$B$16='Item List'!$B$64,'Area B'!$E$16,0)+IF('Area B'!$B$17='Item List'!$B$64,'Area B'!$E$17,0)+IF('Area B'!$B$18='Item List'!$B$64,'Area B'!$E$18,0))</f>
        <v>0</v>
      </c>
      <c r="AJ64" s="28">
        <f>SUM(IF('Area C'!$B$15='Item List'!$B$64,'Area C'!$E$15,0)+IF('Area C'!$B$16='Item List'!$B$64,'Area C'!$E$16,0)+IF('Area C'!$B$17='Item List'!$B$64,'Area C'!$E$17,0)+IF('Area C'!$B$18='Item List'!$B$64,'Area C'!$E$18,0))</f>
        <v>0</v>
      </c>
      <c r="AK64" s="200">
        <f>SUM(IF('Area D'!$B$15='Item List'!$B$64,'Area D'!$E$15,0)+IF('Area D'!$B$16='Item List'!$B$64,'Area D'!$E$16,0)+IF('Area D'!$B$17='Item List'!$B$64,'Area D'!$E$17,0)+IF('Area D'!$B$18='Item List'!$B$64,'Area D'!$E$18,0))</f>
        <v>0</v>
      </c>
    </row>
    <row r="65" spans="1:39" x14ac:dyDescent="0.4">
      <c r="A65" s="60" t="s">
        <v>5</v>
      </c>
      <c r="B65" s="2" t="s">
        <v>408</v>
      </c>
      <c r="C65" s="2" t="s">
        <v>409</v>
      </c>
      <c r="D65" s="12"/>
      <c r="E65" s="4">
        <v>21.5</v>
      </c>
      <c r="F65" s="275" t="s">
        <v>418</v>
      </c>
      <c r="G65" s="275" t="s">
        <v>418</v>
      </c>
      <c r="H65" s="275" t="s">
        <v>241</v>
      </c>
      <c r="I65" s="275" t="s">
        <v>418</v>
      </c>
      <c r="J65" s="275" t="s">
        <v>418</v>
      </c>
      <c r="K65" s="275" t="s">
        <v>418</v>
      </c>
      <c r="L65" s="275" t="s">
        <v>418</v>
      </c>
      <c r="M65" s="280" t="s">
        <v>418</v>
      </c>
      <c r="N65" s="280" t="s">
        <v>418</v>
      </c>
      <c r="O65" s="280" t="s">
        <v>241</v>
      </c>
      <c r="P65" s="280" t="s">
        <v>418</v>
      </c>
      <c r="Q65" s="280" t="s">
        <v>418</v>
      </c>
      <c r="R65" s="280" t="s">
        <v>418</v>
      </c>
      <c r="S65" s="280" t="s">
        <v>418</v>
      </c>
      <c r="T65" s="247" t="s">
        <v>418</v>
      </c>
      <c r="U65" s="247" t="s">
        <v>418</v>
      </c>
      <c r="V65" s="247" t="s">
        <v>241</v>
      </c>
      <c r="W65" s="247" t="s">
        <v>418</v>
      </c>
      <c r="X65" s="247" t="s">
        <v>418</v>
      </c>
      <c r="Y65" s="247" t="s">
        <v>418</v>
      </c>
      <c r="Z65" s="247" t="s">
        <v>418</v>
      </c>
      <c r="AA65" s="248" t="s">
        <v>418</v>
      </c>
      <c r="AB65" s="248" t="s">
        <v>418</v>
      </c>
      <c r="AC65" s="248" t="s">
        <v>241</v>
      </c>
      <c r="AD65" s="248" t="s">
        <v>418</v>
      </c>
      <c r="AE65" s="248" t="s">
        <v>418</v>
      </c>
      <c r="AF65" s="248" t="s">
        <v>418</v>
      </c>
      <c r="AG65" s="248" t="s">
        <v>418</v>
      </c>
      <c r="AH65" s="30">
        <f>SUM(IF('Area A'!$B$15='Item List'!$B$65,'Area A'!$E$15,0)+IF('Area A'!$B$16='Item List'!$B$65,'Area A'!$E$16,0)+IF('Area A'!$B$17='Item List'!$B$65,'Area A'!$E$17,0)+IF('Area A'!$B$18='Item List'!$B$65,'Area A'!$E$18,0))</f>
        <v>0</v>
      </c>
      <c r="AI65" s="27">
        <f>SUM(IF('Area B'!$B$15='Item List'!$B$65,'Area B'!$E$15,0)+IF('Area B'!$B$16='Item List'!$B$65,'Area B'!$E$16,0)+IF('Area B'!$B$17='Item List'!$B$65,'Area B'!$E$17,0)+IF('Area B'!$B$18='Item List'!$B$65,'Area B'!$E$18,0))</f>
        <v>0</v>
      </c>
      <c r="AJ65" s="28">
        <f>SUM(IF('Area C'!$B$15='Item List'!$B$65,'Area C'!$E$15,0)+IF('Area C'!$B$16='Item List'!$B$65,'Area C'!$E$16,0)+IF('Area C'!$B$17='Item List'!$B$65,'Area C'!$E$17,0)+IF('Area C'!$B$18='Item List'!$B$65,'Area C'!$E$18,0))</f>
        <v>0</v>
      </c>
      <c r="AK65" s="200">
        <f>SUM(IF('Area D'!$B$15='Item List'!$B$65,'Area D'!$E$15,0)+IF('Area D'!$B$16='Item List'!$B$65,'Area D'!$E$16,0)+IF('Area D'!$B$17='Item List'!$B$65,'Area D'!$E$17,0)+IF('Area D'!$B$18='Item List'!$B$65,'Area D'!$E$18,0))</f>
        <v>0</v>
      </c>
    </row>
    <row r="66" spans="1:39" x14ac:dyDescent="0.4">
      <c r="A66" s="60" t="s">
        <v>5</v>
      </c>
      <c r="B66" s="2" t="s">
        <v>551</v>
      </c>
      <c r="C66" s="2" t="s">
        <v>600</v>
      </c>
      <c r="D66" s="12">
        <v>36</v>
      </c>
      <c r="E66" s="4">
        <v>22.17</v>
      </c>
      <c r="F66" s="275" t="s">
        <v>418</v>
      </c>
      <c r="G66" s="275" t="s">
        <v>48</v>
      </c>
      <c r="H66" s="275" t="s">
        <v>237</v>
      </c>
      <c r="I66" s="275" t="s">
        <v>146</v>
      </c>
      <c r="J66" s="275" t="s">
        <v>111</v>
      </c>
      <c r="K66" s="276" t="str">
        <f>IF('Project Materials'!$D$6='Project Materials'!$B$196,'Item List'!$B$165,"None")</f>
        <v>None</v>
      </c>
      <c r="L66" s="275" t="s">
        <v>418</v>
      </c>
      <c r="M66" s="280" t="s">
        <v>418</v>
      </c>
      <c r="N66" s="280" t="s">
        <v>48</v>
      </c>
      <c r="O66" s="280" t="s">
        <v>237</v>
      </c>
      <c r="P66" s="280" t="s">
        <v>146</v>
      </c>
      <c r="Q66" s="280" t="s">
        <v>111</v>
      </c>
      <c r="R66" s="281" t="str">
        <f>IF('Project Materials'!$H$6='Project Materials'!$B$196,'Item List'!$B$165,"None")</f>
        <v>None</v>
      </c>
      <c r="S66" s="280" t="s">
        <v>418</v>
      </c>
      <c r="T66" s="247" t="s">
        <v>418</v>
      </c>
      <c r="U66" s="247" t="s">
        <v>48</v>
      </c>
      <c r="V66" s="247" t="s">
        <v>237</v>
      </c>
      <c r="W66" s="247" t="s">
        <v>146</v>
      </c>
      <c r="X66" s="247" t="s">
        <v>111</v>
      </c>
      <c r="Y66" s="206" t="str">
        <f>IF('Project Materials'!$H$6='Project Materials'!$B$196,'Item List'!$B$165,"None")</f>
        <v>None</v>
      </c>
      <c r="Z66" s="247" t="s">
        <v>418</v>
      </c>
      <c r="AA66" s="248" t="s">
        <v>418</v>
      </c>
      <c r="AB66" s="248" t="s">
        <v>48</v>
      </c>
      <c r="AC66" s="248" t="s">
        <v>237</v>
      </c>
      <c r="AD66" s="248" t="s">
        <v>146</v>
      </c>
      <c r="AE66" s="248" t="s">
        <v>111</v>
      </c>
      <c r="AF66" s="249" t="str">
        <f>IF('Project Materials'!$H$6='Project Materials'!$B$196,'Item List'!$B$165,"None")</f>
        <v>None</v>
      </c>
      <c r="AG66" s="248" t="s">
        <v>418</v>
      </c>
      <c r="AL66" s="33"/>
      <c r="AM66" s="33"/>
    </row>
    <row r="67" spans="1:39" x14ac:dyDescent="0.4">
      <c r="A67" s="60" t="s">
        <v>5</v>
      </c>
      <c r="B67" s="2" t="s">
        <v>552</v>
      </c>
      <c r="C67" s="2" t="s">
        <v>601</v>
      </c>
      <c r="D67" s="12">
        <v>36</v>
      </c>
      <c r="E67" s="4">
        <v>22.17</v>
      </c>
      <c r="F67" s="275" t="s">
        <v>418</v>
      </c>
      <c r="G67" s="275" t="s">
        <v>48</v>
      </c>
      <c r="H67" s="275" t="s">
        <v>239</v>
      </c>
      <c r="I67" s="275" t="s">
        <v>148</v>
      </c>
      <c r="J67" s="275" t="s">
        <v>111</v>
      </c>
      <c r="K67" s="276" t="str">
        <f>IF('Project Materials'!$D$6='Project Materials'!$B$196,'Item List'!$B$165,"None")</f>
        <v>None</v>
      </c>
      <c r="L67" s="275" t="s">
        <v>418</v>
      </c>
      <c r="M67" s="280" t="s">
        <v>418</v>
      </c>
      <c r="N67" s="280" t="s">
        <v>48</v>
      </c>
      <c r="O67" s="280" t="s">
        <v>239</v>
      </c>
      <c r="P67" s="280" t="s">
        <v>148</v>
      </c>
      <c r="Q67" s="280" t="s">
        <v>111</v>
      </c>
      <c r="R67" s="281" t="str">
        <f>IF('Project Materials'!$H$6='Project Materials'!$B$196,'Item List'!$B$165,"None")</f>
        <v>None</v>
      </c>
      <c r="S67" s="280" t="s">
        <v>418</v>
      </c>
      <c r="T67" s="247" t="s">
        <v>418</v>
      </c>
      <c r="U67" s="247" t="s">
        <v>48</v>
      </c>
      <c r="V67" s="247" t="s">
        <v>239</v>
      </c>
      <c r="W67" s="247" t="s">
        <v>148</v>
      </c>
      <c r="X67" s="247" t="s">
        <v>111</v>
      </c>
      <c r="Y67" s="206" t="str">
        <f>IF('Project Materials'!$H$6='Project Materials'!$B$196,'Item List'!$B$165,"None")</f>
        <v>None</v>
      </c>
      <c r="Z67" s="247" t="s">
        <v>418</v>
      </c>
      <c r="AA67" s="248" t="s">
        <v>418</v>
      </c>
      <c r="AB67" s="248" t="s">
        <v>48</v>
      </c>
      <c r="AC67" s="248" t="s">
        <v>239</v>
      </c>
      <c r="AD67" s="248" t="s">
        <v>148</v>
      </c>
      <c r="AE67" s="248" t="s">
        <v>111</v>
      </c>
      <c r="AF67" s="249" t="str">
        <f>IF('Project Materials'!$H$6='Project Materials'!$B$196,'Item List'!$B$165,"None")</f>
        <v>None</v>
      </c>
      <c r="AG67" s="248" t="s">
        <v>418</v>
      </c>
      <c r="AL67" s="33"/>
      <c r="AM67" s="33"/>
    </row>
    <row r="68" spans="1:39" x14ac:dyDescent="0.4">
      <c r="A68" s="60" t="s">
        <v>5</v>
      </c>
      <c r="B68" s="2" t="s">
        <v>553</v>
      </c>
      <c r="C68" s="2" t="s">
        <v>602</v>
      </c>
      <c r="D68" s="12">
        <v>36</v>
      </c>
      <c r="E68" s="4">
        <v>26.83</v>
      </c>
      <c r="F68" s="275" t="s">
        <v>418</v>
      </c>
      <c r="G68" s="275" t="s">
        <v>48</v>
      </c>
      <c r="H68" s="275" t="s">
        <v>290</v>
      </c>
      <c r="I68" s="275" t="s">
        <v>150</v>
      </c>
      <c r="J68" s="275" t="s">
        <v>111</v>
      </c>
      <c r="K68" s="276" t="str">
        <f>IF('Project Materials'!$D$6='Project Materials'!$B$196,'Item List'!$B$165,"None")</f>
        <v>None</v>
      </c>
      <c r="L68" s="275" t="s">
        <v>418</v>
      </c>
      <c r="M68" s="280" t="s">
        <v>418</v>
      </c>
      <c r="N68" s="280" t="s">
        <v>48</v>
      </c>
      <c r="O68" s="280" t="s">
        <v>290</v>
      </c>
      <c r="P68" s="280" t="s">
        <v>150</v>
      </c>
      <c r="Q68" s="280" t="s">
        <v>111</v>
      </c>
      <c r="R68" s="281" t="str">
        <f>IF('Project Materials'!$H$6='Project Materials'!$B$196,'Item List'!$B$165,"None")</f>
        <v>None</v>
      </c>
      <c r="S68" s="280" t="s">
        <v>418</v>
      </c>
      <c r="T68" s="247" t="s">
        <v>418</v>
      </c>
      <c r="U68" s="247" t="s">
        <v>48</v>
      </c>
      <c r="V68" s="247" t="s">
        <v>290</v>
      </c>
      <c r="W68" s="247" t="s">
        <v>150</v>
      </c>
      <c r="X68" s="247" t="s">
        <v>111</v>
      </c>
      <c r="Y68" s="206" t="str">
        <f>IF('Project Materials'!$H$6='Project Materials'!$B$196,'Item List'!$B$165,"None")</f>
        <v>None</v>
      </c>
      <c r="Z68" s="247" t="s">
        <v>418</v>
      </c>
      <c r="AA68" s="248" t="s">
        <v>418</v>
      </c>
      <c r="AB68" s="248" t="s">
        <v>48</v>
      </c>
      <c r="AC68" s="248" t="s">
        <v>290</v>
      </c>
      <c r="AD68" s="248" t="s">
        <v>150</v>
      </c>
      <c r="AE68" s="248" t="s">
        <v>111</v>
      </c>
      <c r="AF68" s="249" t="str">
        <f>IF('Project Materials'!$H$6='Project Materials'!$B$196,'Item List'!$B$165,"None")</f>
        <v>None</v>
      </c>
      <c r="AG68" s="248" t="s">
        <v>418</v>
      </c>
      <c r="AL68" s="33"/>
      <c r="AM68" s="33"/>
    </row>
    <row r="69" spans="1:39" x14ac:dyDescent="0.4">
      <c r="A69" s="60" t="s">
        <v>5</v>
      </c>
      <c r="B69" s="2" t="s">
        <v>554</v>
      </c>
      <c r="C69" s="2" t="s">
        <v>603</v>
      </c>
      <c r="D69" s="12">
        <v>36</v>
      </c>
      <c r="E69" s="4">
        <v>22.17</v>
      </c>
      <c r="F69" s="275" t="s">
        <v>418</v>
      </c>
      <c r="G69" s="275" t="s">
        <v>48</v>
      </c>
      <c r="H69" s="275" t="s">
        <v>241</v>
      </c>
      <c r="I69" s="275" t="s">
        <v>152</v>
      </c>
      <c r="J69" s="275" t="s">
        <v>111</v>
      </c>
      <c r="K69" s="276" t="str">
        <f>IF('Project Materials'!$D$6='Project Materials'!$B$196,'Item List'!$B$165,"None")</f>
        <v>None</v>
      </c>
      <c r="L69" s="275" t="s">
        <v>418</v>
      </c>
      <c r="M69" s="280" t="s">
        <v>418</v>
      </c>
      <c r="N69" s="280" t="s">
        <v>48</v>
      </c>
      <c r="O69" s="280" t="s">
        <v>241</v>
      </c>
      <c r="P69" s="280" t="s">
        <v>152</v>
      </c>
      <c r="Q69" s="280" t="s">
        <v>111</v>
      </c>
      <c r="R69" s="281" t="str">
        <f>IF('Project Materials'!$H$6='Project Materials'!$B$196,'Item List'!$B$165,"None")</f>
        <v>None</v>
      </c>
      <c r="S69" s="280" t="s">
        <v>418</v>
      </c>
      <c r="T69" s="247" t="s">
        <v>418</v>
      </c>
      <c r="U69" s="247" t="s">
        <v>48</v>
      </c>
      <c r="V69" s="247" t="s">
        <v>241</v>
      </c>
      <c r="W69" s="247" t="s">
        <v>152</v>
      </c>
      <c r="X69" s="247" t="s">
        <v>111</v>
      </c>
      <c r="Y69" s="206" t="str">
        <f>IF('Project Materials'!$H$6='Project Materials'!$B$196,'Item List'!$B$165,"None")</f>
        <v>None</v>
      </c>
      <c r="Z69" s="247" t="s">
        <v>418</v>
      </c>
      <c r="AA69" s="248" t="s">
        <v>418</v>
      </c>
      <c r="AB69" s="248" t="s">
        <v>48</v>
      </c>
      <c r="AC69" s="248" t="s">
        <v>241</v>
      </c>
      <c r="AD69" s="248" t="s">
        <v>152</v>
      </c>
      <c r="AE69" s="248" t="s">
        <v>111</v>
      </c>
      <c r="AF69" s="249" t="str">
        <f>IF('Project Materials'!$H$6='Project Materials'!$B$196,'Item List'!$B$165,"None")</f>
        <v>None</v>
      </c>
      <c r="AG69" s="248" t="s">
        <v>418</v>
      </c>
      <c r="AL69" s="33"/>
      <c r="AM69" s="33"/>
    </row>
    <row r="70" spans="1:39" x14ac:dyDescent="0.4">
      <c r="A70" s="60" t="s">
        <v>5</v>
      </c>
      <c r="B70" s="2" t="s">
        <v>555</v>
      </c>
      <c r="C70" s="2" t="s">
        <v>604</v>
      </c>
      <c r="D70" s="12">
        <v>36</v>
      </c>
      <c r="E70" s="4">
        <v>22.17</v>
      </c>
      <c r="F70" s="275" t="s">
        <v>418</v>
      </c>
      <c r="G70" s="275" t="s">
        <v>48</v>
      </c>
      <c r="H70" s="275" t="s">
        <v>237</v>
      </c>
      <c r="I70" s="275" t="s">
        <v>146</v>
      </c>
      <c r="J70" s="275" t="s">
        <v>111</v>
      </c>
      <c r="K70" s="276" t="str">
        <f>IF('Project Materials'!$D$6='Project Materials'!$B$196,'Item List'!$B$165,"None")</f>
        <v>None</v>
      </c>
      <c r="L70" s="275" t="s">
        <v>418</v>
      </c>
      <c r="M70" s="280" t="s">
        <v>418</v>
      </c>
      <c r="N70" s="280" t="s">
        <v>48</v>
      </c>
      <c r="O70" s="280" t="s">
        <v>237</v>
      </c>
      <c r="P70" s="280" t="s">
        <v>146</v>
      </c>
      <c r="Q70" s="280" t="s">
        <v>111</v>
      </c>
      <c r="R70" s="281" t="str">
        <f>IF('Project Materials'!$H$6='Project Materials'!$B$196,'Item List'!$B$165,"None")</f>
        <v>None</v>
      </c>
      <c r="S70" s="280" t="s">
        <v>418</v>
      </c>
      <c r="T70" s="247" t="s">
        <v>418</v>
      </c>
      <c r="U70" s="247" t="s">
        <v>48</v>
      </c>
      <c r="V70" s="247" t="s">
        <v>237</v>
      </c>
      <c r="W70" s="247" t="s">
        <v>146</v>
      </c>
      <c r="X70" s="247" t="s">
        <v>111</v>
      </c>
      <c r="Y70" s="206" t="str">
        <f>IF('Project Materials'!$H$6='Project Materials'!$B$196,'Item List'!$B$165,"None")</f>
        <v>None</v>
      </c>
      <c r="Z70" s="247" t="s">
        <v>418</v>
      </c>
      <c r="AA70" s="248" t="s">
        <v>418</v>
      </c>
      <c r="AB70" s="248" t="s">
        <v>48</v>
      </c>
      <c r="AC70" s="248" t="s">
        <v>237</v>
      </c>
      <c r="AD70" s="248" t="s">
        <v>146</v>
      </c>
      <c r="AE70" s="248" t="s">
        <v>111</v>
      </c>
      <c r="AF70" s="249" t="str">
        <f>IF('Project Materials'!$H$6='Project Materials'!$B$196,'Item List'!$B$165,"None")</f>
        <v>None</v>
      </c>
      <c r="AG70" s="248" t="s">
        <v>418</v>
      </c>
      <c r="AL70" s="33"/>
      <c r="AM70" s="33"/>
    </row>
    <row r="71" spans="1:39" x14ac:dyDescent="0.4">
      <c r="A71" s="60" t="s">
        <v>5</v>
      </c>
      <c r="B71" s="2" t="s">
        <v>556</v>
      </c>
      <c r="C71" s="2" t="s">
        <v>605</v>
      </c>
      <c r="D71" s="12">
        <v>36</v>
      </c>
      <c r="E71" s="4">
        <v>22.17</v>
      </c>
      <c r="F71" s="275" t="s">
        <v>418</v>
      </c>
      <c r="G71" s="275" t="s">
        <v>48</v>
      </c>
      <c r="H71" s="275" t="s">
        <v>239</v>
      </c>
      <c r="I71" s="275" t="s">
        <v>148</v>
      </c>
      <c r="J71" s="275" t="s">
        <v>111</v>
      </c>
      <c r="K71" s="276" t="str">
        <f>IF('Project Materials'!$D$6='Project Materials'!$B$196,'Item List'!$B$165,"None")</f>
        <v>None</v>
      </c>
      <c r="L71" s="275" t="s">
        <v>418</v>
      </c>
      <c r="M71" s="280" t="s">
        <v>418</v>
      </c>
      <c r="N71" s="280" t="s">
        <v>48</v>
      </c>
      <c r="O71" s="280" t="s">
        <v>239</v>
      </c>
      <c r="P71" s="280" t="s">
        <v>148</v>
      </c>
      <c r="Q71" s="280" t="s">
        <v>111</v>
      </c>
      <c r="R71" s="281" t="str">
        <f>IF('Project Materials'!$H$6='Project Materials'!$B$196,'Item List'!$B$165,"None")</f>
        <v>None</v>
      </c>
      <c r="S71" s="280" t="s">
        <v>418</v>
      </c>
      <c r="T71" s="247" t="s">
        <v>418</v>
      </c>
      <c r="U71" s="247" t="s">
        <v>48</v>
      </c>
      <c r="V71" s="247" t="s">
        <v>239</v>
      </c>
      <c r="W71" s="247" t="s">
        <v>148</v>
      </c>
      <c r="X71" s="247" t="s">
        <v>111</v>
      </c>
      <c r="Y71" s="206" t="str">
        <f>IF('Project Materials'!$H$6='Project Materials'!$B$196,'Item List'!$B$165,"None")</f>
        <v>None</v>
      </c>
      <c r="Z71" s="247" t="s">
        <v>418</v>
      </c>
      <c r="AA71" s="248" t="s">
        <v>418</v>
      </c>
      <c r="AB71" s="248" t="s">
        <v>48</v>
      </c>
      <c r="AC71" s="248" t="s">
        <v>239</v>
      </c>
      <c r="AD71" s="248" t="s">
        <v>148</v>
      </c>
      <c r="AE71" s="248" t="s">
        <v>111</v>
      </c>
      <c r="AF71" s="249" t="str">
        <f>IF('Project Materials'!$H$6='Project Materials'!$B$196,'Item List'!$B$165,"None")</f>
        <v>None</v>
      </c>
      <c r="AG71" s="248" t="s">
        <v>418</v>
      </c>
      <c r="AL71" s="33"/>
      <c r="AM71" s="33"/>
    </row>
    <row r="72" spans="1:39" x14ac:dyDescent="0.4">
      <c r="A72" s="60" t="s">
        <v>5</v>
      </c>
      <c r="B72" s="2" t="s">
        <v>557</v>
      </c>
      <c r="C72" s="2" t="s">
        <v>606</v>
      </c>
      <c r="D72" s="12">
        <v>36</v>
      </c>
      <c r="E72" s="4">
        <v>22.17</v>
      </c>
      <c r="F72" s="275" t="s">
        <v>418</v>
      </c>
      <c r="G72" s="275" t="s">
        <v>48</v>
      </c>
      <c r="H72" s="275" t="s">
        <v>290</v>
      </c>
      <c r="I72" s="275" t="s">
        <v>150</v>
      </c>
      <c r="J72" s="275" t="s">
        <v>111</v>
      </c>
      <c r="K72" s="276" t="str">
        <f>IF('Project Materials'!$D$6='Project Materials'!$B$196,'Item List'!$B$165,"None")</f>
        <v>None</v>
      </c>
      <c r="L72" s="275" t="s">
        <v>418</v>
      </c>
      <c r="M72" s="280" t="s">
        <v>418</v>
      </c>
      <c r="N72" s="280" t="s">
        <v>48</v>
      </c>
      <c r="O72" s="280" t="s">
        <v>290</v>
      </c>
      <c r="P72" s="280" t="s">
        <v>150</v>
      </c>
      <c r="Q72" s="280" t="s">
        <v>111</v>
      </c>
      <c r="R72" s="281" t="str">
        <f>IF('Project Materials'!$H$6='Project Materials'!$B$196,'Item List'!$B$165,"None")</f>
        <v>None</v>
      </c>
      <c r="S72" s="280" t="s">
        <v>418</v>
      </c>
      <c r="T72" s="247" t="s">
        <v>418</v>
      </c>
      <c r="U72" s="247" t="s">
        <v>48</v>
      </c>
      <c r="V72" s="247" t="s">
        <v>290</v>
      </c>
      <c r="W72" s="247" t="s">
        <v>150</v>
      </c>
      <c r="X72" s="247" t="s">
        <v>111</v>
      </c>
      <c r="Y72" s="206" t="str">
        <f>IF('Project Materials'!$H$6='Project Materials'!$B$196,'Item List'!$B$165,"None")</f>
        <v>None</v>
      </c>
      <c r="Z72" s="247" t="s">
        <v>418</v>
      </c>
      <c r="AA72" s="248" t="s">
        <v>418</v>
      </c>
      <c r="AB72" s="248" t="s">
        <v>48</v>
      </c>
      <c r="AC72" s="248" t="s">
        <v>290</v>
      </c>
      <c r="AD72" s="248" t="s">
        <v>150</v>
      </c>
      <c r="AE72" s="248" t="s">
        <v>111</v>
      </c>
      <c r="AF72" s="249" t="str">
        <f>IF('Project Materials'!$H$6='Project Materials'!$B$196,'Item List'!$B$165,"None")</f>
        <v>None</v>
      </c>
      <c r="AG72" s="248" t="s">
        <v>418</v>
      </c>
      <c r="AL72" s="33"/>
      <c r="AM72" s="33"/>
    </row>
    <row r="73" spans="1:39" x14ac:dyDescent="0.4">
      <c r="A73" s="60" t="s">
        <v>5</v>
      </c>
      <c r="B73" s="2" t="s">
        <v>558</v>
      </c>
      <c r="C73" s="2" t="s">
        <v>607</v>
      </c>
      <c r="D73" s="12">
        <v>36</v>
      </c>
      <c r="E73" s="4">
        <v>22.17</v>
      </c>
      <c r="F73" s="275" t="s">
        <v>418</v>
      </c>
      <c r="G73" s="275" t="s">
        <v>48</v>
      </c>
      <c r="H73" s="275" t="s">
        <v>241</v>
      </c>
      <c r="I73" s="275" t="s">
        <v>152</v>
      </c>
      <c r="J73" s="275" t="s">
        <v>111</v>
      </c>
      <c r="K73" s="276" t="str">
        <f>IF('Project Materials'!$D$6='Project Materials'!$B$196,'Item List'!$B$165,"None")</f>
        <v>None</v>
      </c>
      <c r="L73" s="275" t="s">
        <v>418</v>
      </c>
      <c r="M73" s="280" t="s">
        <v>418</v>
      </c>
      <c r="N73" s="280" t="s">
        <v>48</v>
      </c>
      <c r="O73" s="280" t="s">
        <v>241</v>
      </c>
      <c r="P73" s="280" t="s">
        <v>152</v>
      </c>
      <c r="Q73" s="280" t="s">
        <v>111</v>
      </c>
      <c r="R73" s="281" t="str">
        <f>IF('Project Materials'!$H$6='Project Materials'!$B$196,'Item List'!$B$165,"None")</f>
        <v>None</v>
      </c>
      <c r="S73" s="280" t="s">
        <v>418</v>
      </c>
      <c r="T73" s="247" t="s">
        <v>418</v>
      </c>
      <c r="U73" s="247" t="s">
        <v>48</v>
      </c>
      <c r="V73" s="247" t="s">
        <v>241</v>
      </c>
      <c r="W73" s="247" t="s">
        <v>152</v>
      </c>
      <c r="X73" s="247" t="s">
        <v>111</v>
      </c>
      <c r="Y73" s="206" t="str">
        <f>IF('Project Materials'!$H$6='Project Materials'!$B$196,'Item List'!$B$165,"None")</f>
        <v>None</v>
      </c>
      <c r="Z73" s="247" t="s">
        <v>418</v>
      </c>
      <c r="AA73" s="248" t="s">
        <v>418</v>
      </c>
      <c r="AB73" s="248" t="s">
        <v>48</v>
      </c>
      <c r="AC73" s="248" t="s">
        <v>241</v>
      </c>
      <c r="AD73" s="248" t="s">
        <v>152</v>
      </c>
      <c r="AE73" s="248" t="s">
        <v>111</v>
      </c>
      <c r="AF73" s="249" t="str">
        <f>IF('Project Materials'!$H$6='Project Materials'!$B$196,'Item List'!$B$165,"None")</f>
        <v>None</v>
      </c>
      <c r="AG73" s="248" t="s">
        <v>418</v>
      </c>
      <c r="AL73" s="33"/>
      <c r="AM73" s="33"/>
    </row>
    <row r="74" spans="1:39" x14ac:dyDescent="0.4">
      <c r="A74" s="60" t="s">
        <v>5</v>
      </c>
      <c r="B74" s="2" t="s">
        <v>559</v>
      </c>
      <c r="C74" s="2" t="s">
        <v>608</v>
      </c>
      <c r="D74" s="12">
        <v>36</v>
      </c>
      <c r="E74" s="4">
        <v>22.17</v>
      </c>
      <c r="F74" s="275" t="s">
        <v>418</v>
      </c>
      <c r="G74" s="275" t="s">
        <v>48</v>
      </c>
      <c r="H74" s="275" t="s">
        <v>237</v>
      </c>
      <c r="I74" s="275" t="s">
        <v>146</v>
      </c>
      <c r="J74" s="275" t="s">
        <v>111</v>
      </c>
      <c r="K74" s="276" t="str">
        <f>IF('Project Materials'!$D$6='Project Materials'!$B$196,'Item List'!$B$165,"None")</f>
        <v>None</v>
      </c>
      <c r="L74" s="275" t="s">
        <v>418</v>
      </c>
      <c r="M74" s="280" t="s">
        <v>418</v>
      </c>
      <c r="N74" s="280" t="s">
        <v>48</v>
      </c>
      <c r="O74" s="280" t="s">
        <v>237</v>
      </c>
      <c r="P74" s="280" t="s">
        <v>146</v>
      </c>
      <c r="Q74" s="280" t="s">
        <v>111</v>
      </c>
      <c r="R74" s="281" t="str">
        <f>IF('Project Materials'!$H$6='Project Materials'!$B$196,'Item List'!$B$165,"None")</f>
        <v>None</v>
      </c>
      <c r="S74" s="280" t="s">
        <v>418</v>
      </c>
      <c r="T74" s="247" t="s">
        <v>418</v>
      </c>
      <c r="U74" s="247" t="s">
        <v>48</v>
      </c>
      <c r="V74" s="247" t="s">
        <v>237</v>
      </c>
      <c r="W74" s="247" t="s">
        <v>146</v>
      </c>
      <c r="X74" s="247" t="s">
        <v>111</v>
      </c>
      <c r="Y74" s="206" t="str">
        <f>IF('Project Materials'!$H$6='Project Materials'!$B$196,'Item List'!$B$165,"None")</f>
        <v>None</v>
      </c>
      <c r="Z74" s="247" t="s">
        <v>418</v>
      </c>
      <c r="AA74" s="248" t="s">
        <v>418</v>
      </c>
      <c r="AB74" s="248" t="s">
        <v>48</v>
      </c>
      <c r="AC74" s="248" t="s">
        <v>237</v>
      </c>
      <c r="AD74" s="248" t="s">
        <v>146</v>
      </c>
      <c r="AE74" s="248" t="s">
        <v>111</v>
      </c>
      <c r="AF74" s="249" t="str">
        <f>IF('Project Materials'!$H$6='Project Materials'!$B$196,'Item List'!$B$165,"None")</f>
        <v>None</v>
      </c>
      <c r="AG74" s="248" t="s">
        <v>418</v>
      </c>
      <c r="AL74" s="33"/>
      <c r="AM74" s="33"/>
    </row>
    <row r="75" spans="1:39" x14ac:dyDescent="0.4">
      <c r="A75" s="60" t="s">
        <v>5</v>
      </c>
      <c r="B75" s="2" t="s">
        <v>560</v>
      </c>
      <c r="C75" s="2" t="s">
        <v>609</v>
      </c>
      <c r="D75" s="12">
        <v>36</v>
      </c>
      <c r="E75" s="4">
        <v>20.170000000000002</v>
      </c>
      <c r="F75" s="275" t="s">
        <v>418</v>
      </c>
      <c r="G75" s="275" t="s">
        <v>48</v>
      </c>
      <c r="H75" s="275" t="s">
        <v>239</v>
      </c>
      <c r="I75" s="275" t="s">
        <v>148</v>
      </c>
      <c r="J75" s="275" t="s">
        <v>111</v>
      </c>
      <c r="K75" s="276" t="str">
        <f>IF('Project Materials'!$D$6='Project Materials'!$B$196,'Item List'!$B$165,"None")</f>
        <v>None</v>
      </c>
      <c r="L75" s="275" t="s">
        <v>418</v>
      </c>
      <c r="M75" s="280" t="s">
        <v>418</v>
      </c>
      <c r="N75" s="280" t="s">
        <v>48</v>
      </c>
      <c r="O75" s="280" t="s">
        <v>239</v>
      </c>
      <c r="P75" s="280" t="s">
        <v>148</v>
      </c>
      <c r="Q75" s="280" t="s">
        <v>111</v>
      </c>
      <c r="R75" s="281" t="str">
        <f>IF('Project Materials'!$H$6='Project Materials'!$B$196,'Item List'!$B$165,"None")</f>
        <v>None</v>
      </c>
      <c r="S75" s="280" t="s">
        <v>418</v>
      </c>
      <c r="T75" s="247" t="s">
        <v>418</v>
      </c>
      <c r="U75" s="247" t="s">
        <v>48</v>
      </c>
      <c r="V75" s="247" t="s">
        <v>239</v>
      </c>
      <c r="W75" s="247" t="s">
        <v>148</v>
      </c>
      <c r="X75" s="247" t="s">
        <v>111</v>
      </c>
      <c r="Y75" s="206" t="str">
        <f>IF('Project Materials'!$H$6='Project Materials'!$B$196,'Item List'!$B$165,"None")</f>
        <v>None</v>
      </c>
      <c r="Z75" s="247" t="s">
        <v>418</v>
      </c>
      <c r="AA75" s="248" t="s">
        <v>418</v>
      </c>
      <c r="AB75" s="248" t="s">
        <v>48</v>
      </c>
      <c r="AC75" s="248" t="s">
        <v>239</v>
      </c>
      <c r="AD75" s="248" t="s">
        <v>148</v>
      </c>
      <c r="AE75" s="248" t="s">
        <v>111</v>
      </c>
      <c r="AF75" s="249" t="str">
        <f>IF('Project Materials'!$H$6='Project Materials'!$B$196,'Item List'!$B$165,"None")</f>
        <v>None</v>
      </c>
      <c r="AG75" s="248" t="s">
        <v>418</v>
      </c>
      <c r="AL75" s="33"/>
      <c r="AM75" s="33"/>
    </row>
    <row r="76" spans="1:39" x14ac:dyDescent="0.4">
      <c r="A76" s="60" t="s">
        <v>5</v>
      </c>
      <c r="B76" s="2" t="s">
        <v>561</v>
      </c>
      <c r="C76" s="2" t="s">
        <v>610</v>
      </c>
      <c r="D76" s="12">
        <v>36</v>
      </c>
      <c r="E76" s="4">
        <v>20.170000000000002</v>
      </c>
      <c r="F76" s="275" t="s">
        <v>418</v>
      </c>
      <c r="G76" s="275" t="s">
        <v>48</v>
      </c>
      <c r="H76" s="275" t="s">
        <v>241</v>
      </c>
      <c r="I76" s="275" t="s">
        <v>152</v>
      </c>
      <c r="J76" s="275" t="s">
        <v>111</v>
      </c>
      <c r="K76" s="276" t="str">
        <f>IF('Project Materials'!$D$6='Project Materials'!$B$196,'Item List'!$B$165,"None")</f>
        <v>None</v>
      </c>
      <c r="L76" s="275" t="s">
        <v>418</v>
      </c>
      <c r="M76" s="280" t="s">
        <v>418</v>
      </c>
      <c r="N76" s="280" t="s">
        <v>48</v>
      </c>
      <c r="O76" s="280" t="s">
        <v>241</v>
      </c>
      <c r="P76" s="280" t="s">
        <v>152</v>
      </c>
      <c r="Q76" s="280" t="s">
        <v>111</v>
      </c>
      <c r="R76" s="281" t="str">
        <f>IF('Project Materials'!$H$6='Project Materials'!$B$196,'Item List'!$B$165,"None")</f>
        <v>None</v>
      </c>
      <c r="S76" s="280" t="s">
        <v>418</v>
      </c>
      <c r="T76" s="247" t="s">
        <v>418</v>
      </c>
      <c r="U76" s="247" t="s">
        <v>48</v>
      </c>
      <c r="V76" s="247" t="s">
        <v>241</v>
      </c>
      <c r="W76" s="247" t="s">
        <v>152</v>
      </c>
      <c r="X76" s="247" t="s">
        <v>111</v>
      </c>
      <c r="Y76" s="206" t="str">
        <f>IF('Project Materials'!$H$6='Project Materials'!$B$196,'Item List'!$B$165,"None")</f>
        <v>None</v>
      </c>
      <c r="Z76" s="247" t="s">
        <v>418</v>
      </c>
      <c r="AA76" s="248" t="s">
        <v>418</v>
      </c>
      <c r="AB76" s="248" t="s">
        <v>48</v>
      </c>
      <c r="AC76" s="248" t="s">
        <v>241</v>
      </c>
      <c r="AD76" s="248" t="s">
        <v>152</v>
      </c>
      <c r="AE76" s="248" t="s">
        <v>111</v>
      </c>
      <c r="AF76" s="249" t="str">
        <f>IF('Project Materials'!$H$6='Project Materials'!$B$196,'Item List'!$B$165,"None")</f>
        <v>None</v>
      </c>
      <c r="AG76" s="248" t="s">
        <v>418</v>
      </c>
      <c r="AL76" s="33"/>
      <c r="AM76" s="33"/>
    </row>
    <row r="77" spans="1:39" x14ac:dyDescent="0.4">
      <c r="A77" s="60" t="s">
        <v>5</v>
      </c>
      <c r="B77" s="2" t="s">
        <v>562</v>
      </c>
      <c r="C77" s="2" t="s">
        <v>611</v>
      </c>
      <c r="D77" s="12">
        <v>34</v>
      </c>
      <c r="E77" s="4">
        <v>20.67</v>
      </c>
      <c r="F77" s="275" t="s">
        <v>418</v>
      </c>
      <c r="G77" s="275" t="s">
        <v>48</v>
      </c>
      <c r="H77" s="275" t="s">
        <v>237</v>
      </c>
      <c r="I77" s="275" t="s">
        <v>146</v>
      </c>
      <c r="J77" s="275" t="s">
        <v>111</v>
      </c>
      <c r="K77" s="276" t="str">
        <f>IF('Project Materials'!$D$6='Project Materials'!$B$196,'Item List'!$B$165,"None")</f>
        <v>None</v>
      </c>
      <c r="L77" s="275" t="s">
        <v>418</v>
      </c>
      <c r="M77" s="280" t="s">
        <v>418</v>
      </c>
      <c r="N77" s="280" t="s">
        <v>48</v>
      </c>
      <c r="O77" s="280" t="s">
        <v>237</v>
      </c>
      <c r="P77" s="280" t="s">
        <v>146</v>
      </c>
      <c r="Q77" s="280" t="s">
        <v>111</v>
      </c>
      <c r="R77" s="281" t="str">
        <f>IF('Project Materials'!$H$6='Project Materials'!$B$196,'Item List'!$B$165,"None")</f>
        <v>None</v>
      </c>
      <c r="S77" s="280" t="s">
        <v>418</v>
      </c>
      <c r="T77" s="247" t="s">
        <v>418</v>
      </c>
      <c r="U77" s="247" t="s">
        <v>48</v>
      </c>
      <c r="V77" s="247" t="s">
        <v>237</v>
      </c>
      <c r="W77" s="247" t="s">
        <v>146</v>
      </c>
      <c r="X77" s="247" t="s">
        <v>111</v>
      </c>
      <c r="Y77" s="206" t="str">
        <f>IF('Project Materials'!$H$6='Project Materials'!$B$196,'Item List'!$B$165,"None")</f>
        <v>None</v>
      </c>
      <c r="Z77" s="247" t="s">
        <v>418</v>
      </c>
      <c r="AA77" s="248" t="s">
        <v>418</v>
      </c>
      <c r="AB77" s="248" t="s">
        <v>48</v>
      </c>
      <c r="AC77" s="248" t="s">
        <v>237</v>
      </c>
      <c r="AD77" s="248" t="s">
        <v>146</v>
      </c>
      <c r="AE77" s="248" t="s">
        <v>111</v>
      </c>
      <c r="AF77" s="249" t="str">
        <f>IF('Project Materials'!$H$6='Project Materials'!$B$196,'Item List'!$B$165,"None")</f>
        <v>None</v>
      </c>
      <c r="AG77" s="248" t="s">
        <v>418</v>
      </c>
      <c r="AL77" s="33"/>
      <c r="AM77" s="33"/>
    </row>
    <row r="78" spans="1:39" x14ac:dyDescent="0.4">
      <c r="A78" s="60" t="s">
        <v>5</v>
      </c>
      <c r="B78" s="2" t="s">
        <v>563</v>
      </c>
      <c r="C78" s="2" t="s">
        <v>612</v>
      </c>
      <c r="D78" s="12">
        <v>34</v>
      </c>
      <c r="E78" s="4">
        <v>20.67</v>
      </c>
      <c r="F78" s="275" t="s">
        <v>418</v>
      </c>
      <c r="G78" s="275" t="s">
        <v>48</v>
      </c>
      <c r="H78" s="275" t="s">
        <v>239</v>
      </c>
      <c r="I78" s="275" t="s">
        <v>148</v>
      </c>
      <c r="J78" s="275" t="s">
        <v>111</v>
      </c>
      <c r="K78" s="276" t="str">
        <f>IF('Project Materials'!$D$6='Project Materials'!$B$196,'Item List'!$B$165,"None")</f>
        <v>None</v>
      </c>
      <c r="L78" s="275" t="s">
        <v>418</v>
      </c>
      <c r="M78" s="280" t="s">
        <v>418</v>
      </c>
      <c r="N78" s="280" t="s">
        <v>48</v>
      </c>
      <c r="O78" s="280" t="s">
        <v>239</v>
      </c>
      <c r="P78" s="280" t="s">
        <v>148</v>
      </c>
      <c r="Q78" s="280" t="s">
        <v>111</v>
      </c>
      <c r="R78" s="281" t="str">
        <f>IF('Project Materials'!$H$6='Project Materials'!$B$196,'Item List'!$B$165,"None")</f>
        <v>None</v>
      </c>
      <c r="S78" s="280" t="s">
        <v>418</v>
      </c>
      <c r="T78" s="247" t="s">
        <v>418</v>
      </c>
      <c r="U78" s="247" t="s">
        <v>48</v>
      </c>
      <c r="V78" s="247" t="s">
        <v>239</v>
      </c>
      <c r="W78" s="247" t="s">
        <v>148</v>
      </c>
      <c r="X78" s="247" t="s">
        <v>111</v>
      </c>
      <c r="Y78" s="206" t="str">
        <f>IF('Project Materials'!$H$6='Project Materials'!$B$196,'Item List'!$B$165,"None")</f>
        <v>None</v>
      </c>
      <c r="Z78" s="247" t="s">
        <v>418</v>
      </c>
      <c r="AA78" s="248" t="s">
        <v>418</v>
      </c>
      <c r="AB78" s="248" t="s">
        <v>48</v>
      </c>
      <c r="AC78" s="248" t="s">
        <v>239</v>
      </c>
      <c r="AD78" s="248" t="s">
        <v>148</v>
      </c>
      <c r="AE78" s="248" t="s">
        <v>111</v>
      </c>
      <c r="AF78" s="249" t="str">
        <f>IF('Project Materials'!$H$6='Project Materials'!$B$196,'Item List'!$B$165,"None")</f>
        <v>None</v>
      </c>
      <c r="AG78" s="248" t="s">
        <v>418</v>
      </c>
      <c r="AL78" s="33"/>
      <c r="AM78" s="33"/>
    </row>
    <row r="79" spans="1:39" x14ac:dyDescent="0.4">
      <c r="A79" s="60" t="s">
        <v>5</v>
      </c>
      <c r="B79" s="2" t="s">
        <v>564</v>
      </c>
      <c r="C79" s="2" t="s">
        <v>613</v>
      </c>
      <c r="D79" s="12">
        <v>34</v>
      </c>
      <c r="E79" s="4">
        <v>25.01</v>
      </c>
      <c r="F79" s="275" t="s">
        <v>418</v>
      </c>
      <c r="G79" s="275" t="s">
        <v>48</v>
      </c>
      <c r="H79" s="275" t="s">
        <v>290</v>
      </c>
      <c r="I79" s="275" t="s">
        <v>150</v>
      </c>
      <c r="J79" s="275" t="s">
        <v>111</v>
      </c>
      <c r="K79" s="276" t="str">
        <f>IF('Project Materials'!$D$6='Project Materials'!$B$196,'Item List'!$B$165,"None")</f>
        <v>None</v>
      </c>
      <c r="L79" s="275" t="s">
        <v>418</v>
      </c>
      <c r="M79" s="280" t="s">
        <v>418</v>
      </c>
      <c r="N79" s="280" t="s">
        <v>48</v>
      </c>
      <c r="O79" s="280" t="s">
        <v>290</v>
      </c>
      <c r="P79" s="280" t="s">
        <v>150</v>
      </c>
      <c r="Q79" s="280" t="s">
        <v>111</v>
      </c>
      <c r="R79" s="281" t="str">
        <f>IF('Project Materials'!$H$6='Project Materials'!$B$196,'Item List'!$B$165,"None")</f>
        <v>None</v>
      </c>
      <c r="S79" s="280" t="s">
        <v>418</v>
      </c>
      <c r="T79" s="247" t="s">
        <v>418</v>
      </c>
      <c r="U79" s="247" t="s">
        <v>48</v>
      </c>
      <c r="V79" s="247" t="s">
        <v>290</v>
      </c>
      <c r="W79" s="247" t="s">
        <v>150</v>
      </c>
      <c r="X79" s="247" t="s">
        <v>111</v>
      </c>
      <c r="Y79" s="206" t="str">
        <f>IF('Project Materials'!$H$6='Project Materials'!$B$196,'Item List'!$B$165,"None")</f>
        <v>None</v>
      </c>
      <c r="Z79" s="247" t="s">
        <v>418</v>
      </c>
      <c r="AA79" s="248" t="s">
        <v>418</v>
      </c>
      <c r="AB79" s="248" t="s">
        <v>48</v>
      </c>
      <c r="AC79" s="248" t="s">
        <v>290</v>
      </c>
      <c r="AD79" s="248" t="s">
        <v>150</v>
      </c>
      <c r="AE79" s="248" t="s">
        <v>111</v>
      </c>
      <c r="AF79" s="249" t="str">
        <f>IF('Project Materials'!$H$6='Project Materials'!$B$196,'Item List'!$B$165,"None")</f>
        <v>None</v>
      </c>
      <c r="AG79" s="248" t="s">
        <v>418</v>
      </c>
      <c r="AL79" s="33"/>
      <c r="AM79" s="33"/>
    </row>
    <row r="80" spans="1:39" x14ac:dyDescent="0.4">
      <c r="A80" s="60" t="s">
        <v>5</v>
      </c>
      <c r="B80" s="2" t="s">
        <v>565</v>
      </c>
      <c r="C80" s="2" t="s">
        <v>614</v>
      </c>
      <c r="D80" s="12">
        <v>34</v>
      </c>
      <c r="E80" s="4">
        <v>20.67</v>
      </c>
      <c r="F80" s="275" t="s">
        <v>418</v>
      </c>
      <c r="G80" s="275" t="s">
        <v>48</v>
      </c>
      <c r="H80" s="275" t="s">
        <v>241</v>
      </c>
      <c r="I80" s="275" t="s">
        <v>152</v>
      </c>
      <c r="J80" s="275" t="s">
        <v>111</v>
      </c>
      <c r="K80" s="276" t="str">
        <f>IF('Project Materials'!$D$6='Project Materials'!$B$196,'Item List'!$B$165,"None")</f>
        <v>None</v>
      </c>
      <c r="L80" s="275" t="s">
        <v>418</v>
      </c>
      <c r="M80" s="280" t="s">
        <v>418</v>
      </c>
      <c r="N80" s="280" t="s">
        <v>48</v>
      </c>
      <c r="O80" s="280" t="s">
        <v>241</v>
      </c>
      <c r="P80" s="280" t="s">
        <v>152</v>
      </c>
      <c r="Q80" s="280" t="s">
        <v>111</v>
      </c>
      <c r="R80" s="281" t="str">
        <f>IF('Project Materials'!$H$6='Project Materials'!$B$196,'Item List'!$B$165,"None")</f>
        <v>None</v>
      </c>
      <c r="S80" s="280" t="s">
        <v>418</v>
      </c>
      <c r="T80" s="247" t="s">
        <v>418</v>
      </c>
      <c r="U80" s="247" t="s">
        <v>48</v>
      </c>
      <c r="V80" s="247" t="s">
        <v>241</v>
      </c>
      <c r="W80" s="247" t="s">
        <v>152</v>
      </c>
      <c r="X80" s="247" t="s">
        <v>111</v>
      </c>
      <c r="Y80" s="206" t="str">
        <f>IF('Project Materials'!$H$6='Project Materials'!$B$196,'Item List'!$B$165,"None")</f>
        <v>None</v>
      </c>
      <c r="Z80" s="247" t="s">
        <v>418</v>
      </c>
      <c r="AA80" s="248" t="s">
        <v>418</v>
      </c>
      <c r="AB80" s="248" t="s">
        <v>48</v>
      </c>
      <c r="AC80" s="248" t="s">
        <v>241</v>
      </c>
      <c r="AD80" s="248" t="s">
        <v>152</v>
      </c>
      <c r="AE80" s="248" t="s">
        <v>111</v>
      </c>
      <c r="AF80" s="249" t="str">
        <f>IF('Project Materials'!$H$6='Project Materials'!$B$196,'Item List'!$B$165,"None")</f>
        <v>None</v>
      </c>
      <c r="AG80" s="248" t="s">
        <v>418</v>
      </c>
      <c r="AL80" s="33"/>
      <c r="AM80" s="33"/>
    </row>
    <row r="81" spans="1:39" x14ac:dyDescent="0.4">
      <c r="A81" s="60" t="s">
        <v>5</v>
      </c>
      <c r="B81" s="2" t="s">
        <v>566</v>
      </c>
      <c r="C81" s="2" t="s">
        <v>615</v>
      </c>
      <c r="D81" s="12">
        <v>34</v>
      </c>
      <c r="E81" s="4">
        <v>20.67</v>
      </c>
      <c r="F81" s="275" t="s">
        <v>418</v>
      </c>
      <c r="G81" s="275" t="s">
        <v>48</v>
      </c>
      <c r="H81" s="275" t="s">
        <v>237</v>
      </c>
      <c r="I81" s="275" t="s">
        <v>146</v>
      </c>
      <c r="J81" s="275" t="s">
        <v>111</v>
      </c>
      <c r="K81" s="276" t="str">
        <f>IF('Project Materials'!$D$6='Project Materials'!$B$196,'Item List'!$B$165,"None")</f>
        <v>None</v>
      </c>
      <c r="L81" s="275" t="s">
        <v>418</v>
      </c>
      <c r="M81" s="280" t="s">
        <v>418</v>
      </c>
      <c r="N81" s="280" t="s">
        <v>48</v>
      </c>
      <c r="O81" s="280" t="s">
        <v>237</v>
      </c>
      <c r="P81" s="280" t="s">
        <v>146</v>
      </c>
      <c r="Q81" s="280" t="s">
        <v>111</v>
      </c>
      <c r="R81" s="281" t="str">
        <f>IF('Project Materials'!$H$6='Project Materials'!$B$196,'Item List'!$B$165,"None")</f>
        <v>None</v>
      </c>
      <c r="S81" s="280" t="s">
        <v>418</v>
      </c>
      <c r="T81" s="247" t="s">
        <v>418</v>
      </c>
      <c r="U81" s="247" t="s">
        <v>48</v>
      </c>
      <c r="V81" s="247" t="s">
        <v>237</v>
      </c>
      <c r="W81" s="247" t="s">
        <v>146</v>
      </c>
      <c r="X81" s="247" t="s">
        <v>111</v>
      </c>
      <c r="Y81" s="206" t="str">
        <f>IF('Project Materials'!$H$6='Project Materials'!$B$196,'Item List'!$B$165,"None")</f>
        <v>None</v>
      </c>
      <c r="Z81" s="247" t="s">
        <v>418</v>
      </c>
      <c r="AA81" s="248" t="s">
        <v>418</v>
      </c>
      <c r="AB81" s="248" t="s">
        <v>48</v>
      </c>
      <c r="AC81" s="248" t="s">
        <v>237</v>
      </c>
      <c r="AD81" s="248" t="s">
        <v>146</v>
      </c>
      <c r="AE81" s="248" t="s">
        <v>111</v>
      </c>
      <c r="AF81" s="249" t="str">
        <f>IF('Project Materials'!$H$6='Project Materials'!$B$196,'Item List'!$B$165,"None")</f>
        <v>None</v>
      </c>
      <c r="AG81" s="248" t="s">
        <v>418</v>
      </c>
      <c r="AL81" s="33"/>
      <c r="AM81" s="33"/>
    </row>
    <row r="82" spans="1:39" x14ac:dyDescent="0.4">
      <c r="A82" s="60" t="s">
        <v>5</v>
      </c>
      <c r="B82" s="2" t="s">
        <v>567</v>
      </c>
      <c r="C82" s="2" t="s">
        <v>616</v>
      </c>
      <c r="D82" s="12">
        <v>34</v>
      </c>
      <c r="E82" s="4">
        <v>20.67</v>
      </c>
      <c r="F82" s="275" t="s">
        <v>418</v>
      </c>
      <c r="G82" s="275" t="s">
        <v>48</v>
      </c>
      <c r="H82" s="275" t="s">
        <v>239</v>
      </c>
      <c r="I82" s="275" t="s">
        <v>148</v>
      </c>
      <c r="J82" s="275" t="s">
        <v>111</v>
      </c>
      <c r="K82" s="276" t="str">
        <f>IF('Project Materials'!$D$6='Project Materials'!$B$196,'Item List'!$B$165,"None")</f>
        <v>None</v>
      </c>
      <c r="L82" s="275" t="s">
        <v>418</v>
      </c>
      <c r="M82" s="280" t="s">
        <v>418</v>
      </c>
      <c r="N82" s="280" t="s">
        <v>48</v>
      </c>
      <c r="O82" s="280" t="s">
        <v>239</v>
      </c>
      <c r="P82" s="280" t="s">
        <v>148</v>
      </c>
      <c r="Q82" s="280" t="s">
        <v>111</v>
      </c>
      <c r="R82" s="281" t="str">
        <f>IF('Project Materials'!$H$6='Project Materials'!$B$196,'Item List'!$B$165,"None")</f>
        <v>None</v>
      </c>
      <c r="S82" s="280" t="s">
        <v>418</v>
      </c>
      <c r="T82" s="247" t="s">
        <v>418</v>
      </c>
      <c r="U82" s="247" t="s">
        <v>48</v>
      </c>
      <c r="V82" s="247" t="s">
        <v>239</v>
      </c>
      <c r="W82" s="247" t="s">
        <v>148</v>
      </c>
      <c r="X82" s="247" t="s">
        <v>111</v>
      </c>
      <c r="Y82" s="206" t="str">
        <f>IF('Project Materials'!$H$6='Project Materials'!$B$196,'Item List'!$B$165,"None")</f>
        <v>None</v>
      </c>
      <c r="Z82" s="247" t="s">
        <v>418</v>
      </c>
      <c r="AA82" s="248" t="s">
        <v>418</v>
      </c>
      <c r="AB82" s="248" t="s">
        <v>48</v>
      </c>
      <c r="AC82" s="248" t="s">
        <v>239</v>
      </c>
      <c r="AD82" s="248" t="s">
        <v>148</v>
      </c>
      <c r="AE82" s="248" t="s">
        <v>111</v>
      </c>
      <c r="AF82" s="249" t="str">
        <f>IF('Project Materials'!$H$6='Project Materials'!$B$196,'Item List'!$B$165,"None")</f>
        <v>None</v>
      </c>
      <c r="AG82" s="248" t="s">
        <v>418</v>
      </c>
      <c r="AL82" s="33"/>
      <c r="AM82" s="33"/>
    </row>
    <row r="83" spans="1:39" x14ac:dyDescent="0.4">
      <c r="A83" s="60" t="s">
        <v>5</v>
      </c>
      <c r="B83" s="2" t="s">
        <v>568</v>
      </c>
      <c r="C83" s="2" t="s">
        <v>617</v>
      </c>
      <c r="D83" s="12">
        <v>34</v>
      </c>
      <c r="E83" s="4">
        <v>20.67</v>
      </c>
      <c r="F83" s="275" t="s">
        <v>418</v>
      </c>
      <c r="G83" s="275" t="s">
        <v>48</v>
      </c>
      <c r="H83" s="275" t="s">
        <v>290</v>
      </c>
      <c r="I83" s="275" t="s">
        <v>150</v>
      </c>
      <c r="J83" s="275" t="s">
        <v>111</v>
      </c>
      <c r="K83" s="276" t="str">
        <f>IF('Project Materials'!$D$6='Project Materials'!$B$196,'Item List'!$B$165,"None")</f>
        <v>None</v>
      </c>
      <c r="L83" s="275" t="s">
        <v>418</v>
      </c>
      <c r="M83" s="280" t="s">
        <v>418</v>
      </c>
      <c r="N83" s="280" t="s">
        <v>48</v>
      </c>
      <c r="O83" s="280" t="s">
        <v>290</v>
      </c>
      <c r="P83" s="280" t="s">
        <v>150</v>
      </c>
      <c r="Q83" s="280" t="s">
        <v>111</v>
      </c>
      <c r="R83" s="281" t="str">
        <f>IF('Project Materials'!$H$6='Project Materials'!$B$196,'Item List'!$B$165,"None")</f>
        <v>None</v>
      </c>
      <c r="S83" s="280" t="s">
        <v>418</v>
      </c>
      <c r="T83" s="247" t="s">
        <v>418</v>
      </c>
      <c r="U83" s="247" t="s">
        <v>48</v>
      </c>
      <c r="V83" s="247" t="s">
        <v>290</v>
      </c>
      <c r="W83" s="247" t="s">
        <v>150</v>
      </c>
      <c r="X83" s="247" t="s">
        <v>111</v>
      </c>
      <c r="Y83" s="206" t="str">
        <f>IF('Project Materials'!$H$6='Project Materials'!$B$196,'Item List'!$B$165,"None")</f>
        <v>None</v>
      </c>
      <c r="Z83" s="247" t="s">
        <v>418</v>
      </c>
      <c r="AA83" s="248" t="s">
        <v>418</v>
      </c>
      <c r="AB83" s="248" t="s">
        <v>48</v>
      </c>
      <c r="AC83" s="248" t="s">
        <v>290</v>
      </c>
      <c r="AD83" s="248" t="s">
        <v>150</v>
      </c>
      <c r="AE83" s="248" t="s">
        <v>111</v>
      </c>
      <c r="AF83" s="249" t="str">
        <f>IF('Project Materials'!$H$6='Project Materials'!$B$196,'Item List'!$B$165,"None")</f>
        <v>None</v>
      </c>
      <c r="AG83" s="248" t="s">
        <v>418</v>
      </c>
      <c r="AL83" s="33"/>
      <c r="AM83" s="33"/>
    </row>
    <row r="84" spans="1:39" x14ac:dyDescent="0.4">
      <c r="A84" s="60" t="s">
        <v>5</v>
      </c>
      <c r="B84" s="2" t="s">
        <v>569</v>
      </c>
      <c r="C84" s="2" t="s">
        <v>618</v>
      </c>
      <c r="D84" s="12">
        <v>34</v>
      </c>
      <c r="E84" s="4">
        <v>20.67</v>
      </c>
      <c r="F84" s="275" t="s">
        <v>418</v>
      </c>
      <c r="G84" s="275" t="s">
        <v>48</v>
      </c>
      <c r="H84" s="275" t="s">
        <v>241</v>
      </c>
      <c r="I84" s="275" t="s">
        <v>152</v>
      </c>
      <c r="J84" s="275" t="s">
        <v>111</v>
      </c>
      <c r="K84" s="276" t="str">
        <f>IF('Project Materials'!$D$6='Project Materials'!$B$196,'Item List'!$B$165,"None")</f>
        <v>None</v>
      </c>
      <c r="L84" s="275" t="s">
        <v>418</v>
      </c>
      <c r="M84" s="280" t="s">
        <v>418</v>
      </c>
      <c r="N84" s="280" t="s">
        <v>48</v>
      </c>
      <c r="O84" s="280" t="s">
        <v>241</v>
      </c>
      <c r="P84" s="280" t="s">
        <v>152</v>
      </c>
      <c r="Q84" s="280" t="s">
        <v>111</v>
      </c>
      <c r="R84" s="281" t="str">
        <f>IF('Project Materials'!$H$6='Project Materials'!$B$196,'Item List'!$B$165,"None")</f>
        <v>None</v>
      </c>
      <c r="S84" s="280" t="s">
        <v>418</v>
      </c>
      <c r="T84" s="247" t="s">
        <v>418</v>
      </c>
      <c r="U84" s="247" t="s">
        <v>48</v>
      </c>
      <c r="V84" s="247" t="s">
        <v>241</v>
      </c>
      <c r="W84" s="247" t="s">
        <v>152</v>
      </c>
      <c r="X84" s="247" t="s">
        <v>111</v>
      </c>
      <c r="Y84" s="206" t="str">
        <f>IF('Project Materials'!$H$6='Project Materials'!$B$196,'Item List'!$B$165,"None")</f>
        <v>None</v>
      </c>
      <c r="Z84" s="247" t="s">
        <v>418</v>
      </c>
      <c r="AA84" s="248" t="s">
        <v>418</v>
      </c>
      <c r="AB84" s="248" t="s">
        <v>48</v>
      </c>
      <c r="AC84" s="248" t="s">
        <v>241</v>
      </c>
      <c r="AD84" s="248" t="s">
        <v>152</v>
      </c>
      <c r="AE84" s="248" t="s">
        <v>111</v>
      </c>
      <c r="AF84" s="249" t="str">
        <f>IF('Project Materials'!$H$6='Project Materials'!$B$196,'Item List'!$B$165,"None")</f>
        <v>None</v>
      </c>
      <c r="AG84" s="248" t="s">
        <v>418</v>
      </c>
      <c r="AL84" s="33"/>
      <c r="AM84" s="33"/>
    </row>
    <row r="85" spans="1:39" x14ac:dyDescent="0.4">
      <c r="A85" s="60" t="s">
        <v>5</v>
      </c>
      <c r="B85" s="2" t="s">
        <v>570</v>
      </c>
      <c r="C85" s="2" t="s">
        <v>619</v>
      </c>
      <c r="D85" s="12">
        <v>34</v>
      </c>
      <c r="E85" s="4">
        <v>20.67</v>
      </c>
      <c r="F85" s="275" t="s">
        <v>418</v>
      </c>
      <c r="G85" s="275" t="s">
        <v>48</v>
      </c>
      <c r="H85" s="275" t="s">
        <v>237</v>
      </c>
      <c r="I85" s="275" t="s">
        <v>146</v>
      </c>
      <c r="J85" s="275" t="s">
        <v>111</v>
      </c>
      <c r="K85" s="276" t="str">
        <f>IF('Project Materials'!$D$6='Project Materials'!$B$196,'Item List'!$B$165,"None")</f>
        <v>None</v>
      </c>
      <c r="L85" s="275" t="s">
        <v>418</v>
      </c>
      <c r="M85" s="280" t="s">
        <v>418</v>
      </c>
      <c r="N85" s="280" t="s">
        <v>48</v>
      </c>
      <c r="O85" s="280" t="s">
        <v>237</v>
      </c>
      <c r="P85" s="280" t="s">
        <v>146</v>
      </c>
      <c r="Q85" s="280" t="s">
        <v>111</v>
      </c>
      <c r="R85" s="281" t="str">
        <f>IF('Project Materials'!$H$6='Project Materials'!$B$196,'Item List'!$B$165,"None")</f>
        <v>None</v>
      </c>
      <c r="S85" s="280" t="s">
        <v>418</v>
      </c>
      <c r="T85" s="247" t="s">
        <v>418</v>
      </c>
      <c r="U85" s="247" t="s">
        <v>48</v>
      </c>
      <c r="V85" s="247" t="s">
        <v>237</v>
      </c>
      <c r="W85" s="247" t="s">
        <v>146</v>
      </c>
      <c r="X85" s="247" t="s">
        <v>111</v>
      </c>
      <c r="Y85" s="206" t="str">
        <f>IF('Project Materials'!$H$6='Project Materials'!$B$196,'Item List'!$B$165,"None")</f>
        <v>None</v>
      </c>
      <c r="Z85" s="247" t="s">
        <v>418</v>
      </c>
      <c r="AA85" s="248" t="s">
        <v>418</v>
      </c>
      <c r="AB85" s="248" t="s">
        <v>48</v>
      </c>
      <c r="AC85" s="248" t="s">
        <v>237</v>
      </c>
      <c r="AD85" s="248" t="s">
        <v>146</v>
      </c>
      <c r="AE85" s="248" t="s">
        <v>111</v>
      </c>
      <c r="AF85" s="249" t="str">
        <f>IF('Project Materials'!$H$6='Project Materials'!$B$196,'Item List'!$B$165,"None")</f>
        <v>None</v>
      </c>
      <c r="AG85" s="248" t="s">
        <v>418</v>
      </c>
      <c r="AL85" s="33"/>
      <c r="AM85" s="33"/>
    </row>
    <row r="86" spans="1:39" x14ac:dyDescent="0.4">
      <c r="A86" s="60" t="s">
        <v>5</v>
      </c>
      <c r="B86" s="2" t="s">
        <v>571</v>
      </c>
      <c r="C86" s="2" t="s">
        <v>620</v>
      </c>
      <c r="D86" s="12">
        <v>34</v>
      </c>
      <c r="E86" s="4">
        <v>20.67</v>
      </c>
      <c r="F86" s="275" t="s">
        <v>418</v>
      </c>
      <c r="G86" s="275" t="s">
        <v>48</v>
      </c>
      <c r="H86" s="275" t="s">
        <v>239</v>
      </c>
      <c r="I86" s="275" t="s">
        <v>148</v>
      </c>
      <c r="J86" s="275" t="s">
        <v>111</v>
      </c>
      <c r="K86" s="276" t="str">
        <f>IF('Project Materials'!$D$6='Project Materials'!$B$196,'Item List'!$B$165,"None")</f>
        <v>None</v>
      </c>
      <c r="L86" s="275" t="s">
        <v>418</v>
      </c>
      <c r="M86" s="280" t="s">
        <v>418</v>
      </c>
      <c r="N86" s="280" t="s">
        <v>48</v>
      </c>
      <c r="O86" s="280" t="s">
        <v>239</v>
      </c>
      <c r="P86" s="280" t="s">
        <v>148</v>
      </c>
      <c r="Q86" s="280" t="s">
        <v>111</v>
      </c>
      <c r="R86" s="281" t="str">
        <f>IF('Project Materials'!$H$6='Project Materials'!$B$196,'Item List'!$B$165,"None")</f>
        <v>None</v>
      </c>
      <c r="S86" s="280" t="s">
        <v>418</v>
      </c>
      <c r="T86" s="247" t="s">
        <v>418</v>
      </c>
      <c r="U86" s="247" t="s">
        <v>48</v>
      </c>
      <c r="V86" s="247" t="s">
        <v>239</v>
      </c>
      <c r="W86" s="247" t="s">
        <v>148</v>
      </c>
      <c r="X86" s="247" t="s">
        <v>111</v>
      </c>
      <c r="Y86" s="206" t="str">
        <f>IF('Project Materials'!$H$6='Project Materials'!$B$196,'Item List'!$B$165,"None")</f>
        <v>None</v>
      </c>
      <c r="Z86" s="247" t="s">
        <v>418</v>
      </c>
      <c r="AA86" s="248" t="s">
        <v>418</v>
      </c>
      <c r="AB86" s="248" t="s">
        <v>48</v>
      </c>
      <c r="AC86" s="248" t="s">
        <v>239</v>
      </c>
      <c r="AD86" s="248" t="s">
        <v>148</v>
      </c>
      <c r="AE86" s="248" t="s">
        <v>111</v>
      </c>
      <c r="AF86" s="249" t="str">
        <f>IF('Project Materials'!$H$6='Project Materials'!$B$196,'Item List'!$B$165,"None")</f>
        <v>None</v>
      </c>
      <c r="AG86" s="248" t="s">
        <v>418</v>
      </c>
      <c r="AL86" s="33"/>
      <c r="AM86" s="33"/>
    </row>
    <row r="87" spans="1:39" x14ac:dyDescent="0.4">
      <c r="A87" s="60" t="s">
        <v>5</v>
      </c>
      <c r="B87" s="2" t="s">
        <v>572</v>
      </c>
      <c r="C87" s="2" t="s">
        <v>621</v>
      </c>
      <c r="D87" s="12">
        <v>34</v>
      </c>
      <c r="E87" s="4">
        <v>20.67</v>
      </c>
      <c r="F87" s="275" t="s">
        <v>418</v>
      </c>
      <c r="G87" s="275" t="s">
        <v>48</v>
      </c>
      <c r="H87" s="275" t="s">
        <v>290</v>
      </c>
      <c r="I87" s="275" t="s">
        <v>150</v>
      </c>
      <c r="J87" s="275" t="s">
        <v>111</v>
      </c>
      <c r="K87" s="276" t="str">
        <f>IF('Project Materials'!$D$6='Project Materials'!$B$196,'Item List'!$B$165,"None")</f>
        <v>None</v>
      </c>
      <c r="L87" s="275" t="s">
        <v>418</v>
      </c>
      <c r="M87" s="280" t="s">
        <v>418</v>
      </c>
      <c r="N87" s="280" t="s">
        <v>48</v>
      </c>
      <c r="O87" s="280" t="s">
        <v>290</v>
      </c>
      <c r="P87" s="280" t="s">
        <v>150</v>
      </c>
      <c r="Q87" s="280" t="s">
        <v>111</v>
      </c>
      <c r="R87" s="281" t="str">
        <f>IF('Project Materials'!$H$6='Project Materials'!$B$196,'Item List'!$B$165,"None")</f>
        <v>None</v>
      </c>
      <c r="S87" s="280" t="s">
        <v>418</v>
      </c>
      <c r="T87" s="247" t="s">
        <v>418</v>
      </c>
      <c r="U87" s="247" t="s">
        <v>48</v>
      </c>
      <c r="V87" s="247" t="s">
        <v>290</v>
      </c>
      <c r="W87" s="247" t="s">
        <v>150</v>
      </c>
      <c r="X87" s="247" t="s">
        <v>111</v>
      </c>
      <c r="Y87" s="206" t="str">
        <f>IF('Project Materials'!$H$6='Project Materials'!$B$196,'Item List'!$B$165,"None")</f>
        <v>None</v>
      </c>
      <c r="Z87" s="247" t="s">
        <v>418</v>
      </c>
      <c r="AA87" s="248" t="s">
        <v>418</v>
      </c>
      <c r="AB87" s="248" t="s">
        <v>48</v>
      </c>
      <c r="AC87" s="248" t="s">
        <v>290</v>
      </c>
      <c r="AD87" s="248" t="s">
        <v>150</v>
      </c>
      <c r="AE87" s="248" t="s">
        <v>111</v>
      </c>
      <c r="AF87" s="249" t="str">
        <f>IF('Project Materials'!$H$6='Project Materials'!$B$196,'Item List'!$B$165,"None")</f>
        <v>None</v>
      </c>
      <c r="AG87" s="248" t="s">
        <v>418</v>
      </c>
      <c r="AL87" s="33"/>
      <c r="AM87" s="33"/>
    </row>
    <row r="88" spans="1:39" x14ac:dyDescent="0.4">
      <c r="A88" s="60" t="s">
        <v>5</v>
      </c>
      <c r="B88" s="2" t="s">
        <v>573</v>
      </c>
      <c r="C88" s="2" t="s">
        <v>622</v>
      </c>
      <c r="D88" s="12">
        <v>34</v>
      </c>
      <c r="E88" s="4">
        <v>20.67</v>
      </c>
      <c r="F88" s="275" t="s">
        <v>418</v>
      </c>
      <c r="G88" s="275" t="s">
        <v>48</v>
      </c>
      <c r="H88" s="275" t="s">
        <v>241</v>
      </c>
      <c r="I88" s="275" t="s">
        <v>152</v>
      </c>
      <c r="J88" s="275" t="s">
        <v>111</v>
      </c>
      <c r="K88" s="276" t="str">
        <f>IF('Project Materials'!$D$6='Project Materials'!$B$196,'Item List'!$B$165,"None")</f>
        <v>None</v>
      </c>
      <c r="L88" s="275" t="s">
        <v>418</v>
      </c>
      <c r="M88" s="280" t="s">
        <v>418</v>
      </c>
      <c r="N88" s="280" t="s">
        <v>48</v>
      </c>
      <c r="O88" s="280" t="s">
        <v>241</v>
      </c>
      <c r="P88" s="280" t="s">
        <v>152</v>
      </c>
      <c r="Q88" s="280" t="s">
        <v>111</v>
      </c>
      <c r="R88" s="281" t="str">
        <f>IF('Project Materials'!$H$6='Project Materials'!$B$196,'Item List'!$B$165,"None")</f>
        <v>None</v>
      </c>
      <c r="S88" s="280" t="s">
        <v>418</v>
      </c>
      <c r="T88" s="247" t="s">
        <v>418</v>
      </c>
      <c r="U88" s="247" t="s">
        <v>48</v>
      </c>
      <c r="V88" s="247" t="s">
        <v>241</v>
      </c>
      <c r="W88" s="247" t="s">
        <v>152</v>
      </c>
      <c r="X88" s="247" t="s">
        <v>111</v>
      </c>
      <c r="Y88" s="206" t="str">
        <f>IF('Project Materials'!$H$6='Project Materials'!$B$196,'Item List'!$B$165,"None")</f>
        <v>None</v>
      </c>
      <c r="Z88" s="247" t="s">
        <v>418</v>
      </c>
      <c r="AA88" s="248" t="s">
        <v>418</v>
      </c>
      <c r="AB88" s="248" t="s">
        <v>48</v>
      </c>
      <c r="AC88" s="248" t="s">
        <v>241</v>
      </c>
      <c r="AD88" s="248" t="s">
        <v>152</v>
      </c>
      <c r="AE88" s="248" t="s">
        <v>111</v>
      </c>
      <c r="AF88" s="249" t="str">
        <f>IF('Project Materials'!$H$6='Project Materials'!$B$196,'Item List'!$B$165,"None")</f>
        <v>None</v>
      </c>
      <c r="AG88" s="248" t="s">
        <v>418</v>
      </c>
      <c r="AL88" s="33"/>
      <c r="AM88" s="33"/>
    </row>
    <row r="89" spans="1:39" x14ac:dyDescent="0.4">
      <c r="A89" s="60" t="s">
        <v>5</v>
      </c>
      <c r="B89" s="2" t="s">
        <v>574</v>
      </c>
      <c r="C89" s="2" t="s">
        <v>623</v>
      </c>
      <c r="D89" s="12">
        <v>42</v>
      </c>
      <c r="E89" s="4">
        <v>25.01</v>
      </c>
      <c r="F89" s="275" t="s">
        <v>418</v>
      </c>
      <c r="G89" s="275" t="s">
        <v>48</v>
      </c>
      <c r="H89" s="275" t="s">
        <v>237</v>
      </c>
      <c r="I89" s="275" t="s">
        <v>146</v>
      </c>
      <c r="J89" s="275" t="s">
        <v>111</v>
      </c>
      <c r="K89" s="276" t="str">
        <f>IF('Project Materials'!$D$6='Project Materials'!$B$196,'Item List'!$B$165,"None")</f>
        <v>None</v>
      </c>
      <c r="L89" s="275" t="s">
        <v>418</v>
      </c>
      <c r="M89" s="280" t="s">
        <v>418</v>
      </c>
      <c r="N89" s="280" t="s">
        <v>48</v>
      </c>
      <c r="O89" s="280" t="s">
        <v>237</v>
      </c>
      <c r="P89" s="280" t="s">
        <v>146</v>
      </c>
      <c r="Q89" s="280" t="s">
        <v>111</v>
      </c>
      <c r="R89" s="281" t="str">
        <f>IF('Project Materials'!$H$6='Project Materials'!$B$196,'Item List'!$B$165,"None")</f>
        <v>None</v>
      </c>
      <c r="S89" s="280" t="s">
        <v>418</v>
      </c>
      <c r="T89" s="247" t="s">
        <v>418</v>
      </c>
      <c r="U89" s="247" t="s">
        <v>48</v>
      </c>
      <c r="V89" s="247" t="s">
        <v>237</v>
      </c>
      <c r="W89" s="247" t="s">
        <v>146</v>
      </c>
      <c r="X89" s="247" t="s">
        <v>111</v>
      </c>
      <c r="Y89" s="206" t="str">
        <f>IF('Project Materials'!$H$6='Project Materials'!$B$196,'Item List'!$B$165,"None")</f>
        <v>None</v>
      </c>
      <c r="Z89" s="247" t="s">
        <v>418</v>
      </c>
      <c r="AA89" s="248" t="s">
        <v>418</v>
      </c>
      <c r="AB89" s="248" t="s">
        <v>48</v>
      </c>
      <c r="AC89" s="248" t="s">
        <v>237</v>
      </c>
      <c r="AD89" s="248" t="s">
        <v>146</v>
      </c>
      <c r="AE89" s="248" t="s">
        <v>111</v>
      </c>
      <c r="AF89" s="249" t="str">
        <f>IF('Project Materials'!$H$6='Project Materials'!$B$196,'Item List'!$B$165,"None")</f>
        <v>None</v>
      </c>
      <c r="AG89" s="248" t="s">
        <v>418</v>
      </c>
      <c r="AL89" s="33"/>
      <c r="AM89" s="33"/>
    </row>
    <row r="90" spans="1:39" x14ac:dyDescent="0.4">
      <c r="A90" s="60" t="s">
        <v>5</v>
      </c>
      <c r="B90" s="2" t="s">
        <v>575</v>
      </c>
      <c r="C90" s="2" t="s">
        <v>624</v>
      </c>
      <c r="D90" s="12">
        <v>42</v>
      </c>
      <c r="E90" s="4">
        <v>25.01</v>
      </c>
      <c r="F90" s="275" t="s">
        <v>418</v>
      </c>
      <c r="G90" s="275" t="s">
        <v>48</v>
      </c>
      <c r="H90" s="275" t="s">
        <v>239</v>
      </c>
      <c r="I90" s="275" t="s">
        <v>148</v>
      </c>
      <c r="J90" s="275" t="s">
        <v>111</v>
      </c>
      <c r="K90" s="276" t="str">
        <f>IF('Project Materials'!$D$6='Project Materials'!$B$196,'Item List'!$B$165,"None")</f>
        <v>None</v>
      </c>
      <c r="L90" s="275" t="s">
        <v>418</v>
      </c>
      <c r="M90" s="280" t="s">
        <v>418</v>
      </c>
      <c r="N90" s="280" t="s">
        <v>48</v>
      </c>
      <c r="O90" s="280" t="s">
        <v>239</v>
      </c>
      <c r="P90" s="280" t="s">
        <v>148</v>
      </c>
      <c r="Q90" s="280" t="s">
        <v>111</v>
      </c>
      <c r="R90" s="281" t="str">
        <f>IF('Project Materials'!$H$6='Project Materials'!$B$196,'Item List'!$B$165,"None")</f>
        <v>None</v>
      </c>
      <c r="S90" s="280" t="s">
        <v>418</v>
      </c>
      <c r="T90" s="247" t="s">
        <v>418</v>
      </c>
      <c r="U90" s="247" t="s">
        <v>48</v>
      </c>
      <c r="V90" s="247" t="s">
        <v>239</v>
      </c>
      <c r="W90" s="247" t="s">
        <v>148</v>
      </c>
      <c r="X90" s="247" t="s">
        <v>111</v>
      </c>
      <c r="Y90" s="206" t="str">
        <f>IF('Project Materials'!$H$6='Project Materials'!$B$196,'Item List'!$B$165,"None")</f>
        <v>None</v>
      </c>
      <c r="Z90" s="247" t="s">
        <v>418</v>
      </c>
      <c r="AA90" s="248" t="s">
        <v>418</v>
      </c>
      <c r="AB90" s="248" t="s">
        <v>48</v>
      </c>
      <c r="AC90" s="248" t="s">
        <v>239</v>
      </c>
      <c r="AD90" s="248" t="s">
        <v>148</v>
      </c>
      <c r="AE90" s="248" t="s">
        <v>111</v>
      </c>
      <c r="AF90" s="249" t="str">
        <f>IF('Project Materials'!$H$6='Project Materials'!$B$196,'Item List'!$B$165,"None")</f>
        <v>None</v>
      </c>
      <c r="AG90" s="248" t="s">
        <v>418</v>
      </c>
      <c r="AL90" s="33"/>
      <c r="AM90" s="33"/>
    </row>
    <row r="91" spans="1:39" x14ac:dyDescent="0.4">
      <c r="A91" s="60" t="s">
        <v>5</v>
      </c>
      <c r="B91" s="2" t="s">
        <v>576</v>
      </c>
      <c r="C91" s="2" t="s">
        <v>625</v>
      </c>
      <c r="D91" s="12">
        <v>42</v>
      </c>
      <c r="E91" s="4">
        <v>30.26</v>
      </c>
      <c r="F91" s="275" t="s">
        <v>418</v>
      </c>
      <c r="G91" s="275" t="s">
        <v>48</v>
      </c>
      <c r="H91" s="275" t="s">
        <v>290</v>
      </c>
      <c r="I91" s="275" t="s">
        <v>150</v>
      </c>
      <c r="J91" s="275" t="s">
        <v>111</v>
      </c>
      <c r="K91" s="276" t="str">
        <f>IF('Project Materials'!$D$6='Project Materials'!$B$196,'Item List'!$B$165,"None")</f>
        <v>None</v>
      </c>
      <c r="L91" s="275" t="s">
        <v>418</v>
      </c>
      <c r="M91" s="280" t="s">
        <v>418</v>
      </c>
      <c r="N91" s="280" t="s">
        <v>48</v>
      </c>
      <c r="O91" s="280" t="s">
        <v>290</v>
      </c>
      <c r="P91" s="280" t="s">
        <v>150</v>
      </c>
      <c r="Q91" s="280" t="s">
        <v>111</v>
      </c>
      <c r="R91" s="281" t="str">
        <f>IF('Project Materials'!$H$6='Project Materials'!$B$196,'Item List'!$B$165,"None")</f>
        <v>None</v>
      </c>
      <c r="S91" s="280" t="s">
        <v>418</v>
      </c>
      <c r="T91" s="247" t="s">
        <v>418</v>
      </c>
      <c r="U91" s="247" t="s">
        <v>48</v>
      </c>
      <c r="V91" s="247" t="s">
        <v>290</v>
      </c>
      <c r="W91" s="247" t="s">
        <v>150</v>
      </c>
      <c r="X91" s="247" t="s">
        <v>111</v>
      </c>
      <c r="Y91" s="206" t="str">
        <f>IF('Project Materials'!$H$6='Project Materials'!$B$196,'Item List'!$B$165,"None")</f>
        <v>None</v>
      </c>
      <c r="Z91" s="247" t="s">
        <v>418</v>
      </c>
      <c r="AA91" s="248" t="s">
        <v>418</v>
      </c>
      <c r="AB91" s="248" t="s">
        <v>48</v>
      </c>
      <c r="AC91" s="248" t="s">
        <v>290</v>
      </c>
      <c r="AD91" s="248" t="s">
        <v>150</v>
      </c>
      <c r="AE91" s="248" t="s">
        <v>111</v>
      </c>
      <c r="AF91" s="249" t="str">
        <f>IF('Project Materials'!$H$6='Project Materials'!$B$196,'Item List'!$B$165,"None")</f>
        <v>None</v>
      </c>
      <c r="AG91" s="248" t="s">
        <v>418</v>
      </c>
      <c r="AL91" s="33"/>
      <c r="AM91" s="33"/>
    </row>
    <row r="92" spans="1:39" x14ac:dyDescent="0.4">
      <c r="A92" s="60" t="s">
        <v>5</v>
      </c>
      <c r="B92" s="2" t="s">
        <v>577</v>
      </c>
      <c r="C92" s="2" t="s">
        <v>626</v>
      </c>
      <c r="D92" s="12">
        <v>42</v>
      </c>
      <c r="E92" s="4">
        <v>25.01</v>
      </c>
      <c r="F92" s="275" t="s">
        <v>418</v>
      </c>
      <c r="G92" s="275" t="s">
        <v>48</v>
      </c>
      <c r="H92" s="275" t="s">
        <v>241</v>
      </c>
      <c r="I92" s="275" t="s">
        <v>152</v>
      </c>
      <c r="J92" s="275" t="s">
        <v>111</v>
      </c>
      <c r="K92" s="276" t="str">
        <f>IF('Project Materials'!$D$6='Project Materials'!$B$196,'Item List'!$B$165,"None")</f>
        <v>None</v>
      </c>
      <c r="L92" s="275" t="s">
        <v>418</v>
      </c>
      <c r="M92" s="280" t="s">
        <v>418</v>
      </c>
      <c r="N92" s="280" t="s">
        <v>48</v>
      </c>
      <c r="O92" s="280" t="s">
        <v>241</v>
      </c>
      <c r="P92" s="280" t="s">
        <v>152</v>
      </c>
      <c r="Q92" s="280" t="s">
        <v>111</v>
      </c>
      <c r="R92" s="281" t="str">
        <f>IF('Project Materials'!$H$6='Project Materials'!$B$196,'Item List'!$B$165,"None")</f>
        <v>None</v>
      </c>
      <c r="S92" s="280" t="s">
        <v>418</v>
      </c>
      <c r="T92" s="247" t="s">
        <v>418</v>
      </c>
      <c r="U92" s="247" t="s">
        <v>48</v>
      </c>
      <c r="V92" s="247" t="s">
        <v>241</v>
      </c>
      <c r="W92" s="247" t="s">
        <v>152</v>
      </c>
      <c r="X92" s="247" t="s">
        <v>111</v>
      </c>
      <c r="Y92" s="206" t="str">
        <f>IF('Project Materials'!$H$6='Project Materials'!$B$196,'Item List'!$B$165,"None")</f>
        <v>None</v>
      </c>
      <c r="Z92" s="247" t="s">
        <v>418</v>
      </c>
      <c r="AA92" s="248" t="s">
        <v>418</v>
      </c>
      <c r="AB92" s="248" t="s">
        <v>48</v>
      </c>
      <c r="AC92" s="248" t="s">
        <v>241</v>
      </c>
      <c r="AD92" s="248" t="s">
        <v>152</v>
      </c>
      <c r="AE92" s="248" t="s">
        <v>111</v>
      </c>
      <c r="AF92" s="249" t="str">
        <f>IF('Project Materials'!$H$6='Project Materials'!$B$196,'Item List'!$B$165,"None")</f>
        <v>None</v>
      </c>
      <c r="AG92" s="248" t="s">
        <v>418</v>
      </c>
      <c r="AL92" s="33"/>
      <c r="AM92" s="33"/>
    </row>
    <row r="93" spans="1:39" x14ac:dyDescent="0.4">
      <c r="A93" s="60" t="s">
        <v>5</v>
      </c>
      <c r="B93" s="2" t="s">
        <v>578</v>
      </c>
      <c r="C93" s="2" t="s">
        <v>627</v>
      </c>
      <c r="D93" s="12">
        <v>42</v>
      </c>
      <c r="E93" s="4">
        <v>25.01</v>
      </c>
      <c r="F93" s="275" t="s">
        <v>418</v>
      </c>
      <c r="G93" s="275" t="s">
        <v>48</v>
      </c>
      <c r="H93" s="275" t="s">
        <v>237</v>
      </c>
      <c r="I93" s="275" t="s">
        <v>146</v>
      </c>
      <c r="J93" s="275" t="s">
        <v>111</v>
      </c>
      <c r="K93" s="276" t="str">
        <f>IF('Project Materials'!$D$6='Project Materials'!$B$196,'Item List'!$B$165,"None")</f>
        <v>None</v>
      </c>
      <c r="L93" s="275" t="s">
        <v>418</v>
      </c>
      <c r="M93" s="280" t="s">
        <v>418</v>
      </c>
      <c r="N93" s="280" t="s">
        <v>48</v>
      </c>
      <c r="O93" s="280" t="s">
        <v>237</v>
      </c>
      <c r="P93" s="280" t="s">
        <v>146</v>
      </c>
      <c r="Q93" s="280" t="s">
        <v>111</v>
      </c>
      <c r="R93" s="281" t="str">
        <f>IF('Project Materials'!$H$6='Project Materials'!$B$196,'Item List'!$B$165,"None")</f>
        <v>None</v>
      </c>
      <c r="S93" s="280" t="s">
        <v>418</v>
      </c>
      <c r="T93" s="247" t="s">
        <v>418</v>
      </c>
      <c r="U93" s="247" t="s">
        <v>48</v>
      </c>
      <c r="V93" s="247" t="s">
        <v>237</v>
      </c>
      <c r="W93" s="247" t="s">
        <v>146</v>
      </c>
      <c r="X93" s="247" t="s">
        <v>111</v>
      </c>
      <c r="Y93" s="206" t="str">
        <f>IF('Project Materials'!$H$6='Project Materials'!$B$196,'Item List'!$B$165,"None")</f>
        <v>None</v>
      </c>
      <c r="Z93" s="247" t="s">
        <v>418</v>
      </c>
      <c r="AA93" s="248" t="s">
        <v>418</v>
      </c>
      <c r="AB93" s="248" t="s">
        <v>48</v>
      </c>
      <c r="AC93" s="248" t="s">
        <v>237</v>
      </c>
      <c r="AD93" s="248" t="s">
        <v>146</v>
      </c>
      <c r="AE93" s="248" t="s">
        <v>111</v>
      </c>
      <c r="AF93" s="249" t="str">
        <f>IF('Project Materials'!$H$6='Project Materials'!$B$196,'Item List'!$B$165,"None")</f>
        <v>None</v>
      </c>
      <c r="AG93" s="248" t="s">
        <v>418</v>
      </c>
      <c r="AL93" s="33"/>
      <c r="AM93" s="33"/>
    </row>
    <row r="94" spans="1:39" x14ac:dyDescent="0.4">
      <c r="A94" s="60" t="s">
        <v>5</v>
      </c>
      <c r="B94" s="2" t="s">
        <v>579</v>
      </c>
      <c r="C94" s="2" t="s">
        <v>628</v>
      </c>
      <c r="D94" s="12">
        <v>42</v>
      </c>
      <c r="E94" s="4">
        <v>25.01</v>
      </c>
      <c r="F94" s="275" t="s">
        <v>418</v>
      </c>
      <c r="G94" s="275" t="s">
        <v>48</v>
      </c>
      <c r="H94" s="275" t="s">
        <v>239</v>
      </c>
      <c r="I94" s="275" t="s">
        <v>148</v>
      </c>
      <c r="J94" s="275" t="s">
        <v>111</v>
      </c>
      <c r="K94" s="276" t="str">
        <f>IF('Project Materials'!$D$6='Project Materials'!$B$196,'Item List'!$B$165,"None")</f>
        <v>None</v>
      </c>
      <c r="L94" s="275" t="s">
        <v>418</v>
      </c>
      <c r="M94" s="280" t="s">
        <v>418</v>
      </c>
      <c r="N94" s="280" t="s">
        <v>48</v>
      </c>
      <c r="O94" s="280" t="s">
        <v>239</v>
      </c>
      <c r="P94" s="280" t="s">
        <v>148</v>
      </c>
      <c r="Q94" s="280" t="s">
        <v>111</v>
      </c>
      <c r="R94" s="281" t="str">
        <f>IF('Project Materials'!$H$6='Project Materials'!$B$196,'Item List'!$B$165,"None")</f>
        <v>None</v>
      </c>
      <c r="S94" s="280" t="s">
        <v>418</v>
      </c>
      <c r="T94" s="247" t="s">
        <v>418</v>
      </c>
      <c r="U94" s="247" t="s">
        <v>48</v>
      </c>
      <c r="V94" s="247" t="s">
        <v>239</v>
      </c>
      <c r="W94" s="247" t="s">
        <v>148</v>
      </c>
      <c r="X94" s="247" t="s">
        <v>111</v>
      </c>
      <c r="Y94" s="206" t="str">
        <f>IF('Project Materials'!$H$6='Project Materials'!$B$196,'Item List'!$B$165,"None")</f>
        <v>None</v>
      </c>
      <c r="Z94" s="247" t="s">
        <v>418</v>
      </c>
      <c r="AA94" s="248" t="s">
        <v>418</v>
      </c>
      <c r="AB94" s="248" t="s">
        <v>48</v>
      </c>
      <c r="AC94" s="248" t="s">
        <v>239</v>
      </c>
      <c r="AD94" s="248" t="s">
        <v>148</v>
      </c>
      <c r="AE94" s="248" t="s">
        <v>111</v>
      </c>
      <c r="AF94" s="249" t="str">
        <f>IF('Project Materials'!$H$6='Project Materials'!$B$196,'Item List'!$B$165,"None")</f>
        <v>None</v>
      </c>
      <c r="AG94" s="248" t="s">
        <v>418</v>
      </c>
      <c r="AL94" s="33"/>
      <c r="AM94" s="33"/>
    </row>
    <row r="95" spans="1:39" x14ac:dyDescent="0.4">
      <c r="A95" s="60" t="s">
        <v>5</v>
      </c>
      <c r="B95" s="2" t="s">
        <v>580</v>
      </c>
      <c r="C95" s="2" t="s">
        <v>629</v>
      </c>
      <c r="D95" s="12">
        <v>42</v>
      </c>
      <c r="E95" s="4">
        <v>25.01</v>
      </c>
      <c r="F95" s="275" t="s">
        <v>418</v>
      </c>
      <c r="G95" s="275" t="s">
        <v>48</v>
      </c>
      <c r="H95" s="275" t="s">
        <v>290</v>
      </c>
      <c r="I95" s="275" t="s">
        <v>150</v>
      </c>
      <c r="J95" s="275" t="s">
        <v>111</v>
      </c>
      <c r="K95" s="276" t="str">
        <f>IF('Project Materials'!$D$6='Project Materials'!$B$196,'Item List'!$B$165,"None")</f>
        <v>None</v>
      </c>
      <c r="L95" s="275" t="s">
        <v>418</v>
      </c>
      <c r="M95" s="280" t="s">
        <v>418</v>
      </c>
      <c r="N95" s="280" t="s">
        <v>48</v>
      </c>
      <c r="O95" s="280" t="s">
        <v>290</v>
      </c>
      <c r="P95" s="280" t="s">
        <v>150</v>
      </c>
      <c r="Q95" s="280" t="s">
        <v>111</v>
      </c>
      <c r="R95" s="281" t="str">
        <f>IF('Project Materials'!$H$6='Project Materials'!$B$196,'Item List'!$B$165,"None")</f>
        <v>None</v>
      </c>
      <c r="S95" s="280" t="s">
        <v>418</v>
      </c>
      <c r="T95" s="247" t="s">
        <v>418</v>
      </c>
      <c r="U95" s="247" t="s">
        <v>48</v>
      </c>
      <c r="V95" s="247" t="s">
        <v>290</v>
      </c>
      <c r="W95" s="247" t="s">
        <v>150</v>
      </c>
      <c r="X95" s="247" t="s">
        <v>111</v>
      </c>
      <c r="Y95" s="206" t="str">
        <f>IF('Project Materials'!$H$6='Project Materials'!$B$196,'Item List'!$B$165,"None")</f>
        <v>None</v>
      </c>
      <c r="Z95" s="247" t="s">
        <v>418</v>
      </c>
      <c r="AA95" s="248" t="s">
        <v>418</v>
      </c>
      <c r="AB95" s="248" t="s">
        <v>48</v>
      </c>
      <c r="AC95" s="248" t="s">
        <v>290</v>
      </c>
      <c r="AD95" s="248" t="s">
        <v>150</v>
      </c>
      <c r="AE95" s="248" t="s">
        <v>111</v>
      </c>
      <c r="AF95" s="249" t="str">
        <f>IF('Project Materials'!$H$6='Project Materials'!$B$196,'Item List'!$B$165,"None")</f>
        <v>None</v>
      </c>
      <c r="AG95" s="248" t="s">
        <v>418</v>
      </c>
      <c r="AL95" s="33"/>
      <c r="AM95" s="33"/>
    </row>
    <row r="96" spans="1:39" x14ac:dyDescent="0.4">
      <c r="A96" s="60" t="s">
        <v>5</v>
      </c>
      <c r="B96" s="2" t="s">
        <v>581</v>
      </c>
      <c r="C96" s="2" t="s">
        <v>630</v>
      </c>
      <c r="D96" s="12">
        <v>42</v>
      </c>
      <c r="E96" s="4">
        <v>25.01</v>
      </c>
      <c r="F96" s="275" t="s">
        <v>418</v>
      </c>
      <c r="G96" s="275" t="s">
        <v>48</v>
      </c>
      <c r="H96" s="275" t="s">
        <v>241</v>
      </c>
      <c r="I96" s="275" t="s">
        <v>152</v>
      </c>
      <c r="J96" s="275" t="s">
        <v>111</v>
      </c>
      <c r="K96" s="276" t="str">
        <f>IF('Project Materials'!$D$6='Project Materials'!$B$196,'Item List'!$B$165,"None")</f>
        <v>None</v>
      </c>
      <c r="L96" s="275" t="s">
        <v>418</v>
      </c>
      <c r="M96" s="280" t="s">
        <v>418</v>
      </c>
      <c r="N96" s="280" t="s">
        <v>48</v>
      </c>
      <c r="O96" s="280" t="s">
        <v>241</v>
      </c>
      <c r="P96" s="280" t="s">
        <v>152</v>
      </c>
      <c r="Q96" s="280" t="s">
        <v>111</v>
      </c>
      <c r="R96" s="281" t="str">
        <f>IF('Project Materials'!$H$6='Project Materials'!$B$196,'Item List'!$B$165,"None")</f>
        <v>None</v>
      </c>
      <c r="S96" s="280" t="s">
        <v>418</v>
      </c>
      <c r="T96" s="247" t="s">
        <v>418</v>
      </c>
      <c r="U96" s="247" t="s">
        <v>48</v>
      </c>
      <c r="V96" s="247" t="s">
        <v>241</v>
      </c>
      <c r="W96" s="247" t="s">
        <v>152</v>
      </c>
      <c r="X96" s="247" t="s">
        <v>111</v>
      </c>
      <c r="Y96" s="206" t="str">
        <f>IF('Project Materials'!$H$6='Project Materials'!$B$196,'Item List'!$B$165,"None")</f>
        <v>None</v>
      </c>
      <c r="Z96" s="247" t="s">
        <v>418</v>
      </c>
      <c r="AA96" s="248" t="s">
        <v>418</v>
      </c>
      <c r="AB96" s="248" t="s">
        <v>48</v>
      </c>
      <c r="AC96" s="248" t="s">
        <v>241</v>
      </c>
      <c r="AD96" s="248" t="s">
        <v>152</v>
      </c>
      <c r="AE96" s="248" t="s">
        <v>111</v>
      </c>
      <c r="AF96" s="249" t="str">
        <f>IF('Project Materials'!$H$6='Project Materials'!$B$196,'Item List'!$B$165,"None")</f>
        <v>None</v>
      </c>
      <c r="AG96" s="248" t="s">
        <v>418</v>
      </c>
      <c r="AL96" s="33"/>
      <c r="AM96" s="33"/>
    </row>
    <row r="97" spans="1:39" x14ac:dyDescent="0.4">
      <c r="A97" s="60" t="s">
        <v>5</v>
      </c>
      <c r="B97" s="2" t="s">
        <v>582</v>
      </c>
      <c r="C97" s="2" t="s">
        <v>631</v>
      </c>
      <c r="D97" s="12">
        <v>42</v>
      </c>
      <c r="E97" s="4">
        <v>25.01</v>
      </c>
      <c r="F97" s="275" t="s">
        <v>418</v>
      </c>
      <c r="G97" s="275" t="s">
        <v>48</v>
      </c>
      <c r="H97" s="275" t="s">
        <v>237</v>
      </c>
      <c r="I97" s="275" t="s">
        <v>146</v>
      </c>
      <c r="J97" s="275" t="s">
        <v>111</v>
      </c>
      <c r="K97" s="276" t="str">
        <f>IF('Project Materials'!$D$6='Project Materials'!$B$196,'Item List'!$B$165,"None")</f>
        <v>None</v>
      </c>
      <c r="L97" s="275" t="s">
        <v>418</v>
      </c>
      <c r="M97" s="280" t="s">
        <v>418</v>
      </c>
      <c r="N97" s="280" t="s">
        <v>48</v>
      </c>
      <c r="O97" s="280" t="s">
        <v>237</v>
      </c>
      <c r="P97" s="280" t="s">
        <v>146</v>
      </c>
      <c r="Q97" s="280" t="s">
        <v>111</v>
      </c>
      <c r="R97" s="281" t="str">
        <f>IF('Project Materials'!$H$6='Project Materials'!$B$196,'Item List'!$B$165,"None")</f>
        <v>None</v>
      </c>
      <c r="S97" s="280" t="s">
        <v>418</v>
      </c>
      <c r="T97" s="247" t="s">
        <v>418</v>
      </c>
      <c r="U97" s="247" t="s">
        <v>48</v>
      </c>
      <c r="V97" s="247" t="s">
        <v>237</v>
      </c>
      <c r="W97" s="247" t="s">
        <v>146</v>
      </c>
      <c r="X97" s="247" t="s">
        <v>111</v>
      </c>
      <c r="Y97" s="206" t="str">
        <f>IF('Project Materials'!$H$6='Project Materials'!$B$196,'Item List'!$B$165,"None")</f>
        <v>None</v>
      </c>
      <c r="Z97" s="247" t="s">
        <v>418</v>
      </c>
      <c r="AA97" s="248" t="s">
        <v>418</v>
      </c>
      <c r="AB97" s="248" t="s">
        <v>48</v>
      </c>
      <c r="AC97" s="248" t="s">
        <v>237</v>
      </c>
      <c r="AD97" s="248" t="s">
        <v>146</v>
      </c>
      <c r="AE97" s="248" t="s">
        <v>111</v>
      </c>
      <c r="AF97" s="249" t="str">
        <f>IF('Project Materials'!$H$6='Project Materials'!$B$196,'Item List'!$B$165,"None")</f>
        <v>None</v>
      </c>
      <c r="AG97" s="248" t="s">
        <v>418</v>
      </c>
      <c r="AL97" s="33"/>
      <c r="AM97" s="33"/>
    </row>
    <row r="98" spans="1:39" x14ac:dyDescent="0.4">
      <c r="A98" s="60" t="s">
        <v>5</v>
      </c>
      <c r="B98" s="2" t="s">
        <v>583</v>
      </c>
      <c r="C98" s="2" t="s">
        <v>632</v>
      </c>
      <c r="D98" s="12">
        <v>42</v>
      </c>
      <c r="E98" s="4">
        <v>25.01</v>
      </c>
      <c r="F98" s="275" t="s">
        <v>418</v>
      </c>
      <c r="G98" s="275" t="s">
        <v>48</v>
      </c>
      <c r="H98" s="275" t="s">
        <v>239</v>
      </c>
      <c r="I98" s="275" t="s">
        <v>148</v>
      </c>
      <c r="J98" s="275" t="s">
        <v>111</v>
      </c>
      <c r="K98" s="276" t="str">
        <f>IF('Project Materials'!$D$6='Project Materials'!$B$196,'Item List'!$B$165,"None")</f>
        <v>None</v>
      </c>
      <c r="L98" s="275" t="s">
        <v>418</v>
      </c>
      <c r="M98" s="280" t="s">
        <v>418</v>
      </c>
      <c r="N98" s="280" t="s">
        <v>48</v>
      </c>
      <c r="O98" s="280" t="s">
        <v>239</v>
      </c>
      <c r="P98" s="280" t="s">
        <v>148</v>
      </c>
      <c r="Q98" s="280" t="s">
        <v>111</v>
      </c>
      <c r="R98" s="281" t="str">
        <f>IF('Project Materials'!$H$6='Project Materials'!$B$196,'Item List'!$B$165,"None")</f>
        <v>None</v>
      </c>
      <c r="S98" s="280" t="s">
        <v>418</v>
      </c>
      <c r="T98" s="247" t="s">
        <v>418</v>
      </c>
      <c r="U98" s="247" t="s">
        <v>48</v>
      </c>
      <c r="V98" s="247" t="s">
        <v>239</v>
      </c>
      <c r="W98" s="247" t="s">
        <v>148</v>
      </c>
      <c r="X98" s="247" t="s">
        <v>111</v>
      </c>
      <c r="Y98" s="206" t="str">
        <f>IF('Project Materials'!$H$6='Project Materials'!$B$196,'Item List'!$B$165,"None")</f>
        <v>None</v>
      </c>
      <c r="Z98" s="247" t="s">
        <v>418</v>
      </c>
      <c r="AA98" s="248" t="s">
        <v>418</v>
      </c>
      <c r="AB98" s="248" t="s">
        <v>48</v>
      </c>
      <c r="AC98" s="248" t="s">
        <v>239</v>
      </c>
      <c r="AD98" s="248" t="s">
        <v>148</v>
      </c>
      <c r="AE98" s="248" t="s">
        <v>111</v>
      </c>
      <c r="AF98" s="249" t="str">
        <f>IF('Project Materials'!$H$6='Project Materials'!$B$196,'Item List'!$B$165,"None")</f>
        <v>None</v>
      </c>
      <c r="AG98" s="248" t="s">
        <v>418</v>
      </c>
      <c r="AL98" s="33"/>
      <c r="AM98" s="33"/>
    </row>
    <row r="99" spans="1:39" x14ac:dyDescent="0.4">
      <c r="A99" s="60" t="s">
        <v>5</v>
      </c>
      <c r="B99" s="2" t="s">
        <v>584</v>
      </c>
      <c r="C99" s="2" t="s">
        <v>633</v>
      </c>
      <c r="D99" s="12">
        <v>42</v>
      </c>
      <c r="E99" s="4">
        <v>25.01</v>
      </c>
      <c r="F99" s="275" t="s">
        <v>418</v>
      </c>
      <c r="G99" s="275" t="s">
        <v>48</v>
      </c>
      <c r="H99" s="275" t="s">
        <v>290</v>
      </c>
      <c r="I99" s="275" t="s">
        <v>150</v>
      </c>
      <c r="J99" s="275" t="s">
        <v>111</v>
      </c>
      <c r="K99" s="276" t="str">
        <f>IF('Project Materials'!$D$6='Project Materials'!$B$196,'Item List'!$B$165,"None")</f>
        <v>None</v>
      </c>
      <c r="L99" s="275" t="s">
        <v>418</v>
      </c>
      <c r="M99" s="280" t="s">
        <v>418</v>
      </c>
      <c r="N99" s="280" t="s">
        <v>48</v>
      </c>
      <c r="O99" s="280" t="s">
        <v>290</v>
      </c>
      <c r="P99" s="280" t="s">
        <v>150</v>
      </c>
      <c r="Q99" s="280" t="s">
        <v>111</v>
      </c>
      <c r="R99" s="281" t="str">
        <f>IF('Project Materials'!$H$6='Project Materials'!$B$196,'Item List'!$B$165,"None")</f>
        <v>None</v>
      </c>
      <c r="S99" s="280" t="s">
        <v>418</v>
      </c>
      <c r="T99" s="247" t="s">
        <v>418</v>
      </c>
      <c r="U99" s="247" t="s">
        <v>48</v>
      </c>
      <c r="V99" s="247" t="s">
        <v>290</v>
      </c>
      <c r="W99" s="247" t="s">
        <v>150</v>
      </c>
      <c r="X99" s="247" t="s">
        <v>111</v>
      </c>
      <c r="Y99" s="206" t="str">
        <f>IF('Project Materials'!$H$6='Project Materials'!$B$196,'Item List'!$B$165,"None")</f>
        <v>None</v>
      </c>
      <c r="Z99" s="247" t="s">
        <v>418</v>
      </c>
      <c r="AA99" s="248" t="s">
        <v>418</v>
      </c>
      <c r="AB99" s="248" t="s">
        <v>48</v>
      </c>
      <c r="AC99" s="248" t="s">
        <v>290</v>
      </c>
      <c r="AD99" s="248" t="s">
        <v>150</v>
      </c>
      <c r="AE99" s="248" t="s">
        <v>111</v>
      </c>
      <c r="AF99" s="249" t="str">
        <f>IF('Project Materials'!$H$6='Project Materials'!$B$196,'Item List'!$B$165,"None")</f>
        <v>None</v>
      </c>
      <c r="AG99" s="248" t="s">
        <v>418</v>
      </c>
      <c r="AL99" s="33"/>
      <c r="AM99" s="33"/>
    </row>
    <row r="100" spans="1:39" x14ac:dyDescent="0.4">
      <c r="A100" s="60" t="s">
        <v>5</v>
      </c>
      <c r="B100" s="2" t="s">
        <v>585</v>
      </c>
      <c r="C100" s="2" t="s">
        <v>634</v>
      </c>
      <c r="D100" s="12">
        <v>42</v>
      </c>
      <c r="E100" s="4">
        <v>25.01</v>
      </c>
      <c r="F100" s="275" t="s">
        <v>418</v>
      </c>
      <c r="G100" s="275" t="s">
        <v>48</v>
      </c>
      <c r="H100" s="275" t="s">
        <v>241</v>
      </c>
      <c r="I100" s="275" t="s">
        <v>152</v>
      </c>
      <c r="J100" s="275" t="s">
        <v>111</v>
      </c>
      <c r="K100" s="276" t="str">
        <f>IF('Project Materials'!$D$6='Project Materials'!$B$196,'Item List'!$B$165,"None")</f>
        <v>None</v>
      </c>
      <c r="L100" s="275" t="s">
        <v>418</v>
      </c>
      <c r="M100" s="280" t="s">
        <v>418</v>
      </c>
      <c r="N100" s="280" t="s">
        <v>48</v>
      </c>
      <c r="O100" s="280" t="s">
        <v>241</v>
      </c>
      <c r="P100" s="280" t="s">
        <v>152</v>
      </c>
      <c r="Q100" s="280" t="s">
        <v>111</v>
      </c>
      <c r="R100" s="281" t="str">
        <f>IF('Project Materials'!$H$6='Project Materials'!$B$196,'Item List'!$B$165,"None")</f>
        <v>None</v>
      </c>
      <c r="S100" s="280" t="s">
        <v>418</v>
      </c>
      <c r="T100" s="247" t="s">
        <v>418</v>
      </c>
      <c r="U100" s="247" t="s">
        <v>48</v>
      </c>
      <c r="V100" s="247" t="s">
        <v>241</v>
      </c>
      <c r="W100" s="247" t="s">
        <v>152</v>
      </c>
      <c r="X100" s="247" t="s">
        <v>111</v>
      </c>
      <c r="Y100" s="206" t="str">
        <f>IF('Project Materials'!$H$6='Project Materials'!$B$196,'Item List'!$B$165,"None")</f>
        <v>None</v>
      </c>
      <c r="Z100" s="247" t="s">
        <v>418</v>
      </c>
      <c r="AA100" s="248" t="s">
        <v>418</v>
      </c>
      <c r="AB100" s="248" t="s">
        <v>48</v>
      </c>
      <c r="AC100" s="248" t="s">
        <v>241</v>
      </c>
      <c r="AD100" s="248" t="s">
        <v>152</v>
      </c>
      <c r="AE100" s="248" t="s">
        <v>111</v>
      </c>
      <c r="AF100" s="249" t="str">
        <f>IF('Project Materials'!$H$6='Project Materials'!$B$196,'Item List'!$B$165,"None")</f>
        <v>None</v>
      </c>
      <c r="AG100" s="248" t="s">
        <v>418</v>
      </c>
      <c r="AL100" s="33"/>
      <c r="AM100" s="33"/>
    </row>
    <row r="101" spans="1:39" x14ac:dyDescent="0.4">
      <c r="A101" s="60" t="s">
        <v>5</v>
      </c>
      <c r="B101" s="2" t="s">
        <v>586</v>
      </c>
      <c r="C101" s="2" t="s">
        <v>635</v>
      </c>
      <c r="D101" s="12">
        <v>42</v>
      </c>
      <c r="E101" s="4">
        <v>23.94</v>
      </c>
      <c r="F101" s="275" t="s">
        <v>418</v>
      </c>
      <c r="G101" s="275" t="s">
        <v>48</v>
      </c>
      <c r="H101" s="275" t="s">
        <v>237</v>
      </c>
      <c r="I101" s="275" t="s">
        <v>146</v>
      </c>
      <c r="J101" s="275" t="s">
        <v>111</v>
      </c>
      <c r="K101" s="276" t="str">
        <f>IF('Project Materials'!$D$6='Project Materials'!$B$196,'Item List'!$B$165,"None")</f>
        <v>None</v>
      </c>
      <c r="L101" s="275" t="s">
        <v>418</v>
      </c>
      <c r="M101" s="280" t="s">
        <v>418</v>
      </c>
      <c r="N101" s="280" t="s">
        <v>48</v>
      </c>
      <c r="O101" s="280" t="s">
        <v>237</v>
      </c>
      <c r="P101" s="280" t="s">
        <v>146</v>
      </c>
      <c r="Q101" s="280" t="s">
        <v>111</v>
      </c>
      <c r="R101" s="281" t="str">
        <f>IF('Project Materials'!$H$6='Project Materials'!$B$196,'Item List'!$B$165,"None")</f>
        <v>None</v>
      </c>
      <c r="S101" s="280" t="s">
        <v>418</v>
      </c>
      <c r="T101" s="247" t="s">
        <v>418</v>
      </c>
      <c r="U101" s="247" t="s">
        <v>48</v>
      </c>
      <c r="V101" s="247" t="s">
        <v>237</v>
      </c>
      <c r="W101" s="247" t="s">
        <v>146</v>
      </c>
      <c r="X101" s="247" t="s">
        <v>111</v>
      </c>
      <c r="Y101" s="206" t="str">
        <f>IF('Project Materials'!$H$6='Project Materials'!$B$196,'Item List'!$B$165,"None")</f>
        <v>None</v>
      </c>
      <c r="Z101" s="247" t="s">
        <v>418</v>
      </c>
      <c r="AA101" s="248" t="s">
        <v>418</v>
      </c>
      <c r="AB101" s="248" t="s">
        <v>48</v>
      </c>
      <c r="AC101" s="248" t="s">
        <v>237</v>
      </c>
      <c r="AD101" s="248" t="s">
        <v>146</v>
      </c>
      <c r="AE101" s="248" t="s">
        <v>111</v>
      </c>
      <c r="AF101" s="249" t="str">
        <f>IF('Project Materials'!$H$6='Project Materials'!$B$196,'Item List'!$B$165,"None")</f>
        <v>None</v>
      </c>
      <c r="AG101" s="248" t="s">
        <v>418</v>
      </c>
      <c r="AL101" s="33"/>
      <c r="AM101" s="33"/>
    </row>
    <row r="102" spans="1:39" x14ac:dyDescent="0.4">
      <c r="A102" s="60" t="s">
        <v>5</v>
      </c>
      <c r="B102" s="2" t="s">
        <v>587</v>
      </c>
      <c r="C102" s="2" t="s">
        <v>636</v>
      </c>
      <c r="D102" s="12">
        <v>42</v>
      </c>
      <c r="E102" s="4">
        <v>23.94</v>
      </c>
      <c r="F102" s="275" t="s">
        <v>418</v>
      </c>
      <c r="G102" s="275" t="s">
        <v>48</v>
      </c>
      <c r="H102" s="275" t="s">
        <v>239</v>
      </c>
      <c r="I102" s="275" t="s">
        <v>148</v>
      </c>
      <c r="J102" s="275" t="s">
        <v>111</v>
      </c>
      <c r="K102" s="276" t="str">
        <f>IF('Project Materials'!$D$6='Project Materials'!$B$196,'Item List'!$B$165,"None")</f>
        <v>None</v>
      </c>
      <c r="L102" s="275" t="s">
        <v>418</v>
      </c>
      <c r="M102" s="280" t="s">
        <v>418</v>
      </c>
      <c r="N102" s="280" t="s">
        <v>48</v>
      </c>
      <c r="O102" s="280" t="s">
        <v>239</v>
      </c>
      <c r="P102" s="280" t="s">
        <v>148</v>
      </c>
      <c r="Q102" s="280" t="s">
        <v>111</v>
      </c>
      <c r="R102" s="281" t="str">
        <f>IF('Project Materials'!$H$6='Project Materials'!$B$196,'Item List'!$B$165,"None")</f>
        <v>None</v>
      </c>
      <c r="S102" s="280" t="s">
        <v>418</v>
      </c>
      <c r="T102" s="247" t="s">
        <v>418</v>
      </c>
      <c r="U102" s="247" t="s">
        <v>48</v>
      </c>
      <c r="V102" s="247" t="s">
        <v>239</v>
      </c>
      <c r="W102" s="247" t="s">
        <v>148</v>
      </c>
      <c r="X102" s="247" t="s">
        <v>111</v>
      </c>
      <c r="Y102" s="206" t="str">
        <f>IF('Project Materials'!$H$6='Project Materials'!$B$196,'Item List'!$B$165,"None")</f>
        <v>None</v>
      </c>
      <c r="Z102" s="247" t="s">
        <v>418</v>
      </c>
      <c r="AA102" s="248" t="s">
        <v>418</v>
      </c>
      <c r="AB102" s="248" t="s">
        <v>48</v>
      </c>
      <c r="AC102" s="248" t="s">
        <v>239</v>
      </c>
      <c r="AD102" s="248" t="s">
        <v>148</v>
      </c>
      <c r="AE102" s="248" t="s">
        <v>111</v>
      </c>
      <c r="AF102" s="249" t="str">
        <f>IF('Project Materials'!$H$6='Project Materials'!$B$196,'Item List'!$B$165,"None")</f>
        <v>None</v>
      </c>
      <c r="AG102" s="248" t="s">
        <v>418</v>
      </c>
      <c r="AL102" s="33"/>
      <c r="AM102" s="33"/>
    </row>
    <row r="103" spans="1:39" x14ac:dyDescent="0.4">
      <c r="A103" s="60" t="s">
        <v>5</v>
      </c>
      <c r="B103" s="2" t="s">
        <v>588</v>
      </c>
      <c r="C103" s="2" t="s">
        <v>637</v>
      </c>
      <c r="D103" s="12">
        <v>42</v>
      </c>
      <c r="E103" s="4">
        <v>28.97</v>
      </c>
      <c r="F103" s="275" t="s">
        <v>418</v>
      </c>
      <c r="G103" s="275" t="s">
        <v>48</v>
      </c>
      <c r="H103" s="275" t="s">
        <v>290</v>
      </c>
      <c r="I103" s="275" t="s">
        <v>150</v>
      </c>
      <c r="J103" s="275" t="s">
        <v>111</v>
      </c>
      <c r="K103" s="276" t="str">
        <f>IF('Project Materials'!$D$6='Project Materials'!$B$196,'Item List'!$B$165,"None")</f>
        <v>None</v>
      </c>
      <c r="L103" s="275" t="s">
        <v>418</v>
      </c>
      <c r="M103" s="280" t="s">
        <v>418</v>
      </c>
      <c r="N103" s="280" t="s">
        <v>48</v>
      </c>
      <c r="O103" s="280" t="s">
        <v>290</v>
      </c>
      <c r="P103" s="280" t="s">
        <v>150</v>
      </c>
      <c r="Q103" s="280" t="s">
        <v>111</v>
      </c>
      <c r="R103" s="281" t="str">
        <f>IF('Project Materials'!$H$6='Project Materials'!$B$196,'Item List'!$B$165,"None")</f>
        <v>None</v>
      </c>
      <c r="S103" s="280" t="s">
        <v>418</v>
      </c>
      <c r="T103" s="247" t="s">
        <v>418</v>
      </c>
      <c r="U103" s="247" t="s">
        <v>48</v>
      </c>
      <c r="V103" s="247" t="s">
        <v>290</v>
      </c>
      <c r="W103" s="247" t="s">
        <v>150</v>
      </c>
      <c r="X103" s="247" t="s">
        <v>111</v>
      </c>
      <c r="Y103" s="206" t="str">
        <f>IF('Project Materials'!$H$6='Project Materials'!$B$196,'Item List'!$B$165,"None")</f>
        <v>None</v>
      </c>
      <c r="Z103" s="247" t="s">
        <v>418</v>
      </c>
      <c r="AA103" s="248" t="s">
        <v>418</v>
      </c>
      <c r="AB103" s="248" t="s">
        <v>48</v>
      </c>
      <c r="AC103" s="248" t="s">
        <v>290</v>
      </c>
      <c r="AD103" s="248" t="s">
        <v>150</v>
      </c>
      <c r="AE103" s="248" t="s">
        <v>111</v>
      </c>
      <c r="AF103" s="249" t="str">
        <f>IF('Project Materials'!$H$6='Project Materials'!$B$196,'Item List'!$B$165,"None")</f>
        <v>None</v>
      </c>
      <c r="AG103" s="248" t="s">
        <v>418</v>
      </c>
      <c r="AL103" s="33"/>
      <c r="AM103" s="33"/>
    </row>
    <row r="104" spans="1:39" x14ac:dyDescent="0.4">
      <c r="A104" s="60" t="s">
        <v>5</v>
      </c>
      <c r="B104" s="2" t="s">
        <v>589</v>
      </c>
      <c r="C104" s="2" t="s">
        <v>638</v>
      </c>
      <c r="D104" s="12">
        <v>42</v>
      </c>
      <c r="E104" s="4">
        <v>23.94</v>
      </c>
      <c r="F104" s="275" t="s">
        <v>418</v>
      </c>
      <c r="G104" s="275" t="s">
        <v>48</v>
      </c>
      <c r="H104" s="275" t="s">
        <v>241</v>
      </c>
      <c r="I104" s="275" t="s">
        <v>152</v>
      </c>
      <c r="J104" s="275" t="s">
        <v>111</v>
      </c>
      <c r="K104" s="276" t="str">
        <f>IF('Project Materials'!$D$6='Project Materials'!$B$196,'Item List'!$B$165,"None")</f>
        <v>None</v>
      </c>
      <c r="L104" s="275" t="s">
        <v>418</v>
      </c>
      <c r="M104" s="280" t="s">
        <v>418</v>
      </c>
      <c r="N104" s="280" t="s">
        <v>48</v>
      </c>
      <c r="O104" s="280" t="s">
        <v>241</v>
      </c>
      <c r="P104" s="280" t="s">
        <v>152</v>
      </c>
      <c r="Q104" s="280" t="s">
        <v>111</v>
      </c>
      <c r="R104" s="281" t="str">
        <f>IF('Project Materials'!$H$6='Project Materials'!$B$196,'Item List'!$B$165,"None")</f>
        <v>None</v>
      </c>
      <c r="S104" s="280" t="s">
        <v>418</v>
      </c>
      <c r="T104" s="247" t="s">
        <v>418</v>
      </c>
      <c r="U104" s="247" t="s">
        <v>48</v>
      </c>
      <c r="V104" s="247" t="s">
        <v>241</v>
      </c>
      <c r="W104" s="247" t="s">
        <v>152</v>
      </c>
      <c r="X104" s="247" t="s">
        <v>111</v>
      </c>
      <c r="Y104" s="206" t="str">
        <f>IF('Project Materials'!$H$6='Project Materials'!$B$196,'Item List'!$B$165,"None")</f>
        <v>None</v>
      </c>
      <c r="Z104" s="247" t="s">
        <v>418</v>
      </c>
      <c r="AA104" s="248" t="s">
        <v>418</v>
      </c>
      <c r="AB104" s="248" t="s">
        <v>48</v>
      </c>
      <c r="AC104" s="248" t="s">
        <v>241</v>
      </c>
      <c r="AD104" s="248" t="s">
        <v>152</v>
      </c>
      <c r="AE104" s="248" t="s">
        <v>111</v>
      </c>
      <c r="AF104" s="249" t="str">
        <f>IF('Project Materials'!$H$6='Project Materials'!$B$196,'Item List'!$B$165,"None")</f>
        <v>None</v>
      </c>
      <c r="AG104" s="248" t="s">
        <v>418</v>
      </c>
      <c r="AL104" s="33"/>
      <c r="AM104" s="33"/>
    </row>
    <row r="105" spans="1:39" x14ac:dyDescent="0.4">
      <c r="A105" s="60" t="s">
        <v>5</v>
      </c>
      <c r="B105" s="2" t="s">
        <v>590</v>
      </c>
      <c r="C105" s="2" t="s">
        <v>639</v>
      </c>
      <c r="D105" s="12">
        <v>42</v>
      </c>
      <c r="E105" s="4">
        <v>23.94</v>
      </c>
      <c r="F105" s="275" t="s">
        <v>418</v>
      </c>
      <c r="G105" s="275" t="s">
        <v>48</v>
      </c>
      <c r="H105" s="275" t="s">
        <v>237</v>
      </c>
      <c r="I105" s="275" t="s">
        <v>146</v>
      </c>
      <c r="J105" s="275" t="s">
        <v>111</v>
      </c>
      <c r="K105" s="276" t="str">
        <f>IF('Project Materials'!$D$6='Project Materials'!$B$196,'Item List'!$B$165,"None")</f>
        <v>None</v>
      </c>
      <c r="L105" s="275" t="s">
        <v>418</v>
      </c>
      <c r="M105" s="280" t="s">
        <v>418</v>
      </c>
      <c r="N105" s="280" t="s">
        <v>48</v>
      </c>
      <c r="O105" s="280" t="s">
        <v>237</v>
      </c>
      <c r="P105" s="280" t="s">
        <v>146</v>
      </c>
      <c r="Q105" s="280" t="s">
        <v>111</v>
      </c>
      <c r="R105" s="281" t="str">
        <f>IF('Project Materials'!$H$6='Project Materials'!$B$196,'Item List'!$B$165,"None")</f>
        <v>None</v>
      </c>
      <c r="S105" s="280" t="s">
        <v>418</v>
      </c>
      <c r="T105" s="247" t="s">
        <v>418</v>
      </c>
      <c r="U105" s="247" t="s">
        <v>48</v>
      </c>
      <c r="V105" s="247" t="s">
        <v>237</v>
      </c>
      <c r="W105" s="247" t="s">
        <v>146</v>
      </c>
      <c r="X105" s="247" t="s">
        <v>111</v>
      </c>
      <c r="Y105" s="206" t="str">
        <f>IF('Project Materials'!$H$6='Project Materials'!$B$196,'Item List'!$B$165,"None")</f>
        <v>None</v>
      </c>
      <c r="Z105" s="247" t="s">
        <v>418</v>
      </c>
      <c r="AA105" s="248" t="s">
        <v>418</v>
      </c>
      <c r="AB105" s="248" t="s">
        <v>48</v>
      </c>
      <c r="AC105" s="248" t="s">
        <v>237</v>
      </c>
      <c r="AD105" s="248" t="s">
        <v>146</v>
      </c>
      <c r="AE105" s="248" t="s">
        <v>111</v>
      </c>
      <c r="AF105" s="249" t="str">
        <f>IF('Project Materials'!$H$6='Project Materials'!$B$196,'Item List'!$B$165,"None")</f>
        <v>None</v>
      </c>
      <c r="AG105" s="248" t="s">
        <v>418</v>
      </c>
      <c r="AL105" s="33"/>
      <c r="AM105" s="33"/>
    </row>
    <row r="106" spans="1:39" x14ac:dyDescent="0.4">
      <c r="A106" s="60" t="s">
        <v>5</v>
      </c>
      <c r="B106" s="2" t="s">
        <v>591</v>
      </c>
      <c r="C106" s="2" t="s">
        <v>640</v>
      </c>
      <c r="D106" s="12">
        <v>42</v>
      </c>
      <c r="E106" s="4">
        <v>23.94</v>
      </c>
      <c r="F106" s="275" t="s">
        <v>418</v>
      </c>
      <c r="G106" s="275" t="s">
        <v>48</v>
      </c>
      <c r="H106" s="275" t="s">
        <v>239</v>
      </c>
      <c r="I106" s="275" t="s">
        <v>148</v>
      </c>
      <c r="J106" s="275" t="s">
        <v>111</v>
      </c>
      <c r="K106" s="276" t="str">
        <f>IF('Project Materials'!$D$6='Project Materials'!$B$196,'Item List'!$B$165,"None")</f>
        <v>None</v>
      </c>
      <c r="L106" s="275" t="s">
        <v>418</v>
      </c>
      <c r="M106" s="280" t="s">
        <v>418</v>
      </c>
      <c r="N106" s="280" t="s">
        <v>48</v>
      </c>
      <c r="O106" s="280" t="s">
        <v>239</v>
      </c>
      <c r="P106" s="280" t="s">
        <v>148</v>
      </c>
      <c r="Q106" s="280" t="s">
        <v>111</v>
      </c>
      <c r="R106" s="281" t="str">
        <f>IF('Project Materials'!$H$6='Project Materials'!$B$196,'Item List'!$B$165,"None")</f>
        <v>None</v>
      </c>
      <c r="S106" s="280" t="s">
        <v>418</v>
      </c>
      <c r="T106" s="247" t="s">
        <v>418</v>
      </c>
      <c r="U106" s="247" t="s">
        <v>48</v>
      </c>
      <c r="V106" s="247" t="s">
        <v>239</v>
      </c>
      <c r="W106" s="247" t="s">
        <v>148</v>
      </c>
      <c r="X106" s="247" t="s">
        <v>111</v>
      </c>
      <c r="Y106" s="206" t="str">
        <f>IF('Project Materials'!$H$6='Project Materials'!$B$196,'Item List'!$B$165,"None")</f>
        <v>None</v>
      </c>
      <c r="Z106" s="247" t="s">
        <v>418</v>
      </c>
      <c r="AA106" s="248" t="s">
        <v>418</v>
      </c>
      <c r="AB106" s="248" t="s">
        <v>48</v>
      </c>
      <c r="AC106" s="248" t="s">
        <v>239</v>
      </c>
      <c r="AD106" s="248" t="s">
        <v>148</v>
      </c>
      <c r="AE106" s="248" t="s">
        <v>111</v>
      </c>
      <c r="AF106" s="249" t="str">
        <f>IF('Project Materials'!$H$6='Project Materials'!$B$196,'Item List'!$B$165,"None")</f>
        <v>None</v>
      </c>
      <c r="AG106" s="248" t="s">
        <v>418</v>
      </c>
      <c r="AL106" s="33"/>
      <c r="AM106" s="33"/>
    </row>
    <row r="107" spans="1:39" x14ac:dyDescent="0.4">
      <c r="A107" s="60" t="s">
        <v>5</v>
      </c>
      <c r="B107" s="2" t="s">
        <v>592</v>
      </c>
      <c r="C107" s="2" t="s">
        <v>641</v>
      </c>
      <c r="D107" s="12">
        <v>42</v>
      </c>
      <c r="E107" s="4">
        <v>23.94</v>
      </c>
      <c r="F107" s="275" t="s">
        <v>418</v>
      </c>
      <c r="G107" s="275" t="s">
        <v>48</v>
      </c>
      <c r="H107" s="275" t="s">
        <v>290</v>
      </c>
      <c r="I107" s="275" t="s">
        <v>150</v>
      </c>
      <c r="J107" s="275" t="s">
        <v>111</v>
      </c>
      <c r="K107" s="276" t="str">
        <f>IF('Project Materials'!$D$6='Project Materials'!$B$196,'Item List'!$B$165,"None")</f>
        <v>None</v>
      </c>
      <c r="L107" s="275" t="s">
        <v>418</v>
      </c>
      <c r="M107" s="280" t="s">
        <v>418</v>
      </c>
      <c r="N107" s="280" t="s">
        <v>48</v>
      </c>
      <c r="O107" s="280" t="s">
        <v>290</v>
      </c>
      <c r="P107" s="280" t="s">
        <v>150</v>
      </c>
      <c r="Q107" s="280" t="s">
        <v>111</v>
      </c>
      <c r="R107" s="281" t="str">
        <f>IF('Project Materials'!$H$6='Project Materials'!$B$196,'Item List'!$B$165,"None")</f>
        <v>None</v>
      </c>
      <c r="S107" s="280" t="s">
        <v>418</v>
      </c>
      <c r="T107" s="247" t="s">
        <v>418</v>
      </c>
      <c r="U107" s="247" t="s">
        <v>48</v>
      </c>
      <c r="V107" s="247" t="s">
        <v>290</v>
      </c>
      <c r="W107" s="247" t="s">
        <v>150</v>
      </c>
      <c r="X107" s="247" t="s">
        <v>111</v>
      </c>
      <c r="Y107" s="206" t="str">
        <f>IF('Project Materials'!$H$6='Project Materials'!$B$196,'Item List'!$B$165,"None")</f>
        <v>None</v>
      </c>
      <c r="Z107" s="247" t="s">
        <v>418</v>
      </c>
      <c r="AA107" s="248" t="s">
        <v>418</v>
      </c>
      <c r="AB107" s="248" t="s">
        <v>48</v>
      </c>
      <c r="AC107" s="248" t="s">
        <v>290</v>
      </c>
      <c r="AD107" s="248" t="s">
        <v>150</v>
      </c>
      <c r="AE107" s="248" t="s">
        <v>111</v>
      </c>
      <c r="AF107" s="249" t="str">
        <f>IF('Project Materials'!$H$6='Project Materials'!$B$196,'Item List'!$B$165,"None")</f>
        <v>None</v>
      </c>
      <c r="AG107" s="248" t="s">
        <v>418</v>
      </c>
      <c r="AL107" s="33"/>
      <c r="AM107" s="33"/>
    </row>
    <row r="108" spans="1:39" x14ac:dyDescent="0.4">
      <c r="A108" s="60" t="s">
        <v>5</v>
      </c>
      <c r="B108" s="2" t="s">
        <v>593</v>
      </c>
      <c r="C108" s="2" t="s">
        <v>642</v>
      </c>
      <c r="D108" s="12">
        <v>42</v>
      </c>
      <c r="E108" s="4">
        <v>23.94</v>
      </c>
      <c r="F108" s="275" t="s">
        <v>418</v>
      </c>
      <c r="G108" s="275" t="s">
        <v>48</v>
      </c>
      <c r="H108" s="275" t="s">
        <v>241</v>
      </c>
      <c r="I108" s="275" t="s">
        <v>152</v>
      </c>
      <c r="J108" s="275" t="s">
        <v>111</v>
      </c>
      <c r="K108" s="276" t="str">
        <f>IF('Project Materials'!$D$6='Project Materials'!$B$196,'Item List'!$B$165,"None")</f>
        <v>None</v>
      </c>
      <c r="L108" s="275" t="s">
        <v>418</v>
      </c>
      <c r="M108" s="280" t="s">
        <v>418</v>
      </c>
      <c r="N108" s="280" t="s">
        <v>48</v>
      </c>
      <c r="O108" s="280" t="s">
        <v>241</v>
      </c>
      <c r="P108" s="280" t="s">
        <v>152</v>
      </c>
      <c r="Q108" s="280" t="s">
        <v>111</v>
      </c>
      <c r="R108" s="281" t="str">
        <f>IF('Project Materials'!$H$6='Project Materials'!$B$196,'Item List'!$B$165,"None")</f>
        <v>None</v>
      </c>
      <c r="S108" s="280" t="s">
        <v>418</v>
      </c>
      <c r="T108" s="247" t="s">
        <v>418</v>
      </c>
      <c r="U108" s="247" t="s">
        <v>48</v>
      </c>
      <c r="V108" s="247" t="s">
        <v>241</v>
      </c>
      <c r="W108" s="247" t="s">
        <v>152</v>
      </c>
      <c r="X108" s="247" t="s">
        <v>111</v>
      </c>
      <c r="Y108" s="206" t="str">
        <f>IF('Project Materials'!$H$6='Project Materials'!$B$196,'Item List'!$B$165,"None")</f>
        <v>None</v>
      </c>
      <c r="Z108" s="247" t="s">
        <v>418</v>
      </c>
      <c r="AA108" s="248" t="s">
        <v>418</v>
      </c>
      <c r="AB108" s="248" t="s">
        <v>48</v>
      </c>
      <c r="AC108" s="248" t="s">
        <v>241</v>
      </c>
      <c r="AD108" s="248" t="s">
        <v>152</v>
      </c>
      <c r="AE108" s="248" t="s">
        <v>111</v>
      </c>
      <c r="AF108" s="249" t="str">
        <f>IF('Project Materials'!$H$6='Project Materials'!$B$196,'Item List'!$B$165,"None")</f>
        <v>None</v>
      </c>
      <c r="AG108" s="248" t="s">
        <v>418</v>
      </c>
      <c r="AL108" s="33"/>
      <c r="AM108" s="33"/>
    </row>
    <row r="109" spans="1:39" x14ac:dyDescent="0.4">
      <c r="A109" s="60" t="s">
        <v>5</v>
      </c>
      <c r="B109" s="2" t="s">
        <v>594</v>
      </c>
      <c r="C109" s="2" t="s">
        <v>643</v>
      </c>
      <c r="D109" s="12">
        <v>42</v>
      </c>
      <c r="E109" s="4">
        <v>23.94</v>
      </c>
      <c r="F109" s="275" t="s">
        <v>418</v>
      </c>
      <c r="G109" s="275" t="s">
        <v>48</v>
      </c>
      <c r="H109" s="275" t="s">
        <v>237</v>
      </c>
      <c r="I109" s="275" t="s">
        <v>146</v>
      </c>
      <c r="J109" s="275" t="s">
        <v>111</v>
      </c>
      <c r="K109" s="276" t="str">
        <f>IF('Project Materials'!$D$6='Project Materials'!$B$196,'Item List'!$B$165,"None")</f>
        <v>None</v>
      </c>
      <c r="L109" s="275" t="s">
        <v>418</v>
      </c>
      <c r="M109" s="280" t="s">
        <v>418</v>
      </c>
      <c r="N109" s="280" t="s">
        <v>48</v>
      </c>
      <c r="O109" s="280" t="s">
        <v>237</v>
      </c>
      <c r="P109" s="280" t="s">
        <v>146</v>
      </c>
      <c r="Q109" s="280" t="s">
        <v>111</v>
      </c>
      <c r="R109" s="281" t="str">
        <f>IF('Project Materials'!$H$6='Project Materials'!$B$196,'Item List'!$B$165,"None")</f>
        <v>None</v>
      </c>
      <c r="S109" s="280" t="s">
        <v>418</v>
      </c>
      <c r="T109" s="247" t="s">
        <v>418</v>
      </c>
      <c r="U109" s="247" t="s">
        <v>48</v>
      </c>
      <c r="V109" s="247" t="s">
        <v>237</v>
      </c>
      <c r="W109" s="247" t="s">
        <v>146</v>
      </c>
      <c r="X109" s="247" t="s">
        <v>111</v>
      </c>
      <c r="Y109" s="206" t="str">
        <f>IF('Project Materials'!$H$6='Project Materials'!$B$196,'Item List'!$B$165,"None")</f>
        <v>None</v>
      </c>
      <c r="Z109" s="247" t="s">
        <v>418</v>
      </c>
      <c r="AA109" s="248" t="s">
        <v>418</v>
      </c>
      <c r="AB109" s="248" t="s">
        <v>48</v>
      </c>
      <c r="AC109" s="248" t="s">
        <v>237</v>
      </c>
      <c r="AD109" s="248" t="s">
        <v>146</v>
      </c>
      <c r="AE109" s="248" t="s">
        <v>111</v>
      </c>
      <c r="AF109" s="249" t="str">
        <f>IF('Project Materials'!$H$6='Project Materials'!$B$196,'Item List'!$B$165,"None")</f>
        <v>None</v>
      </c>
      <c r="AG109" s="248" t="s">
        <v>418</v>
      </c>
      <c r="AL109" s="33"/>
      <c r="AM109" s="33"/>
    </row>
    <row r="110" spans="1:39" x14ac:dyDescent="0.4">
      <c r="A110" s="60" t="s">
        <v>5</v>
      </c>
      <c r="B110" s="2" t="s">
        <v>595</v>
      </c>
      <c r="C110" s="2" t="s">
        <v>644</v>
      </c>
      <c r="D110" s="12">
        <v>42</v>
      </c>
      <c r="E110" s="4">
        <v>23.94</v>
      </c>
      <c r="F110" s="275" t="s">
        <v>418</v>
      </c>
      <c r="G110" s="275" t="s">
        <v>48</v>
      </c>
      <c r="H110" s="275" t="s">
        <v>239</v>
      </c>
      <c r="I110" s="275" t="s">
        <v>148</v>
      </c>
      <c r="J110" s="275" t="s">
        <v>111</v>
      </c>
      <c r="K110" s="276" t="str">
        <f>IF('Project Materials'!$D$6='Project Materials'!$B$196,'Item List'!$B$165,"None")</f>
        <v>None</v>
      </c>
      <c r="L110" s="275" t="s">
        <v>418</v>
      </c>
      <c r="M110" s="280" t="s">
        <v>418</v>
      </c>
      <c r="N110" s="280" t="s">
        <v>48</v>
      </c>
      <c r="O110" s="280" t="s">
        <v>239</v>
      </c>
      <c r="P110" s="280" t="s">
        <v>148</v>
      </c>
      <c r="Q110" s="280" t="s">
        <v>111</v>
      </c>
      <c r="R110" s="281" t="str">
        <f>IF('Project Materials'!$H$6='Project Materials'!$B$196,'Item List'!$B$165,"None")</f>
        <v>None</v>
      </c>
      <c r="S110" s="280" t="s">
        <v>418</v>
      </c>
      <c r="T110" s="247" t="s">
        <v>418</v>
      </c>
      <c r="U110" s="247" t="s">
        <v>48</v>
      </c>
      <c r="V110" s="247" t="s">
        <v>239</v>
      </c>
      <c r="W110" s="247" t="s">
        <v>148</v>
      </c>
      <c r="X110" s="247" t="s">
        <v>111</v>
      </c>
      <c r="Y110" s="206" t="str">
        <f>IF('Project Materials'!$H$6='Project Materials'!$B$196,'Item List'!$B$165,"None")</f>
        <v>None</v>
      </c>
      <c r="Z110" s="247" t="s">
        <v>418</v>
      </c>
      <c r="AA110" s="248" t="s">
        <v>418</v>
      </c>
      <c r="AB110" s="248" t="s">
        <v>48</v>
      </c>
      <c r="AC110" s="248" t="s">
        <v>239</v>
      </c>
      <c r="AD110" s="248" t="s">
        <v>148</v>
      </c>
      <c r="AE110" s="248" t="s">
        <v>111</v>
      </c>
      <c r="AF110" s="249" t="str">
        <f>IF('Project Materials'!$H$6='Project Materials'!$B$196,'Item List'!$B$165,"None")</f>
        <v>None</v>
      </c>
      <c r="AG110" s="248" t="s">
        <v>418</v>
      </c>
      <c r="AL110" s="33"/>
      <c r="AM110" s="33"/>
    </row>
    <row r="111" spans="1:39" x14ac:dyDescent="0.4">
      <c r="A111" s="60" t="s">
        <v>5</v>
      </c>
      <c r="B111" s="2" t="s">
        <v>596</v>
      </c>
      <c r="C111" s="2" t="s">
        <v>645</v>
      </c>
      <c r="D111" s="12">
        <v>42</v>
      </c>
      <c r="E111" s="4">
        <v>23.94</v>
      </c>
      <c r="F111" s="275" t="s">
        <v>418</v>
      </c>
      <c r="G111" s="275" t="s">
        <v>48</v>
      </c>
      <c r="H111" s="275" t="s">
        <v>290</v>
      </c>
      <c r="I111" s="275" t="s">
        <v>150</v>
      </c>
      <c r="J111" s="275" t="s">
        <v>111</v>
      </c>
      <c r="K111" s="276" t="str">
        <f>IF('Project Materials'!$D$6='Project Materials'!$B$196,'Item List'!$B$165,"None")</f>
        <v>None</v>
      </c>
      <c r="L111" s="275" t="s">
        <v>418</v>
      </c>
      <c r="M111" s="280" t="s">
        <v>418</v>
      </c>
      <c r="N111" s="280" t="s">
        <v>48</v>
      </c>
      <c r="O111" s="280" t="s">
        <v>290</v>
      </c>
      <c r="P111" s="280" t="s">
        <v>150</v>
      </c>
      <c r="Q111" s="280" t="s">
        <v>111</v>
      </c>
      <c r="R111" s="281" t="str">
        <f>IF('Project Materials'!$H$6='Project Materials'!$B$196,'Item List'!$B$165,"None")</f>
        <v>None</v>
      </c>
      <c r="S111" s="280" t="s">
        <v>418</v>
      </c>
      <c r="T111" s="247" t="s">
        <v>418</v>
      </c>
      <c r="U111" s="247" t="s">
        <v>48</v>
      </c>
      <c r="V111" s="247" t="s">
        <v>290</v>
      </c>
      <c r="W111" s="247" t="s">
        <v>150</v>
      </c>
      <c r="X111" s="247" t="s">
        <v>111</v>
      </c>
      <c r="Y111" s="206" t="str">
        <f>IF('Project Materials'!$H$6='Project Materials'!$B$196,'Item List'!$B$165,"None")</f>
        <v>None</v>
      </c>
      <c r="Z111" s="247" t="s">
        <v>418</v>
      </c>
      <c r="AA111" s="248" t="s">
        <v>418</v>
      </c>
      <c r="AB111" s="248" t="s">
        <v>48</v>
      </c>
      <c r="AC111" s="248" t="s">
        <v>290</v>
      </c>
      <c r="AD111" s="248" t="s">
        <v>150</v>
      </c>
      <c r="AE111" s="248" t="s">
        <v>111</v>
      </c>
      <c r="AF111" s="249" t="str">
        <f>IF('Project Materials'!$H$6='Project Materials'!$B$196,'Item List'!$B$165,"None")</f>
        <v>None</v>
      </c>
      <c r="AG111" s="248" t="s">
        <v>418</v>
      </c>
      <c r="AL111" s="33"/>
      <c r="AM111" s="33"/>
    </row>
    <row r="112" spans="1:39" x14ac:dyDescent="0.4">
      <c r="A112" s="60" t="s">
        <v>5</v>
      </c>
      <c r="B112" s="2" t="s">
        <v>597</v>
      </c>
      <c r="C112" s="2" t="s">
        <v>646</v>
      </c>
      <c r="D112" s="12">
        <v>42</v>
      </c>
      <c r="E112" s="4">
        <v>23.94</v>
      </c>
      <c r="F112" s="275" t="s">
        <v>418</v>
      </c>
      <c r="G112" s="275" t="s">
        <v>48</v>
      </c>
      <c r="H112" s="275" t="s">
        <v>241</v>
      </c>
      <c r="I112" s="275" t="s">
        <v>152</v>
      </c>
      <c r="J112" s="275" t="s">
        <v>111</v>
      </c>
      <c r="K112" s="276" t="str">
        <f>IF('Project Materials'!$D$6='Project Materials'!$B$196,'Item List'!$B$165,"None")</f>
        <v>None</v>
      </c>
      <c r="L112" s="275" t="s">
        <v>418</v>
      </c>
      <c r="M112" s="280" t="s">
        <v>418</v>
      </c>
      <c r="N112" s="280" t="s">
        <v>48</v>
      </c>
      <c r="O112" s="280" t="s">
        <v>241</v>
      </c>
      <c r="P112" s="280" t="s">
        <v>152</v>
      </c>
      <c r="Q112" s="280" t="s">
        <v>111</v>
      </c>
      <c r="R112" s="281" t="str">
        <f>IF('Project Materials'!$H$6='Project Materials'!$B$196,'Item List'!$B$165,"None")</f>
        <v>None</v>
      </c>
      <c r="S112" s="280" t="s">
        <v>418</v>
      </c>
      <c r="T112" s="247" t="s">
        <v>418</v>
      </c>
      <c r="U112" s="247" t="s">
        <v>48</v>
      </c>
      <c r="V112" s="247" t="s">
        <v>241</v>
      </c>
      <c r="W112" s="247" t="s">
        <v>152</v>
      </c>
      <c r="X112" s="247" t="s">
        <v>111</v>
      </c>
      <c r="Y112" s="206" t="str">
        <f>IF('Project Materials'!$H$6='Project Materials'!$B$196,'Item List'!$B$165,"None")</f>
        <v>None</v>
      </c>
      <c r="Z112" s="247" t="s">
        <v>418</v>
      </c>
      <c r="AA112" s="248" t="s">
        <v>418</v>
      </c>
      <c r="AB112" s="248" t="s">
        <v>48</v>
      </c>
      <c r="AC112" s="248" t="s">
        <v>241</v>
      </c>
      <c r="AD112" s="248" t="s">
        <v>152</v>
      </c>
      <c r="AE112" s="248" t="s">
        <v>111</v>
      </c>
      <c r="AF112" s="249" t="str">
        <f>IF('Project Materials'!$H$6='Project Materials'!$B$196,'Item List'!$B$165,"None")</f>
        <v>None</v>
      </c>
      <c r="AG112" s="248" t="s">
        <v>418</v>
      </c>
      <c r="AL112" s="33"/>
      <c r="AM112" s="33"/>
    </row>
    <row r="113" spans="1:40" x14ac:dyDescent="0.4">
      <c r="A113" s="60" t="s">
        <v>5</v>
      </c>
      <c r="B113" s="2" t="s">
        <v>598</v>
      </c>
      <c r="C113" s="2" t="s">
        <v>647</v>
      </c>
      <c r="D113" s="12">
        <v>36</v>
      </c>
      <c r="E113" s="4">
        <v>20.67</v>
      </c>
      <c r="F113" s="275" t="s">
        <v>418</v>
      </c>
      <c r="G113" s="275" t="s">
        <v>48</v>
      </c>
      <c r="H113" s="275" t="s">
        <v>237</v>
      </c>
      <c r="I113" s="275" t="s">
        <v>146</v>
      </c>
      <c r="J113" s="275" t="s">
        <v>111</v>
      </c>
      <c r="K113" s="276" t="str">
        <f>IF('Project Materials'!$D$6='Project Materials'!$B$196,'Item List'!$B$165,"None")</f>
        <v>None</v>
      </c>
      <c r="L113" s="275" t="s">
        <v>418</v>
      </c>
      <c r="M113" s="280" t="s">
        <v>418</v>
      </c>
      <c r="N113" s="280" t="s">
        <v>48</v>
      </c>
      <c r="O113" s="280" t="s">
        <v>237</v>
      </c>
      <c r="P113" s="280" t="s">
        <v>146</v>
      </c>
      <c r="Q113" s="280" t="s">
        <v>111</v>
      </c>
      <c r="R113" s="281" t="str">
        <f>IF('Project Materials'!$H$6='Project Materials'!$B$196,'Item List'!$B$165,"None")</f>
        <v>None</v>
      </c>
      <c r="S113" s="280" t="s">
        <v>418</v>
      </c>
      <c r="T113" s="247" t="s">
        <v>418</v>
      </c>
      <c r="U113" s="247" t="s">
        <v>48</v>
      </c>
      <c r="V113" s="247" t="s">
        <v>237</v>
      </c>
      <c r="W113" s="247" t="s">
        <v>146</v>
      </c>
      <c r="X113" s="247" t="s">
        <v>111</v>
      </c>
      <c r="Y113" s="206" t="str">
        <f>IF('Project Materials'!$H$6='Project Materials'!$B$196,'Item List'!$B$165,"None")</f>
        <v>None</v>
      </c>
      <c r="Z113" s="247" t="s">
        <v>418</v>
      </c>
      <c r="AA113" s="248" t="s">
        <v>418</v>
      </c>
      <c r="AB113" s="248" t="s">
        <v>48</v>
      </c>
      <c r="AC113" s="248" t="s">
        <v>237</v>
      </c>
      <c r="AD113" s="248" t="s">
        <v>146</v>
      </c>
      <c r="AE113" s="248" t="s">
        <v>111</v>
      </c>
      <c r="AF113" s="249" t="str">
        <f>IF('Project Materials'!$H$6='Project Materials'!$B$196,'Item List'!$B$165,"None")</f>
        <v>None</v>
      </c>
      <c r="AG113" s="248" t="s">
        <v>418</v>
      </c>
      <c r="AL113" s="33"/>
      <c r="AM113" s="33"/>
    </row>
    <row r="114" spans="1:40" x14ac:dyDescent="0.4">
      <c r="A114" s="60" t="s">
        <v>5</v>
      </c>
      <c r="B114" s="2" t="s">
        <v>599</v>
      </c>
      <c r="C114" s="2" t="s">
        <v>648</v>
      </c>
      <c r="D114" s="12">
        <v>36</v>
      </c>
      <c r="E114" s="4">
        <v>20.67</v>
      </c>
      <c r="F114" s="275" t="s">
        <v>418</v>
      </c>
      <c r="G114" s="275" t="s">
        <v>48</v>
      </c>
      <c r="H114" s="275" t="s">
        <v>290</v>
      </c>
      <c r="I114" s="275" t="s">
        <v>150</v>
      </c>
      <c r="J114" s="275" t="s">
        <v>111</v>
      </c>
      <c r="K114" s="276" t="str">
        <f>IF('Project Materials'!$D$6='Project Materials'!$B$196,'Item List'!$B$165,"None")</f>
        <v>None</v>
      </c>
      <c r="L114" s="275" t="s">
        <v>418</v>
      </c>
      <c r="M114" s="280" t="s">
        <v>418</v>
      </c>
      <c r="N114" s="280" t="s">
        <v>48</v>
      </c>
      <c r="O114" s="280" t="s">
        <v>290</v>
      </c>
      <c r="P114" s="280" t="s">
        <v>150</v>
      </c>
      <c r="Q114" s="280" t="s">
        <v>111</v>
      </c>
      <c r="R114" s="281" t="str">
        <f>IF('Project Materials'!$H$6='Project Materials'!$B$196,'Item List'!$B$165,"None")</f>
        <v>None</v>
      </c>
      <c r="S114" s="280" t="s">
        <v>418</v>
      </c>
      <c r="T114" s="247" t="s">
        <v>418</v>
      </c>
      <c r="U114" s="247" t="s">
        <v>48</v>
      </c>
      <c r="V114" s="247" t="s">
        <v>290</v>
      </c>
      <c r="W114" s="247" t="s">
        <v>150</v>
      </c>
      <c r="X114" s="247" t="s">
        <v>111</v>
      </c>
      <c r="Y114" s="206" t="str">
        <f>IF('Project Materials'!$H$6='Project Materials'!$B$196,'Item List'!$B$165,"None")</f>
        <v>None</v>
      </c>
      <c r="Z114" s="247" t="s">
        <v>418</v>
      </c>
      <c r="AA114" s="248" t="s">
        <v>418</v>
      </c>
      <c r="AB114" s="248" t="s">
        <v>48</v>
      </c>
      <c r="AC114" s="248" t="s">
        <v>290</v>
      </c>
      <c r="AD114" s="248" t="s">
        <v>150</v>
      </c>
      <c r="AE114" s="248" t="s">
        <v>111</v>
      </c>
      <c r="AF114" s="249" t="str">
        <f>IF('Project Materials'!$H$6='Project Materials'!$B$196,'Item List'!$B$165,"None")</f>
        <v>None</v>
      </c>
      <c r="AG114" s="248" t="s">
        <v>418</v>
      </c>
      <c r="AL114" s="33"/>
      <c r="AM114" s="33"/>
    </row>
    <row r="115" spans="1:40" x14ac:dyDescent="0.4">
      <c r="A115" s="2"/>
      <c r="B115" s="2"/>
      <c r="C115" s="99"/>
      <c r="D115" s="12"/>
      <c r="E115" s="4"/>
      <c r="F115" s="275" t="s">
        <v>418</v>
      </c>
      <c r="G115" s="275" t="s">
        <v>418</v>
      </c>
      <c r="H115" s="275" t="s">
        <v>418</v>
      </c>
      <c r="I115" s="275" t="s">
        <v>418</v>
      </c>
      <c r="J115" s="275" t="s">
        <v>418</v>
      </c>
      <c r="K115" s="275" t="s">
        <v>418</v>
      </c>
      <c r="L115" s="275" t="s">
        <v>418</v>
      </c>
      <c r="M115" s="280" t="s">
        <v>418</v>
      </c>
      <c r="N115" s="280" t="s">
        <v>418</v>
      </c>
      <c r="O115" s="280" t="s">
        <v>418</v>
      </c>
      <c r="P115" s="280" t="s">
        <v>418</v>
      </c>
      <c r="Q115" s="280" t="s">
        <v>418</v>
      </c>
      <c r="R115" s="280" t="s">
        <v>418</v>
      </c>
      <c r="S115" s="280" t="s">
        <v>418</v>
      </c>
      <c r="T115" s="247" t="s">
        <v>418</v>
      </c>
      <c r="U115" s="247" t="s">
        <v>418</v>
      </c>
      <c r="V115" s="247" t="s">
        <v>418</v>
      </c>
      <c r="W115" s="247" t="s">
        <v>418</v>
      </c>
      <c r="X115" s="247" t="s">
        <v>418</v>
      </c>
      <c r="Y115" s="247" t="s">
        <v>418</v>
      </c>
      <c r="Z115" s="247" t="s">
        <v>418</v>
      </c>
      <c r="AA115" s="248" t="s">
        <v>418</v>
      </c>
      <c r="AB115" s="248" t="s">
        <v>418</v>
      </c>
      <c r="AC115" s="248" t="s">
        <v>418</v>
      </c>
      <c r="AD115" s="248" t="s">
        <v>418</v>
      </c>
      <c r="AE115" s="248" t="s">
        <v>418</v>
      </c>
      <c r="AF115" s="248" t="s">
        <v>418</v>
      </c>
      <c r="AG115" s="248" t="s">
        <v>418</v>
      </c>
    </row>
    <row r="116" spans="1:40" x14ac:dyDescent="0.4">
      <c r="A116" s="2" t="s">
        <v>8</v>
      </c>
      <c r="B116" s="2" t="s">
        <v>418</v>
      </c>
      <c r="C116" s="2" t="s">
        <v>418</v>
      </c>
      <c r="D116" s="12"/>
      <c r="E116" s="4">
        <v>0</v>
      </c>
      <c r="F116" s="275" t="s">
        <v>418</v>
      </c>
      <c r="G116" s="275" t="s">
        <v>418</v>
      </c>
      <c r="H116" s="275" t="s">
        <v>418</v>
      </c>
      <c r="I116" s="275" t="s">
        <v>418</v>
      </c>
      <c r="J116" s="275" t="s">
        <v>418</v>
      </c>
      <c r="K116" s="275" t="s">
        <v>418</v>
      </c>
      <c r="L116" s="275" t="s">
        <v>418</v>
      </c>
      <c r="M116" s="280" t="s">
        <v>418</v>
      </c>
      <c r="N116" s="280" t="s">
        <v>418</v>
      </c>
      <c r="O116" s="280" t="s">
        <v>418</v>
      </c>
      <c r="P116" s="280" t="s">
        <v>418</v>
      </c>
      <c r="Q116" s="280" t="s">
        <v>418</v>
      </c>
      <c r="R116" s="280" t="s">
        <v>418</v>
      </c>
      <c r="S116" s="280" t="s">
        <v>418</v>
      </c>
      <c r="T116" s="247" t="s">
        <v>418</v>
      </c>
      <c r="U116" s="247" t="s">
        <v>418</v>
      </c>
      <c r="V116" s="247" t="s">
        <v>418</v>
      </c>
      <c r="W116" s="247" t="s">
        <v>418</v>
      </c>
      <c r="X116" s="247" t="s">
        <v>418</v>
      </c>
      <c r="Y116" s="247" t="s">
        <v>418</v>
      </c>
      <c r="Z116" s="247" t="s">
        <v>418</v>
      </c>
      <c r="AA116" s="248" t="s">
        <v>418</v>
      </c>
      <c r="AB116" s="248" t="s">
        <v>418</v>
      </c>
      <c r="AC116" s="248" t="s">
        <v>418</v>
      </c>
      <c r="AD116" s="248" t="s">
        <v>418</v>
      </c>
      <c r="AE116" s="248" t="s">
        <v>418</v>
      </c>
      <c r="AF116" s="248" t="s">
        <v>418</v>
      </c>
      <c r="AG116" s="248" t="s">
        <v>418</v>
      </c>
      <c r="AH116" s="161"/>
      <c r="AI116" s="156"/>
      <c r="AJ116" s="151"/>
      <c r="AK116" s="203"/>
      <c r="AL116" s="25"/>
      <c r="AM116" s="25"/>
    </row>
    <row r="117" spans="1:40" x14ac:dyDescent="0.4">
      <c r="A117" s="60" t="s">
        <v>8</v>
      </c>
      <c r="B117" s="2" t="s">
        <v>321</v>
      </c>
      <c r="C117" s="2" t="s">
        <v>322</v>
      </c>
      <c r="D117" s="12"/>
      <c r="E117" s="4">
        <v>5</v>
      </c>
      <c r="F117" s="275" t="s">
        <v>418</v>
      </c>
      <c r="G117" s="275" t="s">
        <v>418</v>
      </c>
      <c r="H117" s="275" t="s">
        <v>418</v>
      </c>
      <c r="I117" s="275" t="s">
        <v>418</v>
      </c>
      <c r="J117" s="275" t="s">
        <v>418</v>
      </c>
      <c r="K117" s="275" t="s">
        <v>418</v>
      </c>
      <c r="L117" s="275" t="s">
        <v>418</v>
      </c>
      <c r="M117" s="280" t="s">
        <v>418</v>
      </c>
      <c r="N117" s="280" t="s">
        <v>418</v>
      </c>
      <c r="O117" s="280" t="s">
        <v>418</v>
      </c>
      <c r="P117" s="280" t="s">
        <v>418</v>
      </c>
      <c r="Q117" s="280" t="s">
        <v>418</v>
      </c>
      <c r="R117" s="280" t="s">
        <v>418</v>
      </c>
      <c r="S117" s="280" t="s">
        <v>418</v>
      </c>
      <c r="T117" s="247" t="s">
        <v>418</v>
      </c>
      <c r="U117" s="247" t="s">
        <v>418</v>
      </c>
      <c r="V117" s="247" t="s">
        <v>418</v>
      </c>
      <c r="W117" s="247" t="s">
        <v>418</v>
      </c>
      <c r="X117" s="247" t="s">
        <v>418</v>
      </c>
      <c r="Y117" s="247" t="s">
        <v>418</v>
      </c>
      <c r="Z117" s="247" t="s">
        <v>418</v>
      </c>
      <c r="AA117" s="248" t="s">
        <v>418</v>
      </c>
      <c r="AB117" s="248" t="s">
        <v>418</v>
      </c>
      <c r="AC117" s="248" t="s">
        <v>418</v>
      </c>
      <c r="AD117" s="248" t="s">
        <v>418</v>
      </c>
      <c r="AE117" s="248" t="s">
        <v>418</v>
      </c>
      <c r="AF117" s="248" t="s">
        <v>418</v>
      </c>
      <c r="AG117" s="248" t="s">
        <v>418</v>
      </c>
      <c r="AH117" s="161"/>
      <c r="AI117" s="156"/>
      <c r="AJ117" s="151"/>
      <c r="AK117" s="203"/>
      <c r="AL117" s="25"/>
      <c r="AM117" s="25"/>
    </row>
    <row r="118" spans="1:40" x14ac:dyDescent="0.4">
      <c r="A118" s="60" t="s">
        <v>8</v>
      </c>
      <c r="B118" s="2" t="s">
        <v>514</v>
      </c>
      <c r="C118" s="2" t="s">
        <v>518</v>
      </c>
      <c r="D118" s="12">
        <v>3</v>
      </c>
      <c r="E118" s="4">
        <v>1.44</v>
      </c>
      <c r="F118" s="275" t="s">
        <v>418</v>
      </c>
      <c r="G118" s="275" t="s">
        <v>418</v>
      </c>
      <c r="H118" s="277" t="str">
        <f>$B$296</f>
        <v>SP41- Blk</v>
      </c>
      <c r="I118" s="276" t="str">
        <f>IF('Area A'!$B$6='Item List'!$B$35,'Item List'!$B$300,'Item List'!$B$296)</f>
        <v>SP41- Blk</v>
      </c>
      <c r="J118" s="275" t="s">
        <v>418</v>
      </c>
      <c r="K118" s="275" t="s">
        <v>418</v>
      </c>
      <c r="L118" s="275" t="s">
        <v>418</v>
      </c>
      <c r="M118" s="280" t="s">
        <v>418</v>
      </c>
      <c r="N118" s="280" t="s">
        <v>418</v>
      </c>
      <c r="O118" s="282" t="str">
        <f>$B$296</f>
        <v>SP41- Blk</v>
      </c>
      <c r="P118" s="281" t="str">
        <f>IF('Area B'!$B$6='Item List'!$B$35,'Item List'!$B$300,'Item List'!$B$296)</f>
        <v>SP41- Blk</v>
      </c>
      <c r="Q118" s="280" t="s">
        <v>418</v>
      </c>
      <c r="R118" s="280" t="s">
        <v>418</v>
      </c>
      <c r="S118" s="280" t="s">
        <v>418</v>
      </c>
      <c r="T118" s="247" t="s">
        <v>418</v>
      </c>
      <c r="U118" s="247" t="s">
        <v>418</v>
      </c>
      <c r="V118" s="154" t="str">
        <f>$B$296</f>
        <v>SP41- Blk</v>
      </c>
      <c r="W118" s="206" t="str">
        <f>IF('Area C'!$B$6='Item List'!$B$35,'Item List'!$B$300,'Item List'!$B$296)</f>
        <v>SP42- Blk</v>
      </c>
      <c r="X118" s="247" t="s">
        <v>418</v>
      </c>
      <c r="Y118" s="247" t="s">
        <v>418</v>
      </c>
      <c r="Z118" s="247" t="s">
        <v>418</v>
      </c>
      <c r="AA118" s="248" t="s">
        <v>418</v>
      </c>
      <c r="AB118" s="248" t="s">
        <v>418</v>
      </c>
      <c r="AC118" s="202" t="str">
        <f>$B$296</f>
        <v>SP41- Blk</v>
      </c>
      <c r="AD118" s="249" t="str">
        <f>IF('Area D'!$B$6='Item List'!$B$35,'Item List'!$B$300,'Item List'!$B$296)</f>
        <v>SP42- Blk</v>
      </c>
      <c r="AE118" s="248" t="s">
        <v>418</v>
      </c>
      <c r="AF118" s="248" t="s">
        <v>418</v>
      </c>
      <c r="AG118" s="248" t="s">
        <v>418</v>
      </c>
      <c r="AH118" s="161"/>
      <c r="AI118" s="156"/>
      <c r="AJ118" s="151"/>
      <c r="AK118" s="203"/>
      <c r="AL118" s="25"/>
      <c r="AM118" s="25"/>
    </row>
    <row r="119" spans="1:40" x14ac:dyDescent="0.4">
      <c r="A119" s="60" t="s">
        <v>8</v>
      </c>
      <c r="B119" s="2" t="s">
        <v>515</v>
      </c>
      <c r="C119" s="2" t="s">
        <v>519</v>
      </c>
      <c r="D119" s="12">
        <v>3</v>
      </c>
      <c r="E119" s="4">
        <v>1.44</v>
      </c>
      <c r="F119" s="275" t="s">
        <v>418</v>
      </c>
      <c r="G119" s="275" t="s">
        <v>418</v>
      </c>
      <c r="H119" s="277" t="str">
        <f>$B$297</f>
        <v>SP41- Br</v>
      </c>
      <c r="I119" s="276" t="str">
        <f>IF('Area A'!$B$6='Item List'!$B$36,'Item List'!$B$301,'Item List'!$B$297)</f>
        <v>SP41- Br</v>
      </c>
      <c r="J119" s="275" t="s">
        <v>418</v>
      </c>
      <c r="K119" s="275" t="s">
        <v>418</v>
      </c>
      <c r="L119" s="275" t="s">
        <v>418</v>
      </c>
      <c r="M119" s="280" t="s">
        <v>418</v>
      </c>
      <c r="N119" s="280" t="s">
        <v>418</v>
      </c>
      <c r="O119" s="282" t="str">
        <f>$B$297</f>
        <v>SP41- Br</v>
      </c>
      <c r="P119" s="281" t="str">
        <f>IF('Area B'!$B$6='Item List'!$B$36,'Item List'!$B$301,'Item List'!$B$297)</f>
        <v>SP41- Br</v>
      </c>
      <c r="Q119" s="280" t="s">
        <v>418</v>
      </c>
      <c r="R119" s="280" t="s">
        <v>418</v>
      </c>
      <c r="S119" s="280" t="s">
        <v>418</v>
      </c>
      <c r="T119" s="247" t="s">
        <v>418</v>
      </c>
      <c r="U119" s="247" t="s">
        <v>418</v>
      </c>
      <c r="V119" s="154" t="str">
        <f>$B$297</f>
        <v>SP41- Br</v>
      </c>
      <c r="W119" s="206" t="str">
        <f>IF('Area C'!$B$6='Item List'!$B$36,'Item List'!$B$301,'Item List'!$B$297)</f>
        <v>SP41- Br</v>
      </c>
      <c r="X119" s="247" t="s">
        <v>418</v>
      </c>
      <c r="Y119" s="247" t="s">
        <v>418</v>
      </c>
      <c r="Z119" s="247" t="s">
        <v>418</v>
      </c>
      <c r="AA119" s="248" t="s">
        <v>418</v>
      </c>
      <c r="AB119" s="248" t="s">
        <v>418</v>
      </c>
      <c r="AC119" s="202" t="str">
        <f>$B$297</f>
        <v>SP41- Br</v>
      </c>
      <c r="AD119" s="249" t="str">
        <f>IF('Area D'!$B$6='Item List'!$B$36,'Item List'!$B$301,'Item List'!$B$297)</f>
        <v>SP41- Br</v>
      </c>
      <c r="AE119" s="248" t="s">
        <v>418</v>
      </c>
      <c r="AF119" s="248" t="s">
        <v>418</v>
      </c>
      <c r="AG119" s="248" t="s">
        <v>418</v>
      </c>
      <c r="AH119" s="161"/>
      <c r="AI119" s="156"/>
      <c r="AJ119" s="151"/>
      <c r="AK119" s="203"/>
      <c r="AL119" s="25"/>
      <c r="AM119" s="25"/>
    </row>
    <row r="120" spans="1:40" x14ac:dyDescent="0.4">
      <c r="A120" s="60" t="s">
        <v>8</v>
      </c>
      <c r="B120" s="2" t="s">
        <v>516</v>
      </c>
      <c r="C120" s="2" t="s">
        <v>520</v>
      </c>
      <c r="D120" s="12">
        <v>3</v>
      </c>
      <c r="E120" s="4">
        <v>1.74</v>
      </c>
      <c r="F120" s="275" t="s">
        <v>418</v>
      </c>
      <c r="G120" s="275" t="s">
        <v>418</v>
      </c>
      <c r="H120" s="277" t="str">
        <f>$B$298</f>
        <v>SP41- Cl</v>
      </c>
      <c r="I120" s="276" t="str">
        <f>IF('Area A'!$B$6='Item List'!$B$37,'Item List'!$B$302,'Item List'!$B$298)</f>
        <v>SP41- Cl</v>
      </c>
      <c r="J120" s="275" t="s">
        <v>418</v>
      </c>
      <c r="K120" s="275" t="s">
        <v>418</v>
      </c>
      <c r="L120" s="275" t="s">
        <v>418</v>
      </c>
      <c r="M120" s="280" t="s">
        <v>418</v>
      </c>
      <c r="N120" s="280" t="s">
        <v>418</v>
      </c>
      <c r="O120" s="282" t="str">
        <f>$B$298</f>
        <v>SP41- Cl</v>
      </c>
      <c r="P120" s="281" t="str">
        <f>IF('Area B'!$B$6='Item List'!$B$37,'Item List'!$B$302,'Item List'!$B$298)</f>
        <v>SP41- Cl</v>
      </c>
      <c r="Q120" s="280" t="s">
        <v>418</v>
      </c>
      <c r="R120" s="280" t="s">
        <v>418</v>
      </c>
      <c r="S120" s="280" t="s">
        <v>418</v>
      </c>
      <c r="T120" s="247" t="s">
        <v>418</v>
      </c>
      <c r="U120" s="247" t="s">
        <v>418</v>
      </c>
      <c r="V120" s="154" t="str">
        <f>$B$298</f>
        <v>SP41- Cl</v>
      </c>
      <c r="W120" s="206" t="str">
        <f>IF('Area C'!$B$6='Item List'!$B$37,'Item List'!$B$302,'Item List'!$B$298)</f>
        <v>SP41- Cl</v>
      </c>
      <c r="X120" s="247" t="s">
        <v>418</v>
      </c>
      <c r="Y120" s="247" t="s">
        <v>418</v>
      </c>
      <c r="Z120" s="247" t="s">
        <v>418</v>
      </c>
      <c r="AA120" s="248" t="s">
        <v>418</v>
      </c>
      <c r="AB120" s="248" t="s">
        <v>418</v>
      </c>
      <c r="AC120" s="202" t="str">
        <f>$B$298</f>
        <v>SP41- Cl</v>
      </c>
      <c r="AD120" s="249" t="str">
        <f>IF('Area D'!$B$6='Item List'!$B$37,'Item List'!$B$302,'Item List'!$B$298)</f>
        <v>SP41- Cl</v>
      </c>
      <c r="AE120" s="248" t="s">
        <v>418</v>
      </c>
      <c r="AF120" s="248" t="s">
        <v>418</v>
      </c>
      <c r="AG120" s="248" t="s">
        <v>418</v>
      </c>
      <c r="AH120" s="161"/>
      <c r="AI120" s="156"/>
      <c r="AJ120" s="151"/>
      <c r="AK120" s="203"/>
      <c r="AL120" s="25"/>
      <c r="AM120" s="25"/>
    </row>
    <row r="121" spans="1:40" x14ac:dyDescent="0.4">
      <c r="A121" s="60" t="s">
        <v>8</v>
      </c>
      <c r="B121" s="2" t="s">
        <v>517</v>
      </c>
      <c r="C121" s="2" t="s">
        <v>521</v>
      </c>
      <c r="D121" s="12">
        <v>3</v>
      </c>
      <c r="E121" s="4">
        <v>1.44</v>
      </c>
      <c r="F121" s="275" t="s">
        <v>418</v>
      </c>
      <c r="G121" s="275" t="s">
        <v>418</v>
      </c>
      <c r="H121" s="277" t="str">
        <f>$B$299</f>
        <v>SP41- W</v>
      </c>
      <c r="I121" s="276" t="str">
        <f>IF('Area A'!$B$6='Item List'!$B$38,'Item List'!$B$303,'Item List'!$B$299)</f>
        <v>SP41- W</v>
      </c>
      <c r="J121" s="275" t="s">
        <v>418</v>
      </c>
      <c r="K121" s="275" t="s">
        <v>418</v>
      </c>
      <c r="L121" s="275" t="s">
        <v>418</v>
      </c>
      <c r="M121" s="280" t="s">
        <v>418</v>
      </c>
      <c r="N121" s="280" t="s">
        <v>418</v>
      </c>
      <c r="O121" s="282" t="str">
        <f>$B$299</f>
        <v>SP41- W</v>
      </c>
      <c r="P121" s="281" t="str">
        <f>IF('Area B'!$B$6='Item List'!$B$38,'Item List'!$B$303,'Item List'!$B$299)</f>
        <v>SP41- W</v>
      </c>
      <c r="Q121" s="280" t="s">
        <v>418</v>
      </c>
      <c r="R121" s="280" t="s">
        <v>418</v>
      </c>
      <c r="S121" s="280" t="s">
        <v>418</v>
      </c>
      <c r="T121" s="247" t="s">
        <v>418</v>
      </c>
      <c r="U121" s="247" t="s">
        <v>418</v>
      </c>
      <c r="V121" s="154" t="str">
        <f>$B$299</f>
        <v>SP41- W</v>
      </c>
      <c r="W121" s="206" t="str">
        <f>IF('Area C'!$B$6='Item List'!$B$38,'Item List'!$B$303,'Item List'!$B$299)</f>
        <v>SP41- W</v>
      </c>
      <c r="X121" s="247" t="s">
        <v>418</v>
      </c>
      <c r="Y121" s="247" t="s">
        <v>418</v>
      </c>
      <c r="Z121" s="247" t="s">
        <v>418</v>
      </c>
      <c r="AA121" s="248" t="s">
        <v>418</v>
      </c>
      <c r="AB121" s="248" t="s">
        <v>418</v>
      </c>
      <c r="AC121" s="202" t="str">
        <f>$B$299</f>
        <v>SP41- W</v>
      </c>
      <c r="AD121" s="249" t="str">
        <f>IF('Area D'!$B$6='Item List'!$B$38,'Item List'!$B$303,'Item List'!$B$299)</f>
        <v>SP41- W</v>
      </c>
      <c r="AE121" s="248" t="s">
        <v>418</v>
      </c>
      <c r="AF121" s="248" t="s">
        <v>418</v>
      </c>
      <c r="AG121" s="248" t="s">
        <v>418</v>
      </c>
      <c r="AH121" s="161"/>
      <c r="AI121" s="156"/>
      <c r="AJ121" s="151"/>
      <c r="AK121" s="203"/>
      <c r="AL121" s="25"/>
      <c r="AM121" s="25"/>
    </row>
    <row r="122" spans="1:40" x14ac:dyDescent="0.4">
      <c r="A122" s="60" t="s">
        <v>8</v>
      </c>
      <c r="B122" s="2" t="s">
        <v>522</v>
      </c>
      <c r="C122" s="2" t="s">
        <v>526</v>
      </c>
      <c r="D122" s="12">
        <v>3</v>
      </c>
      <c r="E122" s="4">
        <v>1.62</v>
      </c>
      <c r="F122" s="275" t="s">
        <v>418</v>
      </c>
      <c r="G122" s="275" t="s">
        <v>418</v>
      </c>
      <c r="H122" s="277" t="str">
        <f>$B$296</f>
        <v>SP41- Blk</v>
      </c>
      <c r="I122" s="276" t="str">
        <f>IF('Area A'!$B$6='Item List'!$B$35,'Item List'!$B$300,'Item List'!$B$296)</f>
        <v>SP41- Blk</v>
      </c>
      <c r="J122" s="275" t="s">
        <v>418</v>
      </c>
      <c r="K122" s="275" t="s">
        <v>418</v>
      </c>
      <c r="L122" s="275" t="s">
        <v>418</v>
      </c>
      <c r="M122" s="280" t="s">
        <v>418</v>
      </c>
      <c r="N122" s="280" t="s">
        <v>418</v>
      </c>
      <c r="O122" s="282" t="str">
        <f>$B$296</f>
        <v>SP41- Blk</v>
      </c>
      <c r="P122" s="281" t="str">
        <f>IF('Area B'!$B$6='Item List'!$B$35,'Item List'!$B$300,'Item List'!$B$296)</f>
        <v>SP41- Blk</v>
      </c>
      <c r="Q122" s="280" t="s">
        <v>418</v>
      </c>
      <c r="R122" s="280" t="s">
        <v>418</v>
      </c>
      <c r="S122" s="280" t="s">
        <v>418</v>
      </c>
      <c r="T122" s="247" t="s">
        <v>418</v>
      </c>
      <c r="U122" s="247" t="s">
        <v>418</v>
      </c>
      <c r="V122" s="154" t="str">
        <f>$B$296</f>
        <v>SP41- Blk</v>
      </c>
      <c r="W122" s="206" t="str">
        <f>IF('Area C'!$B$6='Item List'!$B$35,'Item List'!$B$300,'Item List'!$B$296)</f>
        <v>SP42- Blk</v>
      </c>
      <c r="X122" s="247" t="s">
        <v>418</v>
      </c>
      <c r="Y122" s="247" t="s">
        <v>418</v>
      </c>
      <c r="Z122" s="247" t="s">
        <v>418</v>
      </c>
      <c r="AA122" s="248" t="s">
        <v>418</v>
      </c>
      <c r="AB122" s="248" t="s">
        <v>418</v>
      </c>
      <c r="AC122" s="202" t="str">
        <f>$B$296</f>
        <v>SP41- Blk</v>
      </c>
      <c r="AD122" s="249" t="str">
        <f>IF('Area D'!$B$6='Item List'!$B$35,'Item List'!$B$300,'Item List'!$B$296)</f>
        <v>SP42- Blk</v>
      </c>
      <c r="AE122" s="248" t="s">
        <v>418</v>
      </c>
      <c r="AF122" s="248" t="s">
        <v>418</v>
      </c>
      <c r="AG122" s="248" t="s">
        <v>418</v>
      </c>
      <c r="AH122" s="161"/>
      <c r="AI122" s="156"/>
      <c r="AJ122" s="151"/>
      <c r="AK122" s="203"/>
      <c r="AL122" s="25"/>
      <c r="AM122" s="25"/>
    </row>
    <row r="123" spans="1:40" x14ac:dyDescent="0.4">
      <c r="A123" s="60" t="s">
        <v>8</v>
      </c>
      <c r="B123" s="2" t="s">
        <v>523</v>
      </c>
      <c r="C123" s="2" t="s">
        <v>527</v>
      </c>
      <c r="D123" s="12">
        <v>3.5</v>
      </c>
      <c r="E123" s="4">
        <v>1.62</v>
      </c>
      <c r="F123" s="275" t="s">
        <v>418</v>
      </c>
      <c r="G123" s="275" t="s">
        <v>418</v>
      </c>
      <c r="H123" s="277" t="str">
        <f>$B$297</f>
        <v>SP41- Br</v>
      </c>
      <c r="I123" s="276" t="str">
        <f>IF('Area A'!$B$6='Item List'!$B$36,'Item List'!$B$301,'Item List'!$B$297)</f>
        <v>SP41- Br</v>
      </c>
      <c r="J123" s="275" t="s">
        <v>418</v>
      </c>
      <c r="K123" s="275" t="s">
        <v>418</v>
      </c>
      <c r="L123" s="275" t="s">
        <v>418</v>
      </c>
      <c r="M123" s="280" t="s">
        <v>418</v>
      </c>
      <c r="N123" s="280" t="s">
        <v>418</v>
      </c>
      <c r="O123" s="282" t="str">
        <f>$B$297</f>
        <v>SP41- Br</v>
      </c>
      <c r="P123" s="281" t="str">
        <f>IF('Area B'!$B$6='Item List'!$B$36,'Item List'!$B$301,'Item List'!$B$297)</f>
        <v>SP41- Br</v>
      </c>
      <c r="Q123" s="280" t="s">
        <v>418</v>
      </c>
      <c r="R123" s="280" t="s">
        <v>418</v>
      </c>
      <c r="S123" s="280" t="s">
        <v>418</v>
      </c>
      <c r="T123" s="247" t="s">
        <v>418</v>
      </c>
      <c r="U123" s="247" t="s">
        <v>418</v>
      </c>
      <c r="V123" s="154" t="str">
        <f>$B$297</f>
        <v>SP41- Br</v>
      </c>
      <c r="W123" s="206" t="str">
        <f>IF('Area C'!$B$6='Item List'!$B$36,'Item List'!$B$301,'Item List'!$B$297)</f>
        <v>SP41- Br</v>
      </c>
      <c r="X123" s="247" t="s">
        <v>418</v>
      </c>
      <c r="Y123" s="247" t="s">
        <v>418</v>
      </c>
      <c r="Z123" s="247" t="s">
        <v>418</v>
      </c>
      <c r="AA123" s="248" t="s">
        <v>418</v>
      </c>
      <c r="AB123" s="248" t="s">
        <v>418</v>
      </c>
      <c r="AC123" s="202" t="str">
        <f>$B$297</f>
        <v>SP41- Br</v>
      </c>
      <c r="AD123" s="249" t="str">
        <f>IF('Area D'!$B$6='Item List'!$B$36,'Item List'!$B$301,'Item List'!$B$297)</f>
        <v>SP41- Br</v>
      </c>
      <c r="AE123" s="248" t="s">
        <v>418</v>
      </c>
      <c r="AF123" s="248" t="s">
        <v>418</v>
      </c>
      <c r="AG123" s="248" t="s">
        <v>418</v>
      </c>
      <c r="AH123" s="161"/>
      <c r="AI123" s="156"/>
      <c r="AJ123" s="151"/>
      <c r="AK123" s="203"/>
      <c r="AL123" s="25"/>
      <c r="AM123" s="25"/>
    </row>
    <row r="124" spans="1:40" x14ac:dyDescent="0.4">
      <c r="A124" s="60" t="s">
        <v>8</v>
      </c>
      <c r="B124" s="2" t="s">
        <v>524</v>
      </c>
      <c r="C124" s="2" t="s">
        <v>528</v>
      </c>
      <c r="D124" s="12">
        <v>3.5</v>
      </c>
      <c r="E124" s="4">
        <v>1.96</v>
      </c>
      <c r="F124" s="275" t="s">
        <v>418</v>
      </c>
      <c r="G124" s="275" t="s">
        <v>418</v>
      </c>
      <c r="H124" s="277" t="str">
        <f>$B$298</f>
        <v>SP41- Cl</v>
      </c>
      <c r="I124" s="276" t="str">
        <f>IF('Area A'!$B$6='Item List'!$B$37,'Item List'!$B$302,'Item List'!$B$298)</f>
        <v>SP41- Cl</v>
      </c>
      <c r="J124" s="275" t="s">
        <v>418</v>
      </c>
      <c r="K124" s="275" t="s">
        <v>418</v>
      </c>
      <c r="L124" s="275" t="s">
        <v>418</v>
      </c>
      <c r="M124" s="280" t="s">
        <v>418</v>
      </c>
      <c r="N124" s="280" t="s">
        <v>418</v>
      </c>
      <c r="O124" s="282" t="str">
        <f>$B$298</f>
        <v>SP41- Cl</v>
      </c>
      <c r="P124" s="281" t="str">
        <f>IF('Area B'!$B$6='Item List'!$B$37,'Item List'!$B$302,'Item List'!$B$298)</f>
        <v>SP41- Cl</v>
      </c>
      <c r="Q124" s="280" t="s">
        <v>418</v>
      </c>
      <c r="R124" s="280" t="s">
        <v>418</v>
      </c>
      <c r="S124" s="280" t="s">
        <v>418</v>
      </c>
      <c r="T124" s="247" t="s">
        <v>418</v>
      </c>
      <c r="U124" s="247" t="s">
        <v>418</v>
      </c>
      <c r="V124" s="154" t="str">
        <f>$B$298</f>
        <v>SP41- Cl</v>
      </c>
      <c r="W124" s="206" t="str">
        <f>IF('Area C'!$B$6='Item List'!$B$37,'Item List'!$B$302,'Item List'!$B$298)</f>
        <v>SP41- Cl</v>
      </c>
      <c r="X124" s="247" t="s">
        <v>418</v>
      </c>
      <c r="Y124" s="247" t="s">
        <v>418</v>
      </c>
      <c r="Z124" s="247" t="s">
        <v>418</v>
      </c>
      <c r="AA124" s="248" t="s">
        <v>418</v>
      </c>
      <c r="AB124" s="248" t="s">
        <v>418</v>
      </c>
      <c r="AC124" s="202" t="str">
        <f>$B$298</f>
        <v>SP41- Cl</v>
      </c>
      <c r="AD124" s="249" t="str">
        <f>IF('Area D'!$B$6='Item List'!$B$37,'Item List'!$B$302,'Item List'!$B$298)</f>
        <v>SP41- Cl</v>
      </c>
      <c r="AE124" s="248" t="s">
        <v>418</v>
      </c>
      <c r="AF124" s="248" t="s">
        <v>418</v>
      </c>
      <c r="AG124" s="248" t="s">
        <v>418</v>
      </c>
      <c r="AH124" s="161"/>
      <c r="AI124" s="156"/>
      <c r="AJ124" s="151"/>
      <c r="AK124" s="203"/>
      <c r="AL124" s="25"/>
      <c r="AM124" s="25"/>
    </row>
    <row r="125" spans="1:40" x14ac:dyDescent="0.4">
      <c r="A125" s="60" t="s">
        <v>8</v>
      </c>
      <c r="B125" s="2" t="s">
        <v>525</v>
      </c>
      <c r="C125" s="2" t="s">
        <v>529</v>
      </c>
      <c r="D125" s="12">
        <v>3.5</v>
      </c>
      <c r="E125" s="4">
        <v>1.62</v>
      </c>
      <c r="F125" s="275" t="s">
        <v>418</v>
      </c>
      <c r="G125" s="275" t="s">
        <v>418</v>
      </c>
      <c r="H125" s="277" t="str">
        <f>$B$299</f>
        <v>SP41- W</v>
      </c>
      <c r="I125" s="276" t="str">
        <f>IF('Area A'!$B$6='Item List'!$B$38,'Item List'!$B$303,'Item List'!$B$299)</f>
        <v>SP41- W</v>
      </c>
      <c r="J125" s="275" t="s">
        <v>418</v>
      </c>
      <c r="K125" s="275" t="s">
        <v>418</v>
      </c>
      <c r="L125" s="275" t="s">
        <v>418</v>
      </c>
      <c r="M125" s="280" t="s">
        <v>418</v>
      </c>
      <c r="N125" s="280" t="s">
        <v>418</v>
      </c>
      <c r="O125" s="282" t="str">
        <f>$B$299</f>
        <v>SP41- W</v>
      </c>
      <c r="P125" s="281" t="str">
        <f>IF('Area B'!$B$6='Item List'!$B$38,'Item List'!$B$303,'Item List'!$B$299)</f>
        <v>SP41- W</v>
      </c>
      <c r="Q125" s="280" t="s">
        <v>418</v>
      </c>
      <c r="R125" s="280" t="s">
        <v>418</v>
      </c>
      <c r="S125" s="280" t="s">
        <v>418</v>
      </c>
      <c r="T125" s="247" t="s">
        <v>418</v>
      </c>
      <c r="U125" s="247" t="s">
        <v>418</v>
      </c>
      <c r="V125" s="154" t="str">
        <f>$B$299</f>
        <v>SP41- W</v>
      </c>
      <c r="W125" s="206" t="str">
        <f>IF('Area C'!$B$6='Item List'!$B$38,'Item List'!$B$303,'Item List'!$B$299)</f>
        <v>SP41- W</v>
      </c>
      <c r="X125" s="247" t="s">
        <v>418</v>
      </c>
      <c r="Y125" s="247" t="s">
        <v>418</v>
      </c>
      <c r="Z125" s="247" t="s">
        <v>418</v>
      </c>
      <c r="AA125" s="248" t="s">
        <v>418</v>
      </c>
      <c r="AB125" s="248" t="s">
        <v>418</v>
      </c>
      <c r="AC125" s="202" t="str">
        <f>$B$299</f>
        <v>SP41- W</v>
      </c>
      <c r="AD125" s="249" t="str">
        <f>IF('Area D'!$B$6='Item List'!$B$38,'Item List'!$B$303,'Item List'!$B$299)</f>
        <v>SP41- W</v>
      </c>
      <c r="AE125" s="248" t="s">
        <v>418</v>
      </c>
      <c r="AF125" s="248" t="s">
        <v>418</v>
      </c>
      <c r="AG125" s="248" t="s">
        <v>418</v>
      </c>
      <c r="AH125" s="161"/>
      <c r="AI125" s="156"/>
      <c r="AJ125" s="151"/>
      <c r="AK125" s="203"/>
      <c r="AL125" s="25"/>
      <c r="AM125" s="25"/>
    </row>
    <row r="126" spans="1:40" s="271" customFormat="1" x14ac:dyDescent="0.4">
      <c r="A126" s="60" t="s">
        <v>8</v>
      </c>
      <c r="B126" s="99" t="s">
        <v>418</v>
      </c>
      <c r="C126" s="99" t="s">
        <v>418</v>
      </c>
      <c r="D126" s="12"/>
      <c r="E126" s="4">
        <v>0</v>
      </c>
      <c r="F126" s="275" t="s">
        <v>418</v>
      </c>
      <c r="G126" s="275" t="s">
        <v>418</v>
      </c>
      <c r="H126" s="275" t="s">
        <v>418</v>
      </c>
      <c r="I126" s="275" t="s">
        <v>418</v>
      </c>
      <c r="J126" s="275" t="s">
        <v>418</v>
      </c>
      <c r="K126" s="275" t="s">
        <v>418</v>
      </c>
      <c r="L126" s="275" t="s">
        <v>418</v>
      </c>
      <c r="M126" s="280" t="s">
        <v>418</v>
      </c>
      <c r="N126" s="280" t="s">
        <v>418</v>
      </c>
      <c r="O126" s="280" t="s">
        <v>418</v>
      </c>
      <c r="P126" s="280" t="s">
        <v>418</v>
      </c>
      <c r="Q126" s="280" t="s">
        <v>418</v>
      </c>
      <c r="R126" s="280" t="s">
        <v>418</v>
      </c>
      <c r="S126" s="280" t="s">
        <v>418</v>
      </c>
      <c r="T126" s="247" t="s">
        <v>418</v>
      </c>
      <c r="U126" s="247" t="s">
        <v>418</v>
      </c>
      <c r="V126" s="247" t="s">
        <v>418</v>
      </c>
      <c r="W126" s="247" t="s">
        <v>418</v>
      </c>
      <c r="X126" s="247" t="s">
        <v>418</v>
      </c>
      <c r="Y126" s="247" t="s">
        <v>418</v>
      </c>
      <c r="Z126" s="247" t="s">
        <v>418</v>
      </c>
      <c r="AA126" s="248" t="s">
        <v>418</v>
      </c>
      <c r="AB126" s="248" t="s">
        <v>418</v>
      </c>
      <c r="AC126" s="248" t="s">
        <v>418</v>
      </c>
      <c r="AD126" s="248" t="s">
        <v>418</v>
      </c>
      <c r="AE126" s="248" t="s">
        <v>418</v>
      </c>
      <c r="AF126" s="248" t="s">
        <v>418</v>
      </c>
      <c r="AG126" s="248" t="s">
        <v>418</v>
      </c>
      <c r="AH126" s="161"/>
      <c r="AI126" s="156"/>
      <c r="AJ126" s="151"/>
      <c r="AK126" s="203"/>
      <c r="AL126" s="25"/>
      <c r="AM126" s="25"/>
      <c r="AN126" s="22"/>
    </row>
    <row r="127" spans="1:40" s="271" customFormat="1" x14ac:dyDescent="0.4">
      <c r="A127" s="60" t="s">
        <v>8</v>
      </c>
      <c r="B127" s="99" t="s">
        <v>885</v>
      </c>
      <c r="C127" s="99" t="s">
        <v>883</v>
      </c>
      <c r="D127" s="12">
        <v>21.58333333333</v>
      </c>
      <c r="E127" s="4">
        <v>9.7718000000000007</v>
      </c>
      <c r="F127" s="275" t="s">
        <v>418</v>
      </c>
      <c r="G127" s="275" t="s">
        <v>418</v>
      </c>
      <c r="H127" s="275" t="s">
        <v>418</v>
      </c>
      <c r="I127" s="275" t="s">
        <v>418</v>
      </c>
      <c r="J127" s="275" t="s">
        <v>418</v>
      </c>
      <c r="K127" s="275" t="s">
        <v>418</v>
      </c>
      <c r="L127" s="275" t="s">
        <v>418</v>
      </c>
      <c r="M127" s="280" t="s">
        <v>418</v>
      </c>
      <c r="N127" s="280" t="s">
        <v>418</v>
      </c>
      <c r="O127" s="280" t="s">
        <v>418</v>
      </c>
      <c r="P127" s="281"/>
      <c r="Q127" s="280" t="s">
        <v>418</v>
      </c>
      <c r="R127" s="280" t="s">
        <v>418</v>
      </c>
      <c r="S127" s="280" t="s">
        <v>418</v>
      </c>
      <c r="T127" s="247" t="s">
        <v>418</v>
      </c>
      <c r="U127" s="247" t="s">
        <v>418</v>
      </c>
      <c r="V127" s="247" t="s">
        <v>418</v>
      </c>
      <c r="W127" s="206"/>
      <c r="X127" s="247" t="s">
        <v>418</v>
      </c>
      <c r="Y127" s="247" t="s">
        <v>418</v>
      </c>
      <c r="Z127" s="247" t="s">
        <v>418</v>
      </c>
      <c r="AA127" s="248" t="s">
        <v>418</v>
      </c>
      <c r="AB127" s="248" t="s">
        <v>418</v>
      </c>
      <c r="AC127" s="248" t="s">
        <v>418</v>
      </c>
      <c r="AD127" s="249"/>
      <c r="AE127" s="248" t="s">
        <v>418</v>
      </c>
      <c r="AF127" s="248" t="s">
        <v>418</v>
      </c>
      <c r="AG127" s="248" t="s">
        <v>418</v>
      </c>
      <c r="AH127" s="161"/>
      <c r="AI127" s="156"/>
      <c r="AJ127" s="151"/>
      <c r="AK127" s="203"/>
      <c r="AL127" s="25"/>
      <c r="AM127" s="25"/>
      <c r="AN127" s="22"/>
    </row>
    <row r="128" spans="1:40" x14ac:dyDescent="0.4">
      <c r="A128" s="60" t="s">
        <v>8</v>
      </c>
      <c r="B128" s="2" t="s">
        <v>418</v>
      </c>
      <c r="C128" s="2" t="s">
        <v>418</v>
      </c>
      <c r="D128" s="12"/>
      <c r="E128" s="4"/>
      <c r="F128" s="275" t="s">
        <v>418</v>
      </c>
      <c r="G128" s="275" t="s">
        <v>418</v>
      </c>
      <c r="H128" s="275" t="s">
        <v>418</v>
      </c>
      <c r="I128" s="275" t="s">
        <v>418</v>
      </c>
      <c r="J128" s="275" t="s">
        <v>418</v>
      </c>
      <c r="K128" s="275" t="s">
        <v>418</v>
      </c>
      <c r="L128" s="275" t="s">
        <v>418</v>
      </c>
      <c r="M128" s="280" t="s">
        <v>418</v>
      </c>
      <c r="N128" s="280" t="s">
        <v>418</v>
      </c>
      <c r="O128" s="280" t="s">
        <v>418</v>
      </c>
      <c r="P128" s="280" t="s">
        <v>418</v>
      </c>
      <c r="Q128" s="280" t="s">
        <v>418</v>
      </c>
      <c r="R128" s="280" t="s">
        <v>418</v>
      </c>
      <c r="S128" s="280" t="s">
        <v>418</v>
      </c>
      <c r="T128" s="247" t="s">
        <v>418</v>
      </c>
      <c r="U128" s="247" t="s">
        <v>418</v>
      </c>
      <c r="V128" s="247" t="s">
        <v>418</v>
      </c>
      <c r="W128" s="247" t="s">
        <v>418</v>
      </c>
      <c r="X128" s="247" t="s">
        <v>418</v>
      </c>
      <c r="Y128" s="247" t="s">
        <v>418</v>
      </c>
      <c r="Z128" s="247" t="s">
        <v>418</v>
      </c>
      <c r="AA128" s="248" t="s">
        <v>418</v>
      </c>
      <c r="AB128" s="248" t="s">
        <v>418</v>
      </c>
      <c r="AC128" s="248" t="s">
        <v>418</v>
      </c>
      <c r="AD128" s="248" t="s">
        <v>418</v>
      </c>
      <c r="AE128" s="248" t="s">
        <v>418</v>
      </c>
      <c r="AF128" s="248" t="s">
        <v>418</v>
      </c>
      <c r="AG128" s="248" t="s">
        <v>418</v>
      </c>
      <c r="AH128" s="161"/>
      <c r="AI128" s="156"/>
      <c r="AJ128" s="151"/>
      <c r="AK128" s="203"/>
      <c r="AL128" s="25"/>
      <c r="AM128" s="25"/>
    </row>
    <row r="129" spans="1:40" x14ac:dyDescent="0.4">
      <c r="A129" s="60" t="s">
        <v>8</v>
      </c>
      <c r="B129" s="2" t="s">
        <v>470</v>
      </c>
      <c r="C129" s="2" t="s">
        <v>348</v>
      </c>
      <c r="D129" s="12"/>
      <c r="E129" s="4">
        <v>4.04</v>
      </c>
      <c r="F129" s="275" t="s">
        <v>418</v>
      </c>
      <c r="G129" s="275" t="s">
        <v>418</v>
      </c>
      <c r="H129" s="275" t="s">
        <v>418</v>
      </c>
      <c r="I129" s="275" t="s">
        <v>418</v>
      </c>
      <c r="J129" s="275" t="s">
        <v>418</v>
      </c>
      <c r="K129" s="275" t="s">
        <v>418</v>
      </c>
      <c r="L129" s="275" t="s">
        <v>418</v>
      </c>
      <c r="M129" s="280" t="s">
        <v>418</v>
      </c>
      <c r="N129" s="280" t="s">
        <v>418</v>
      </c>
      <c r="O129" s="280" t="s">
        <v>418</v>
      </c>
      <c r="P129" s="280" t="s">
        <v>418</v>
      </c>
      <c r="Q129" s="280" t="s">
        <v>418</v>
      </c>
      <c r="R129" s="280" t="s">
        <v>418</v>
      </c>
      <c r="S129" s="280" t="s">
        <v>418</v>
      </c>
      <c r="T129" s="247" t="s">
        <v>418</v>
      </c>
      <c r="U129" s="247" t="s">
        <v>418</v>
      </c>
      <c r="V129" s="247" t="s">
        <v>418</v>
      </c>
      <c r="W129" s="247" t="s">
        <v>418</v>
      </c>
      <c r="X129" s="247" t="s">
        <v>418</v>
      </c>
      <c r="Y129" s="247" t="s">
        <v>418</v>
      </c>
      <c r="Z129" s="247" t="s">
        <v>418</v>
      </c>
      <c r="AA129" s="248" t="s">
        <v>418</v>
      </c>
      <c r="AB129" s="248" t="s">
        <v>418</v>
      </c>
      <c r="AC129" s="248" t="s">
        <v>418</v>
      </c>
      <c r="AD129" s="248" t="s">
        <v>418</v>
      </c>
      <c r="AE129" s="248" t="s">
        <v>418</v>
      </c>
      <c r="AF129" s="248" t="s">
        <v>418</v>
      </c>
      <c r="AG129" s="248" t="s">
        <v>418</v>
      </c>
      <c r="AH129" s="161"/>
      <c r="AI129" s="156"/>
      <c r="AJ129" s="151"/>
      <c r="AK129" s="203"/>
      <c r="AL129" s="25"/>
      <c r="AM129" s="25"/>
    </row>
    <row r="130" spans="1:40" x14ac:dyDescent="0.4">
      <c r="A130" s="60" t="s">
        <v>8</v>
      </c>
      <c r="B130" s="2" t="s">
        <v>469</v>
      </c>
      <c r="C130" s="2" t="s">
        <v>349</v>
      </c>
      <c r="D130" s="12"/>
      <c r="E130" s="4">
        <v>2.37</v>
      </c>
      <c r="F130" s="275" t="s">
        <v>418</v>
      </c>
      <c r="G130" s="275" t="s">
        <v>418</v>
      </c>
      <c r="H130" s="275" t="s">
        <v>418</v>
      </c>
      <c r="I130" s="275" t="s">
        <v>418</v>
      </c>
      <c r="J130" s="275" t="s">
        <v>418</v>
      </c>
      <c r="K130" s="275" t="s">
        <v>418</v>
      </c>
      <c r="L130" s="275" t="s">
        <v>418</v>
      </c>
      <c r="M130" s="280" t="s">
        <v>418</v>
      </c>
      <c r="N130" s="280" t="s">
        <v>418</v>
      </c>
      <c r="O130" s="280" t="s">
        <v>418</v>
      </c>
      <c r="P130" s="280" t="s">
        <v>418</v>
      </c>
      <c r="Q130" s="280" t="s">
        <v>418</v>
      </c>
      <c r="R130" s="280" t="s">
        <v>418</v>
      </c>
      <c r="S130" s="280" t="s">
        <v>418</v>
      </c>
      <c r="T130" s="247" t="s">
        <v>418</v>
      </c>
      <c r="U130" s="247" t="s">
        <v>418</v>
      </c>
      <c r="V130" s="247" t="s">
        <v>418</v>
      </c>
      <c r="W130" s="247" t="s">
        <v>418</v>
      </c>
      <c r="X130" s="247" t="s">
        <v>418</v>
      </c>
      <c r="Y130" s="247" t="s">
        <v>418</v>
      </c>
      <c r="Z130" s="247" t="s">
        <v>418</v>
      </c>
      <c r="AA130" s="248" t="s">
        <v>418</v>
      </c>
      <c r="AB130" s="248" t="s">
        <v>418</v>
      </c>
      <c r="AC130" s="248" t="s">
        <v>418</v>
      </c>
      <c r="AD130" s="248" t="s">
        <v>418</v>
      </c>
      <c r="AE130" s="248" t="s">
        <v>418</v>
      </c>
      <c r="AF130" s="248" t="s">
        <v>418</v>
      </c>
      <c r="AG130" s="248" t="s">
        <v>418</v>
      </c>
      <c r="AH130" s="161"/>
      <c r="AI130" s="156"/>
      <c r="AJ130" s="151"/>
      <c r="AK130" s="203"/>
      <c r="AL130" s="25"/>
      <c r="AM130" s="25"/>
    </row>
    <row r="131" spans="1:40" x14ac:dyDescent="0.4">
      <c r="A131" s="60" t="s">
        <v>8</v>
      </c>
      <c r="B131" s="2" t="s">
        <v>350</v>
      </c>
      <c r="C131" s="2" t="s">
        <v>351</v>
      </c>
      <c r="D131" s="12"/>
      <c r="E131" s="4">
        <v>11.02</v>
      </c>
      <c r="F131" s="275" t="s">
        <v>418</v>
      </c>
      <c r="G131" s="275" t="s">
        <v>418</v>
      </c>
      <c r="H131" s="275" t="s">
        <v>418</v>
      </c>
      <c r="I131" s="275" t="s">
        <v>418</v>
      </c>
      <c r="J131" s="275" t="s">
        <v>418</v>
      </c>
      <c r="K131" s="275" t="s">
        <v>418</v>
      </c>
      <c r="L131" s="275" t="s">
        <v>418</v>
      </c>
      <c r="M131" s="280" t="s">
        <v>418</v>
      </c>
      <c r="N131" s="280" t="s">
        <v>418</v>
      </c>
      <c r="O131" s="280" t="s">
        <v>418</v>
      </c>
      <c r="P131" s="280" t="s">
        <v>418</v>
      </c>
      <c r="Q131" s="280" t="s">
        <v>418</v>
      </c>
      <c r="R131" s="280" t="s">
        <v>418</v>
      </c>
      <c r="S131" s="280" t="s">
        <v>418</v>
      </c>
      <c r="T131" s="247" t="s">
        <v>418</v>
      </c>
      <c r="U131" s="247" t="s">
        <v>418</v>
      </c>
      <c r="V131" s="247" t="s">
        <v>418</v>
      </c>
      <c r="W131" s="247" t="s">
        <v>418</v>
      </c>
      <c r="X131" s="247" t="s">
        <v>418</v>
      </c>
      <c r="Y131" s="247" t="s">
        <v>418</v>
      </c>
      <c r="Z131" s="247" t="s">
        <v>418</v>
      </c>
      <c r="AA131" s="248" t="s">
        <v>418</v>
      </c>
      <c r="AB131" s="248" t="s">
        <v>418</v>
      </c>
      <c r="AC131" s="248" t="s">
        <v>418</v>
      </c>
      <c r="AD131" s="248" t="s">
        <v>418</v>
      </c>
      <c r="AE131" s="248" t="s">
        <v>418</v>
      </c>
      <c r="AF131" s="248" t="s">
        <v>418</v>
      </c>
      <c r="AG131" s="248" t="s">
        <v>418</v>
      </c>
      <c r="AH131" s="161"/>
      <c r="AI131" s="156"/>
      <c r="AJ131" s="151"/>
      <c r="AK131" s="203"/>
      <c r="AL131" s="25"/>
      <c r="AM131" s="25"/>
    </row>
    <row r="132" spans="1:40" x14ac:dyDescent="0.4">
      <c r="A132" s="60" t="s">
        <v>8</v>
      </c>
      <c r="B132" s="2" t="s">
        <v>352</v>
      </c>
      <c r="C132" s="2" t="s">
        <v>353</v>
      </c>
      <c r="D132" s="12"/>
      <c r="E132" s="4">
        <v>5.62</v>
      </c>
      <c r="F132" s="275" t="s">
        <v>418</v>
      </c>
      <c r="G132" s="275" t="s">
        <v>418</v>
      </c>
      <c r="H132" s="275" t="s">
        <v>418</v>
      </c>
      <c r="I132" s="275" t="s">
        <v>418</v>
      </c>
      <c r="J132" s="275" t="s">
        <v>418</v>
      </c>
      <c r="K132" s="275" t="s">
        <v>418</v>
      </c>
      <c r="L132" s="275" t="s">
        <v>418</v>
      </c>
      <c r="M132" s="280" t="s">
        <v>418</v>
      </c>
      <c r="N132" s="280" t="s">
        <v>418</v>
      </c>
      <c r="O132" s="280" t="s">
        <v>418</v>
      </c>
      <c r="P132" s="280" t="s">
        <v>418</v>
      </c>
      <c r="Q132" s="280" t="s">
        <v>418</v>
      </c>
      <c r="R132" s="280" t="s">
        <v>418</v>
      </c>
      <c r="S132" s="280" t="s">
        <v>418</v>
      </c>
      <c r="T132" s="247" t="s">
        <v>418</v>
      </c>
      <c r="U132" s="247" t="s">
        <v>418</v>
      </c>
      <c r="V132" s="247" t="s">
        <v>418</v>
      </c>
      <c r="W132" s="247" t="s">
        <v>418</v>
      </c>
      <c r="X132" s="247" t="s">
        <v>418</v>
      </c>
      <c r="Y132" s="247" t="s">
        <v>418</v>
      </c>
      <c r="Z132" s="247" t="s">
        <v>418</v>
      </c>
      <c r="AA132" s="248" t="s">
        <v>418</v>
      </c>
      <c r="AB132" s="248" t="s">
        <v>418</v>
      </c>
      <c r="AC132" s="248" t="s">
        <v>418</v>
      </c>
      <c r="AD132" s="248" t="s">
        <v>418</v>
      </c>
      <c r="AE132" s="248" t="s">
        <v>418</v>
      </c>
      <c r="AF132" s="248" t="s">
        <v>418</v>
      </c>
      <c r="AG132" s="248" t="s">
        <v>418</v>
      </c>
      <c r="AH132" s="161"/>
      <c r="AI132" s="156"/>
      <c r="AJ132" s="151"/>
      <c r="AK132" s="203"/>
      <c r="AL132" s="25"/>
      <c r="AM132" s="25"/>
    </row>
    <row r="133" spans="1:40" x14ac:dyDescent="0.4">
      <c r="A133" s="60" t="s">
        <v>8</v>
      </c>
      <c r="B133" s="2" t="s">
        <v>471</v>
      </c>
      <c r="C133" s="2" t="s">
        <v>354</v>
      </c>
      <c r="D133" s="12"/>
      <c r="E133" s="4">
        <v>4.04</v>
      </c>
      <c r="F133" s="275" t="s">
        <v>418</v>
      </c>
      <c r="G133" s="275" t="s">
        <v>418</v>
      </c>
      <c r="H133" s="275" t="s">
        <v>418</v>
      </c>
      <c r="I133" s="275" t="s">
        <v>418</v>
      </c>
      <c r="J133" s="275" t="s">
        <v>418</v>
      </c>
      <c r="K133" s="275" t="s">
        <v>418</v>
      </c>
      <c r="L133" s="275" t="s">
        <v>418</v>
      </c>
      <c r="M133" s="280" t="s">
        <v>418</v>
      </c>
      <c r="N133" s="280" t="s">
        <v>418</v>
      </c>
      <c r="O133" s="280" t="s">
        <v>418</v>
      </c>
      <c r="P133" s="280" t="s">
        <v>418</v>
      </c>
      <c r="Q133" s="280" t="s">
        <v>418</v>
      </c>
      <c r="R133" s="280" t="s">
        <v>418</v>
      </c>
      <c r="S133" s="280" t="s">
        <v>418</v>
      </c>
      <c r="T133" s="247" t="s">
        <v>418</v>
      </c>
      <c r="U133" s="247" t="s">
        <v>418</v>
      </c>
      <c r="V133" s="247" t="s">
        <v>418</v>
      </c>
      <c r="W133" s="247" t="s">
        <v>418</v>
      </c>
      <c r="X133" s="247" t="s">
        <v>418</v>
      </c>
      <c r="Y133" s="247" t="s">
        <v>418</v>
      </c>
      <c r="Z133" s="247" t="s">
        <v>418</v>
      </c>
      <c r="AA133" s="248" t="s">
        <v>418</v>
      </c>
      <c r="AB133" s="248" t="s">
        <v>418</v>
      </c>
      <c r="AC133" s="248" t="s">
        <v>418</v>
      </c>
      <c r="AD133" s="248" t="s">
        <v>418</v>
      </c>
      <c r="AE133" s="248" t="s">
        <v>418</v>
      </c>
      <c r="AF133" s="248" t="s">
        <v>418</v>
      </c>
      <c r="AG133" s="248" t="s">
        <v>418</v>
      </c>
      <c r="AH133" s="161"/>
      <c r="AI133" s="156"/>
      <c r="AJ133" s="151"/>
      <c r="AK133" s="203"/>
      <c r="AL133" s="25"/>
      <c r="AM133" s="25"/>
    </row>
    <row r="134" spans="1:40" x14ac:dyDescent="0.4">
      <c r="A134" s="60" t="s">
        <v>8</v>
      </c>
      <c r="B134" s="2" t="s">
        <v>474</v>
      </c>
      <c r="C134" s="2" t="s">
        <v>360</v>
      </c>
      <c r="D134" s="12"/>
      <c r="E134" s="4">
        <v>10.23</v>
      </c>
      <c r="F134" s="275" t="s">
        <v>418</v>
      </c>
      <c r="G134" s="275" t="s">
        <v>418</v>
      </c>
      <c r="H134" s="275" t="s">
        <v>418</v>
      </c>
      <c r="I134" s="275" t="s">
        <v>418</v>
      </c>
      <c r="J134" s="275" t="s">
        <v>418</v>
      </c>
      <c r="K134" s="275" t="s">
        <v>418</v>
      </c>
      <c r="L134" s="275" t="s">
        <v>418</v>
      </c>
      <c r="M134" s="280" t="s">
        <v>418</v>
      </c>
      <c r="N134" s="280" t="s">
        <v>418</v>
      </c>
      <c r="O134" s="280" t="s">
        <v>418</v>
      </c>
      <c r="P134" s="280" t="s">
        <v>418</v>
      </c>
      <c r="Q134" s="280" t="s">
        <v>418</v>
      </c>
      <c r="R134" s="280" t="s">
        <v>418</v>
      </c>
      <c r="S134" s="280" t="s">
        <v>418</v>
      </c>
      <c r="T134" s="247" t="s">
        <v>418</v>
      </c>
      <c r="U134" s="247" t="s">
        <v>418</v>
      </c>
      <c r="V134" s="247" t="s">
        <v>418</v>
      </c>
      <c r="W134" s="247" t="s">
        <v>418</v>
      </c>
      <c r="X134" s="247" t="s">
        <v>418</v>
      </c>
      <c r="Y134" s="247" t="s">
        <v>418</v>
      </c>
      <c r="Z134" s="247" t="s">
        <v>418</v>
      </c>
      <c r="AA134" s="248" t="s">
        <v>418</v>
      </c>
      <c r="AB134" s="248" t="s">
        <v>418</v>
      </c>
      <c r="AC134" s="248" t="s">
        <v>418</v>
      </c>
      <c r="AD134" s="248" t="s">
        <v>418</v>
      </c>
      <c r="AE134" s="248" t="s">
        <v>418</v>
      </c>
      <c r="AF134" s="248" t="s">
        <v>418</v>
      </c>
      <c r="AG134" s="248" t="s">
        <v>418</v>
      </c>
      <c r="AH134" s="161"/>
      <c r="AI134" s="156"/>
      <c r="AJ134" s="151"/>
      <c r="AK134" s="203"/>
      <c r="AL134" s="25"/>
      <c r="AM134" s="25"/>
    </row>
    <row r="135" spans="1:40" s="90" customFormat="1" x14ac:dyDescent="0.4">
      <c r="A135" s="60" t="s">
        <v>8</v>
      </c>
      <c r="B135" s="93" t="s">
        <v>663</v>
      </c>
      <c r="C135" s="93" t="s">
        <v>664</v>
      </c>
      <c r="D135" s="12"/>
      <c r="E135" s="4">
        <v>12.12</v>
      </c>
      <c r="F135" s="275" t="s">
        <v>418</v>
      </c>
      <c r="G135" s="275" t="s">
        <v>418</v>
      </c>
      <c r="H135" s="275" t="s">
        <v>418</v>
      </c>
      <c r="I135" s="275" t="s">
        <v>418</v>
      </c>
      <c r="J135" s="275" t="s">
        <v>418</v>
      </c>
      <c r="K135" s="275" t="s">
        <v>418</v>
      </c>
      <c r="L135" s="275" t="s">
        <v>418</v>
      </c>
      <c r="M135" s="280" t="s">
        <v>418</v>
      </c>
      <c r="N135" s="280" t="s">
        <v>418</v>
      </c>
      <c r="O135" s="280" t="s">
        <v>418</v>
      </c>
      <c r="P135" s="280" t="s">
        <v>418</v>
      </c>
      <c r="Q135" s="280" t="s">
        <v>418</v>
      </c>
      <c r="R135" s="280" t="s">
        <v>418</v>
      </c>
      <c r="S135" s="280" t="s">
        <v>418</v>
      </c>
      <c r="T135" s="247" t="s">
        <v>418</v>
      </c>
      <c r="U135" s="247" t="s">
        <v>418</v>
      </c>
      <c r="V135" s="247" t="s">
        <v>418</v>
      </c>
      <c r="W135" s="247" t="s">
        <v>418</v>
      </c>
      <c r="X135" s="247" t="s">
        <v>418</v>
      </c>
      <c r="Y135" s="247" t="s">
        <v>418</v>
      </c>
      <c r="Z135" s="247" t="s">
        <v>418</v>
      </c>
      <c r="AA135" s="248" t="s">
        <v>418</v>
      </c>
      <c r="AB135" s="248" t="s">
        <v>418</v>
      </c>
      <c r="AC135" s="248" t="s">
        <v>418</v>
      </c>
      <c r="AD135" s="248" t="s">
        <v>418</v>
      </c>
      <c r="AE135" s="248" t="s">
        <v>418</v>
      </c>
      <c r="AF135" s="248" t="s">
        <v>418</v>
      </c>
      <c r="AG135" s="248" t="s">
        <v>418</v>
      </c>
      <c r="AH135" s="161"/>
      <c r="AI135" s="156"/>
      <c r="AJ135" s="151"/>
      <c r="AK135" s="203"/>
      <c r="AL135" s="25"/>
      <c r="AM135" s="25"/>
      <c r="AN135" s="22"/>
    </row>
    <row r="136" spans="1:40" s="91" customFormat="1" x14ac:dyDescent="0.4">
      <c r="A136" s="60" t="s">
        <v>8</v>
      </c>
      <c r="B136" s="93" t="s">
        <v>665</v>
      </c>
      <c r="C136" s="93" t="s">
        <v>666</v>
      </c>
      <c r="D136" s="12"/>
      <c r="E136" s="4">
        <v>10.62</v>
      </c>
      <c r="F136" s="275" t="s">
        <v>418</v>
      </c>
      <c r="G136" s="275" t="s">
        <v>418</v>
      </c>
      <c r="H136" s="275" t="s">
        <v>418</v>
      </c>
      <c r="I136" s="275" t="s">
        <v>418</v>
      </c>
      <c r="J136" s="275" t="s">
        <v>418</v>
      </c>
      <c r="K136" s="275" t="s">
        <v>418</v>
      </c>
      <c r="L136" s="275" t="s">
        <v>418</v>
      </c>
      <c r="M136" s="280" t="s">
        <v>418</v>
      </c>
      <c r="N136" s="280" t="s">
        <v>418</v>
      </c>
      <c r="O136" s="280" t="s">
        <v>418</v>
      </c>
      <c r="P136" s="280" t="s">
        <v>418</v>
      </c>
      <c r="Q136" s="280" t="s">
        <v>418</v>
      </c>
      <c r="R136" s="280" t="s">
        <v>418</v>
      </c>
      <c r="S136" s="280" t="s">
        <v>418</v>
      </c>
      <c r="T136" s="247" t="s">
        <v>418</v>
      </c>
      <c r="U136" s="247" t="s">
        <v>418</v>
      </c>
      <c r="V136" s="247" t="s">
        <v>418</v>
      </c>
      <c r="W136" s="247" t="s">
        <v>418</v>
      </c>
      <c r="X136" s="247" t="s">
        <v>418</v>
      </c>
      <c r="Y136" s="247" t="s">
        <v>418</v>
      </c>
      <c r="Z136" s="247" t="s">
        <v>418</v>
      </c>
      <c r="AA136" s="248" t="s">
        <v>418</v>
      </c>
      <c r="AB136" s="248" t="s">
        <v>418</v>
      </c>
      <c r="AC136" s="248" t="s">
        <v>418</v>
      </c>
      <c r="AD136" s="248" t="s">
        <v>418</v>
      </c>
      <c r="AE136" s="248" t="s">
        <v>418</v>
      </c>
      <c r="AF136" s="248" t="s">
        <v>418</v>
      </c>
      <c r="AG136" s="248" t="s">
        <v>418</v>
      </c>
      <c r="AH136" s="161"/>
      <c r="AI136" s="156"/>
      <c r="AJ136" s="151"/>
      <c r="AK136" s="203"/>
      <c r="AL136" s="25"/>
      <c r="AM136" s="25"/>
      <c r="AN136" s="22"/>
    </row>
    <row r="137" spans="1:40" s="91" customFormat="1" x14ac:dyDescent="0.4">
      <c r="A137" s="60" t="s">
        <v>8</v>
      </c>
      <c r="B137" s="93" t="s">
        <v>667</v>
      </c>
      <c r="C137" s="93" t="s">
        <v>668</v>
      </c>
      <c r="D137" s="12"/>
      <c r="E137" s="4">
        <v>11.12</v>
      </c>
      <c r="F137" s="275" t="s">
        <v>418</v>
      </c>
      <c r="G137" s="275" t="s">
        <v>418</v>
      </c>
      <c r="H137" s="275" t="s">
        <v>418</v>
      </c>
      <c r="I137" s="275" t="s">
        <v>418</v>
      </c>
      <c r="J137" s="275" t="s">
        <v>418</v>
      </c>
      <c r="K137" s="275" t="s">
        <v>418</v>
      </c>
      <c r="L137" s="275" t="s">
        <v>418</v>
      </c>
      <c r="M137" s="280" t="s">
        <v>418</v>
      </c>
      <c r="N137" s="280" t="s">
        <v>418</v>
      </c>
      <c r="O137" s="280" t="s">
        <v>418</v>
      </c>
      <c r="P137" s="280" t="s">
        <v>418</v>
      </c>
      <c r="Q137" s="280" t="s">
        <v>418</v>
      </c>
      <c r="R137" s="280" t="s">
        <v>418</v>
      </c>
      <c r="S137" s="280" t="s">
        <v>418</v>
      </c>
      <c r="T137" s="247" t="s">
        <v>418</v>
      </c>
      <c r="U137" s="247" t="s">
        <v>418</v>
      </c>
      <c r="V137" s="247" t="s">
        <v>418</v>
      </c>
      <c r="W137" s="247" t="s">
        <v>418</v>
      </c>
      <c r="X137" s="247" t="s">
        <v>418</v>
      </c>
      <c r="Y137" s="247" t="s">
        <v>418</v>
      </c>
      <c r="Z137" s="247" t="s">
        <v>418</v>
      </c>
      <c r="AA137" s="248" t="s">
        <v>418</v>
      </c>
      <c r="AB137" s="248" t="s">
        <v>418</v>
      </c>
      <c r="AC137" s="248" t="s">
        <v>418</v>
      </c>
      <c r="AD137" s="248" t="s">
        <v>418</v>
      </c>
      <c r="AE137" s="248" t="s">
        <v>418</v>
      </c>
      <c r="AF137" s="248" t="s">
        <v>418</v>
      </c>
      <c r="AG137" s="248" t="s">
        <v>418</v>
      </c>
      <c r="AH137" s="161"/>
      <c r="AI137" s="156"/>
      <c r="AJ137" s="151"/>
      <c r="AK137" s="203"/>
      <c r="AL137" s="25"/>
      <c r="AM137" s="25"/>
      <c r="AN137" s="22"/>
    </row>
    <row r="138" spans="1:40" s="91" customFormat="1" x14ac:dyDescent="0.4">
      <c r="A138" s="60" t="s">
        <v>8</v>
      </c>
      <c r="B138" s="93" t="s">
        <v>669</v>
      </c>
      <c r="C138" s="93" t="s">
        <v>670</v>
      </c>
      <c r="D138" s="12"/>
      <c r="E138" s="4">
        <v>13.63</v>
      </c>
      <c r="F138" s="275" t="s">
        <v>418</v>
      </c>
      <c r="G138" s="275" t="s">
        <v>418</v>
      </c>
      <c r="H138" s="275" t="s">
        <v>418</v>
      </c>
      <c r="I138" s="275" t="s">
        <v>418</v>
      </c>
      <c r="J138" s="275" t="s">
        <v>418</v>
      </c>
      <c r="K138" s="275" t="s">
        <v>418</v>
      </c>
      <c r="L138" s="275" t="s">
        <v>418</v>
      </c>
      <c r="M138" s="280" t="s">
        <v>418</v>
      </c>
      <c r="N138" s="280" t="s">
        <v>418</v>
      </c>
      <c r="O138" s="280" t="s">
        <v>418</v>
      </c>
      <c r="P138" s="280" t="s">
        <v>418</v>
      </c>
      <c r="Q138" s="280" t="s">
        <v>418</v>
      </c>
      <c r="R138" s="280" t="s">
        <v>418</v>
      </c>
      <c r="S138" s="280" t="s">
        <v>418</v>
      </c>
      <c r="T138" s="247" t="s">
        <v>418</v>
      </c>
      <c r="U138" s="247" t="s">
        <v>418</v>
      </c>
      <c r="V138" s="247" t="s">
        <v>418</v>
      </c>
      <c r="W138" s="247" t="s">
        <v>418</v>
      </c>
      <c r="X138" s="247" t="s">
        <v>418</v>
      </c>
      <c r="Y138" s="247" t="s">
        <v>418</v>
      </c>
      <c r="Z138" s="247" t="s">
        <v>418</v>
      </c>
      <c r="AA138" s="248" t="s">
        <v>418</v>
      </c>
      <c r="AB138" s="248" t="s">
        <v>418</v>
      </c>
      <c r="AC138" s="248" t="s">
        <v>418</v>
      </c>
      <c r="AD138" s="248" t="s">
        <v>418</v>
      </c>
      <c r="AE138" s="248" t="s">
        <v>418</v>
      </c>
      <c r="AF138" s="248" t="s">
        <v>418</v>
      </c>
      <c r="AG138" s="248" t="s">
        <v>418</v>
      </c>
      <c r="AH138" s="161"/>
      <c r="AI138" s="156"/>
      <c r="AJ138" s="151"/>
      <c r="AK138" s="203"/>
      <c r="AL138" s="25"/>
      <c r="AM138" s="25"/>
      <c r="AN138" s="22"/>
    </row>
    <row r="139" spans="1:40" s="98" customFormat="1" x14ac:dyDescent="0.4">
      <c r="A139" s="60" t="s">
        <v>8</v>
      </c>
      <c r="B139" s="99" t="s">
        <v>695</v>
      </c>
      <c r="C139" s="99" t="s">
        <v>696</v>
      </c>
      <c r="D139" s="12"/>
      <c r="E139" s="4">
        <v>20.51</v>
      </c>
      <c r="F139" s="275" t="s">
        <v>418</v>
      </c>
      <c r="G139" s="275" t="s">
        <v>418</v>
      </c>
      <c r="H139" s="275" t="s">
        <v>418</v>
      </c>
      <c r="I139" s="275" t="s">
        <v>418</v>
      </c>
      <c r="J139" s="275" t="s">
        <v>418</v>
      </c>
      <c r="K139" s="275" t="s">
        <v>418</v>
      </c>
      <c r="L139" s="275" t="s">
        <v>418</v>
      </c>
      <c r="M139" s="280" t="s">
        <v>418</v>
      </c>
      <c r="N139" s="280" t="s">
        <v>418</v>
      </c>
      <c r="O139" s="280" t="s">
        <v>418</v>
      </c>
      <c r="P139" s="280" t="s">
        <v>418</v>
      </c>
      <c r="Q139" s="280" t="s">
        <v>418</v>
      </c>
      <c r="R139" s="280" t="s">
        <v>418</v>
      </c>
      <c r="S139" s="280" t="s">
        <v>418</v>
      </c>
      <c r="T139" s="247" t="s">
        <v>418</v>
      </c>
      <c r="U139" s="247" t="s">
        <v>418</v>
      </c>
      <c r="V139" s="247" t="s">
        <v>418</v>
      </c>
      <c r="W139" s="247" t="s">
        <v>418</v>
      </c>
      <c r="X139" s="247" t="s">
        <v>418</v>
      </c>
      <c r="Y139" s="247" t="s">
        <v>418</v>
      </c>
      <c r="Z139" s="247" t="s">
        <v>418</v>
      </c>
      <c r="AA139" s="248" t="s">
        <v>418</v>
      </c>
      <c r="AB139" s="248" t="s">
        <v>418</v>
      </c>
      <c r="AC139" s="248" t="s">
        <v>418</v>
      </c>
      <c r="AD139" s="248" t="s">
        <v>418</v>
      </c>
      <c r="AE139" s="248" t="s">
        <v>418</v>
      </c>
      <c r="AF139" s="248" t="s">
        <v>418</v>
      </c>
      <c r="AG139" s="248" t="s">
        <v>418</v>
      </c>
      <c r="AH139" s="161"/>
      <c r="AI139" s="156"/>
      <c r="AJ139" s="151"/>
      <c r="AK139" s="203"/>
      <c r="AL139" s="25"/>
      <c r="AM139" s="25"/>
      <c r="AN139" s="22"/>
    </row>
    <row r="140" spans="1:40" s="92" customFormat="1" x14ac:dyDescent="0.4">
      <c r="A140" s="60" t="s">
        <v>8</v>
      </c>
      <c r="B140" s="93" t="s">
        <v>418</v>
      </c>
      <c r="C140" s="93" t="s">
        <v>418</v>
      </c>
      <c r="D140" s="12"/>
      <c r="E140" s="4">
        <v>0</v>
      </c>
      <c r="F140" s="275" t="s">
        <v>418</v>
      </c>
      <c r="G140" s="275" t="s">
        <v>418</v>
      </c>
      <c r="H140" s="275" t="s">
        <v>418</v>
      </c>
      <c r="I140" s="275" t="s">
        <v>418</v>
      </c>
      <c r="J140" s="275" t="s">
        <v>418</v>
      </c>
      <c r="K140" s="275" t="s">
        <v>418</v>
      </c>
      <c r="L140" s="275" t="s">
        <v>418</v>
      </c>
      <c r="M140" s="280" t="s">
        <v>418</v>
      </c>
      <c r="N140" s="280" t="s">
        <v>418</v>
      </c>
      <c r="O140" s="280" t="s">
        <v>418</v>
      </c>
      <c r="P140" s="280" t="s">
        <v>418</v>
      </c>
      <c r="Q140" s="280" t="s">
        <v>418</v>
      </c>
      <c r="R140" s="280" t="s">
        <v>418</v>
      </c>
      <c r="S140" s="280" t="s">
        <v>418</v>
      </c>
      <c r="T140" s="247" t="s">
        <v>418</v>
      </c>
      <c r="U140" s="247" t="s">
        <v>418</v>
      </c>
      <c r="V140" s="247" t="s">
        <v>418</v>
      </c>
      <c r="W140" s="247" t="s">
        <v>418</v>
      </c>
      <c r="X140" s="247" t="s">
        <v>418</v>
      </c>
      <c r="Y140" s="247" t="s">
        <v>418</v>
      </c>
      <c r="Z140" s="247" t="s">
        <v>418</v>
      </c>
      <c r="AA140" s="248" t="s">
        <v>418</v>
      </c>
      <c r="AB140" s="248" t="s">
        <v>418</v>
      </c>
      <c r="AC140" s="248" t="s">
        <v>418</v>
      </c>
      <c r="AD140" s="248" t="s">
        <v>418</v>
      </c>
      <c r="AE140" s="248" t="s">
        <v>418</v>
      </c>
      <c r="AF140" s="248" t="s">
        <v>418</v>
      </c>
      <c r="AG140" s="248" t="s">
        <v>418</v>
      </c>
      <c r="AH140" s="161"/>
      <c r="AI140" s="156"/>
      <c r="AJ140" s="151"/>
      <c r="AK140" s="203"/>
      <c r="AL140" s="25"/>
      <c r="AM140" s="25"/>
      <c r="AN140" s="22"/>
    </row>
    <row r="141" spans="1:40" x14ac:dyDescent="0.4">
      <c r="A141" s="60" t="s">
        <v>8</v>
      </c>
      <c r="B141" s="2" t="s">
        <v>472</v>
      </c>
      <c r="C141" s="2" t="s">
        <v>355</v>
      </c>
      <c r="D141" s="12"/>
      <c r="E141" s="4">
        <v>7.0000000000000007E-2</v>
      </c>
      <c r="F141" s="275" t="s">
        <v>418</v>
      </c>
      <c r="G141" s="275" t="s">
        <v>418</v>
      </c>
      <c r="H141" s="275" t="s">
        <v>418</v>
      </c>
      <c r="I141" s="275" t="s">
        <v>418</v>
      </c>
      <c r="J141" s="275" t="s">
        <v>418</v>
      </c>
      <c r="K141" s="275" t="s">
        <v>418</v>
      </c>
      <c r="L141" s="275" t="s">
        <v>418</v>
      </c>
      <c r="M141" s="280" t="s">
        <v>418</v>
      </c>
      <c r="N141" s="280" t="s">
        <v>418</v>
      </c>
      <c r="O141" s="280" t="s">
        <v>418</v>
      </c>
      <c r="P141" s="280" t="s">
        <v>418</v>
      </c>
      <c r="Q141" s="280" t="s">
        <v>418</v>
      </c>
      <c r="R141" s="280" t="s">
        <v>418</v>
      </c>
      <c r="S141" s="280" t="s">
        <v>418</v>
      </c>
      <c r="T141" s="247" t="s">
        <v>418</v>
      </c>
      <c r="U141" s="247" t="s">
        <v>418</v>
      </c>
      <c r="V141" s="247" t="s">
        <v>418</v>
      </c>
      <c r="W141" s="247" t="s">
        <v>418</v>
      </c>
      <c r="X141" s="247" t="s">
        <v>418</v>
      </c>
      <c r="Y141" s="247" t="s">
        <v>418</v>
      </c>
      <c r="Z141" s="247" t="s">
        <v>418</v>
      </c>
      <c r="AA141" s="248" t="s">
        <v>418</v>
      </c>
      <c r="AB141" s="248" t="s">
        <v>418</v>
      </c>
      <c r="AC141" s="248" t="s">
        <v>418</v>
      </c>
      <c r="AD141" s="248" t="s">
        <v>418</v>
      </c>
      <c r="AE141" s="248" t="s">
        <v>418</v>
      </c>
      <c r="AF141" s="248" t="s">
        <v>418</v>
      </c>
      <c r="AG141" s="248" t="s">
        <v>418</v>
      </c>
      <c r="AH141" s="161"/>
      <c r="AI141" s="156"/>
      <c r="AJ141" s="151"/>
      <c r="AK141" s="203"/>
      <c r="AL141" s="25"/>
      <c r="AM141" s="25"/>
    </row>
    <row r="142" spans="1:40" x14ac:dyDescent="0.4">
      <c r="A142" s="60" t="s">
        <v>8</v>
      </c>
      <c r="B142" s="2" t="s">
        <v>356</v>
      </c>
      <c r="C142" s="2" t="s">
        <v>357</v>
      </c>
      <c r="D142" s="12"/>
      <c r="E142" s="4">
        <v>0.12</v>
      </c>
      <c r="F142" s="275" t="s">
        <v>418</v>
      </c>
      <c r="G142" s="275" t="s">
        <v>418</v>
      </c>
      <c r="H142" s="275" t="s">
        <v>418</v>
      </c>
      <c r="I142" s="275" t="s">
        <v>418</v>
      </c>
      <c r="J142" s="275" t="s">
        <v>418</v>
      </c>
      <c r="K142" s="275" t="s">
        <v>418</v>
      </c>
      <c r="L142" s="275" t="s">
        <v>418</v>
      </c>
      <c r="M142" s="280" t="s">
        <v>418</v>
      </c>
      <c r="N142" s="280" t="s">
        <v>418</v>
      </c>
      <c r="O142" s="280" t="s">
        <v>418</v>
      </c>
      <c r="P142" s="280" t="s">
        <v>418</v>
      </c>
      <c r="Q142" s="280" t="s">
        <v>418</v>
      </c>
      <c r="R142" s="280" t="s">
        <v>418</v>
      </c>
      <c r="S142" s="280" t="s">
        <v>418</v>
      </c>
      <c r="T142" s="247" t="s">
        <v>418</v>
      </c>
      <c r="U142" s="247" t="s">
        <v>418</v>
      </c>
      <c r="V142" s="247" t="s">
        <v>418</v>
      </c>
      <c r="W142" s="247" t="s">
        <v>418</v>
      </c>
      <c r="X142" s="247" t="s">
        <v>418</v>
      </c>
      <c r="Y142" s="247" t="s">
        <v>418</v>
      </c>
      <c r="Z142" s="247" t="s">
        <v>418</v>
      </c>
      <c r="AA142" s="248" t="s">
        <v>418</v>
      </c>
      <c r="AB142" s="248" t="s">
        <v>418</v>
      </c>
      <c r="AC142" s="248" t="s">
        <v>418</v>
      </c>
      <c r="AD142" s="248" t="s">
        <v>418</v>
      </c>
      <c r="AE142" s="248" t="s">
        <v>418</v>
      </c>
      <c r="AF142" s="248" t="s">
        <v>418</v>
      </c>
      <c r="AG142" s="248" t="s">
        <v>418</v>
      </c>
      <c r="AH142" s="161"/>
      <c r="AI142" s="156"/>
      <c r="AJ142" s="151"/>
      <c r="AK142" s="203"/>
      <c r="AL142" s="25"/>
      <c r="AM142" s="25"/>
    </row>
    <row r="143" spans="1:40" x14ac:dyDescent="0.4">
      <c r="A143" s="60" t="s">
        <v>8</v>
      </c>
      <c r="B143" s="2" t="s">
        <v>358</v>
      </c>
      <c r="C143" s="2" t="s">
        <v>359</v>
      </c>
      <c r="D143" s="12"/>
      <c r="E143" s="4">
        <v>0.08</v>
      </c>
      <c r="F143" s="275" t="s">
        <v>418</v>
      </c>
      <c r="G143" s="275" t="s">
        <v>418</v>
      </c>
      <c r="H143" s="275" t="s">
        <v>418</v>
      </c>
      <c r="I143" s="275" t="s">
        <v>418</v>
      </c>
      <c r="J143" s="275" t="s">
        <v>418</v>
      </c>
      <c r="K143" s="275" t="s">
        <v>418</v>
      </c>
      <c r="L143" s="275" t="s">
        <v>418</v>
      </c>
      <c r="M143" s="280" t="s">
        <v>418</v>
      </c>
      <c r="N143" s="280" t="s">
        <v>418</v>
      </c>
      <c r="O143" s="280" t="s">
        <v>418</v>
      </c>
      <c r="P143" s="280" t="s">
        <v>418</v>
      </c>
      <c r="Q143" s="280" t="s">
        <v>418</v>
      </c>
      <c r="R143" s="280" t="s">
        <v>418</v>
      </c>
      <c r="S143" s="280" t="s">
        <v>418</v>
      </c>
      <c r="T143" s="247" t="s">
        <v>418</v>
      </c>
      <c r="U143" s="247" t="s">
        <v>418</v>
      </c>
      <c r="V143" s="247" t="s">
        <v>418</v>
      </c>
      <c r="W143" s="247" t="s">
        <v>418</v>
      </c>
      <c r="X143" s="247" t="s">
        <v>418</v>
      </c>
      <c r="Y143" s="247" t="s">
        <v>418</v>
      </c>
      <c r="Z143" s="247" t="s">
        <v>418</v>
      </c>
      <c r="AA143" s="248" t="s">
        <v>418</v>
      </c>
      <c r="AB143" s="248" t="s">
        <v>418</v>
      </c>
      <c r="AC143" s="248" t="s">
        <v>418</v>
      </c>
      <c r="AD143" s="248" t="s">
        <v>418</v>
      </c>
      <c r="AE143" s="248" t="s">
        <v>418</v>
      </c>
      <c r="AF143" s="248" t="s">
        <v>418</v>
      </c>
      <c r="AG143" s="248" t="s">
        <v>418</v>
      </c>
      <c r="AH143" s="161"/>
      <c r="AI143" s="156"/>
      <c r="AJ143" s="151"/>
      <c r="AK143" s="203"/>
      <c r="AL143" s="25"/>
      <c r="AM143" s="25"/>
    </row>
    <row r="144" spans="1:40" x14ac:dyDescent="0.4">
      <c r="A144" s="60" t="s">
        <v>8</v>
      </c>
      <c r="B144" s="2" t="s">
        <v>473</v>
      </c>
      <c r="C144" s="2" t="s">
        <v>110</v>
      </c>
      <c r="D144" s="12"/>
      <c r="E144" s="4">
        <v>0.15</v>
      </c>
      <c r="F144" s="275" t="s">
        <v>418</v>
      </c>
      <c r="G144" s="275" t="s">
        <v>418</v>
      </c>
      <c r="H144" s="275" t="s">
        <v>418</v>
      </c>
      <c r="I144" s="275" t="s">
        <v>418</v>
      </c>
      <c r="J144" s="275" t="s">
        <v>418</v>
      </c>
      <c r="K144" s="275" t="s">
        <v>418</v>
      </c>
      <c r="L144" s="275" t="s">
        <v>418</v>
      </c>
      <c r="M144" s="280" t="s">
        <v>418</v>
      </c>
      <c r="N144" s="280" t="s">
        <v>418</v>
      </c>
      <c r="O144" s="280" t="s">
        <v>418</v>
      </c>
      <c r="P144" s="280" t="s">
        <v>418</v>
      </c>
      <c r="Q144" s="280" t="s">
        <v>418</v>
      </c>
      <c r="R144" s="280" t="s">
        <v>418</v>
      </c>
      <c r="S144" s="280" t="s">
        <v>418</v>
      </c>
      <c r="T144" s="247" t="s">
        <v>418</v>
      </c>
      <c r="U144" s="247" t="s">
        <v>418</v>
      </c>
      <c r="V144" s="247" t="s">
        <v>418</v>
      </c>
      <c r="W144" s="247" t="s">
        <v>418</v>
      </c>
      <c r="X144" s="247" t="s">
        <v>418</v>
      </c>
      <c r="Y144" s="247" t="s">
        <v>418</v>
      </c>
      <c r="Z144" s="247" t="s">
        <v>418</v>
      </c>
      <c r="AA144" s="248" t="s">
        <v>418</v>
      </c>
      <c r="AB144" s="248" t="s">
        <v>418</v>
      </c>
      <c r="AC144" s="248" t="s">
        <v>418</v>
      </c>
      <c r="AD144" s="248" t="s">
        <v>418</v>
      </c>
      <c r="AE144" s="248" t="s">
        <v>418</v>
      </c>
      <c r="AF144" s="248" t="s">
        <v>418</v>
      </c>
      <c r="AG144" s="248" t="s">
        <v>418</v>
      </c>
      <c r="AH144" s="161"/>
      <c r="AI144" s="156"/>
      <c r="AJ144" s="151"/>
      <c r="AK144" s="203"/>
      <c r="AL144" s="25"/>
      <c r="AM144" s="25"/>
    </row>
    <row r="145" spans="1:40" s="90" customFormat="1" x14ac:dyDescent="0.4">
      <c r="A145" s="60" t="s">
        <v>8</v>
      </c>
      <c r="B145" s="93" t="s">
        <v>671</v>
      </c>
      <c r="C145" s="93" t="s">
        <v>672</v>
      </c>
      <c r="D145" s="12"/>
      <c r="E145" s="4">
        <v>0.36</v>
      </c>
      <c r="F145" s="275" t="s">
        <v>418</v>
      </c>
      <c r="G145" s="275" t="s">
        <v>418</v>
      </c>
      <c r="H145" s="275" t="s">
        <v>418</v>
      </c>
      <c r="I145" s="275" t="s">
        <v>418</v>
      </c>
      <c r="J145" s="275" t="s">
        <v>418</v>
      </c>
      <c r="K145" s="275" t="s">
        <v>418</v>
      </c>
      <c r="L145" s="275" t="s">
        <v>418</v>
      </c>
      <c r="M145" s="280" t="s">
        <v>418</v>
      </c>
      <c r="N145" s="280" t="s">
        <v>418</v>
      </c>
      <c r="O145" s="280" t="s">
        <v>418</v>
      </c>
      <c r="P145" s="280" t="s">
        <v>418</v>
      </c>
      <c r="Q145" s="280" t="s">
        <v>418</v>
      </c>
      <c r="R145" s="280" t="s">
        <v>418</v>
      </c>
      <c r="S145" s="280" t="s">
        <v>418</v>
      </c>
      <c r="T145" s="247" t="s">
        <v>418</v>
      </c>
      <c r="U145" s="247" t="s">
        <v>418</v>
      </c>
      <c r="V145" s="247" t="s">
        <v>418</v>
      </c>
      <c r="W145" s="247" t="s">
        <v>418</v>
      </c>
      <c r="X145" s="247" t="s">
        <v>418</v>
      </c>
      <c r="Y145" s="247" t="s">
        <v>418</v>
      </c>
      <c r="Z145" s="247" t="s">
        <v>418</v>
      </c>
      <c r="AA145" s="248" t="s">
        <v>418</v>
      </c>
      <c r="AB145" s="248" t="s">
        <v>418</v>
      </c>
      <c r="AC145" s="248" t="s">
        <v>418</v>
      </c>
      <c r="AD145" s="248" t="s">
        <v>418</v>
      </c>
      <c r="AE145" s="248" t="s">
        <v>418</v>
      </c>
      <c r="AF145" s="248" t="s">
        <v>418</v>
      </c>
      <c r="AG145" s="248" t="s">
        <v>418</v>
      </c>
      <c r="AH145" s="161"/>
      <c r="AI145" s="156"/>
      <c r="AJ145" s="151"/>
      <c r="AK145" s="203"/>
      <c r="AL145" s="25"/>
      <c r="AM145" s="25"/>
      <c r="AN145" s="22"/>
    </row>
    <row r="146" spans="1:40" s="90" customFormat="1" x14ac:dyDescent="0.4">
      <c r="A146" s="60" t="s">
        <v>8</v>
      </c>
      <c r="B146" s="93" t="s">
        <v>673</v>
      </c>
      <c r="C146" s="93" t="s">
        <v>674</v>
      </c>
      <c r="D146" s="12"/>
      <c r="E146" s="4">
        <v>0.35</v>
      </c>
      <c r="F146" s="275" t="s">
        <v>418</v>
      </c>
      <c r="G146" s="275" t="s">
        <v>418</v>
      </c>
      <c r="H146" s="275" t="s">
        <v>418</v>
      </c>
      <c r="I146" s="275" t="s">
        <v>418</v>
      </c>
      <c r="J146" s="275" t="s">
        <v>418</v>
      </c>
      <c r="K146" s="275" t="s">
        <v>418</v>
      </c>
      <c r="L146" s="275" t="s">
        <v>418</v>
      </c>
      <c r="M146" s="280" t="s">
        <v>418</v>
      </c>
      <c r="N146" s="280" t="s">
        <v>418</v>
      </c>
      <c r="O146" s="280" t="s">
        <v>418</v>
      </c>
      <c r="P146" s="280" t="s">
        <v>418</v>
      </c>
      <c r="Q146" s="280" t="s">
        <v>418</v>
      </c>
      <c r="R146" s="280" t="s">
        <v>418</v>
      </c>
      <c r="S146" s="280" t="s">
        <v>418</v>
      </c>
      <c r="T146" s="247" t="s">
        <v>418</v>
      </c>
      <c r="U146" s="247" t="s">
        <v>418</v>
      </c>
      <c r="V146" s="247" t="s">
        <v>418</v>
      </c>
      <c r="W146" s="247" t="s">
        <v>418</v>
      </c>
      <c r="X146" s="247" t="s">
        <v>418</v>
      </c>
      <c r="Y146" s="247" t="s">
        <v>418</v>
      </c>
      <c r="Z146" s="247" t="s">
        <v>418</v>
      </c>
      <c r="AA146" s="248" t="s">
        <v>418</v>
      </c>
      <c r="AB146" s="248" t="s">
        <v>418</v>
      </c>
      <c r="AC146" s="248" t="s">
        <v>418</v>
      </c>
      <c r="AD146" s="248" t="s">
        <v>418</v>
      </c>
      <c r="AE146" s="248" t="s">
        <v>418</v>
      </c>
      <c r="AF146" s="248" t="s">
        <v>418</v>
      </c>
      <c r="AG146" s="248" t="s">
        <v>418</v>
      </c>
      <c r="AH146" s="161"/>
      <c r="AI146" s="156"/>
      <c r="AJ146" s="151"/>
      <c r="AK146" s="203"/>
      <c r="AL146" s="25"/>
      <c r="AM146" s="25"/>
      <c r="AN146" s="22"/>
    </row>
    <row r="147" spans="1:40" s="90" customFormat="1" x14ac:dyDescent="0.4">
      <c r="A147" s="60" t="s">
        <v>8</v>
      </c>
      <c r="B147" s="93" t="s">
        <v>675</v>
      </c>
      <c r="C147" s="93" t="s">
        <v>676</v>
      </c>
      <c r="D147" s="12"/>
      <c r="E147" s="4">
        <v>0.34</v>
      </c>
      <c r="F147" s="275" t="s">
        <v>418</v>
      </c>
      <c r="G147" s="275" t="s">
        <v>418</v>
      </c>
      <c r="H147" s="275" t="s">
        <v>418</v>
      </c>
      <c r="I147" s="275" t="s">
        <v>418</v>
      </c>
      <c r="J147" s="275" t="s">
        <v>418</v>
      </c>
      <c r="K147" s="275" t="s">
        <v>418</v>
      </c>
      <c r="L147" s="275" t="s">
        <v>418</v>
      </c>
      <c r="M147" s="280" t="s">
        <v>418</v>
      </c>
      <c r="N147" s="280" t="s">
        <v>418</v>
      </c>
      <c r="O147" s="280" t="s">
        <v>418</v>
      </c>
      <c r="P147" s="280" t="s">
        <v>418</v>
      </c>
      <c r="Q147" s="280" t="s">
        <v>418</v>
      </c>
      <c r="R147" s="280" t="s">
        <v>418</v>
      </c>
      <c r="S147" s="280" t="s">
        <v>418</v>
      </c>
      <c r="T147" s="247" t="s">
        <v>418</v>
      </c>
      <c r="U147" s="247" t="s">
        <v>418</v>
      </c>
      <c r="V147" s="247" t="s">
        <v>418</v>
      </c>
      <c r="W147" s="247" t="s">
        <v>418</v>
      </c>
      <c r="X147" s="247" t="s">
        <v>418</v>
      </c>
      <c r="Y147" s="247" t="s">
        <v>418</v>
      </c>
      <c r="Z147" s="247" t="s">
        <v>418</v>
      </c>
      <c r="AA147" s="248" t="s">
        <v>418</v>
      </c>
      <c r="AB147" s="248" t="s">
        <v>418</v>
      </c>
      <c r="AC147" s="248" t="s">
        <v>418</v>
      </c>
      <c r="AD147" s="248" t="s">
        <v>418</v>
      </c>
      <c r="AE147" s="248" t="s">
        <v>418</v>
      </c>
      <c r="AF147" s="248" t="s">
        <v>418</v>
      </c>
      <c r="AG147" s="248" t="s">
        <v>418</v>
      </c>
      <c r="AH147" s="161"/>
      <c r="AI147" s="156"/>
      <c r="AJ147" s="151"/>
      <c r="AK147" s="203"/>
      <c r="AL147" s="25"/>
      <c r="AM147" s="25"/>
      <c r="AN147" s="22"/>
    </row>
    <row r="148" spans="1:40" s="90" customFormat="1" x14ac:dyDescent="0.4">
      <c r="A148" s="60" t="s">
        <v>8</v>
      </c>
      <c r="B148" s="93" t="s">
        <v>677</v>
      </c>
      <c r="C148" s="93" t="s">
        <v>678</v>
      </c>
      <c r="D148" s="12"/>
      <c r="E148" s="4">
        <v>0.36</v>
      </c>
      <c r="F148" s="275" t="s">
        <v>418</v>
      </c>
      <c r="G148" s="275" t="s">
        <v>418</v>
      </c>
      <c r="H148" s="275" t="s">
        <v>418</v>
      </c>
      <c r="I148" s="275" t="s">
        <v>418</v>
      </c>
      <c r="J148" s="275" t="s">
        <v>418</v>
      </c>
      <c r="K148" s="275" t="s">
        <v>418</v>
      </c>
      <c r="L148" s="275" t="s">
        <v>418</v>
      </c>
      <c r="M148" s="280" t="s">
        <v>418</v>
      </c>
      <c r="N148" s="280" t="s">
        <v>418</v>
      </c>
      <c r="O148" s="280" t="s">
        <v>418</v>
      </c>
      <c r="P148" s="280" t="s">
        <v>418</v>
      </c>
      <c r="Q148" s="280" t="s">
        <v>418</v>
      </c>
      <c r="R148" s="280" t="s">
        <v>418</v>
      </c>
      <c r="S148" s="280" t="s">
        <v>418</v>
      </c>
      <c r="T148" s="247" t="s">
        <v>418</v>
      </c>
      <c r="U148" s="247" t="s">
        <v>418</v>
      </c>
      <c r="V148" s="247" t="s">
        <v>418</v>
      </c>
      <c r="W148" s="247" t="s">
        <v>418</v>
      </c>
      <c r="X148" s="247" t="s">
        <v>418</v>
      </c>
      <c r="Y148" s="247" t="s">
        <v>418</v>
      </c>
      <c r="Z148" s="247" t="s">
        <v>418</v>
      </c>
      <c r="AA148" s="248" t="s">
        <v>418</v>
      </c>
      <c r="AB148" s="248" t="s">
        <v>418</v>
      </c>
      <c r="AC148" s="248" t="s">
        <v>418</v>
      </c>
      <c r="AD148" s="248" t="s">
        <v>418</v>
      </c>
      <c r="AE148" s="248" t="s">
        <v>418</v>
      </c>
      <c r="AF148" s="248" t="s">
        <v>418</v>
      </c>
      <c r="AG148" s="248" t="s">
        <v>418</v>
      </c>
      <c r="AH148" s="161"/>
      <c r="AI148" s="156"/>
      <c r="AJ148" s="151"/>
      <c r="AK148" s="203"/>
      <c r="AL148" s="25"/>
      <c r="AM148" s="25"/>
      <c r="AN148" s="22"/>
    </row>
    <row r="149" spans="1:40" s="98" customFormat="1" x14ac:dyDescent="0.4">
      <c r="A149" s="60" t="s">
        <v>8</v>
      </c>
      <c r="B149" s="99" t="s">
        <v>697</v>
      </c>
      <c r="C149" s="99" t="s">
        <v>698</v>
      </c>
      <c r="D149" s="12"/>
      <c r="E149" s="4">
        <v>0.55000000000000004</v>
      </c>
      <c r="F149" s="275" t="s">
        <v>418</v>
      </c>
      <c r="G149" s="275" t="s">
        <v>418</v>
      </c>
      <c r="H149" s="275" t="s">
        <v>418</v>
      </c>
      <c r="I149" s="275" t="s">
        <v>418</v>
      </c>
      <c r="J149" s="275" t="s">
        <v>418</v>
      </c>
      <c r="K149" s="275" t="s">
        <v>418</v>
      </c>
      <c r="L149" s="275" t="s">
        <v>418</v>
      </c>
      <c r="M149" s="280" t="s">
        <v>418</v>
      </c>
      <c r="N149" s="280" t="s">
        <v>418</v>
      </c>
      <c r="O149" s="280" t="s">
        <v>418</v>
      </c>
      <c r="P149" s="280" t="s">
        <v>418</v>
      </c>
      <c r="Q149" s="280" t="s">
        <v>418</v>
      </c>
      <c r="R149" s="280" t="s">
        <v>418</v>
      </c>
      <c r="S149" s="280" t="s">
        <v>418</v>
      </c>
      <c r="T149" s="247" t="s">
        <v>418</v>
      </c>
      <c r="U149" s="247" t="s">
        <v>418</v>
      </c>
      <c r="V149" s="247" t="s">
        <v>418</v>
      </c>
      <c r="W149" s="247" t="s">
        <v>418</v>
      </c>
      <c r="X149" s="247" t="s">
        <v>418</v>
      </c>
      <c r="Y149" s="247" t="s">
        <v>418</v>
      </c>
      <c r="Z149" s="247" t="s">
        <v>418</v>
      </c>
      <c r="AA149" s="248" t="s">
        <v>418</v>
      </c>
      <c r="AB149" s="248" t="s">
        <v>418</v>
      </c>
      <c r="AC149" s="248" t="s">
        <v>418</v>
      </c>
      <c r="AD149" s="248" t="s">
        <v>418</v>
      </c>
      <c r="AE149" s="248" t="s">
        <v>418</v>
      </c>
      <c r="AF149" s="248" t="s">
        <v>418</v>
      </c>
      <c r="AG149" s="248" t="s">
        <v>418</v>
      </c>
      <c r="AH149" s="161"/>
      <c r="AI149" s="156"/>
      <c r="AJ149" s="151"/>
      <c r="AK149" s="203"/>
      <c r="AL149" s="25"/>
      <c r="AM149" s="25"/>
      <c r="AN149" s="22"/>
    </row>
    <row r="150" spans="1:40" x14ac:dyDescent="0.4">
      <c r="A150" s="60" t="s">
        <v>8</v>
      </c>
      <c r="B150" s="2" t="s">
        <v>418</v>
      </c>
      <c r="C150" s="2" t="s">
        <v>418</v>
      </c>
      <c r="D150" s="12"/>
      <c r="E150" s="4">
        <v>0</v>
      </c>
      <c r="F150" s="275" t="s">
        <v>418</v>
      </c>
      <c r="G150" s="275" t="s">
        <v>418</v>
      </c>
      <c r="H150" s="275" t="s">
        <v>418</v>
      </c>
      <c r="I150" s="275" t="s">
        <v>418</v>
      </c>
      <c r="J150" s="275" t="s">
        <v>418</v>
      </c>
      <c r="K150" s="275" t="s">
        <v>418</v>
      </c>
      <c r="L150" s="275" t="s">
        <v>418</v>
      </c>
      <c r="M150" s="280" t="s">
        <v>418</v>
      </c>
      <c r="N150" s="280" t="s">
        <v>418</v>
      </c>
      <c r="O150" s="280" t="s">
        <v>418</v>
      </c>
      <c r="P150" s="280" t="s">
        <v>418</v>
      </c>
      <c r="Q150" s="280" t="s">
        <v>418</v>
      </c>
      <c r="R150" s="280" t="s">
        <v>418</v>
      </c>
      <c r="S150" s="280" t="s">
        <v>418</v>
      </c>
      <c r="T150" s="247" t="s">
        <v>418</v>
      </c>
      <c r="U150" s="247" t="s">
        <v>418</v>
      </c>
      <c r="V150" s="247" t="s">
        <v>418</v>
      </c>
      <c r="W150" s="247" t="s">
        <v>418</v>
      </c>
      <c r="X150" s="247" t="s">
        <v>418</v>
      </c>
      <c r="Y150" s="247" t="s">
        <v>418</v>
      </c>
      <c r="Z150" s="247" t="s">
        <v>418</v>
      </c>
      <c r="AA150" s="248" t="s">
        <v>418</v>
      </c>
      <c r="AB150" s="248" t="s">
        <v>418</v>
      </c>
      <c r="AC150" s="248" t="s">
        <v>418</v>
      </c>
      <c r="AD150" s="248" t="s">
        <v>418</v>
      </c>
      <c r="AE150" s="248" t="s">
        <v>418</v>
      </c>
      <c r="AF150" s="248" t="s">
        <v>418</v>
      </c>
      <c r="AG150" s="248" t="s">
        <v>418</v>
      </c>
      <c r="AH150" s="161"/>
      <c r="AI150" s="156"/>
      <c r="AJ150" s="151"/>
      <c r="AK150" s="203"/>
      <c r="AL150" s="25"/>
      <c r="AM150" s="25"/>
    </row>
    <row r="151" spans="1:40" x14ac:dyDescent="0.4">
      <c r="A151" s="60" t="s">
        <v>8</v>
      </c>
      <c r="B151" s="2" t="s">
        <v>209</v>
      </c>
      <c r="C151" s="2" t="s">
        <v>210</v>
      </c>
      <c r="D151" s="12">
        <v>1</v>
      </c>
      <c r="E151" s="4">
        <v>0.16</v>
      </c>
      <c r="F151" s="275" t="s">
        <v>418</v>
      </c>
      <c r="G151" s="275" t="s">
        <v>418</v>
      </c>
      <c r="H151" s="275" t="s">
        <v>692</v>
      </c>
      <c r="I151" s="275" t="s">
        <v>215</v>
      </c>
      <c r="J151" s="275" t="s">
        <v>227</v>
      </c>
      <c r="K151" s="275" t="s">
        <v>418</v>
      </c>
      <c r="L151" s="275" t="s">
        <v>418</v>
      </c>
      <c r="M151" s="280" t="s">
        <v>418</v>
      </c>
      <c r="N151" s="280" t="s">
        <v>418</v>
      </c>
      <c r="O151" s="280" t="s">
        <v>692</v>
      </c>
      <c r="P151" s="280" t="s">
        <v>215</v>
      </c>
      <c r="Q151" s="280" t="s">
        <v>227</v>
      </c>
      <c r="R151" s="280" t="s">
        <v>418</v>
      </c>
      <c r="S151" s="280" t="s">
        <v>418</v>
      </c>
      <c r="T151" s="247" t="s">
        <v>418</v>
      </c>
      <c r="U151" s="247" t="s">
        <v>418</v>
      </c>
      <c r="V151" s="247" t="s">
        <v>692</v>
      </c>
      <c r="W151" s="247" t="s">
        <v>215</v>
      </c>
      <c r="X151" s="247" t="s">
        <v>227</v>
      </c>
      <c r="Y151" s="247" t="s">
        <v>418</v>
      </c>
      <c r="Z151" s="247" t="s">
        <v>418</v>
      </c>
      <c r="AA151" s="248" t="s">
        <v>418</v>
      </c>
      <c r="AB151" s="248" t="s">
        <v>418</v>
      </c>
      <c r="AC151" s="248" t="s">
        <v>692</v>
      </c>
      <c r="AD151" s="248" t="s">
        <v>215</v>
      </c>
      <c r="AE151" s="248" t="s">
        <v>227</v>
      </c>
      <c r="AF151" s="248" t="s">
        <v>418</v>
      </c>
      <c r="AG151" s="248" t="s">
        <v>418</v>
      </c>
      <c r="AH151" s="161"/>
      <c r="AI151" s="156"/>
      <c r="AJ151" s="151"/>
      <c r="AK151" s="203"/>
      <c r="AL151" s="25"/>
      <c r="AM151" s="25"/>
    </row>
    <row r="152" spans="1:40" x14ac:dyDescent="0.4">
      <c r="A152" s="60" t="s">
        <v>8</v>
      </c>
      <c r="B152" s="2" t="s">
        <v>211</v>
      </c>
      <c r="C152" s="2" t="s">
        <v>212</v>
      </c>
      <c r="D152" s="12">
        <v>1</v>
      </c>
      <c r="E152" s="4">
        <v>0.31</v>
      </c>
      <c r="F152" s="275" t="s">
        <v>418</v>
      </c>
      <c r="G152" s="275" t="s">
        <v>418</v>
      </c>
      <c r="H152" s="275" t="s">
        <v>692</v>
      </c>
      <c r="I152" s="275" t="s">
        <v>215</v>
      </c>
      <c r="J152" s="275" t="s">
        <v>227</v>
      </c>
      <c r="K152" s="275" t="s">
        <v>418</v>
      </c>
      <c r="L152" s="275" t="s">
        <v>418</v>
      </c>
      <c r="M152" s="280" t="s">
        <v>418</v>
      </c>
      <c r="N152" s="280" t="s">
        <v>418</v>
      </c>
      <c r="O152" s="280" t="s">
        <v>692</v>
      </c>
      <c r="P152" s="280" t="s">
        <v>215</v>
      </c>
      <c r="Q152" s="280" t="s">
        <v>227</v>
      </c>
      <c r="R152" s="280" t="s">
        <v>418</v>
      </c>
      <c r="S152" s="280" t="s">
        <v>418</v>
      </c>
      <c r="T152" s="247" t="s">
        <v>418</v>
      </c>
      <c r="U152" s="247" t="s">
        <v>418</v>
      </c>
      <c r="V152" s="247" t="s">
        <v>692</v>
      </c>
      <c r="W152" s="247" t="s">
        <v>215</v>
      </c>
      <c r="X152" s="247" t="s">
        <v>227</v>
      </c>
      <c r="Y152" s="247" t="s">
        <v>418</v>
      </c>
      <c r="Z152" s="247" t="s">
        <v>418</v>
      </c>
      <c r="AA152" s="248" t="s">
        <v>418</v>
      </c>
      <c r="AB152" s="248" t="s">
        <v>418</v>
      </c>
      <c r="AC152" s="248" t="s">
        <v>692</v>
      </c>
      <c r="AD152" s="248" t="s">
        <v>215</v>
      </c>
      <c r="AE152" s="248" t="s">
        <v>227</v>
      </c>
      <c r="AF152" s="248" t="s">
        <v>418</v>
      </c>
      <c r="AG152" s="248" t="s">
        <v>418</v>
      </c>
      <c r="AH152" s="161"/>
      <c r="AI152" s="156"/>
      <c r="AJ152" s="151"/>
      <c r="AK152" s="203"/>
      <c r="AL152" s="25"/>
      <c r="AM152" s="25"/>
    </row>
    <row r="153" spans="1:40" x14ac:dyDescent="0.4">
      <c r="A153" s="60" t="s">
        <v>8</v>
      </c>
      <c r="B153" s="2" t="s">
        <v>213</v>
      </c>
      <c r="C153" s="2" t="s">
        <v>214</v>
      </c>
      <c r="D153" s="12">
        <v>1</v>
      </c>
      <c r="E153" s="4">
        <v>0.15</v>
      </c>
      <c r="F153" s="275" t="s">
        <v>418</v>
      </c>
      <c r="G153" s="275" t="s">
        <v>418</v>
      </c>
      <c r="H153" s="275" t="s">
        <v>692</v>
      </c>
      <c r="I153" s="275" t="s">
        <v>215</v>
      </c>
      <c r="J153" s="275" t="s">
        <v>227</v>
      </c>
      <c r="K153" s="275" t="s">
        <v>418</v>
      </c>
      <c r="L153" s="275" t="s">
        <v>418</v>
      </c>
      <c r="M153" s="280" t="s">
        <v>418</v>
      </c>
      <c r="N153" s="280" t="s">
        <v>418</v>
      </c>
      <c r="O153" s="280" t="s">
        <v>692</v>
      </c>
      <c r="P153" s="280" t="s">
        <v>215</v>
      </c>
      <c r="Q153" s="280" t="s">
        <v>227</v>
      </c>
      <c r="R153" s="280" t="s">
        <v>418</v>
      </c>
      <c r="S153" s="280" t="s">
        <v>418</v>
      </c>
      <c r="T153" s="247" t="s">
        <v>418</v>
      </c>
      <c r="U153" s="247" t="s">
        <v>418</v>
      </c>
      <c r="V153" s="247" t="s">
        <v>692</v>
      </c>
      <c r="W153" s="247" t="s">
        <v>215</v>
      </c>
      <c r="X153" s="247" t="s">
        <v>227</v>
      </c>
      <c r="Y153" s="247" t="s">
        <v>418</v>
      </c>
      <c r="Z153" s="247" t="s">
        <v>418</v>
      </c>
      <c r="AA153" s="248" t="s">
        <v>418</v>
      </c>
      <c r="AB153" s="248" t="s">
        <v>418</v>
      </c>
      <c r="AC153" s="248" t="s">
        <v>692</v>
      </c>
      <c r="AD153" s="248" t="s">
        <v>215</v>
      </c>
      <c r="AE153" s="248" t="s">
        <v>227</v>
      </c>
      <c r="AF153" s="248" t="s">
        <v>418</v>
      </c>
      <c r="AG153" s="248" t="s">
        <v>418</v>
      </c>
      <c r="AH153" s="161"/>
      <c r="AI153" s="156"/>
      <c r="AJ153" s="151"/>
      <c r="AK153" s="203"/>
      <c r="AL153" s="25"/>
      <c r="AM153" s="25"/>
    </row>
    <row r="154" spans="1:40" x14ac:dyDescent="0.4">
      <c r="A154" s="2"/>
      <c r="B154" s="2"/>
      <c r="C154" s="2"/>
      <c r="D154" s="12"/>
      <c r="E154" s="4"/>
      <c r="F154" s="275" t="s">
        <v>418</v>
      </c>
      <c r="G154" s="275" t="s">
        <v>418</v>
      </c>
      <c r="H154" s="275" t="s">
        <v>418</v>
      </c>
      <c r="I154" s="275" t="s">
        <v>418</v>
      </c>
      <c r="J154" s="275" t="s">
        <v>418</v>
      </c>
      <c r="K154" s="275" t="s">
        <v>418</v>
      </c>
      <c r="L154" s="275" t="s">
        <v>418</v>
      </c>
      <c r="M154" s="280" t="s">
        <v>418</v>
      </c>
      <c r="N154" s="280" t="s">
        <v>418</v>
      </c>
      <c r="O154" s="280" t="s">
        <v>418</v>
      </c>
      <c r="P154" s="280" t="s">
        <v>418</v>
      </c>
      <c r="Q154" s="280" t="s">
        <v>418</v>
      </c>
      <c r="R154" s="280" t="s">
        <v>418</v>
      </c>
      <c r="S154" s="280" t="s">
        <v>418</v>
      </c>
      <c r="T154" s="247" t="s">
        <v>418</v>
      </c>
      <c r="U154" s="247" t="s">
        <v>418</v>
      </c>
      <c r="V154" s="247" t="s">
        <v>418</v>
      </c>
      <c r="W154" s="247" t="s">
        <v>418</v>
      </c>
      <c r="X154" s="247" t="s">
        <v>418</v>
      </c>
      <c r="Y154" s="247" t="s">
        <v>418</v>
      </c>
      <c r="Z154" s="247" t="s">
        <v>418</v>
      </c>
      <c r="AA154" s="248" t="s">
        <v>418</v>
      </c>
      <c r="AB154" s="248" t="s">
        <v>418</v>
      </c>
      <c r="AC154" s="248" t="s">
        <v>418</v>
      </c>
      <c r="AD154" s="248" t="s">
        <v>418</v>
      </c>
      <c r="AE154" s="248" t="s">
        <v>418</v>
      </c>
      <c r="AF154" s="248" t="s">
        <v>418</v>
      </c>
      <c r="AG154" s="248" t="s">
        <v>418</v>
      </c>
    </row>
    <row r="155" spans="1:40" x14ac:dyDescent="0.4">
      <c r="A155" s="2" t="s">
        <v>6</v>
      </c>
      <c r="B155" s="2" t="s">
        <v>418</v>
      </c>
      <c r="C155" s="2" t="s">
        <v>418</v>
      </c>
      <c r="D155" s="12"/>
      <c r="E155" s="8">
        <v>0</v>
      </c>
      <c r="F155" s="275" t="s">
        <v>418</v>
      </c>
      <c r="G155" s="275" t="s">
        <v>418</v>
      </c>
      <c r="H155" s="275" t="s">
        <v>418</v>
      </c>
      <c r="I155" s="275" t="s">
        <v>418</v>
      </c>
      <c r="J155" s="275" t="s">
        <v>418</v>
      </c>
      <c r="K155" s="275" t="s">
        <v>418</v>
      </c>
      <c r="L155" s="275" t="s">
        <v>418</v>
      </c>
      <c r="M155" s="280" t="s">
        <v>418</v>
      </c>
      <c r="N155" s="280" t="s">
        <v>418</v>
      </c>
      <c r="O155" s="280" t="s">
        <v>418</v>
      </c>
      <c r="P155" s="280" t="s">
        <v>418</v>
      </c>
      <c r="Q155" s="280" t="s">
        <v>418</v>
      </c>
      <c r="R155" s="280" t="s">
        <v>418</v>
      </c>
      <c r="S155" s="280" t="s">
        <v>418</v>
      </c>
      <c r="T155" s="247" t="s">
        <v>418</v>
      </c>
      <c r="U155" s="247" t="s">
        <v>418</v>
      </c>
      <c r="V155" s="247" t="s">
        <v>418</v>
      </c>
      <c r="W155" s="247" t="s">
        <v>418</v>
      </c>
      <c r="X155" s="247" t="s">
        <v>418</v>
      </c>
      <c r="Y155" s="247" t="s">
        <v>418</v>
      </c>
      <c r="Z155" s="247" t="s">
        <v>418</v>
      </c>
      <c r="AA155" s="248" t="s">
        <v>418</v>
      </c>
      <c r="AB155" s="248" t="s">
        <v>418</v>
      </c>
      <c r="AC155" s="248" t="s">
        <v>418</v>
      </c>
      <c r="AD155" s="248" t="s">
        <v>418</v>
      </c>
      <c r="AE155" s="248" t="s">
        <v>418</v>
      </c>
      <c r="AF155" s="248" t="s">
        <v>418</v>
      </c>
      <c r="AG155" s="248" t="s">
        <v>418</v>
      </c>
      <c r="AH155" s="30">
        <v>0</v>
      </c>
      <c r="AI155" s="27">
        <v>0</v>
      </c>
      <c r="AJ155" s="28">
        <v>0</v>
      </c>
      <c r="AK155" s="256">
        <v>0</v>
      </c>
    </row>
    <row r="156" spans="1:40" x14ac:dyDescent="0.4">
      <c r="A156" s="61" t="s">
        <v>6</v>
      </c>
      <c r="B156" s="2" t="s">
        <v>66</v>
      </c>
      <c r="C156" s="2" t="s">
        <v>67</v>
      </c>
      <c r="D156" s="12"/>
      <c r="E156" s="4">
        <v>5.75</v>
      </c>
      <c r="F156" s="275" t="s">
        <v>418</v>
      </c>
      <c r="G156" s="275" t="s">
        <v>418</v>
      </c>
      <c r="H156" s="275" t="s">
        <v>418</v>
      </c>
      <c r="I156" s="275" t="s">
        <v>418</v>
      </c>
      <c r="J156" s="275" t="s">
        <v>418</v>
      </c>
      <c r="K156" s="275" t="s">
        <v>418</v>
      </c>
      <c r="L156" s="275" t="s">
        <v>418</v>
      </c>
      <c r="M156" s="280" t="s">
        <v>418</v>
      </c>
      <c r="N156" s="280" t="s">
        <v>418</v>
      </c>
      <c r="O156" s="280" t="s">
        <v>418</v>
      </c>
      <c r="P156" s="280" t="s">
        <v>418</v>
      </c>
      <c r="Q156" s="280" t="s">
        <v>418</v>
      </c>
      <c r="R156" s="280" t="s">
        <v>418</v>
      </c>
      <c r="S156" s="280" t="s">
        <v>418</v>
      </c>
      <c r="T156" s="247" t="s">
        <v>418</v>
      </c>
      <c r="U156" s="247" t="s">
        <v>418</v>
      </c>
      <c r="V156" s="247" t="s">
        <v>418</v>
      </c>
      <c r="W156" s="247" t="s">
        <v>418</v>
      </c>
      <c r="X156" s="247" t="s">
        <v>418</v>
      </c>
      <c r="Y156" s="247" t="s">
        <v>418</v>
      </c>
      <c r="Z156" s="247" t="s">
        <v>418</v>
      </c>
      <c r="AA156" s="248" t="s">
        <v>418</v>
      </c>
      <c r="AB156" s="248" t="s">
        <v>418</v>
      </c>
      <c r="AC156" s="248" t="s">
        <v>418</v>
      </c>
      <c r="AD156" s="248" t="s">
        <v>418</v>
      </c>
      <c r="AE156" s="248" t="s">
        <v>418</v>
      </c>
      <c r="AF156" s="248" t="s">
        <v>418</v>
      </c>
      <c r="AG156" s="248" t="s">
        <v>418</v>
      </c>
      <c r="AH156" s="30">
        <f>'Project Materials'!$Q$25</f>
        <v>0</v>
      </c>
      <c r="AI156" s="27">
        <f>'Project Materials'!$Q$26</f>
        <v>0</v>
      </c>
      <c r="AJ156" s="28">
        <f>'Project Materials'!$Q$27</f>
        <v>0</v>
      </c>
      <c r="AK156" s="256">
        <f>'Project Materials'!$Q$28</f>
        <v>0</v>
      </c>
    </row>
    <row r="157" spans="1:40" x14ac:dyDescent="0.4">
      <c r="A157" s="61" t="s">
        <v>6</v>
      </c>
      <c r="B157" s="2" t="s">
        <v>68</v>
      </c>
      <c r="C157" s="2" t="s">
        <v>69</v>
      </c>
      <c r="D157" s="12"/>
      <c r="E157" s="4">
        <v>3.45</v>
      </c>
      <c r="F157" s="275" t="s">
        <v>418</v>
      </c>
      <c r="G157" s="275" t="s">
        <v>418</v>
      </c>
      <c r="H157" s="275" t="s">
        <v>418</v>
      </c>
      <c r="I157" s="275" t="s">
        <v>418</v>
      </c>
      <c r="J157" s="275" t="s">
        <v>418</v>
      </c>
      <c r="K157" s="275" t="s">
        <v>418</v>
      </c>
      <c r="L157" s="275" t="s">
        <v>418</v>
      </c>
      <c r="M157" s="280" t="s">
        <v>418</v>
      </c>
      <c r="N157" s="280" t="s">
        <v>418</v>
      </c>
      <c r="O157" s="280" t="s">
        <v>418</v>
      </c>
      <c r="P157" s="280" t="s">
        <v>418</v>
      </c>
      <c r="Q157" s="280" t="s">
        <v>418</v>
      </c>
      <c r="R157" s="280" t="s">
        <v>418</v>
      </c>
      <c r="S157" s="280" t="s">
        <v>418</v>
      </c>
      <c r="T157" s="247" t="s">
        <v>418</v>
      </c>
      <c r="U157" s="247" t="s">
        <v>418</v>
      </c>
      <c r="V157" s="247" t="s">
        <v>418</v>
      </c>
      <c r="W157" s="247" t="s">
        <v>418</v>
      </c>
      <c r="X157" s="247" t="s">
        <v>418</v>
      </c>
      <c r="Y157" s="247" t="s">
        <v>418</v>
      </c>
      <c r="Z157" s="247" t="s">
        <v>418</v>
      </c>
      <c r="AA157" s="248" t="s">
        <v>418</v>
      </c>
      <c r="AB157" s="248" t="s">
        <v>418</v>
      </c>
      <c r="AC157" s="248" t="s">
        <v>418</v>
      </c>
      <c r="AD157" s="248" t="s">
        <v>418</v>
      </c>
      <c r="AE157" s="248" t="s">
        <v>418</v>
      </c>
      <c r="AF157" s="248" t="s">
        <v>418</v>
      </c>
      <c r="AG157" s="248" t="s">
        <v>418</v>
      </c>
      <c r="AH157" s="30">
        <f>'Project Materials'!$Q$25</f>
        <v>0</v>
      </c>
      <c r="AI157" s="27">
        <f>'Project Materials'!$Q$26</f>
        <v>0</v>
      </c>
      <c r="AJ157" s="28">
        <f>'Project Materials'!$Q$27</f>
        <v>0</v>
      </c>
      <c r="AK157" s="256">
        <f>'Project Materials'!$Q$28</f>
        <v>0</v>
      </c>
    </row>
    <row r="158" spans="1:40" x14ac:dyDescent="0.4">
      <c r="A158" s="61" t="s">
        <v>6</v>
      </c>
      <c r="B158" s="2" t="s">
        <v>70</v>
      </c>
      <c r="C158" s="2" t="s">
        <v>71</v>
      </c>
      <c r="D158" s="12"/>
      <c r="E158" s="4">
        <v>3.45</v>
      </c>
      <c r="F158" s="275" t="s">
        <v>418</v>
      </c>
      <c r="G158" s="275" t="s">
        <v>418</v>
      </c>
      <c r="H158" s="275" t="s">
        <v>418</v>
      </c>
      <c r="I158" s="275" t="s">
        <v>418</v>
      </c>
      <c r="J158" s="275" t="s">
        <v>418</v>
      </c>
      <c r="K158" s="275" t="s">
        <v>418</v>
      </c>
      <c r="L158" s="275" t="s">
        <v>418</v>
      </c>
      <c r="M158" s="280" t="s">
        <v>418</v>
      </c>
      <c r="N158" s="280" t="s">
        <v>418</v>
      </c>
      <c r="O158" s="280" t="s">
        <v>418</v>
      </c>
      <c r="P158" s="280" t="s">
        <v>418</v>
      </c>
      <c r="Q158" s="280" t="s">
        <v>418</v>
      </c>
      <c r="R158" s="280" t="s">
        <v>418</v>
      </c>
      <c r="S158" s="280" t="s">
        <v>418</v>
      </c>
      <c r="T158" s="247" t="s">
        <v>418</v>
      </c>
      <c r="U158" s="247" t="s">
        <v>418</v>
      </c>
      <c r="V158" s="247" t="s">
        <v>418</v>
      </c>
      <c r="W158" s="247" t="s">
        <v>418</v>
      </c>
      <c r="X158" s="247" t="s">
        <v>418</v>
      </c>
      <c r="Y158" s="247" t="s">
        <v>418</v>
      </c>
      <c r="Z158" s="247" t="s">
        <v>418</v>
      </c>
      <c r="AA158" s="248" t="s">
        <v>418</v>
      </c>
      <c r="AB158" s="248" t="s">
        <v>418</v>
      </c>
      <c r="AC158" s="248" t="s">
        <v>418</v>
      </c>
      <c r="AD158" s="248" t="s">
        <v>418</v>
      </c>
      <c r="AE158" s="248" t="s">
        <v>418</v>
      </c>
      <c r="AF158" s="248" t="s">
        <v>418</v>
      </c>
      <c r="AG158" s="248" t="s">
        <v>418</v>
      </c>
      <c r="AH158" s="30">
        <f>'Project Materials'!$Q$25</f>
        <v>0</v>
      </c>
      <c r="AI158" s="27">
        <f>'Project Materials'!$Q$26</f>
        <v>0</v>
      </c>
      <c r="AJ158" s="28">
        <f>'Project Materials'!$Q$27</f>
        <v>0</v>
      </c>
      <c r="AK158" s="256">
        <f>'Project Materials'!$Q$28</f>
        <v>0</v>
      </c>
    </row>
    <row r="159" spans="1:40" x14ac:dyDescent="0.4">
      <c r="A159" s="61" t="s">
        <v>6</v>
      </c>
      <c r="B159" s="2" t="s">
        <v>72</v>
      </c>
      <c r="C159" s="2" t="s">
        <v>73</v>
      </c>
      <c r="D159" s="12"/>
      <c r="E159" s="4">
        <v>3.45</v>
      </c>
      <c r="F159" s="275" t="s">
        <v>418</v>
      </c>
      <c r="G159" s="275" t="s">
        <v>418</v>
      </c>
      <c r="H159" s="275" t="s">
        <v>418</v>
      </c>
      <c r="I159" s="275" t="s">
        <v>418</v>
      </c>
      <c r="J159" s="275" t="s">
        <v>418</v>
      </c>
      <c r="K159" s="275" t="s">
        <v>418</v>
      </c>
      <c r="L159" s="275" t="s">
        <v>418</v>
      </c>
      <c r="M159" s="280" t="s">
        <v>418</v>
      </c>
      <c r="N159" s="280" t="s">
        <v>418</v>
      </c>
      <c r="O159" s="280" t="s">
        <v>418</v>
      </c>
      <c r="P159" s="280" t="s">
        <v>418</v>
      </c>
      <c r="Q159" s="280" t="s">
        <v>418</v>
      </c>
      <c r="R159" s="280" t="s">
        <v>418</v>
      </c>
      <c r="S159" s="280" t="s">
        <v>418</v>
      </c>
      <c r="T159" s="247" t="s">
        <v>418</v>
      </c>
      <c r="U159" s="247" t="s">
        <v>418</v>
      </c>
      <c r="V159" s="247" t="s">
        <v>418</v>
      </c>
      <c r="W159" s="247" t="s">
        <v>418</v>
      </c>
      <c r="X159" s="247" t="s">
        <v>418</v>
      </c>
      <c r="Y159" s="247" t="s">
        <v>418</v>
      </c>
      <c r="Z159" s="247" t="s">
        <v>418</v>
      </c>
      <c r="AA159" s="248" t="s">
        <v>418</v>
      </c>
      <c r="AB159" s="248" t="s">
        <v>418</v>
      </c>
      <c r="AC159" s="248" t="s">
        <v>418</v>
      </c>
      <c r="AD159" s="248" t="s">
        <v>418</v>
      </c>
      <c r="AE159" s="248" t="s">
        <v>418</v>
      </c>
      <c r="AF159" s="248" t="s">
        <v>418</v>
      </c>
      <c r="AG159" s="248" t="s">
        <v>418</v>
      </c>
      <c r="AH159" s="30">
        <f>'Project Materials'!$Q$25</f>
        <v>0</v>
      </c>
      <c r="AI159" s="27">
        <f>'Project Materials'!$Q$26</f>
        <v>0</v>
      </c>
      <c r="AJ159" s="28">
        <f>'Project Materials'!$Q$27</f>
        <v>0</v>
      </c>
      <c r="AK159" s="256">
        <f>'Project Materials'!$Q$28</f>
        <v>0</v>
      </c>
    </row>
    <row r="160" spans="1:40" x14ac:dyDescent="0.4">
      <c r="A160" s="61" t="s">
        <v>6</v>
      </c>
      <c r="B160" s="2" t="s">
        <v>76</v>
      </c>
      <c r="C160" s="2" t="s">
        <v>77</v>
      </c>
      <c r="D160" s="12"/>
      <c r="E160" s="4">
        <v>3.39</v>
      </c>
      <c r="F160" s="275" t="s">
        <v>418</v>
      </c>
      <c r="G160" s="275" t="s">
        <v>418</v>
      </c>
      <c r="H160" s="275" t="s">
        <v>418</v>
      </c>
      <c r="I160" s="275" t="s">
        <v>418</v>
      </c>
      <c r="J160" s="275" t="s">
        <v>418</v>
      </c>
      <c r="K160" s="275" t="s">
        <v>418</v>
      </c>
      <c r="L160" s="275" t="s">
        <v>418</v>
      </c>
      <c r="M160" s="280" t="s">
        <v>418</v>
      </c>
      <c r="N160" s="280" t="s">
        <v>418</v>
      </c>
      <c r="O160" s="280" t="s">
        <v>418</v>
      </c>
      <c r="P160" s="280" t="s">
        <v>418</v>
      </c>
      <c r="Q160" s="280" t="s">
        <v>418</v>
      </c>
      <c r="R160" s="280" t="s">
        <v>418</v>
      </c>
      <c r="S160" s="280" t="s">
        <v>418</v>
      </c>
      <c r="T160" s="247" t="s">
        <v>418</v>
      </c>
      <c r="U160" s="247" t="s">
        <v>418</v>
      </c>
      <c r="V160" s="247" t="s">
        <v>418</v>
      </c>
      <c r="W160" s="247" t="s">
        <v>418</v>
      </c>
      <c r="X160" s="247" t="s">
        <v>418</v>
      </c>
      <c r="Y160" s="247" t="s">
        <v>418</v>
      </c>
      <c r="Z160" s="247" t="s">
        <v>418</v>
      </c>
      <c r="AA160" s="248" t="s">
        <v>418</v>
      </c>
      <c r="AB160" s="248" t="s">
        <v>418</v>
      </c>
      <c r="AC160" s="248" t="s">
        <v>418</v>
      </c>
      <c r="AD160" s="248" t="s">
        <v>418</v>
      </c>
      <c r="AE160" s="248" t="s">
        <v>418</v>
      </c>
      <c r="AF160" s="248" t="s">
        <v>418</v>
      </c>
      <c r="AG160" s="248" t="s">
        <v>418</v>
      </c>
      <c r="AH160" s="30">
        <f>'Project Materials'!$Q$25</f>
        <v>0</v>
      </c>
      <c r="AI160" s="27">
        <f>'Project Materials'!$Q$26</f>
        <v>0</v>
      </c>
      <c r="AJ160" s="28">
        <f>'Project Materials'!$Q$27</f>
        <v>0</v>
      </c>
      <c r="AK160" s="256">
        <f>'Project Materials'!$Q$28</f>
        <v>0</v>
      </c>
    </row>
    <row r="161" spans="1:40" x14ac:dyDescent="0.4">
      <c r="A161" s="61" t="s">
        <v>6</v>
      </c>
      <c r="B161" s="2" t="s">
        <v>78</v>
      </c>
      <c r="C161" s="2" t="s">
        <v>79</v>
      </c>
      <c r="D161" s="12"/>
      <c r="E161" s="4">
        <v>3.39</v>
      </c>
      <c r="F161" s="275" t="s">
        <v>418</v>
      </c>
      <c r="G161" s="275" t="s">
        <v>418</v>
      </c>
      <c r="H161" s="275" t="s">
        <v>418</v>
      </c>
      <c r="I161" s="275" t="s">
        <v>418</v>
      </c>
      <c r="J161" s="275" t="s">
        <v>418</v>
      </c>
      <c r="K161" s="275" t="s">
        <v>418</v>
      </c>
      <c r="L161" s="275" t="s">
        <v>418</v>
      </c>
      <c r="M161" s="280" t="s">
        <v>418</v>
      </c>
      <c r="N161" s="280" t="s">
        <v>418</v>
      </c>
      <c r="O161" s="280" t="s">
        <v>418</v>
      </c>
      <c r="P161" s="280" t="s">
        <v>418</v>
      </c>
      <c r="Q161" s="280" t="s">
        <v>418</v>
      </c>
      <c r="R161" s="280" t="s">
        <v>418</v>
      </c>
      <c r="S161" s="280" t="s">
        <v>418</v>
      </c>
      <c r="T161" s="247" t="s">
        <v>418</v>
      </c>
      <c r="U161" s="247" t="s">
        <v>418</v>
      </c>
      <c r="V161" s="247" t="s">
        <v>418</v>
      </c>
      <c r="W161" s="247" t="s">
        <v>418</v>
      </c>
      <c r="X161" s="247" t="s">
        <v>418</v>
      </c>
      <c r="Y161" s="247" t="s">
        <v>418</v>
      </c>
      <c r="Z161" s="247" t="s">
        <v>418</v>
      </c>
      <c r="AA161" s="248" t="s">
        <v>418</v>
      </c>
      <c r="AB161" s="248" t="s">
        <v>418</v>
      </c>
      <c r="AC161" s="248" t="s">
        <v>418</v>
      </c>
      <c r="AD161" s="248" t="s">
        <v>418</v>
      </c>
      <c r="AE161" s="248" t="s">
        <v>418</v>
      </c>
      <c r="AF161" s="248" t="s">
        <v>418</v>
      </c>
      <c r="AG161" s="248" t="s">
        <v>418</v>
      </c>
      <c r="AH161" s="30">
        <f>'Project Materials'!$Q$25</f>
        <v>0</v>
      </c>
      <c r="AI161" s="27">
        <f>'Project Materials'!$Q$26</f>
        <v>0</v>
      </c>
      <c r="AJ161" s="28">
        <f>'Project Materials'!$Q$27</f>
        <v>0</v>
      </c>
      <c r="AK161" s="256">
        <f>'Project Materials'!$Q$28</f>
        <v>0</v>
      </c>
    </row>
    <row r="162" spans="1:40" x14ac:dyDescent="0.4">
      <c r="A162" s="61" t="s">
        <v>6</v>
      </c>
      <c r="B162" s="2" t="s">
        <v>74</v>
      </c>
      <c r="C162" s="2" t="s">
        <v>75</v>
      </c>
      <c r="D162" s="12"/>
      <c r="E162" s="4">
        <v>7</v>
      </c>
      <c r="F162" s="275" t="s">
        <v>418</v>
      </c>
      <c r="G162" s="275" t="s">
        <v>418</v>
      </c>
      <c r="H162" s="275" t="s">
        <v>418</v>
      </c>
      <c r="I162" s="275" t="s">
        <v>418</v>
      </c>
      <c r="J162" s="275" t="s">
        <v>418</v>
      </c>
      <c r="K162" s="275" t="s">
        <v>418</v>
      </c>
      <c r="L162" s="275" t="s">
        <v>418</v>
      </c>
      <c r="M162" s="280" t="s">
        <v>418</v>
      </c>
      <c r="N162" s="280" t="s">
        <v>418</v>
      </c>
      <c r="O162" s="280" t="s">
        <v>418</v>
      </c>
      <c r="P162" s="280" t="s">
        <v>418</v>
      </c>
      <c r="Q162" s="280" t="s">
        <v>418</v>
      </c>
      <c r="R162" s="280" t="s">
        <v>418</v>
      </c>
      <c r="S162" s="280" t="s">
        <v>418</v>
      </c>
      <c r="T162" s="247" t="s">
        <v>418</v>
      </c>
      <c r="U162" s="247" t="s">
        <v>418</v>
      </c>
      <c r="V162" s="247" t="s">
        <v>418</v>
      </c>
      <c r="W162" s="247" t="s">
        <v>418</v>
      </c>
      <c r="X162" s="247" t="s">
        <v>418</v>
      </c>
      <c r="Y162" s="247" t="s">
        <v>418</v>
      </c>
      <c r="Z162" s="247" t="s">
        <v>418</v>
      </c>
      <c r="AA162" s="248" t="s">
        <v>418</v>
      </c>
      <c r="AB162" s="248" t="s">
        <v>418</v>
      </c>
      <c r="AC162" s="248" t="s">
        <v>418</v>
      </c>
      <c r="AD162" s="248" t="s">
        <v>418</v>
      </c>
      <c r="AE162" s="248" t="s">
        <v>418</v>
      </c>
      <c r="AF162" s="248" t="s">
        <v>418</v>
      </c>
      <c r="AG162" s="248" t="s">
        <v>418</v>
      </c>
      <c r="AH162" s="30">
        <f>'Project Materials'!$Q$25</f>
        <v>0</v>
      </c>
      <c r="AI162" s="27">
        <f>'Project Materials'!$Q$26</f>
        <v>0</v>
      </c>
      <c r="AJ162" s="28">
        <f>'Project Materials'!$Q$27</f>
        <v>0</v>
      </c>
      <c r="AK162" s="256">
        <f>'Project Materials'!$Q$28</f>
        <v>0</v>
      </c>
    </row>
    <row r="163" spans="1:40" x14ac:dyDescent="0.4">
      <c r="A163" s="61" t="s">
        <v>6</v>
      </c>
      <c r="B163" s="2" t="s">
        <v>80</v>
      </c>
      <c r="C163" s="2" t="s">
        <v>81</v>
      </c>
      <c r="D163" s="12"/>
      <c r="E163" s="4">
        <v>3.39</v>
      </c>
      <c r="F163" s="275" t="s">
        <v>418</v>
      </c>
      <c r="G163" s="275" t="s">
        <v>418</v>
      </c>
      <c r="H163" s="275" t="s">
        <v>418</v>
      </c>
      <c r="I163" s="275" t="s">
        <v>418</v>
      </c>
      <c r="J163" s="275" t="s">
        <v>418</v>
      </c>
      <c r="K163" s="275" t="s">
        <v>418</v>
      </c>
      <c r="L163" s="275" t="s">
        <v>418</v>
      </c>
      <c r="M163" s="280" t="s">
        <v>418</v>
      </c>
      <c r="N163" s="280" t="s">
        <v>418</v>
      </c>
      <c r="O163" s="280" t="s">
        <v>418</v>
      </c>
      <c r="P163" s="280" t="s">
        <v>418</v>
      </c>
      <c r="Q163" s="280" t="s">
        <v>418</v>
      </c>
      <c r="R163" s="280" t="s">
        <v>418</v>
      </c>
      <c r="S163" s="280" t="s">
        <v>418</v>
      </c>
      <c r="T163" s="247" t="s">
        <v>418</v>
      </c>
      <c r="U163" s="247" t="s">
        <v>418</v>
      </c>
      <c r="V163" s="247" t="s">
        <v>418</v>
      </c>
      <c r="W163" s="247" t="s">
        <v>418</v>
      </c>
      <c r="X163" s="247" t="s">
        <v>418</v>
      </c>
      <c r="Y163" s="247" t="s">
        <v>418</v>
      </c>
      <c r="Z163" s="247" t="s">
        <v>418</v>
      </c>
      <c r="AA163" s="248" t="s">
        <v>418</v>
      </c>
      <c r="AB163" s="248" t="s">
        <v>418</v>
      </c>
      <c r="AC163" s="248" t="s">
        <v>418</v>
      </c>
      <c r="AD163" s="248" t="s">
        <v>418</v>
      </c>
      <c r="AE163" s="248" t="s">
        <v>418</v>
      </c>
      <c r="AF163" s="248" t="s">
        <v>418</v>
      </c>
      <c r="AG163" s="248" t="s">
        <v>418</v>
      </c>
      <c r="AH163" s="30">
        <f>'Project Materials'!$Q$25</f>
        <v>0</v>
      </c>
      <c r="AI163" s="27">
        <f>'Project Materials'!$Q$26</f>
        <v>0</v>
      </c>
      <c r="AJ163" s="28">
        <f>'Project Materials'!$Q$27</f>
        <v>0</v>
      </c>
      <c r="AK163" s="256">
        <f>'Project Materials'!$Q$28</f>
        <v>0</v>
      </c>
    </row>
    <row r="164" spans="1:40" x14ac:dyDescent="0.4">
      <c r="A164" s="61" t="s">
        <v>6</v>
      </c>
      <c r="B164" s="2" t="s">
        <v>82</v>
      </c>
      <c r="C164" s="2" t="s">
        <v>83</v>
      </c>
      <c r="D164" s="12"/>
      <c r="E164" s="4">
        <v>11.33</v>
      </c>
      <c r="F164" s="275" t="s">
        <v>418</v>
      </c>
      <c r="G164" s="275" t="s">
        <v>418</v>
      </c>
      <c r="H164" s="275" t="s">
        <v>418</v>
      </c>
      <c r="I164" s="275" t="s">
        <v>418</v>
      </c>
      <c r="J164" s="275" t="s">
        <v>418</v>
      </c>
      <c r="K164" s="275" t="s">
        <v>418</v>
      </c>
      <c r="L164" s="275" t="s">
        <v>418</v>
      </c>
      <c r="M164" s="280" t="s">
        <v>418</v>
      </c>
      <c r="N164" s="280" t="s">
        <v>418</v>
      </c>
      <c r="O164" s="280" t="s">
        <v>418</v>
      </c>
      <c r="P164" s="280" t="s">
        <v>418</v>
      </c>
      <c r="Q164" s="280" t="s">
        <v>418</v>
      </c>
      <c r="R164" s="280" t="s">
        <v>418</v>
      </c>
      <c r="S164" s="280" t="s">
        <v>418</v>
      </c>
      <c r="T164" s="247" t="s">
        <v>418</v>
      </c>
      <c r="U164" s="247" t="s">
        <v>418</v>
      </c>
      <c r="V164" s="247" t="s">
        <v>418</v>
      </c>
      <c r="W164" s="247" t="s">
        <v>418</v>
      </c>
      <c r="X164" s="247" t="s">
        <v>418</v>
      </c>
      <c r="Y164" s="247" t="s">
        <v>418</v>
      </c>
      <c r="Z164" s="247" t="s">
        <v>418</v>
      </c>
      <c r="AA164" s="248" t="s">
        <v>418</v>
      </c>
      <c r="AB164" s="248" t="s">
        <v>418</v>
      </c>
      <c r="AC164" s="248" t="s">
        <v>418</v>
      </c>
      <c r="AD164" s="248" t="s">
        <v>418</v>
      </c>
      <c r="AE164" s="248" t="s">
        <v>418</v>
      </c>
      <c r="AF164" s="248" t="s">
        <v>418</v>
      </c>
      <c r="AG164" s="248" t="s">
        <v>418</v>
      </c>
      <c r="AH164" s="161"/>
      <c r="AI164" s="156"/>
      <c r="AJ164" s="151"/>
      <c r="AK164" s="257"/>
      <c r="AL164" s="25"/>
      <c r="AM164" s="25"/>
    </row>
    <row r="165" spans="1:40" x14ac:dyDescent="0.4">
      <c r="A165" s="61" t="s">
        <v>6</v>
      </c>
      <c r="B165" s="2" t="s">
        <v>84</v>
      </c>
      <c r="C165" s="2" t="s">
        <v>85</v>
      </c>
      <c r="D165" s="12"/>
      <c r="E165" s="4">
        <v>3.25</v>
      </c>
      <c r="F165" s="275" t="s">
        <v>418</v>
      </c>
      <c r="G165" s="275" t="s">
        <v>418</v>
      </c>
      <c r="H165" s="275" t="s">
        <v>418</v>
      </c>
      <c r="I165" s="275" t="s">
        <v>418</v>
      </c>
      <c r="J165" s="275" t="s">
        <v>418</v>
      </c>
      <c r="K165" s="275" t="s">
        <v>418</v>
      </c>
      <c r="L165" s="275" t="s">
        <v>418</v>
      </c>
      <c r="M165" s="280" t="s">
        <v>418</v>
      </c>
      <c r="N165" s="280" t="s">
        <v>418</v>
      </c>
      <c r="O165" s="280" t="s">
        <v>418</v>
      </c>
      <c r="P165" s="280" t="s">
        <v>418</v>
      </c>
      <c r="Q165" s="280" t="s">
        <v>418</v>
      </c>
      <c r="R165" s="280" t="s">
        <v>418</v>
      </c>
      <c r="S165" s="280" t="s">
        <v>418</v>
      </c>
      <c r="T165" s="247" t="s">
        <v>418</v>
      </c>
      <c r="U165" s="247" t="s">
        <v>418</v>
      </c>
      <c r="V165" s="247" t="s">
        <v>418</v>
      </c>
      <c r="W165" s="247" t="s">
        <v>418</v>
      </c>
      <c r="X165" s="247" t="s">
        <v>418</v>
      </c>
      <c r="Y165" s="247" t="s">
        <v>418</v>
      </c>
      <c r="Z165" s="247" t="s">
        <v>418</v>
      </c>
      <c r="AA165" s="248" t="s">
        <v>418</v>
      </c>
      <c r="AB165" s="248" t="s">
        <v>418</v>
      </c>
      <c r="AC165" s="248" t="s">
        <v>418</v>
      </c>
      <c r="AD165" s="248" t="s">
        <v>418</v>
      </c>
      <c r="AE165" s="248" t="s">
        <v>418</v>
      </c>
      <c r="AF165" s="248" t="s">
        <v>418</v>
      </c>
      <c r="AG165" s="248" t="s">
        <v>418</v>
      </c>
      <c r="AH165" s="30">
        <f>'Project Materials'!$Q$25</f>
        <v>0</v>
      </c>
      <c r="AI165" s="27">
        <f>'Project Materials'!$Q$26</f>
        <v>0</v>
      </c>
      <c r="AJ165" s="28">
        <f>'Project Materials'!$Q$27</f>
        <v>0</v>
      </c>
      <c r="AK165" s="256">
        <f>'Project Materials'!$Q$28</f>
        <v>0</v>
      </c>
      <c r="AM165" s="98">
        <v>1</v>
      </c>
    </row>
    <row r="166" spans="1:40" s="92" customFormat="1" x14ac:dyDescent="0.4">
      <c r="A166" s="60" t="s">
        <v>6</v>
      </c>
      <c r="B166" s="94" t="s">
        <v>679</v>
      </c>
      <c r="C166" s="94" t="s">
        <v>680</v>
      </c>
      <c r="D166" s="12"/>
      <c r="E166" s="4">
        <v>11.25</v>
      </c>
      <c r="F166" s="275" t="s">
        <v>418</v>
      </c>
      <c r="G166" s="275" t="s">
        <v>418</v>
      </c>
      <c r="H166" s="275" t="s">
        <v>418</v>
      </c>
      <c r="I166" s="275" t="s">
        <v>418</v>
      </c>
      <c r="J166" s="275" t="s">
        <v>418</v>
      </c>
      <c r="K166" s="275" t="s">
        <v>418</v>
      </c>
      <c r="L166" s="275" t="s">
        <v>418</v>
      </c>
      <c r="M166" s="280" t="s">
        <v>418</v>
      </c>
      <c r="N166" s="280" t="s">
        <v>418</v>
      </c>
      <c r="O166" s="280" t="s">
        <v>418</v>
      </c>
      <c r="P166" s="280" t="s">
        <v>418</v>
      </c>
      <c r="Q166" s="280" t="s">
        <v>418</v>
      </c>
      <c r="R166" s="280" t="s">
        <v>418</v>
      </c>
      <c r="S166" s="280" t="s">
        <v>418</v>
      </c>
      <c r="T166" s="247" t="s">
        <v>418</v>
      </c>
      <c r="U166" s="247" t="s">
        <v>418</v>
      </c>
      <c r="V166" s="247" t="s">
        <v>418</v>
      </c>
      <c r="W166" s="247" t="s">
        <v>418</v>
      </c>
      <c r="X166" s="247" t="s">
        <v>418</v>
      </c>
      <c r="Y166" s="247" t="s">
        <v>418</v>
      </c>
      <c r="Z166" s="247" t="s">
        <v>418</v>
      </c>
      <c r="AA166" s="248" t="s">
        <v>418</v>
      </c>
      <c r="AB166" s="248" t="s">
        <v>418</v>
      </c>
      <c r="AC166" s="248" t="s">
        <v>418</v>
      </c>
      <c r="AD166" s="248" t="s">
        <v>418</v>
      </c>
      <c r="AE166" s="248" t="s">
        <v>418</v>
      </c>
      <c r="AF166" s="248" t="s">
        <v>418</v>
      </c>
      <c r="AG166" s="248" t="s">
        <v>418</v>
      </c>
      <c r="AH166" s="30">
        <f>'Project Materials'!$Q$25</f>
        <v>0</v>
      </c>
      <c r="AI166" s="27">
        <f>'Project Materials'!$Q$26</f>
        <v>0</v>
      </c>
      <c r="AJ166" s="28">
        <f>'Project Materials'!$Q$27</f>
        <v>0</v>
      </c>
      <c r="AK166" s="256">
        <f>'Project Materials'!$Q$28</f>
        <v>0</v>
      </c>
      <c r="AL166" s="98"/>
      <c r="AM166" s="98"/>
      <c r="AN166" s="22"/>
    </row>
    <row r="167" spans="1:40" s="92" customFormat="1" x14ac:dyDescent="0.4">
      <c r="A167" s="60" t="s">
        <v>6</v>
      </c>
      <c r="B167" s="94" t="s">
        <v>681</v>
      </c>
      <c r="C167" s="94" t="s">
        <v>682</v>
      </c>
      <c r="D167" s="12"/>
      <c r="E167" s="4">
        <v>11.25</v>
      </c>
      <c r="F167" s="275" t="s">
        <v>418</v>
      </c>
      <c r="G167" s="275" t="s">
        <v>418</v>
      </c>
      <c r="H167" s="275" t="s">
        <v>418</v>
      </c>
      <c r="I167" s="275" t="s">
        <v>418</v>
      </c>
      <c r="J167" s="275" t="s">
        <v>418</v>
      </c>
      <c r="K167" s="275" t="s">
        <v>418</v>
      </c>
      <c r="L167" s="275" t="s">
        <v>418</v>
      </c>
      <c r="M167" s="280" t="s">
        <v>418</v>
      </c>
      <c r="N167" s="280" t="s">
        <v>418</v>
      </c>
      <c r="O167" s="280" t="s">
        <v>418</v>
      </c>
      <c r="P167" s="280" t="s">
        <v>418</v>
      </c>
      <c r="Q167" s="280" t="s">
        <v>418</v>
      </c>
      <c r="R167" s="280" t="s">
        <v>418</v>
      </c>
      <c r="S167" s="280" t="s">
        <v>418</v>
      </c>
      <c r="T167" s="247" t="s">
        <v>418</v>
      </c>
      <c r="U167" s="247" t="s">
        <v>418</v>
      </c>
      <c r="V167" s="247" t="s">
        <v>418</v>
      </c>
      <c r="W167" s="247" t="s">
        <v>418</v>
      </c>
      <c r="X167" s="247" t="s">
        <v>418</v>
      </c>
      <c r="Y167" s="247" t="s">
        <v>418</v>
      </c>
      <c r="Z167" s="247" t="s">
        <v>418</v>
      </c>
      <c r="AA167" s="248" t="s">
        <v>418</v>
      </c>
      <c r="AB167" s="248" t="s">
        <v>418</v>
      </c>
      <c r="AC167" s="248" t="s">
        <v>418</v>
      </c>
      <c r="AD167" s="248" t="s">
        <v>418</v>
      </c>
      <c r="AE167" s="248" t="s">
        <v>418</v>
      </c>
      <c r="AF167" s="248" t="s">
        <v>418</v>
      </c>
      <c r="AG167" s="248" t="s">
        <v>418</v>
      </c>
      <c r="AH167" s="30">
        <f>'Project Materials'!$Q$25</f>
        <v>0</v>
      </c>
      <c r="AI167" s="27">
        <f>'Project Materials'!$Q$26</f>
        <v>0</v>
      </c>
      <c r="AJ167" s="28">
        <f>'Project Materials'!$Q$27</f>
        <v>0</v>
      </c>
      <c r="AK167" s="256">
        <f>'Project Materials'!$Q$28</f>
        <v>0</v>
      </c>
      <c r="AL167" s="98"/>
      <c r="AM167" s="98"/>
      <c r="AN167" s="22"/>
    </row>
    <row r="168" spans="1:40" x14ac:dyDescent="0.4">
      <c r="A168" s="60" t="s">
        <v>6</v>
      </c>
      <c r="B168" s="2" t="s">
        <v>126</v>
      </c>
      <c r="C168" s="2" t="s">
        <v>127</v>
      </c>
      <c r="D168" s="12"/>
      <c r="E168" s="4">
        <v>15</v>
      </c>
      <c r="F168" s="275" t="s">
        <v>418</v>
      </c>
      <c r="G168" s="275" t="s">
        <v>418</v>
      </c>
      <c r="H168" s="277" t="str">
        <f>$B$238</f>
        <v>T Bolts 1/2 x 1 1/2- Halfen</v>
      </c>
      <c r="I168" s="275" t="s">
        <v>811</v>
      </c>
      <c r="J168" s="277" t="str">
        <f>$B$218</f>
        <v>3/8 x 4" SS Hex Cap Bolt</v>
      </c>
      <c r="K168" s="277" t="str">
        <f>$B$206</f>
        <v>Bottom Cap for PEU-Mill Finish</v>
      </c>
      <c r="L168" s="275" t="s">
        <v>418</v>
      </c>
      <c r="M168" s="280" t="s">
        <v>418</v>
      </c>
      <c r="N168" s="280" t="s">
        <v>418</v>
      </c>
      <c r="O168" s="282" t="str">
        <f>$B$238</f>
        <v>T Bolts 1/2 x 1 1/2- Halfen</v>
      </c>
      <c r="P168" s="280" t="s">
        <v>811</v>
      </c>
      <c r="Q168" s="282" t="str">
        <f>$B$218</f>
        <v>3/8 x 4" SS Hex Cap Bolt</v>
      </c>
      <c r="R168" s="282" t="str">
        <f>$B$206</f>
        <v>Bottom Cap for PEU-Mill Finish</v>
      </c>
      <c r="S168" s="280" t="s">
        <v>418</v>
      </c>
      <c r="T168" s="247" t="s">
        <v>418</v>
      </c>
      <c r="U168" s="247" t="s">
        <v>418</v>
      </c>
      <c r="V168" s="154" t="str">
        <f>$B$238</f>
        <v>T Bolts 1/2 x 1 1/2- Halfen</v>
      </c>
      <c r="W168" s="247" t="s">
        <v>811</v>
      </c>
      <c r="X168" s="154" t="str">
        <f>$B$218</f>
        <v>3/8 x 4" SS Hex Cap Bolt</v>
      </c>
      <c r="Y168" s="154" t="str">
        <f>$B$206</f>
        <v>Bottom Cap for PEU-Mill Finish</v>
      </c>
      <c r="Z168" s="247" t="s">
        <v>418</v>
      </c>
      <c r="AA168" s="248" t="s">
        <v>418</v>
      </c>
      <c r="AB168" s="248" t="s">
        <v>418</v>
      </c>
      <c r="AC168" s="202" t="str">
        <f>$B$238</f>
        <v>T Bolts 1/2 x 1 1/2- Halfen</v>
      </c>
      <c r="AD168" s="248" t="s">
        <v>811</v>
      </c>
      <c r="AE168" s="202" t="str">
        <f>$B$218</f>
        <v>3/8 x 4" SS Hex Cap Bolt</v>
      </c>
      <c r="AF168" s="202" t="str">
        <f>$B$206</f>
        <v>Bottom Cap for PEU-Mill Finish</v>
      </c>
      <c r="AG168" s="248" t="s">
        <v>418</v>
      </c>
      <c r="AH168" s="30">
        <f>(('Project Materials'!$J$25+'Project Materials'!$K$25))*'Project Materials'!$P$25</f>
        <v>0</v>
      </c>
      <c r="AI168" s="27">
        <f>(('Project Materials'!$J$26+'Project Materials'!$K$26))*'Project Materials'!$P$26</f>
        <v>0</v>
      </c>
      <c r="AJ168" s="28">
        <f>(('Project Materials'!$J$27+'Project Materials'!$K$27))*'Project Materials'!$P$27</f>
        <v>0</v>
      </c>
      <c r="AK168" s="256">
        <f>(('Project Materials'!$J$28+'Project Materials'!$K$28))*'Project Materials'!$P$28</f>
        <v>0</v>
      </c>
    </row>
    <row r="169" spans="1:40" x14ac:dyDescent="0.4">
      <c r="A169" s="60" t="s">
        <v>6</v>
      </c>
      <c r="B169" s="2" t="s">
        <v>128</v>
      </c>
      <c r="C169" s="2" t="s">
        <v>129</v>
      </c>
      <c r="D169" s="12"/>
      <c r="E169" s="4">
        <v>10.95</v>
      </c>
      <c r="F169" s="275" t="s">
        <v>418</v>
      </c>
      <c r="G169" s="275" t="s">
        <v>418</v>
      </c>
      <c r="H169" s="277" t="str">
        <f>$B$238</f>
        <v>T Bolts 1/2 x 1 1/2- Halfen</v>
      </c>
      <c r="I169" s="275" t="s">
        <v>811</v>
      </c>
      <c r="J169" s="277" t="str">
        <f>$B$218</f>
        <v>3/8 x 4" SS Hex Cap Bolt</v>
      </c>
      <c r="K169" s="277" t="str">
        <f>$B$206</f>
        <v>Bottom Cap for PEU-Mill Finish</v>
      </c>
      <c r="L169" s="275" t="s">
        <v>418</v>
      </c>
      <c r="M169" s="280" t="s">
        <v>418</v>
      </c>
      <c r="N169" s="280" t="s">
        <v>418</v>
      </c>
      <c r="O169" s="282" t="str">
        <f>$B$238</f>
        <v>T Bolts 1/2 x 1 1/2- Halfen</v>
      </c>
      <c r="P169" s="280" t="s">
        <v>811</v>
      </c>
      <c r="Q169" s="282" t="str">
        <f>$B$218</f>
        <v>3/8 x 4" SS Hex Cap Bolt</v>
      </c>
      <c r="R169" s="282" t="str">
        <f>$B$206</f>
        <v>Bottom Cap for PEU-Mill Finish</v>
      </c>
      <c r="S169" s="280" t="s">
        <v>418</v>
      </c>
      <c r="T169" s="247" t="s">
        <v>418</v>
      </c>
      <c r="U169" s="247" t="s">
        <v>418</v>
      </c>
      <c r="V169" s="154" t="str">
        <f>$B$238</f>
        <v>T Bolts 1/2 x 1 1/2- Halfen</v>
      </c>
      <c r="W169" s="247" t="s">
        <v>811</v>
      </c>
      <c r="X169" s="154" t="str">
        <f>$B$218</f>
        <v>3/8 x 4" SS Hex Cap Bolt</v>
      </c>
      <c r="Y169" s="154" t="str">
        <f>$B$206</f>
        <v>Bottom Cap for PEU-Mill Finish</v>
      </c>
      <c r="Z169" s="247" t="s">
        <v>418</v>
      </c>
      <c r="AA169" s="248" t="s">
        <v>418</v>
      </c>
      <c r="AB169" s="248" t="s">
        <v>418</v>
      </c>
      <c r="AC169" s="202" t="str">
        <f>$B$238</f>
        <v>T Bolts 1/2 x 1 1/2- Halfen</v>
      </c>
      <c r="AD169" s="248" t="s">
        <v>811</v>
      </c>
      <c r="AE169" s="202" t="str">
        <f>$B$218</f>
        <v>3/8 x 4" SS Hex Cap Bolt</v>
      </c>
      <c r="AF169" s="202" t="str">
        <f>$B$206</f>
        <v>Bottom Cap for PEU-Mill Finish</v>
      </c>
      <c r="AG169" s="248" t="s">
        <v>418</v>
      </c>
      <c r="AH169" s="30">
        <f>(('Project Materials'!$J$25+'Project Materials'!$K$25))*'Project Materials'!$P$25</f>
        <v>0</v>
      </c>
      <c r="AI169" s="27">
        <f>(('Project Materials'!$J$26+'Project Materials'!$K$26))*'Project Materials'!$P$26</f>
        <v>0</v>
      </c>
      <c r="AJ169" s="28">
        <f>(('Project Materials'!$J$27+'Project Materials'!$K$27))*'Project Materials'!$P$27</f>
        <v>0</v>
      </c>
      <c r="AK169" s="256">
        <f>(('Project Materials'!$J$28+'Project Materials'!$K$28))*'Project Materials'!$P$28</f>
        <v>0</v>
      </c>
    </row>
    <row r="170" spans="1:40" x14ac:dyDescent="0.4">
      <c r="A170" s="60" t="s">
        <v>6</v>
      </c>
      <c r="B170" s="2" t="s">
        <v>130</v>
      </c>
      <c r="C170" s="2" t="s">
        <v>131</v>
      </c>
      <c r="D170" s="12"/>
      <c r="E170" s="4">
        <v>14.83</v>
      </c>
      <c r="F170" s="275" t="s">
        <v>418</v>
      </c>
      <c r="G170" s="275" t="s">
        <v>418</v>
      </c>
      <c r="H170" s="277" t="str">
        <f>$B$238</f>
        <v>T Bolts 1/2 x 1 1/2- Halfen</v>
      </c>
      <c r="I170" s="275" t="s">
        <v>811</v>
      </c>
      <c r="J170" s="277" t="str">
        <f>$B$218</f>
        <v>3/8 x 4" SS Hex Cap Bolt</v>
      </c>
      <c r="K170" s="277" t="str">
        <f>$B$206</f>
        <v>Bottom Cap for PEU-Mill Finish</v>
      </c>
      <c r="L170" s="275" t="s">
        <v>418</v>
      </c>
      <c r="M170" s="280" t="s">
        <v>418</v>
      </c>
      <c r="N170" s="280" t="s">
        <v>418</v>
      </c>
      <c r="O170" s="282" t="str">
        <f>$B$238</f>
        <v>T Bolts 1/2 x 1 1/2- Halfen</v>
      </c>
      <c r="P170" s="280" t="s">
        <v>811</v>
      </c>
      <c r="Q170" s="282" t="str">
        <f>$B$218</f>
        <v>3/8 x 4" SS Hex Cap Bolt</v>
      </c>
      <c r="R170" s="282" t="str">
        <f>$B$206</f>
        <v>Bottom Cap for PEU-Mill Finish</v>
      </c>
      <c r="S170" s="280" t="s">
        <v>418</v>
      </c>
      <c r="T170" s="247" t="s">
        <v>418</v>
      </c>
      <c r="U170" s="247" t="s">
        <v>418</v>
      </c>
      <c r="V170" s="154" t="str">
        <f>$B$238</f>
        <v>T Bolts 1/2 x 1 1/2- Halfen</v>
      </c>
      <c r="W170" s="247" t="s">
        <v>811</v>
      </c>
      <c r="X170" s="154" t="str">
        <f>$B$218</f>
        <v>3/8 x 4" SS Hex Cap Bolt</v>
      </c>
      <c r="Y170" s="154" t="str">
        <f>$B$206</f>
        <v>Bottom Cap for PEU-Mill Finish</v>
      </c>
      <c r="Z170" s="247" t="s">
        <v>418</v>
      </c>
      <c r="AA170" s="248" t="s">
        <v>418</v>
      </c>
      <c r="AB170" s="248" t="s">
        <v>418</v>
      </c>
      <c r="AC170" s="202" t="str">
        <f>$B$238</f>
        <v>T Bolts 1/2 x 1 1/2- Halfen</v>
      </c>
      <c r="AD170" s="248" t="s">
        <v>811</v>
      </c>
      <c r="AE170" s="202" t="str">
        <f>$B$218</f>
        <v>3/8 x 4" SS Hex Cap Bolt</v>
      </c>
      <c r="AF170" s="202" t="str">
        <f>$B$206</f>
        <v>Bottom Cap for PEU-Mill Finish</v>
      </c>
      <c r="AG170" s="248" t="s">
        <v>418</v>
      </c>
      <c r="AH170" s="30">
        <f>(('Project Materials'!$J$25+'Project Materials'!$K$25))*'Project Materials'!$P$25</f>
        <v>0</v>
      </c>
      <c r="AI170" s="27">
        <f>(('Project Materials'!$J$26+'Project Materials'!$K$26))*'Project Materials'!$P$26</f>
        <v>0</v>
      </c>
      <c r="AJ170" s="28">
        <f>(('Project Materials'!$J$27+'Project Materials'!$K$27))*'Project Materials'!$P$27</f>
        <v>0</v>
      </c>
      <c r="AK170" s="256">
        <f>(('Project Materials'!$J$28+'Project Materials'!$K$28))*'Project Materials'!$P$28</f>
        <v>0</v>
      </c>
    </row>
    <row r="171" spans="1:40" x14ac:dyDescent="0.4">
      <c r="A171" s="60" t="s">
        <v>6</v>
      </c>
      <c r="B171" s="2" t="s">
        <v>132</v>
      </c>
      <c r="C171" s="2" t="s">
        <v>133</v>
      </c>
      <c r="D171" s="12"/>
      <c r="E171" s="4">
        <v>10.45</v>
      </c>
      <c r="F171" s="275" t="s">
        <v>418</v>
      </c>
      <c r="G171" s="275" t="s">
        <v>418</v>
      </c>
      <c r="H171" s="277" t="str">
        <f>$B$238</f>
        <v>T Bolts 1/2 x 1 1/2- Halfen</v>
      </c>
      <c r="I171" s="275" t="s">
        <v>811</v>
      </c>
      <c r="J171" s="277" t="str">
        <f>$B$218</f>
        <v>3/8 x 4" SS Hex Cap Bolt</v>
      </c>
      <c r="K171" s="277" t="str">
        <f>$B$206</f>
        <v>Bottom Cap for PEU-Mill Finish</v>
      </c>
      <c r="L171" s="275" t="s">
        <v>418</v>
      </c>
      <c r="M171" s="280" t="s">
        <v>418</v>
      </c>
      <c r="N171" s="280" t="s">
        <v>418</v>
      </c>
      <c r="O171" s="282" t="str">
        <f>$B$238</f>
        <v>T Bolts 1/2 x 1 1/2- Halfen</v>
      </c>
      <c r="P171" s="280" t="s">
        <v>811</v>
      </c>
      <c r="Q171" s="282" t="str">
        <f>$B$218</f>
        <v>3/8 x 4" SS Hex Cap Bolt</v>
      </c>
      <c r="R171" s="282" t="str">
        <f>$B$206</f>
        <v>Bottom Cap for PEU-Mill Finish</v>
      </c>
      <c r="S171" s="280" t="s">
        <v>418</v>
      </c>
      <c r="T171" s="247" t="s">
        <v>418</v>
      </c>
      <c r="U171" s="247" t="s">
        <v>418</v>
      </c>
      <c r="V171" s="154" t="str">
        <f>$B$238</f>
        <v>T Bolts 1/2 x 1 1/2- Halfen</v>
      </c>
      <c r="W171" s="247" t="s">
        <v>811</v>
      </c>
      <c r="X171" s="154" t="str">
        <f>$B$218</f>
        <v>3/8 x 4" SS Hex Cap Bolt</v>
      </c>
      <c r="Y171" s="154" t="str">
        <f>$B$206</f>
        <v>Bottom Cap for PEU-Mill Finish</v>
      </c>
      <c r="Z171" s="247" t="s">
        <v>418</v>
      </c>
      <c r="AA171" s="248" t="s">
        <v>418</v>
      </c>
      <c r="AB171" s="248" t="s">
        <v>418</v>
      </c>
      <c r="AC171" s="202" t="str">
        <f>$B$238</f>
        <v>T Bolts 1/2 x 1 1/2- Halfen</v>
      </c>
      <c r="AD171" s="248" t="s">
        <v>811</v>
      </c>
      <c r="AE171" s="202" t="str">
        <f>$B$218</f>
        <v>3/8 x 4" SS Hex Cap Bolt</v>
      </c>
      <c r="AF171" s="202" t="str">
        <f>$B$206</f>
        <v>Bottom Cap for PEU-Mill Finish</v>
      </c>
      <c r="AG171" s="248" t="s">
        <v>418</v>
      </c>
      <c r="AH171" s="30">
        <f>(('Project Materials'!$J$25+'Project Materials'!$K$25))*'Project Materials'!$P$25</f>
        <v>0</v>
      </c>
      <c r="AI171" s="27">
        <f>(('Project Materials'!$J$26+'Project Materials'!$K$26))*'Project Materials'!$P$26</f>
        <v>0</v>
      </c>
      <c r="AJ171" s="28">
        <f>(('Project Materials'!$J$27+'Project Materials'!$K$27))*'Project Materials'!$P$27</f>
        <v>0</v>
      </c>
      <c r="AK171" s="256">
        <f>(('Project Materials'!$J$28+'Project Materials'!$K$28))*'Project Materials'!$P$28</f>
        <v>0</v>
      </c>
    </row>
    <row r="172" spans="1:40" x14ac:dyDescent="0.4">
      <c r="A172" s="60" t="s">
        <v>6</v>
      </c>
      <c r="B172" s="2" t="s">
        <v>20</v>
      </c>
      <c r="C172" s="2" t="s">
        <v>21</v>
      </c>
      <c r="D172" s="12"/>
      <c r="E172" s="4">
        <v>24.96</v>
      </c>
      <c r="F172" s="275" t="s">
        <v>418</v>
      </c>
      <c r="G172" s="275" t="s">
        <v>418</v>
      </c>
      <c r="H172" s="277" t="str">
        <f>$B$238</f>
        <v>T Bolts 1/2 x 1 1/2- Halfen</v>
      </c>
      <c r="I172" s="275" t="s">
        <v>811</v>
      </c>
      <c r="J172" s="277" t="str">
        <f>$B$218</f>
        <v>3/8 x 4" SS Hex Cap Bolt</v>
      </c>
      <c r="K172" s="277" t="str">
        <f>$B$206</f>
        <v>Bottom Cap for PEU-Mill Finish</v>
      </c>
      <c r="L172" s="275" t="s">
        <v>418</v>
      </c>
      <c r="M172" s="280" t="s">
        <v>418</v>
      </c>
      <c r="N172" s="280" t="s">
        <v>418</v>
      </c>
      <c r="O172" s="282" t="str">
        <f>$B$238</f>
        <v>T Bolts 1/2 x 1 1/2- Halfen</v>
      </c>
      <c r="P172" s="280" t="s">
        <v>811</v>
      </c>
      <c r="Q172" s="282" t="str">
        <f>$B$218</f>
        <v>3/8 x 4" SS Hex Cap Bolt</v>
      </c>
      <c r="R172" s="282" t="str">
        <f>$B$206</f>
        <v>Bottom Cap for PEU-Mill Finish</v>
      </c>
      <c r="S172" s="280" t="s">
        <v>418</v>
      </c>
      <c r="T172" s="247" t="s">
        <v>418</v>
      </c>
      <c r="U172" s="247" t="s">
        <v>418</v>
      </c>
      <c r="V172" s="154" t="str">
        <f>$B$238</f>
        <v>T Bolts 1/2 x 1 1/2- Halfen</v>
      </c>
      <c r="W172" s="247" t="s">
        <v>811</v>
      </c>
      <c r="X172" s="154" t="str">
        <f>$B$218</f>
        <v>3/8 x 4" SS Hex Cap Bolt</v>
      </c>
      <c r="Y172" s="154" t="str">
        <f>$B$206</f>
        <v>Bottom Cap for PEU-Mill Finish</v>
      </c>
      <c r="Z172" s="247" t="s">
        <v>418</v>
      </c>
      <c r="AA172" s="248" t="s">
        <v>418</v>
      </c>
      <c r="AB172" s="248" t="s">
        <v>418</v>
      </c>
      <c r="AC172" s="202" t="str">
        <f>$B$238</f>
        <v>T Bolts 1/2 x 1 1/2- Halfen</v>
      </c>
      <c r="AD172" s="248" t="s">
        <v>811</v>
      </c>
      <c r="AE172" s="202" t="str">
        <f>$B$218</f>
        <v>3/8 x 4" SS Hex Cap Bolt</v>
      </c>
      <c r="AF172" s="202" t="str">
        <f>$B$206</f>
        <v>Bottom Cap for PEU-Mill Finish</v>
      </c>
      <c r="AG172" s="248" t="s">
        <v>418</v>
      </c>
      <c r="AH172" s="30">
        <f>(('Project Materials'!$M$25))*'Project Materials'!$P$25</f>
        <v>0</v>
      </c>
      <c r="AI172" s="27">
        <f>(('Project Materials'!$M$26))*'Project Materials'!$P$26</f>
        <v>0</v>
      </c>
      <c r="AJ172" s="28">
        <f>(('Project Materials'!$M$27))*'Project Materials'!$P$27</f>
        <v>0</v>
      </c>
      <c r="AK172" s="256">
        <f>(('Project Materials'!$M$28))*'Project Materials'!$P$28</f>
        <v>0</v>
      </c>
    </row>
    <row r="173" spans="1:40" x14ac:dyDescent="0.4">
      <c r="A173" s="60" t="s">
        <v>6</v>
      </c>
      <c r="B173" s="2" t="s">
        <v>293</v>
      </c>
      <c r="C173" s="2" t="s">
        <v>294</v>
      </c>
      <c r="D173" s="12"/>
      <c r="E173" s="4">
        <v>15.96</v>
      </c>
      <c r="F173" s="275" t="s">
        <v>418</v>
      </c>
      <c r="G173" s="277" t="str">
        <f t="shared" ref="G173:G184" si="0">$B$221</f>
        <v>3/8" x 5" SS Lag Screw</v>
      </c>
      <c r="H173" s="275" t="s">
        <v>418</v>
      </c>
      <c r="I173" s="275" t="s">
        <v>418</v>
      </c>
      <c r="J173" s="275" t="s">
        <v>418</v>
      </c>
      <c r="K173" s="275" t="s">
        <v>418</v>
      </c>
      <c r="L173" s="275" t="s">
        <v>418</v>
      </c>
      <c r="M173" s="280" t="s">
        <v>418</v>
      </c>
      <c r="N173" s="282" t="str">
        <f t="shared" ref="N173:N184" si="1">$B$221</f>
        <v>3/8" x 5" SS Lag Screw</v>
      </c>
      <c r="O173" s="280" t="s">
        <v>418</v>
      </c>
      <c r="P173" s="280" t="s">
        <v>418</v>
      </c>
      <c r="Q173" s="280" t="s">
        <v>418</v>
      </c>
      <c r="R173" s="280" t="s">
        <v>418</v>
      </c>
      <c r="S173" s="280" t="s">
        <v>418</v>
      </c>
      <c r="T173" s="247" t="s">
        <v>418</v>
      </c>
      <c r="U173" s="154" t="str">
        <f t="shared" ref="U173:U184" si="2">$B$221</f>
        <v>3/8" x 5" SS Lag Screw</v>
      </c>
      <c r="V173" s="247" t="s">
        <v>418</v>
      </c>
      <c r="W173" s="247" t="s">
        <v>418</v>
      </c>
      <c r="X173" s="247" t="s">
        <v>418</v>
      </c>
      <c r="Y173" s="247" t="s">
        <v>418</v>
      </c>
      <c r="Z173" s="247" t="s">
        <v>418</v>
      </c>
      <c r="AA173" s="248" t="s">
        <v>418</v>
      </c>
      <c r="AB173" s="202" t="str">
        <f t="shared" ref="AB173:AB184" si="3">$B$221</f>
        <v>3/8" x 5" SS Lag Screw</v>
      </c>
      <c r="AC173" s="248" t="s">
        <v>418</v>
      </c>
      <c r="AD173" s="248" t="s">
        <v>418</v>
      </c>
      <c r="AE173" s="248" t="s">
        <v>418</v>
      </c>
      <c r="AF173" s="248" t="s">
        <v>418</v>
      </c>
      <c r="AG173" s="248" t="s">
        <v>418</v>
      </c>
      <c r="AH173" s="30">
        <f>('Project Materials'!$J$25+'Project Materials'!$K$25)*'Project Materials'!$P$25</f>
        <v>0</v>
      </c>
      <c r="AI173" s="27">
        <f>('Project Materials'!$J$26+'Project Materials'!$K$26)*'Project Materials'!$P$26</f>
        <v>0</v>
      </c>
      <c r="AJ173" s="28">
        <f>('Project Materials'!$J$27+'Project Materials'!$K$27)*'Project Materials'!$P$27</f>
        <v>0</v>
      </c>
      <c r="AK173" s="256">
        <f>('Project Materials'!$J$28+'Project Materials'!$K$28)*'Project Materials'!$P$28</f>
        <v>0</v>
      </c>
    </row>
    <row r="174" spans="1:40" x14ac:dyDescent="0.4">
      <c r="A174" s="60" t="s">
        <v>6</v>
      </c>
      <c r="B174" s="2" t="s">
        <v>295</v>
      </c>
      <c r="C174" s="2" t="s">
        <v>296</v>
      </c>
      <c r="D174" s="12"/>
      <c r="E174" s="4">
        <v>15.96</v>
      </c>
      <c r="F174" s="275" t="s">
        <v>418</v>
      </c>
      <c r="G174" s="277" t="str">
        <f t="shared" si="0"/>
        <v>3/8" x 5" SS Lag Screw</v>
      </c>
      <c r="H174" s="275" t="s">
        <v>418</v>
      </c>
      <c r="I174" s="275" t="s">
        <v>418</v>
      </c>
      <c r="J174" s="275" t="s">
        <v>418</v>
      </c>
      <c r="K174" s="275" t="s">
        <v>418</v>
      </c>
      <c r="L174" s="275" t="s">
        <v>418</v>
      </c>
      <c r="M174" s="280" t="s">
        <v>418</v>
      </c>
      <c r="N174" s="282" t="str">
        <f t="shared" si="1"/>
        <v>3/8" x 5" SS Lag Screw</v>
      </c>
      <c r="O174" s="280" t="s">
        <v>418</v>
      </c>
      <c r="P174" s="280" t="s">
        <v>418</v>
      </c>
      <c r="Q174" s="280" t="s">
        <v>418</v>
      </c>
      <c r="R174" s="280" t="s">
        <v>418</v>
      </c>
      <c r="S174" s="280" t="s">
        <v>418</v>
      </c>
      <c r="T174" s="247" t="s">
        <v>418</v>
      </c>
      <c r="U174" s="154" t="str">
        <f t="shared" si="2"/>
        <v>3/8" x 5" SS Lag Screw</v>
      </c>
      <c r="V174" s="247" t="s">
        <v>418</v>
      </c>
      <c r="W174" s="247" t="s">
        <v>418</v>
      </c>
      <c r="X174" s="247" t="s">
        <v>418</v>
      </c>
      <c r="Y174" s="247" t="s">
        <v>418</v>
      </c>
      <c r="Z174" s="247" t="s">
        <v>418</v>
      </c>
      <c r="AA174" s="248" t="s">
        <v>418</v>
      </c>
      <c r="AB174" s="202" t="str">
        <f t="shared" si="3"/>
        <v>3/8" x 5" SS Lag Screw</v>
      </c>
      <c r="AC174" s="248" t="s">
        <v>418</v>
      </c>
      <c r="AD174" s="248" t="s">
        <v>418</v>
      </c>
      <c r="AE174" s="248" t="s">
        <v>418</v>
      </c>
      <c r="AF174" s="248" t="s">
        <v>418</v>
      </c>
      <c r="AG174" s="248" t="s">
        <v>418</v>
      </c>
      <c r="AH174" s="30">
        <f>('Project Materials'!$J$25+'Project Materials'!$K$25)*'Project Materials'!$P$25</f>
        <v>0</v>
      </c>
      <c r="AI174" s="27">
        <f>('Project Materials'!$J$26+'Project Materials'!$K$26)*'Project Materials'!$P$26</f>
        <v>0</v>
      </c>
      <c r="AJ174" s="28">
        <f>('Project Materials'!$J$27+'Project Materials'!$K$27)*'Project Materials'!$P$27</f>
        <v>0</v>
      </c>
      <c r="AK174" s="256">
        <f>('Project Materials'!$J$28+'Project Materials'!$K$28)*'Project Materials'!$P$28</f>
        <v>0</v>
      </c>
    </row>
    <row r="175" spans="1:40" x14ac:dyDescent="0.4">
      <c r="A175" s="60" t="s">
        <v>6</v>
      </c>
      <c r="B175" s="2" t="s">
        <v>297</v>
      </c>
      <c r="C175" s="2" t="s">
        <v>298</v>
      </c>
      <c r="D175" s="12"/>
      <c r="E175" s="4">
        <v>15.96</v>
      </c>
      <c r="F175" s="275" t="s">
        <v>418</v>
      </c>
      <c r="G175" s="277" t="str">
        <f t="shared" si="0"/>
        <v>3/8" x 5" SS Lag Screw</v>
      </c>
      <c r="H175" s="275" t="s">
        <v>418</v>
      </c>
      <c r="I175" s="275" t="s">
        <v>418</v>
      </c>
      <c r="J175" s="275" t="s">
        <v>418</v>
      </c>
      <c r="K175" s="275" t="s">
        <v>418</v>
      </c>
      <c r="L175" s="275" t="s">
        <v>418</v>
      </c>
      <c r="M175" s="280" t="s">
        <v>418</v>
      </c>
      <c r="N175" s="282" t="str">
        <f t="shared" si="1"/>
        <v>3/8" x 5" SS Lag Screw</v>
      </c>
      <c r="O175" s="280" t="s">
        <v>418</v>
      </c>
      <c r="P175" s="280" t="s">
        <v>418</v>
      </c>
      <c r="Q175" s="280" t="s">
        <v>418</v>
      </c>
      <c r="R175" s="280" t="s">
        <v>418</v>
      </c>
      <c r="S175" s="280" t="s">
        <v>418</v>
      </c>
      <c r="T175" s="247" t="s">
        <v>418</v>
      </c>
      <c r="U175" s="154" t="str">
        <f t="shared" si="2"/>
        <v>3/8" x 5" SS Lag Screw</v>
      </c>
      <c r="V175" s="247" t="s">
        <v>418</v>
      </c>
      <c r="W175" s="247" t="s">
        <v>418</v>
      </c>
      <c r="X175" s="247" t="s">
        <v>418</v>
      </c>
      <c r="Y175" s="247" t="s">
        <v>418</v>
      </c>
      <c r="Z175" s="247" t="s">
        <v>418</v>
      </c>
      <c r="AA175" s="248" t="s">
        <v>418</v>
      </c>
      <c r="AB175" s="202" t="str">
        <f t="shared" si="3"/>
        <v>3/8" x 5" SS Lag Screw</v>
      </c>
      <c r="AC175" s="248" t="s">
        <v>418</v>
      </c>
      <c r="AD175" s="248" t="s">
        <v>418</v>
      </c>
      <c r="AE175" s="248" t="s">
        <v>418</v>
      </c>
      <c r="AF175" s="248" t="s">
        <v>418</v>
      </c>
      <c r="AG175" s="248" t="s">
        <v>418</v>
      </c>
      <c r="AH175" s="30">
        <f>('Project Materials'!$J$25+'Project Materials'!$K$25)*'Project Materials'!$P$25</f>
        <v>0</v>
      </c>
      <c r="AI175" s="27">
        <f>('Project Materials'!$J$26+'Project Materials'!$K$26)*'Project Materials'!$P$26</f>
        <v>0</v>
      </c>
      <c r="AJ175" s="28">
        <f>('Project Materials'!$J$27+'Project Materials'!$K$27)*'Project Materials'!$P$27</f>
        <v>0</v>
      </c>
      <c r="AK175" s="256">
        <f>('Project Materials'!$J$28+'Project Materials'!$K$28)*'Project Materials'!$P$28</f>
        <v>0</v>
      </c>
    </row>
    <row r="176" spans="1:40" x14ac:dyDescent="0.4">
      <c r="A176" s="60" t="s">
        <v>6</v>
      </c>
      <c r="B176" s="2" t="s">
        <v>299</v>
      </c>
      <c r="C176" s="2" t="s">
        <v>300</v>
      </c>
      <c r="D176" s="12"/>
      <c r="E176" s="4">
        <v>15.96</v>
      </c>
      <c r="F176" s="275" t="s">
        <v>418</v>
      </c>
      <c r="G176" s="277" t="str">
        <f t="shared" si="0"/>
        <v>3/8" x 5" SS Lag Screw</v>
      </c>
      <c r="H176" s="275" t="s">
        <v>418</v>
      </c>
      <c r="I176" s="275" t="s">
        <v>418</v>
      </c>
      <c r="J176" s="275" t="s">
        <v>418</v>
      </c>
      <c r="K176" s="275" t="s">
        <v>418</v>
      </c>
      <c r="L176" s="275" t="s">
        <v>418</v>
      </c>
      <c r="M176" s="280" t="s">
        <v>418</v>
      </c>
      <c r="N176" s="282" t="str">
        <f t="shared" si="1"/>
        <v>3/8" x 5" SS Lag Screw</v>
      </c>
      <c r="O176" s="280" t="s">
        <v>418</v>
      </c>
      <c r="P176" s="280" t="s">
        <v>418</v>
      </c>
      <c r="Q176" s="280" t="s">
        <v>418</v>
      </c>
      <c r="R176" s="280" t="s">
        <v>418</v>
      </c>
      <c r="S176" s="280" t="s">
        <v>418</v>
      </c>
      <c r="T176" s="247" t="s">
        <v>418</v>
      </c>
      <c r="U176" s="154" t="str">
        <f t="shared" si="2"/>
        <v>3/8" x 5" SS Lag Screw</v>
      </c>
      <c r="V176" s="247" t="s">
        <v>418</v>
      </c>
      <c r="W176" s="247" t="s">
        <v>418</v>
      </c>
      <c r="X176" s="247" t="s">
        <v>418</v>
      </c>
      <c r="Y176" s="247" t="s">
        <v>418</v>
      </c>
      <c r="Z176" s="247" t="s">
        <v>418</v>
      </c>
      <c r="AA176" s="248" t="s">
        <v>418</v>
      </c>
      <c r="AB176" s="202" t="str">
        <f t="shared" si="3"/>
        <v>3/8" x 5" SS Lag Screw</v>
      </c>
      <c r="AC176" s="248" t="s">
        <v>418</v>
      </c>
      <c r="AD176" s="248" t="s">
        <v>418</v>
      </c>
      <c r="AE176" s="248" t="s">
        <v>418</v>
      </c>
      <c r="AF176" s="248" t="s">
        <v>418</v>
      </c>
      <c r="AG176" s="248" t="s">
        <v>418</v>
      </c>
      <c r="AH176" s="30">
        <f>('Project Materials'!$J$25+'Project Materials'!$K$25)*'Project Materials'!$P$25</f>
        <v>0</v>
      </c>
      <c r="AI176" s="27">
        <f>('Project Materials'!$J$26+'Project Materials'!$K$26)*'Project Materials'!$P$26</f>
        <v>0</v>
      </c>
      <c r="AJ176" s="28">
        <f>('Project Materials'!$J$27+'Project Materials'!$K$27)*'Project Materials'!$P$27</f>
        <v>0</v>
      </c>
      <c r="AK176" s="256">
        <f>('Project Materials'!$J$28+'Project Materials'!$K$28)*'Project Materials'!$P$28</f>
        <v>0</v>
      </c>
    </row>
    <row r="177" spans="1:40" x14ac:dyDescent="0.4">
      <c r="A177" s="60" t="s">
        <v>6</v>
      </c>
      <c r="B177" s="2" t="s">
        <v>301</v>
      </c>
      <c r="C177" s="2" t="s">
        <v>302</v>
      </c>
      <c r="D177" s="12"/>
      <c r="E177" s="4">
        <v>18.71</v>
      </c>
      <c r="F177" s="275" t="s">
        <v>418</v>
      </c>
      <c r="G177" s="277" t="str">
        <f t="shared" si="0"/>
        <v>3/8" x 5" SS Lag Screw</v>
      </c>
      <c r="H177" s="275" t="s">
        <v>418</v>
      </c>
      <c r="I177" s="275" t="s">
        <v>418</v>
      </c>
      <c r="J177" s="275" t="s">
        <v>418</v>
      </c>
      <c r="K177" s="275" t="s">
        <v>418</v>
      </c>
      <c r="L177" s="275" t="s">
        <v>418</v>
      </c>
      <c r="M177" s="280" t="s">
        <v>418</v>
      </c>
      <c r="N177" s="282" t="str">
        <f t="shared" si="1"/>
        <v>3/8" x 5" SS Lag Screw</v>
      </c>
      <c r="O177" s="280" t="s">
        <v>418</v>
      </c>
      <c r="P177" s="280" t="s">
        <v>418</v>
      </c>
      <c r="Q177" s="280" t="s">
        <v>418</v>
      </c>
      <c r="R177" s="280" t="s">
        <v>418</v>
      </c>
      <c r="S177" s="280" t="s">
        <v>418</v>
      </c>
      <c r="T177" s="247" t="s">
        <v>418</v>
      </c>
      <c r="U177" s="154" t="str">
        <f t="shared" si="2"/>
        <v>3/8" x 5" SS Lag Screw</v>
      </c>
      <c r="V177" s="247" t="s">
        <v>418</v>
      </c>
      <c r="W177" s="247" t="s">
        <v>418</v>
      </c>
      <c r="X177" s="247" t="s">
        <v>418</v>
      </c>
      <c r="Y177" s="247" t="s">
        <v>418</v>
      </c>
      <c r="Z177" s="247" t="s">
        <v>418</v>
      </c>
      <c r="AA177" s="248" t="s">
        <v>418</v>
      </c>
      <c r="AB177" s="202" t="str">
        <f t="shared" si="3"/>
        <v>3/8" x 5" SS Lag Screw</v>
      </c>
      <c r="AC177" s="248" t="s">
        <v>418</v>
      </c>
      <c r="AD177" s="248" t="s">
        <v>418</v>
      </c>
      <c r="AE177" s="248" t="s">
        <v>418</v>
      </c>
      <c r="AF177" s="248" t="s">
        <v>418</v>
      </c>
      <c r="AG177" s="248" t="s">
        <v>418</v>
      </c>
      <c r="AH177" s="30">
        <f>'Project Materials'!$M$25*'Project Materials'!$P$25</f>
        <v>0</v>
      </c>
      <c r="AI177" s="27">
        <f>'Project Materials'!$M$26*'Project Materials'!$P$26</f>
        <v>0</v>
      </c>
      <c r="AJ177" s="28">
        <f>'Project Materials'!$M$27*'Project Materials'!$P$27</f>
        <v>0</v>
      </c>
      <c r="AK177" s="256">
        <f>'Project Materials'!$M$28*'Project Materials'!$P$28</f>
        <v>0</v>
      </c>
    </row>
    <row r="178" spans="1:40" x14ac:dyDescent="0.4">
      <c r="A178" s="60" t="s">
        <v>6</v>
      </c>
      <c r="B178" s="2" t="s">
        <v>303</v>
      </c>
      <c r="C178" s="2" t="s">
        <v>304</v>
      </c>
      <c r="D178" s="12"/>
      <c r="E178" s="4">
        <v>18.71</v>
      </c>
      <c r="F178" s="275" t="s">
        <v>418</v>
      </c>
      <c r="G178" s="277" t="str">
        <f t="shared" si="0"/>
        <v>3/8" x 5" SS Lag Screw</v>
      </c>
      <c r="H178" s="275" t="s">
        <v>418</v>
      </c>
      <c r="I178" s="275" t="s">
        <v>418</v>
      </c>
      <c r="J178" s="275" t="s">
        <v>418</v>
      </c>
      <c r="K178" s="275" t="s">
        <v>418</v>
      </c>
      <c r="L178" s="275" t="s">
        <v>418</v>
      </c>
      <c r="M178" s="280" t="s">
        <v>418</v>
      </c>
      <c r="N178" s="282" t="str">
        <f t="shared" si="1"/>
        <v>3/8" x 5" SS Lag Screw</v>
      </c>
      <c r="O178" s="280" t="s">
        <v>418</v>
      </c>
      <c r="P178" s="280" t="s">
        <v>418</v>
      </c>
      <c r="Q178" s="280" t="s">
        <v>418</v>
      </c>
      <c r="R178" s="280" t="s">
        <v>418</v>
      </c>
      <c r="S178" s="280" t="s">
        <v>418</v>
      </c>
      <c r="T178" s="247" t="s">
        <v>418</v>
      </c>
      <c r="U178" s="154" t="str">
        <f t="shared" si="2"/>
        <v>3/8" x 5" SS Lag Screw</v>
      </c>
      <c r="V178" s="247" t="s">
        <v>418</v>
      </c>
      <c r="W178" s="247" t="s">
        <v>418</v>
      </c>
      <c r="X178" s="247" t="s">
        <v>418</v>
      </c>
      <c r="Y178" s="247" t="s">
        <v>418</v>
      </c>
      <c r="Z178" s="247" t="s">
        <v>418</v>
      </c>
      <c r="AA178" s="248" t="s">
        <v>418</v>
      </c>
      <c r="AB178" s="202" t="str">
        <f t="shared" si="3"/>
        <v>3/8" x 5" SS Lag Screw</v>
      </c>
      <c r="AC178" s="248" t="s">
        <v>418</v>
      </c>
      <c r="AD178" s="248" t="s">
        <v>418</v>
      </c>
      <c r="AE178" s="248" t="s">
        <v>418</v>
      </c>
      <c r="AF178" s="248" t="s">
        <v>418</v>
      </c>
      <c r="AG178" s="248" t="s">
        <v>418</v>
      </c>
      <c r="AH178" s="30">
        <f>'Project Materials'!$M$25*'Project Materials'!$P$25</f>
        <v>0</v>
      </c>
      <c r="AI178" s="27">
        <f>'Project Materials'!$M$26*'Project Materials'!$P$26</f>
        <v>0</v>
      </c>
      <c r="AJ178" s="28">
        <f>'Project Materials'!$M$27*'Project Materials'!$P$27</f>
        <v>0</v>
      </c>
      <c r="AK178" s="256">
        <f>'Project Materials'!$M$28*'Project Materials'!$P$28</f>
        <v>0</v>
      </c>
    </row>
    <row r="179" spans="1:40" x14ac:dyDescent="0.4">
      <c r="A179" s="60" t="s">
        <v>6</v>
      </c>
      <c r="B179" s="2" t="s">
        <v>305</v>
      </c>
      <c r="C179" s="2" t="s">
        <v>306</v>
      </c>
      <c r="D179" s="12"/>
      <c r="E179" s="4">
        <v>18.71</v>
      </c>
      <c r="F179" s="275" t="s">
        <v>418</v>
      </c>
      <c r="G179" s="277" t="str">
        <f t="shared" si="0"/>
        <v>3/8" x 5" SS Lag Screw</v>
      </c>
      <c r="H179" s="275" t="s">
        <v>418</v>
      </c>
      <c r="I179" s="275" t="s">
        <v>418</v>
      </c>
      <c r="J179" s="275" t="s">
        <v>418</v>
      </c>
      <c r="K179" s="275" t="s">
        <v>418</v>
      </c>
      <c r="L179" s="275" t="s">
        <v>418</v>
      </c>
      <c r="M179" s="280" t="s">
        <v>418</v>
      </c>
      <c r="N179" s="282" t="str">
        <f t="shared" si="1"/>
        <v>3/8" x 5" SS Lag Screw</v>
      </c>
      <c r="O179" s="280" t="s">
        <v>418</v>
      </c>
      <c r="P179" s="280" t="s">
        <v>418</v>
      </c>
      <c r="Q179" s="280" t="s">
        <v>418</v>
      </c>
      <c r="R179" s="280" t="s">
        <v>418</v>
      </c>
      <c r="S179" s="280" t="s">
        <v>418</v>
      </c>
      <c r="T179" s="247" t="s">
        <v>418</v>
      </c>
      <c r="U179" s="154" t="str">
        <f t="shared" si="2"/>
        <v>3/8" x 5" SS Lag Screw</v>
      </c>
      <c r="V179" s="247" t="s">
        <v>418</v>
      </c>
      <c r="W179" s="247" t="s">
        <v>418</v>
      </c>
      <c r="X179" s="247" t="s">
        <v>418</v>
      </c>
      <c r="Y179" s="247" t="s">
        <v>418</v>
      </c>
      <c r="Z179" s="247" t="s">
        <v>418</v>
      </c>
      <c r="AA179" s="248" t="s">
        <v>418</v>
      </c>
      <c r="AB179" s="202" t="str">
        <f t="shared" si="3"/>
        <v>3/8" x 5" SS Lag Screw</v>
      </c>
      <c r="AC179" s="248" t="s">
        <v>418</v>
      </c>
      <c r="AD179" s="248" t="s">
        <v>418</v>
      </c>
      <c r="AE179" s="248" t="s">
        <v>418</v>
      </c>
      <c r="AF179" s="248" t="s">
        <v>418</v>
      </c>
      <c r="AG179" s="248" t="s">
        <v>418</v>
      </c>
      <c r="AH179" s="30">
        <f>'Project Materials'!$M$25*'Project Materials'!$P$25</f>
        <v>0</v>
      </c>
      <c r="AI179" s="27">
        <f>'Project Materials'!$M$26*'Project Materials'!$P$26</f>
        <v>0</v>
      </c>
      <c r="AJ179" s="28">
        <f>'Project Materials'!$M$27*'Project Materials'!$P$27</f>
        <v>0</v>
      </c>
      <c r="AK179" s="256">
        <f>'Project Materials'!$M$28*'Project Materials'!$P$28</f>
        <v>0</v>
      </c>
    </row>
    <row r="180" spans="1:40" x14ac:dyDescent="0.4">
      <c r="A180" s="60" t="s">
        <v>6</v>
      </c>
      <c r="B180" s="2" t="s">
        <v>307</v>
      </c>
      <c r="C180" s="2" t="s">
        <v>308</v>
      </c>
      <c r="D180" s="12"/>
      <c r="E180" s="4">
        <v>18.71</v>
      </c>
      <c r="F180" s="275" t="s">
        <v>418</v>
      </c>
      <c r="G180" s="277" t="str">
        <f t="shared" si="0"/>
        <v>3/8" x 5" SS Lag Screw</v>
      </c>
      <c r="H180" s="275" t="s">
        <v>418</v>
      </c>
      <c r="I180" s="275" t="s">
        <v>418</v>
      </c>
      <c r="J180" s="275" t="s">
        <v>418</v>
      </c>
      <c r="K180" s="275" t="s">
        <v>418</v>
      </c>
      <c r="L180" s="275" t="s">
        <v>418</v>
      </c>
      <c r="M180" s="280" t="s">
        <v>418</v>
      </c>
      <c r="N180" s="282" t="str">
        <f t="shared" si="1"/>
        <v>3/8" x 5" SS Lag Screw</v>
      </c>
      <c r="O180" s="280" t="s">
        <v>418</v>
      </c>
      <c r="P180" s="280" t="s">
        <v>418</v>
      </c>
      <c r="Q180" s="280" t="s">
        <v>418</v>
      </c>
      <c r="R180" s="280" t="s">
        <v>418</v>
      </c>
      <c r="S180" s="280" t="s">
        <v>418</v>
      </c>
      <c r="T180" s="247" t="s">
        <v>418</v>
      </c>
      <c r="U180" s="154" t="str">
        <f t="shared" si="2"/>
        <v>3/8" x 5" SS Lag Screw</v>
      </c>
      <c r="V180" s="247" t="s">
        <v>418</v>
      </c>
      <c r="W180" s="247" t="s">
        <v>418</v>
      </c>
      <c r="X180" s="247" t="s">
        <v>418</v>
      </c>
      <c r="Y180" s="247" t="s">
        <v>418</v>
      </c>
      <c r="Z180" s="247" t="s">
        <v>418</v>
      </c>
      <c r="AA180" s="248" t="s">
        <v>418</v>
      </c>
      <c r="AB180" s="202" t="str">
        <f t="shared" si="3"/>
        <v>3/8" x 5" SS Lag Screw</v>
      </c>
      <c r="AC180" s="248" t="s">
        <v>418</v>
      </c>
      <c r="AD180" s="248" t="s">
        <v>418</v>
      </c>
      <c r="AE180" s="248" t="s">
        <v>418</v>
      </c>
      <c r="AF180" s="248" t="s">
        <v>418</v>
      </c>
      <c r="AG180" s="248" t="s">
        <v>418</v>
      </c>
      <c r="AH180" s="30">
        <f>'Project Materials'!$M$25*'Project Materials'!$P$25</f>
        <v>0</v>
      </c>
      <c r="AI180" s="27">
        <f>'Project Materials'!$M$26*'Project Materials'!$P$26</f>
        <v>0</v>
      </c>
      <c r="AJ180" s="28">
        <f>'Project Materials'!$M$27*'Project Materials'!$P$27</f>
        <v>0</v>
      </c>
      <c r="AK180" s="256">
        <f>'Project Materials'!$M$28*'Project Materials'!$P$28</f>
        <v>0</v>
      </c>
    </row>
    <row r="181" spans="1:40" x14ac:dyDescent="0.4">
      <c r="A181" s="60" t="s">
        <v>6</v>
      </c>
      <c r="B181" s="2" t="s">
        <v>309</v>
      </c>
      <c r="C181" s="2" t="s">
        <v>310</v>
      </c>
      <c r="D181" s="12"/>
      <c r="E181" s="4">
        <v>18.05</v>
      </c>
      <c r="F181" s="275" t="s">
        <v>418</v>
      </c>
      <c r="G181" s="277" t="str">
        <f t="shared" si="0"/>
        <v>3/8" x 5" SS Lag Screw</v>
      </c>
      <c r="H181" s="275" t="s">
        <v>418</v>
      </c>
      <c r="I181" s="275" t="s">
        <v>418</v>
      </c>
      <c r="J181" s="275" t="s">
        <v>418</v>
      </c>
      <c r="K181" s="275" t="s">
        <v>418</v>
      </c>
      <c r="L181" s="275" t="s">
        <v>418</v>
      </c>
      <c r="M181" s="280" t="s">
        <v>418</v>
      </c>
      <c r="N181" s="282" t="str">
        <f t="shared" si="1"/>
        <v>3/8" x 5" SS Lag Screw</v>
      </c>
      <c r="O181" s="280" t="s">
        <v>418</v>
      </c>
      <c r="P181" s="280" t="s">
        <v>418</v>
      </c>
      <c r="Q181" s="280" t="s">
        <v>418</v>
      </c>
      <c r="R181" s="280" t="s">
        <v>418</v>
      </c>
      <c r="S181" s="280" t="s">
        <v>418</v>
      </c>
      <c r="T181" s="247" t="s">
        <v>418</v>
      </c>
      <c r="U181" s="154" t="str">
        <f t="shared" si="2"/>
        <v>3/8" x 5" SS Lag Screw</v>
      </c>
      <c r="V181" s="247" t="s">
        <v>418</v>
      </c>
      <c r="W181" s="247" t="s">
        <v>418</v>
      </c>
      <c r="X181" s="247" t="s">
        <v>418</v>
      </c>
      <c r="Y181" s="247" t="s">
        <v>418</v>
      </c>
      <c r="Z181" s="247" t="s">
        <v>418</v>
      </c>
      <c r="AA181" s="248" t="s">
        <v>418</v>
      </c>
      <c r="AB181" s="202" t="str">
        <f t="shared" si="3"/>
        <v>3/8" x 5" SS Lag Screw</v>
      </c>
      <c r="AC181" s="248" t="s">
        <v>418</v>
      </c>
      <c r="AD181" s="248" t="s">
        <v>418</v>
      </c>
      <c r="AE181" s="248" t="s">
        <v>418</v>
      </c>
      <c r="AF181" s="248" t="s">
        <v>418</v>
      </c>
      <c r="AG181" s="248" t="s">
        <v>418</v>
      </c>
      <c r="AH181" s="30">
        <f>'Project Materials'!$L$25*'Project Materials'!$P$25</f>
        <v>0</v>
      </c>
      <c r="AI181" s="27">
        <f>'Project Materials'!$L$26*'Project Materials'!$P$26</f>
        <v>0</v>
      </c>
      <c r="AJ181" s="28">
        <f>'Project Materials'!$L$27*'Project Materials'!$P$27</f>
        <v>0</v>
      </c>
      <c r="AK181" s="256">
        <f>'Project Materials'!$L$28*'Project Materials'!$P$28</f>
        <v>0</v>
      </c>
    </row>
    <row r="182" spans="1:40" x14ac:dyDescent="0.4">
      <c r="A182" s="60" t="s">
        <v>6</v>
      </c>
      <c r="B182" s="2" t="s">
        <v>311</v>
      </c>
      <c r="C182" s="2" t="s">
        <v>312</v>
      </c>
      <c r="D182" s="12"/>
      <c r="E182" s="4">
        <v>18.05</v>
      </c>
      <c r="F182" s="275" t="s">
        <v>418</v>
      </c>
      <c r="G182" s="277" t="str">
        <f t="shared" si="0"/>
        <v>3/8" x 5" SS Lag Screw</v>
      </c>
      <c r="H182" s="275" t="s">
        <v>418</v>
      </c>
      <c r="I182" s="275" t="s">
        <v>418</v>
      </c>
      <c r="J182" s="275" t="s">
        <v>418</v>
      </c>
      <c r="K182" s="275" t="s">
        <v>418</v>
      </c>
      <c r="L182" s="275" t="s">
        <v>418</v>
      </c>
      <c r="M182" s="280" t="s">
        <v>418</v>
      </c>
      <c r="N182" s="282" t="str">
        <f t="shared" si="1"/>
        <v>3/8" x 5" SS Lag Screw</v>
      </c>
      <c r="O182" s="280" t="s">
        <v>418</v>
      </c>
      <c r="P182" s="280" t="s">
        <v>418</v>
      </c>
      <c r="Q182" s="280" t="s">
        <v>418</v>
      </c>
      <c r="R182" s="280" t="s">
        <v>418</v>
      </c>
      <c r="S182" s="280" t="s">
        <v>418</v>
      </c>
      <c r="T182" s="247" t="s">
        <v>418</v>
      </c>
      <c r="U182" s="154" t="str">
        <f t="shared" si="2"/>
        <v>3/8" x 5" SS Lag Screw</v>
      </c>
      <c r="V182" s="247" t="s">
        <v>418</v>
      </c>
      <c r="W182" s="247" t="s">
        <v>418</v>
      </c>
      <c r="X182" s="247" t="s">
        <v>418</v>
      </c>
      <c r="Y182" s="247" t="s">
        <v>418</v>
      </c>
      <c r="Z182" s="247" t="s">
        <v>418</v>
      </c>
      <c r="AA182" s="248" t="s">
        <v>418</v>
      </c>
      <c r="AB182" s="202" t="str">
        <f t="shared" si="3"/>
        <v>3/8" x 5" SS Lag Screw</v>
      </c>
      <c r="AC182" s="248" t="s">
        <v>418</v>
      </c>
      <c r="AD182" s="248" t="s">
        <v>418</v>
      </c>
      <c r="AE182" s="248" t="s">
        <v>418</v>
      </c>
      <c r="AF182" s="248" t="s">
        <v>418</v>
      </c>
      <c r="AG182" s="248" t="s">
        <v>418</v>
      </c>
      <c r="AH182" s="30">
        <f>'Project Materials'!$L$25*'Project Materials'!$P$25</f>
        <v>0</v>
      </c>
      <c r="AI182" s="27">
        <f>'Project Materials'!$L$26*'Project Materials'!$P$26</f>
        <v>0</v>
      </c>
      <c r="AJ182" s="28">
        <f>'Project Materials'!$L$27*'Project Materials'!$P$27</f>
        <v>0</v>
      </c>
      <c r="AK182" s="256">
        <f>'Project Materials'!$L$28*'Project Materials'!$P$28</f>
        <v>0</v>
      </c>
    </row>
    <row r="183" spans="1:40" x14ac:dyDescent="0.4">
      <c r="A183" s="60" t="s">
        <v>6</v>
      </c>
      <c r="B183" s="2" t="s">
        <v>313</v>
      </c>
      <c r="C183" s="2" t="s">
        <v>314</v>
      </c>
      <c r="D183" s="12"/>
      <c r="E183" s="4">
        <v>18.05</v>
      </c>
      <c r="F183" s="275" t="s">
        <v>418</v>
      </c>
      <c r="G183" s="277" t="str">
        <f t="shared" si="0"/>
        <v>3/8" x 5" SS Lag Screw</v>
      </c>
      <c r="H183" s="275" t="s">
        <v>418</v>
      </c>
      <c r="I183" s="275" t="s">
        <v>418</v>
      </c>
      <c r="J183" s="275" t="s">
        <v>418</v>
      </c>
      <c r="K183" s="275" t="s">
        <v>418</v>
      </c>
      <c r="L183" s="275" t="s">
        <v>418</v>
      </c>
      <c r="M183" s="280" t="s">
        <v>418</v>
      </c>
      <c r="N183" s="282" t="str">
        <f t="shared" si="1"/>
        <v>3/8" x 5" SS Lag Screw</v>
      </c>
      <c r="O183" s="280" t="s">
        <v>418</v>
      </c>
      <c r="P183" s="280" t="s">
        <v>418</v>
      </c>
      <c r="Q183" s="280" t="s">
        <v>418</v>
      </c>
      <c r="R183" s="280" t="s">
        <v>418</v>
      </c>
      <c r="S183" s="280" t="s">
        <v>418</v>
      </c>
      <c r="T183" s="247" t="s">
        <v>418</v>
      </c>
      <c r="U183" s="154" t="str">
        <f t="shared" si="2"/>
        <v>3/8" x 5" SS Lag Screw</v>
      </c>
      <c r="V183" s="247" t="s">
        <v>418</v>
      </c>
      <c r="W183" s="247" t="s">
        <v>418</v>
      </c>
      <c r="X183" s="247" t="s">
        <v>418</v>
      </c>
      <c r="Y183" s="247" t="s">
        <v>418</v>
      </c>
      <c r="Z183" s="247" t="s">
        <v>418</v>
      </c>
      <c r="AA183" s="248" t="s">
        <v>418</v>
      </c>
      <c r="AB183" s="202" t="str">
        <f t="shared" si="3"/>
        <v>3/8" x 5" SS Lag Screw</v>
      </c>
      <c r="AC183" s="248" t="s">
        <v>418</v>
      </c>
      <c r="AD183" s="248" t="s">
        <v>418</v>
      </c>
      <c r="AE183" s="248" t="s">
        <v>418</v>
      </c>
      <c r="AF183" s="248" t="s">
        <v>418</v>
      </c>
      <c r="AG183" s="248" t="s">
        <v>418</v>
      </c>
      <c r="AH183" s="30">
        <f>'Project Materials'!$L$25*'Project Materials'!$P$25</f>
        <v>0</v>
      </c>
      <c r="AI183" s="27">
        <f>'Project Materials'!$L$26*'Project Materials'!$P$26</f>
        <v>0</v>
      </c>
      <c r="AJ183" s="28">
        <f>'Project Materials'!$L$27*'Project Materials'!$P$27</f>
        <v>0</v>
      </c>
      <c r="AK183" s="256">
        <f>'Project Materials'!$L$28*'Project Materials'!$P$28</f>
        <v>0</v>
      </c>
    </row>
    <row r="184" spans="1:40" x14ac:dyDescent="0.4">
      <c r="A184" s="60" t="s">
        <v>6</v>
      </c>
      <c r="B184" s="2" t="s">
        <v>315</v>
      </c>
      <c r="C184" s="2" t="s">
        <v>316</v>
      </c>
      <c r="D184" s="12"/>
      <c r="E184" s="4">
        <v>18.05</v>
      </c>
      <c r="F184" s="275" t="s">
        <v>418</v>
      </c>
      <c r="G184" s="277" t="str">
        <f t="shared" si="0"/>
        <v>3/8" x 5" SS Lag Screw</v>
      </c>
      <c r="H184" s="275" t="s">
        <v>418</v>
      </c>
      <c r="I184" s="275" t="s">
        <v>418</v>
      </c>
      <c r="J184" s="275" t="s">
        <v>418</v>
      </c>
      <c r="K184" s="275" t="s">
        <v>418</v>
      </c>
      <c r="L184" s="275" t="s">
        <v>418</v>
      </c>
      <c r="M184" s="280" t="s">
        <v>418</v>
      </c>
      <c r="N184" s="282" t="str">
        <f t="shared" si="1"/>
        <v>3/8" x 5" SS Lag Screw</v>
      </c>
      <c r="O184" s="280" t="s">
        <v>418</v>
      </c>
      <c r="P184" s="280" t="s">
        <v>418</v>
      </c>
      <c r="Q184" s="280" t="s">
        <v>418</v>
      </c>
      <c r="R184" s="280" t="s">
        <v>418</v>
      </c>
      <c r="S184" s="280" t="s">
        <v>418</v>
      </c>
      <c r="T184" s="247" t="s">
        <v>418</v>
      </c>
      <c r="U184" s="154" t="str">
        <f t="shared" si="2"/>
        <v>3/8" x 5" SS Lag Screw</v>
      </c>
      <c r="V184" s="247" t="s">
        <v>418</v>
      </c>
      <c r="W184" s="247" t="s">
        <v>418</v>
      </c>
      <c r="X184" s="247" t="s">
        <v>418</v>
      </c>
      <c r="Y184" s="247" t="s">
        <v>418</v>
      </c>
      <c r="Z184" s="247" t="s">
        <v>418</v>
      </c>
      <c r="AA184" s="248" t="s">
        <v>418</v>
      </c>
      <c r="AB184" s="202" t="str">
        <f t="shared" si="3"/>
        <v>3/8" x 5" SS Lag Screw</v>
      </c>
      <c r="AC184" s="248" t="s">
        <v>418</v>
      </c>
      <c r="AD184" s="248" t="s">
        <v>418</v>
      </c>
      <c r="AE184" s="248" t="s">
        <v>418</v>
      </c>
      <c r="AF184" s="248" t="s">
        <v>418</v>
      </c>
      <c r="AG184" s="248" t="s">
        <v>418</v>
      </c>
      <c r="AH184" s="30">
        <f>'Project Materials'!$L$25*'Project Materials'!$P$25</f>
        <v>0</v>
      </c>
      <c r="AI184" s="27">
        <f>'Project Materials'!$L$26*'Project Materials'!$P$26</f>
        <v>0</v>
      </c>
      <c r="AJ184" s="28">
        <f>'Project Materials'!$L$27*'Project Materials'!$P$27</f>
        <v>0</v>
      </c>
      <c r="AK184" s="256">
        <f>'Project Materials'!$L$28*'Project Materials'!$P$28</f>
        <v>0</v>
      </c>
    </row>
    <row r="185" spans="1:40" x14ac:dyDescent="0.4">
      <c r="A185" s="60" t="s">
        <v>6</v>
      </c>
      <c r="B185" s="2" t="s">
        <v>108</v>
      </c>
      <c r="C185" s="2" t="s">
        <v>109</v>
      </c>
      <c r="D185" s="12"/>
      <c r="E185" s="4">
        <v>0.24260000000000001</v>
      </c>
      <c r="F185" s="275" t="s">
        <v>418</v>
      </c>
      <c r="G185" s="275" t="s">
        <v>418</v>
      </c>
      <c r="H185" s="275" t="s">
        <v>418</v>
      </c>
      <c r="I185" s="275" t="s">
        <v>418</v>
      </c>
      <c r="J185" s="275" t="s">
        <v>418</v>
      </c>
      <c r="K185" s="275" t="s">
        <v>418</v>
      </c>
      <c r="L185" s="275" t="s">
        <v>418</v>
      </c>
      <c r="M185" s="280" t="s">
        <v>418</v>
      </c>
      <c r="N185" s="280" t="s">
        <v>418</v>
      </c>
      <c r="O185" s="280" t="s">
        <v>418</v>
      </c>
      <c r="P185" s="280" t="s">
        <v>418</v>
      </c>
      <c r="Q185" s="280" t="s">
        <v>418</v>
      </c>
      <c r="R185" s="280" t="s">
        <v>418</v>
      </c>
      <c r="S185" s="280" t="s">
        <v>418</v>
      </c>
      <c r="T185" s="247" t="s">
        <v>418</v>
      </c>
      <c r="U185" s="247" t="s">
        <v>418</v>
      </c>
      <c r="V185" s="247" t="s">
        <v>418</v>
      </c>
      <c r="W185" s="247" t="s">
        <v>418</v>
      </c>
      <c r="X185" s="247" t="s">
        <v>418</v>
      </c>
      <c r="Y185" s="247" t="s">
        <v>418</v>
      </c>
      <c r="Z185" s="247" t="s">
        <v>418</v>
      </c>
      <c r="AA185" s="248" t="s">
        <v>418</v>
      </c>
      <c r="AB185" s="248" t="s">
        <v>418</v>
      </c>
      <c r="AC185" s="248" t="s">
        <v>418</v>
      </c>
      <c r="AD185" s="248" t="s">
        <v>418</v>
      </c>
      <c r="AE185" s="248" t="s">
        <v>418</v>
      </c>
      <c r="AF185" s="248" t="s">
        <v>418</v>
      </c>
      <c r="AG185" s="248" t="s">
        <v>418</v>
      </c>
      <c r="AK185" s="204"/>
    </row>
    <row r="186" spans="1:40" x14ac:dyDescent="0.4">
      <c r="A186" s="60" t="s">
        <v>6</v>
      </c>
      <c r="B186" s="2" t="s">
        <v>243</v>
      </c>
      <c r="C186" s="2" t="s">
        <v>244</v>
      </c>
      <c r="D186" s="12"/>
      <c r="E186" s="4">
        <v>7.8</v>
      </c>
      <c r="F186" s="275" t="s">
        <v>418</v>
      </c>
      <c r="G186" s="275" t="s">
        <v>418</v>
      </c>
      <c r="H186" s="275" t="s">
        <v>418</v>
      </c>
      <c r="I186" s="275" t="s">
        <v>418</v>
      </c>
      <c r="J186" s="275" t="s">
        <v>418</v>
      </c>
      <c r="K186" s="275" t="s">
        <v>418</v>
      </c>
      <c r="L186" s="275" t="s">
        <v>418</v>
      </c>
      <c r="M186" s="280" t="s">
        <v>418</v>
      </c>
      <c r="N186" s="280" t="s">
        <v>418</v>
      </c>
      <c r="O186" s="280" t="s">
        <v>418</v>
      </c>
      <c r="P186" s="280" t="s">
        <v>418</v>
      </c>
      <c r="Q186" s="280" t="s">
        <v>418</v>
      </c>
      <c r="R186" s="280" t="s">
        <v>418</v>
      </c>
      <c r="S186" s="280" t="s">
        <v>418</v>
      </c>
      <c r="T186" s="247" t="s">
        <v>418</v>
      </c>
      <c r="U186" s="247" t="s">
        <v>418</v>
      </c>
      <c r="V186" s="247" t="s">
        <v>418</v>
      </c>
      <c r="W186" s="247" t="s">
        <v>418</v>
      </c>
      <c r="X186" s="247" t="s">
        <v>418</v>
      </c>
      <c r="Y186" s="247" t="s">
        <v>418</v>
      </c>
      <c r="Z186" s="247" t="s">
        <v>418</v>
      </c>
      <c r="AA186" s="248" t="s">
        <v>418</v>
      </c>
      <c r="AB186" s="248" t="s">
        <v>418</v>
      </c>
      <c r="AC186" s="248" t="s">
        <v>418</v>
      </c>
      <c r="AD186" s="248" t="s">
        <v>418</v>
      </c>
      <c r="AE186" s="248" t="s">
        <v>418</v>
      </c>
      <c r="AF186" s="248" t="s">
        <v>418</v>
      </c>
      <c r="AG186" s="248" t="s">
        <v>418</v>
      </c>
      <c r="AH186" s="30">
        <f>'Project Materials'!$N$25*'Project Materials'!$P$25</f>
        <v>0</v>
      </c>
      <c r="AI186" s="27">
        <f>'Project Materials'!$N$26*'Project Materials'!$P$26</f>
        <v>0</v>
      </c>
      <c r="AJ186" s="28">
        <f>'Project Materials'!$N$27*'Project Materials'!$P$27</f>
        <v>0</v>
      </c>
      <c r="AK186" s="256">
        <f>'Project Materials'!$N$28*'Project Materials'!$P$28</f>
        <v>0</v>
      </c>
    </row>
    <row r="187" spans="1:40" s="95" customFormat="1" x14ac:dyDescent="0.4">
      <c r="A187" s="60" t="s">
        <v>6</v>
      </c>
      <c r="B187" s="97" t="s">
        <v>683</v>
      </c>
      <c r="C187" s="97" t="s">
        <v>684</v>
      </c>
      <c r="D187" s="12"/>
      <c r="E187" s="4">
        <v>60</v>
      </c>
      <c r="F187" s="275" t="s">
        <v>418</v>
      </c>
      <c r="G187" s="275" t="s">
        <v>418</v>
      </c>
      <c r="H187" s="275" t="s">
        <v>418</v>
      </c>
      <c r="I187" s="275" t="s">
        <v>418</v>
      </c>
      <c r="J187" s="275" t="s">
        <v>418</v>
      </c>
      <c r="K187" s="275" t="s">
        <v>418</v>
      </c>
      <c r="L187" s="275" t="s">
        <v>418</v>
      </c>
      <c r="M187" s="280" t="s">
        <v>418</v>
      </c>
      <c r="N187" s="280" t="s">
        <v>418</v>
      </c>
      <c r="O187" s="280" t="s">
        <v>418</v>
      </c>
      <c r="P187" s="280" t="s">
        <v>418</v>
      </c>
      <c r="Q187" s="280" t="s">
        <v>418</v>
      </c>
      <c r="R187" s="280" t="s">
        <v>418</v>
      </c>
      <c r="S187" s="280" t="s">
        <v>418</v>
      </c>
      <c r="T187" s="247" t="s">
        <v>418</v>
      </c>
      <c r="U187" s="247" t="s">
        <v>418</v>
      </c>
      <c r="V187" s="247" t="s">
        <v>418</v>
      </c>
      <c r="W187" s="247" t="s">
        <v>418</v>
      </c>
      <c r="X187" s="247" t="s">
        <v>418</v>
      </c>
      <c r="Y187" s="247" t="s">
        <v>418</v>
      </c>
      <c r="Z187" s="247" t="s">
        <v>418</v>
      </c>
      <c r="AA187" s="248" t="s">
        <v>418</v>
      </c>
      <c r="AB187" s="248" t="s">
        <v>418</v>
      </c>
      <c r="AC187" s="248" t="s">
        <v>418</v>
      </c>
      <c r="AD187" s="248" t="s">
        <v>418</v>
      </c>
      <c r="AE187" s="248" t="s">
        <v>418</v>
      </c>
      <c r="AF187" s="248" t="s">
        <v>418</v>
      </c>
      <c r="AG187" s="248" t="s">
        <v>418</v>
      </c>
      <c r="AH187" s="30">
        <f>'Project Materials'!$N$25*'Project Materials'!$P$25</f>
        <v>0</v>
      </c>
      <c r="AI187" s="27">
        <f>'Project Materials'!$N$26*'Project Materials'!$P$26</f>
        <v>0</v>
      </c>
      <c r="AJ187" s="28">
        <f>'Project Materials'!$N$27*'Project Materials'!$P$27</f>
        <v>0</v>
      </c>
      <c r="AK187" s="256">
        <f>'Project Materials'!$N$28*'Project Materials'!$P$28</f>
        <v>0</v>
      </c>
      <c r="AL187" s="96"/>
      <c r="AM187" s="98"/>
      <c r="AN187" s="22"/>
    </row>
    <row r="188" spans="1:40" x14ac:dyDescent="0.4">
      <c r="A188" s="60" t="s">
        <v>6</v>
      </c>
      <c r="B188" s="2" t="s">
        <v>442</v>
      </c>
      <c r="C188" s="2" t="s">
        <v>317</v>
      </c>
      <c r="D188" s="12"/>
      <c r="E188" s="4">
        <v>5</v>
      </c>
      <c r="F188" s="275" t="s">
        <v>418</v>
      </c>
      <c r="G188" s="275" t="s">
        <v>418</v>
      </c>
      <c r="H188" s="275" t="s">
        <v>418</v>
      </c>
      <c r="I188" s="275" t="s">
        <v>418</v>
      </c>
      <c r="J188" s="275" t="s">
        <v>418</v>
      </c>
      <c r="K188" s="275" t="s">
        <v>418</v>
      </c>
      <c r="L188" s="275" t="s">
        <v>418</v>
      </c>
      <c r="M188" s="280" t="s">
        <v>418</v>
      </c>
      <c r="N188" s="280" t="s">
        <v>418</v>
      </c>
      <c r="O188" s="280" t="s">
        <v>418</v>
      </c>
      <c r="P188" s="280" t="s">
        <v>418</v>
      </c>
      <c r="Q188" s="280" t="s">
        <v>418</v>
      </c>
      <c r="R188" s="280" t="s">
        <v>418</v>
      </c>
      <c r="S188" s="280" t="s">
        <v>418</v>
      </c>
      <c r="T188" s="247" t="s">
        <v>418</v>
      </c>
      <c r="U188" s="247" t="s">
        <v>418</v>
      </c>
      <c r="V188" s="247" t="s">
        <v>418</v>
      </c>
      <c r="W188" s="247" t="s">
        <v>418</v>
      </c>
      <c r="X188" s="247" t="s">
        <v>418</v>
      </c>
      <c r="Y188" s="247" t="s">
        <v>418</v>
      </c>
      <c r="Z188" s="247" t="s">
        <v>418</v>
      </c>
      <c r="AA188" s="248" t="s">
        <v>418</v>
      </c>
      <c r="AB188" s="248" t="s">
        <v>418</v>
      </c>
      <c r="AC188" s="248" t="s">
        <v>418</v>
      </c>
      <c r="AD188" s="248" t="s">
        <v>418</v>
      </c>
      <c r="AE188" s="248" t="s">
        <v>418</v>
      </c>
      <c r="AF188" s="248" t="s">
        <v>418</v>
      </c>
      <c r="AG188" s="248" t="s">
        <v>418</v>
      </c>
      <c r="AH188" s="30">
        <f>'Project Materials'!$N$25*'Project Materials'!$P$25</f>
        <v>0</v>
      </c>
      <c r="AI188" s="27">
        <f>'Project Materials'!$N$26*'Project Materials'!$P$26</f>
        <v>0</v>
      </c>
      <c r="AJ188" s="28">
        <f>'Project Materials'!$N$27*'Project Materials'!$P$27</f>
        <v>0</v>
      </c>
      <c r="AK188" s="256">
        <f>'Project Materials'!$N$28*'Project Materials'!$P$28</f>
        <v>0</v>
      </c>
    </row>
    <row r="189" spans="1:40" s="866" customFormat="1" x14ac:dyDescent="0.4">
      <c r="A189" s="60" t="s">
        <v>6</v>
      </c>
      <c r="B189" s="99" t="s">
        <v>1181</v>
      </c>
      <c r="C189" s="99" t="s">
        <v>1182</v>
      </c>
      <c r="D189" s="12"/>
      <c r="E189" s="4">
        <v>6</v>
      </c>
      <c r="F189" s="275" t="s">
        <v>418</v>
      </c>
      <c r="G189" s="275" t="s">
        <v>418</v>
      </c>
      <c r="H189" s="275" t="s">
        <v>418</v>
      </c>
      <c r="I189" s="275" t="s">
        <v>418</v>
      </c>
      <c r="J189" s="275" t="s">
        <v>418</v>
      </c>
      <c r="K189" s="275" t="s">
        <v>418</v>
      </c>
      <c r="L189" s="275" t="s">
        <v>418</v>
      </c>
      <c r="M189" s="280" t="s">
        <v>418</v>
      </c>
      <c r="N189" s="280" t="s">
        <v>418</v>
      </c>
      <c r="O189" s="280" t="s">
        <v>418</v>
      </c>
      <c r="P189" s="280" t="s">
        <v>418</v>
      </c>
      <c r="Q189" s="280" t="s">
        <v>418</v>
      </c>
      <c r="R189" s="280" t="s">
        <v>418</v>
      </c>
      <c r="S189" s="280" t="s">
        <v>418</v>
      </c>
      <c r="T189" s="247" t="s">
        <v>418</v>
      </c>
      <c r="U189" s="247" t="s">
        <v>418</v>
      </c>
      <c r="V189" s="247" t="s">
        <v>418</v>
      </c>
      <c r="W189" s="247" t="s">
        <v>418</v>
      </c>
      <c r="X189" s="247" t="s">
        <v>418</v>
      </c>
      <c r="Y189" s="247" t="s">
        <v>418</v>
      </c>
      <c r="Z189" s="247" t="s">
        <v>418</v>
      </c>
      <c r="AA189" s="248" t="s">
        <v>418</v>
      </c>
      <c r="AB189" s="248" t="s">
        <v>418</v>
      </c>
      <c r="AC189" s="248" t="s">
        <v>418</v>
      </c>
      <c r="AD189" s="248" t="s">
        <v>418</v>
      </c>
      <c r="AE189" s="248" t="s">
        <v>418</v>
      </c>
      <c r="AF189" s="248" t="s">
        <v>418</v>
      </c>
      <c r="AG189" s="248" t="s">
        <v>418</v>
      </c>
      <c r="AH189" s="30">
        <f>'Project Materials'!$N$25*'Project Materials'!$P$25</f>
        <v>0</v>
      </c>
      <c r="AI189" s="27">
        <f>'Project Materials'!$N$26*'Project Materials'!$P$26</f>
        <v>0</v>
      </c>
      <c r="AJ189" s="28">
        <f>'Project Materials'!$N$27*'Project Materials'!$P$27</f>
        <v>0</v>
      </c>
      <c r="AK189" s="256">
        <f>'Project Materials'!$N$28*'Project Materials'!$P$28</f>
        <v>0</v>
      </c>
      <c r="AN189" s="22"/>
    </row>
    <row r="190" spans="1:40" s="824" customFormat="1" x14ac:dyDescent="0.4">
      <c r="A190" s="60" t="s">
        <v>6</v>
      </c>
      <c r="B190" s="99" t="s">
        <v>1111</v>
      </c>
      <c r="C190" s="99" t="s">
        <v>1112</v>
      </c>
      <c r="D190" s="12"/>
      <c r="E190" s="4">
        <v>2.25</v>
      </c>
      <c r="F190" s="275" t="s">
        <v>418</v>
      </c>
      <c r="G190" s="275" t="s">
        <v>418</v>
      </c>
      <c r="H190" s="275" t="s">
        <v>418</v>
      </c>
      <c r="I190" s="275" t="s">
        <v>418</v>
      </c>
      <c r="J190" s="275" t="s">
        <v>418</v>
      </c>
      <c r="K190" s="275" t="s">
        <v>418</v>
      </c>
      <c r="L190" s="275" t="s">
        <v>418</v>
      </c>
      <c r="M190" s="280" t="s">
        <v>418</v>
      </c>
      <c r="N190" s="280" t="s">
        <v>418</v>
      </c>
      <c r="O190" s="280" t="s">
        <v>418</v>
      </c>
      <c r="P190" s="280" t="s">
        <v>418</v>
      </c>
      <c r="Q190" s="280" t="s">
        <v>418</v>
      </c>
      <c r="R190" s="280" t="s">
        <v>418</v>
      </c>
      <c r="S190" s="280" t="s">
        <v>418</v>
      </c>
      <c r="T190" s="247" t="s">
        <v>418</v>
      </c>
      <c r="U190" s="247" t="s">
        <v>418</v>
      </c>
      <c r="V190" s="247" t="s">
        <v>418</v>
      </c>
      <c r="W190" s="247" t="s">
        <v>418</v>
      </c>
      <c r="X190" s="247" t="s">
        <v>418</v>
      </c>
      <c r="Y190" s="247" t="s">
        <v>418</v>
      </c>
      <c r="Z190" s="247" t="s">
        <v>418</v>
      </c>
      <c r="AA190" s="248" t="s">
        <v>418</v>
      </c>
      <c r="AB190" s="248" t="s">
        <v>418</v>
      </c>
      <c r="AC190" s="248" t="s">
        <v>418</v>
      </c>
      <c r="AD190" s="248" t="s">
        <v>418</v>
      </c>
      <c r="AE190" s="248" t="s">
        <v>418</v>
      </c>
      <c r="AF190" s="248" t="s">
        <v>418</v>
      </c>
      <c r="AG190" s="248" t="s">
        <v>418</v>
      </c>
      <c r="AH190" s="30">
        <f>'Project Materials'!$N$25*'Project Materials'!$P$25</f>
        <v>0</v>
      </c>
      <c r="AI190" s="27">
        <f>'Project Materials'!$N$26*'Project Materials'!$P$26</f>
        <v>0</v>
      </c>
      <c r="AJ190" s="28">
        <f>'Project Materials'!$N$27*'Project Materials'!$P$27</f>
        <v>0</v>
      </c>
      <c r="AK190" s="256">
        <f>'Project Materials'!$N$28*'Project Materials'!$P$28</f>
        <v>0</v>
      </c>
      <c r="AN190" s="22"/>
    </row>
    <row r="191" spans="1:40" s="98" customFormat="1" x14ac:dyDescent="0.4">
      <c r="A191" s="60" t="s">
        <v>6</v>
      </c>
      <c r="B191" s="99" t="s">
        <v>811</v>
      </c>
      <c r="C191" s="99" t="s">
        <v>855</v>
      </c>
      <c r="D191" s="12"/>
      <c r="E191" s="4">
        <v>7</v>
      </c>
      <c r="F191" s="275" t="s">
        <v>418</v>
      </c>
      <c r="G191" s="276" t="str">
        <f>IF('Project Materials'!$D$6='Project Materials'!$B$195,'Item List'!$B$221,"none")</f>
        <v>none</v>
      </c>
      <c r="H191" s="275" t="s">
        <v>688</v>
      </c>
      <c r="I191" s="275" t="s">
        <v>64</v>
      </c>
      <c r="J191" s="275" t="s">
        <v>418</v>
      </c>
      <c r="K191" s="275" t="s">
        <v>418</v>
      </c>
      <c r="L191" s="275" t="s">
        <v>418</v>
      </c>
      <c r="M191" s="280" t="s">
        <v>418</v>
      </c>
      <c r="N191" s="281" t="str">
        <f>IF('Project Materials'!$H$6='Project Materials'!$B$195,'Item List'!$B$221,"none")</f>
        <v>none</v>
      </c>
      <c r="O191" s="280" t="s">
        <v>688</v>
      </c>
      <c r="P191" s="280" t="s">
        <v>64</v>
      </c>
      <c r="Q191" s="280" t="s">
        <v>418</v>
      </c>
      <c r="R191" s="280" t="s">
        <v>418</v>
      </c>
      <c r="S191" s="280" t="s">
        <v>418</v>
      </c>
      <c r="T191" s="247" t="s">
        <v>418</v>
      </c>
      <c r="U191" s="206" t="str">
        <f>IF('Project Materials'!$H$6='Project Materials'!$B$195,'Item List'!$B$221,"none")</f>
        <v>none</v>
      </c>
      <c r="V191" s="247" t="s">
        <v>688</v>
      </c>
      <c r="W191" s="247" t="s">
        <v>64</v>
      </c>
      <c r="X191" s="247" t="s">
        <v>418</v>
      </c>
      <c r="Y191" s="247" t="s">
        <v>418</v>
      </c>
      <c r="Z191" s="247" t="s">
        <v>418</v>
      </c>
      <c r="AA191" s="248" t="s">
        <v>418</v>
      </c>
      <c r="AB191" s="249" t="str">
        <f>IF('Project Materials'!$H$6='Project Materials'!$B$195,'Item List'!$B$221,"none")</f>
        <v>none</v>
      </c>
      <c r="AC191" s="248" t="s">
        <v>688</v>
      </c>
      <c r="AD191" s="248" t="s">
        <v>64</v>
      </c>
      <c r="AE191" s="248" t="s">
        <v>418</v>
      </c>
      <c r="AF191" s="248" t="s">
        <v>418</v>
      </c>
      <c r="AG191" s="248" t="s">
        <v>418</v>
      </c>
      <c r="AH191" s="207">
        <f>'Project Materials'!$Q$25</f>
        <v>0</v>
      </c>
      <c r="AI191" s="208">
        <f>'Project Materials'!$Q$26</f>
        <v>0</v>
      </c>
      <c r="AJ191" s="209">
        <f>'Project Materials'!$Q$27</f>
        <v>0</v>
      </c>
      <c r="AK191" s="256">
        <f>'Project Materials'!$Q$28</f>
        <v>0</v>
      </c>
      <c r="AM191" s="98">
        <v>2</v>
      </c>
      <c r="AN191" s="22"/>
    </row>
    <row r="192" spans="1:40" x14ac:dyDescent="0.4">
      <c r="A192" s="2"/>
      <c r="B192" s="2"/>
      <c r="C192" s="2"/>
      <c r="D192" s="12"/>
      <c r="E192" s="4"/>
      <c r="F192" s="275" t="s">
        <v>418</v>
      </c>
      <c r="G192" s="275" t="s">
        <v>418</v>
      </c>
      <c r="H192" s="275" t="s">
        <v>418</v>
      </c>
      <c r="I192" s="275" t="s">
        <v>418</v>
      </c>
      <c r="J192" s="275" t="s">
        <v>418</v>
      </c>
      <c r="K192" s="275" t="s">
        <v>418</v>
      </c>
      <c r="L192" s="275" t="s">
        <v>418</v>
      </c>
      <c r="M192" s="280" t="s">
        <v>418</v>
      </c>
      <c r="N192" s="280" t="s">
        <v>418</v>
      </c>
      <c r="O192" s="280" t="s">
        <v>418</v>
      </c>
      <c r="P192" s="280" t="s">
        <v>418</v>
      </c>
      <c r="Q192" s="280" t="s">
        <v>418</v>
      </c>
      <c r="R192" s="280" t="s">
        <v>418</v>
      </c>
      <c r="S192" s="280" t="s">
        <v>418</v>
      </c>
      <c r="T192" s="247" t="s">
        <v>418</v>
      </c>
      <c r="U192" s="247" t="s">
        <v>418</v>
      </c>
      <c r="V192" s="247" t="s">
        <v>418</v>
      </c>
      <c r="W192" s="247" t="s">
        <v>418</v>
      </c>
      <c r="X192" s="247" t="s">
        <v>418</v>
      </c>
      <c r="Y192" s="247" t="s">
        <v>418</v>
      </c>
      <c r="Z192" s="247" t="s">
        <v>418</v>
      </c>
      <c r="AA192" s="248" t="s">
        <v>418</v>
      </c>
      <c r="AB192" s="248" t="s">
        <v>418</v>
      </c>
      <c r="AC192" s="248" t="s">
        <v>418</v>
      </c>
      <c r="AD192" s="248" t="s">
        <v>418</v>
      </c>
      <c r="AE192" s="248" t="s">
        <v>418</v>
      </c>
      <c r="AF192" s="248" t="s">
        <v>418</v>
      </c>
      <c r="AG192" s="248" t="s">
        <v>418</v>
      </c>
    </row>
    <row r="193" spans="1:39" x14ac:dyDescent="0.4">
      <c r="A193" s="60" t="s">
        <v>414</v>
      </c>
      <c r="B193" s="2" t="s">
        <v>14</v>
      </c>
      <c r="C193" s="2" t="s">
        <v>15</v>
      </c>
      <c r="D193" s="12"/>
      <c r="E193" s="4">
        <v>1.25</v>
      </c>
      <c r="F193" s="275" t="s">
        <v>418</v>
      </c>
      <c r="G193" s="275" t="s">
        <v>440</v>
      </c>
      <c r="H193" s="275" t="s">
        <v>418</v>
      </c>
      <c r="I193" s="275" t="s">
        <v>418</v>
      </c>
      <c r="J193" s="275" t="s">
        <v>418</v>
      </c>
      <c r="K193" s="275" t="s">
        <v>418</v>
      </c>
      <c r="L193" s="275" t="s">
        <v>418</v>
      </c>
      <c r="M193" s="280" t="s">
        <v>418</v>
      </c>
      <c r="N193" s="280" t="s">
        <v>440</v>
      </c>
      <c r="O193" s="280" t="s">
        <v>418</v>
      </c>
      <c r="P193" s="280" t="s">
        <v>418</v>
      </c>
      <c r="Q193" s="280" t="s">
        <v>418</v>
      </c>
      <c r="R193" s="280" t="s">
        <v>418</v>
      </c>
      <c r="S193" s="280" t="s">
        <v>418</v>
      </c>
      <c r="T193" s="247" t="s">
        <v>418</v>
      </c>
      <c r="U193" s="247" t="s">
        <v>440</v>
      </c>
      <c r="V193" s="247" t="s">
        <v>418</v>
      </c>
      <c r="W193" s="247" t="s">
        <v>418</v>
      </c>
      <c r="X193" s="247" t="s">
        <v>418</v>
      </c>
      <c r="Y193" s="247" t="s">
        <v>418</v>
      </c>
      <c r="Z193" s="247" t="s">
        <v>418</v>
      </c>
      <c r="AA193" s="248" t="s">
        <v>418</v>
      </c>
      <c r="AB193" s="248" t="s">
        <v>440</v>
      </c>
      <c r="AC193" s="248" t="s">
        <v>418</v>
      </c>
      <c r="AD193" s="248" t="s">
        <v>418</v>
      </c>
      <c r="AE193" s="248" t="s">
        <v>418</v>
      </c>
      <c r="AF193" s="248" t="s">
        <v>418</v>
      </c>
      <c r="AG193" s="248" t="s">
        <v>418</v>
      </c>
      <c r="AH193" s="30">
        <f>(('Project Materials'!$F$25+'Project Materials'!$G$25)*'Project Materials'!$P$25)*2</f>
        <v>0</v>
      </c>
      <c r="AI193" s="27">
        <f>(('Project Materials'!$F$26+'Project Materials'!$G$26)*'Project Materials'!$P$26)*2</f>
        <v>0</v>
      </c>
      <c r="AJ193" s="28">
        <f>(('Project Materials'!$F$27+'Project Materials'!$G$27)*'Project Materials'!$P$27)*2</f>
        <v>0</v>
      </c>
      <c r="AK193" s="256">
        <f>(('Project Materials'!$F$28+'Project Materials'!$G$28)*'Project Materials'!$P$28)*2</f>
        <v>0</v>
      </c>
    </row>
    <row r="194" spans="1:39" x14ac:dyDescent="0.4">
      <c r="A194" s="60" t="s">
        <v>414</v>
      </c>
      <c r="B194" s="2" t="s">
        <v>30</v>
      </c>
      <c r="C194" s="2" t="s">
        <v>31</v>
      </c>
      <c r="D194" s="12"/>
      <c r="E194" s="4">
        <v>1.25</v>
      </c>
      <c r="F194" s="275" t="s">
        <v>418</v>
      </c>
      <c r="G194" s="275" t="s">
        <v>440</v>
      </c>
      <c r="H194" s="275" t="s">
        <v>418</v>
      </c>
      <c r="I194" s="275" t="s">
        <v>418</v>
      </c>
      <c r="J194" s="275" t="s">
        <v>418</v>
      </c>
      <c r="K194" s="275" t="s">
        <v>418</v>
      </c>
      <c r="L194" s="275" t="s">
        <v>418</v>
      </c>
      <c r="M194" s="280" t="s">
        <v>418</v>
      </c>
      <c r="N194" s="280" t="s">
        <v>440</v>
      </c>
      <c r="O194" s="280" t="s">
        <v>418</v>
      </c>
      <c r="P194" s="280" t="s">
        <v>418</v>
      </c>
      <c r="Q194" s="280" t="s">
        <v>418</v>
      </c>
      <c r="R194" s="280" t="s">
        <v>418</v>
      </c>
      <c r="S194" s="280" t="s">
        <v>418</v>
      </c>
      <c r="T194" s="247" t="s">
        <v>418</v>
      </c>
      <c r="U194" s="247" t="s">
        <v>440</v>
      </c>
      <c r="V194" s="247" t="s">
        <v>418</v>
      </c>
      <c r="W194" s="247" t="s">
        <v>418</v>
      </c>
      <c r="X194" s="247" t="s">
        <v>418</v>
      </c>
      <c r="Y194" s="247" t="s">
        <v>418</v>
      </c>
      <c r="Z194" s="247" t="s">
        <v>418</v>
      </c>
      <c r="AA194" s="248" t="s">
        <v>418</v>
      </c>
      <c r="AB194" s="248" t="s">
        <v>440</v>
      </c>
      <c r="AC194" s="248" t="s">
        <v>418</v>
      </c>
      <c r="AD194" s="248" t="s">
        <v>418</v>
      </c>
      <c r="AE194" s="248" t="s">
        <v>418</v>
      </c>
      <c r="AF194" s="248" t="s">
        <v>418</v>
      </c>
      <c r="AG194" s="248" t="s">
        <v>418</v>
      </c>
      <c r="AH194" s="30">
        <f>(('Project Materials'!$F$25+'Project Materials'!$G$25)*'Project Materials'!$P$25)*2</f>
        <v>0</v>
      </c>
      <c r="AI194" s="27">
        <f>(('Project Materials'!$F$26+'Project Materials'!$G$26)*'Project Materials'!$P$26)*2</f>
        <v>0</v>
      </c>
      <c r="AJ194" s="28">
        <f>(('Project Materials'!$F$27+'Project Materials'!$G$27)*'Project Materials'!$P$27)*2</f>
        <v>0</v>
      </c>
      <c r="AK194" s="256">
        <f>(('Project Materials'!$F$28+'Project Materials'!$G$28)*'Project Materials'!$P$28)*2</f>
        <v>0</v>
      </c>
    </row>
    <row r="195" spans="1:39" x14ac:dyDescent="0.4">
      <c r="A195" s="60" t="s">
        <v>414</v>
      </c>
      <c r="B195" s="2" t="s">
        <v>32</v>
      </c>
      <c r="C195" s="2" t="s">
        <v>33</v>
      </c>
      <c r="D195" s="12"/>
      <c r="E195" s="4">
        <v>8.6199999999999992</v>
      </c>
      <c r="F195" s="275" t="s">
        <v>418</v>
      </c>
      <c r="G195" s="275" t="s">
        <v>440</v>
      </c>
      <c r="H195" s="275" t="s">
        <v>418</v>
      </c>
      <c r="I195" s="275" t="s">
        <v>418</v>
      </c>
      <c r="J195" s="275" t="s">
        <v>418</v>
      </c>
      <c r="K195" s="275" t="s">
        <v>418</v>
      </c>
      <c r="L195" s="275" t="s">
        <v>418</v>
      </c>
      <c r="M195" s="280" t="s">
        <v>418</v>
      </c>
      <c r="N195" s="280" t="s">
        <v>440</v>
      </c>
      <c r="O195" s="280" t="s">
        <v>418</v>
      </c>
      <c r="P195" s="280" t="s">
        <v>418</v>
      </c>
      <c r="Q195" s="280" t="s">
        <v>418</v>
      </c>
      <c r="R195" s="280" t="s">
        <v>418</v>
      </c>
      <c r="S195" s="280" t="s">
        <v>418</v>
      </c>
      <c r="T195" s="247" t="s">
        <v>418</v>
      </c>
      <c r="U195" s="247" t="s">
        <v>440</v>
      </c>
      <c r="V195" s="247" t="s">
        <v>418</v>
      </c>
      <c r="W195" s="247" t="s">
        <v>418</v>
      </c>
      <c r="X195" s="247" t="s">
        <v>418</v>
      </c>
      <c r="Y195" s="247" t="s">
        <v>418</v>
      </c>
      <c r="Z195" s="247" t="s">
        <v>418</v>
      </c>
      <c r="AA195" s="248" t="s">
        <v>418</v>
      </c>
      <c r="AB195" s="248" t="s">
        <v>440</v>
      </c>
      <c r="AC195" s="248" t="s">
        <v>418</v>
      </c>
      <c r="AD195" s="248" t="s">
        <v>418</v>
      </c>
      <c r="AE195" s="248" t="s">
        <v>418</v>
      </c>
      <c r="AF195" s="248" t="s">
        <v>418</v>
      </c>
      <c r="AG195" s="248" t="s">
        <v>418</v>
      </c>
      <c r="AH195" s="30">
        <f>(('Project Materials'!$F$25+'Project Materials'!$G$25)*'Project Materials'!$P$25)*2</f>
        <v>0</v>
      </c>
      <c r="AI195" s="27">
        <f>(('Project Materials'!$F$26+'Project Materials'!$G$26)*'Project Materials'!$P$26)*2</f>
        <v>0</v>
      </c>
      <c r="AJ195" s="28">
        <f>(('Project Materials'!$F$27+'Project Materials'!$G$27)*'Project Materials'!$P$27)*2</f>
        <v>0</v>
      </c>
      <c r="AK195" s="256">
        <f>(('Project Materials'!$F$28+'Project Materials'!$G$28)*'Project Materials'!$P$28)*2</f>
        <v>0</v>
      </c>
    </row>
    <row r="196" spans="1:39" x14ac:dyDescent="0.4">
      <c r="A196" s="60" t="s">
        <v>414</v>
      </c>
      <c r="B196" s="2" t="s">
        <v>34</v>
      </c>
      <c r="C196" s="2" t="s">
        <v>35</v>
      </c>
      <c r="D196" s="12"/>
      <c r="E196" s="4">
        <v>1.39</v>
      </c>
      <c r="F196" s="275" t="s">
        <v>418</v>
      </c>
      <c r="G196" s="275" t="s">
        <v>440</v>
      </c>
      <c r="H196" s="275" t="s">
        <v>418</v>
      </c>
      <c r="I196" s="275" t="s">
        <v>418</v>
      </c>
      <c r="J196" s="275" t="s">
        <v>418</v>
      </c>
      <c r="K196" s="275" t="s">
        <v>418</v>
      </c>
      <c r="L196" s="275" t="s">
        <v>418</v>
      </c>
      <c r="M196" s="280" t="s">
        <v>418</v>
      </c>
      <c r="N196" s="280" t="s">
        <v>440</v>
      </c>
      <c r="O196" s="280" t="s">
        <v>418</v>
      </c>
      <c r="P196" s="280" t="s">
        <v>418</v>
      </c>
      <c r="Q196" s="280" t="s">
        <v>418</v>
      </c>
      <c r="R196" s="280" t="s">
        <v>418</v>
      </c>
      <c r="S196" s="280" t="s">
        <v>418</v>
      </c>
      <c r="T196" s="247" t="s">
        <v>418</v>
      </c>
      <c r="U196" s="247" t="s">
        <v>440</v>
      </c>
      <c r="V196" s="247" t="s">
        <v>418</v>
      </c>
      <c r="W196" s="247" t="s">
        <v>418</v>
      </c>
      <c r="X196" s="247" t="s">
        <v>418</v>
      </c>
      <c r="Y196" s="247" t="s">
        <v>418</v>
      </c>
      <c r="Z196" s="247" t="s">
        <v>418</v>
      </c>
      <c r="AA196" s="248" t="s">
        <v>418</v>
      </c>
      <c r="AB196" s="248" t="s">
        <v>440</v>
      </c>
      <c r="AC196" s="248" t="s">
        <v>418</v>
      </c>
      <c r="AD196" s="248" t="s">
        <v>418</v>
      </c>
      <c r="AE196" s="248" t="s">
        <v>418</v>
      </c>
      <c r="AF196" s="248" t="s">
        <v>418</v>
      </c>
      <c r="AG196" s="248" t="s">
        <v>418</v>
      </c>
      <c r="AH196" s="30">
        <f>(('Project Materials'!$F$25+'Project Materials'!$G$25)*'Project Materials'!$P$25)*2</f>
        <v>0</v>
      </c>
      <c r="AI196" s="27">
        <f>(('Project Materials'!$F$26+'Project Materials'!$G$26)*'Project Materials'!$P$26)*2</f>
        <v>0</v>
      </c>
      <c r="AJ196" s="28">
        <f>(('Project Materials'!$F$27+'Project Materials'!$G$27)*'Project Materials'!$P$27)*2</f>
        <v>0</v>
      </c>
      <c r="AK196" s="256">
        <f>(('Project Materials'!$F$28+'Project Materials'!$G$28)*'Project Materials'!$P$28)*2</f>
        <v>0</v>
      </c>
    </row>
    <row r="197" spans="1:39" x14ac:dyDescent="0.4">
      <c r="A197" s="60" t="s">
        <v>414</v>
      </c>
      <c r="B197" s="2" t="s">
        <v>36</v>
      </c>
      <c r="C197" s="2" t="s">
        <v>37</v>
      </c>
      <c r="D197" s="12"/>
      <c r="E197" s="4">
        <v>3.05</v>
      </c>
      <c r="F197" s="275" t="s">
        <v>418</v>
      </c>
      <c r="G197" s="275" t="s">
        <v>440</v>
      </c>
      <c r="H197" s="275" t="s">
        <v>418</v>
      </c>
      <c r="I197" s="275" t="s">
        <v>418</v>
      </c>
      <c r="J197" s="275" t="s">
        <v>418</v>
      </c>
      <c r="K197" s="275" t="s">
        <v>418</v>
      </c>
      <c r="L197" s="275" t="s">
        <v>418</v>
      </c>
      <c r="M197" s="280" t="s">
        <v>418</v>
      </c>
      <c r="N197" s="280" t="s">
        <v>440</v>
      </c>
      <c r="O197" s="280" t="s">
        <v>418</v>
      </c>
      <c r="P197" s="280" t="s">
        <v>418</v>
      </c>
      <c r="Q197" s="280" t="s">
        <v>418</v>
      </c>
      <c r="R197" s="280" t="s">
        <v>418</v>
      </c>
      <c r="S197" s="280" t="s">
        <v>418</v>
      </c>
      <c r="T197" s="247" t="s">
        <v>418</v>
      </c>
      <c r="U197" s="247" t="s">
        <v>440</v>
      </c>
      <c r="V197" s="247" t="s">
        <v>418</v>
      </c>
      <c r="W197" s="247" t="s">
        <v>418</v>
      </c>
      <c r="X197" s="247" t="s">
        <v>418</v>
      </c>
      <c r="Y197" s="247" t="s">
        <v>418</v>
      </c>
      <c r="Z197" s="247" t="s">
        <v>418</v>
      </c>
      <c r="AA197" s="248" t="s">
        <v>418</v>
      </c>
      <c r="AB197" s="248" t="s">
        <v>440</v>
      </c>
      <c r="AC197" s="248" t="s">
        <v>418</v>
      </c>
      <c r="AD197" s="248" t="s">
        <v>418</v>
      </c>
      <c r="AE197" s="248" t="s">
        <v>418</v>
      </c>
      <c r="AF197" s="248" t="s">
        <v>418</v>
      </c>
      <c r="AG197" s="248" t="s">
        <v>418</v>
      </c>
      <c r="AH197" s="30">
        <f>(('Project Materials'!$F$25+'Project Materials'!$G$25)*'Project Materials'!$P$25)*2</f>
        <v>0</v>
      </c>
      <c r="AI197" s="27">
        <f>(('Project Materials'!$F$26+'Project Materials'!$G$26)*'Project Materials'!$P$26)*2</f>
        <v>0</v>
      </c>
      <c r="AJ197" s="28">
        <f>(('Project Materials'!$F$27+'Project Materials'!$G$27)*'Project Materials'!$P$27)*2</f>
        <v>0</v>
      </c>
      <c r="AK197" s="256">
        <f>(('Project Materials'!$F$28+'Project Materials'!$G$28)*'Project Materials'!$P$28)*2</f>
        <v>0</v>
      </c>
    </row>
    <row r="198" spans="1:39" x14ac:dyDescent="0.4">
      <c r="A198" s="60" t="s">
        <v>414</v>
      </c>
      <c r="B198" s="2" t="s">
        <v>509</v>
      </c>
      <c r="C198" s="2" t="s">
        <v>510</v>
      </c>
      <c r="D198" s="12"/>
      <c r="E198" s="4">
        <v>4.7</v>
      </c>
      <c r="F198" s="275" t="s">
        <v>418</v>
      </c>
      <c r="G198" s="275" t="s">
        <v>440</v>
      </c>
      <c r="H198" s="275" t="s">
        <v>418</v>
      </c>
      <c r="I198" s="275" t="s">
        <v>418</v>
      </c>
      <c r="J198" s="275" t="s">
        <v>418</v>
      </c>
      <c r="K198" s="275" t="s">
        <v>418</v>
      </c>
      <c r="L198" s="275" t="s">
        <v>418</v>
      </c>
      <c r="M198" s="280" t="s">
        <v>418</v>
      </c>
      <c r="N198" s="280" t="s">
        <v>440</v>
      </c>
      <c r="O198" s="280" t="s">
        <v>418</v>
      </c>
      <c r="P198" s="280" t="s">
        <v>418</v>
      </c>
      <c r="Q198" s="280" t="s">
        <v>418</v>
      </c>
      <c r="R198" s="280" t="s">
        <v>418</v>
      </c>
      <c r="S198" s="280" t="s">
        <v>418</v>
      </c>
      <c r="T198" s="247" t="s">
        <v>418</v>
      </c>
      <c r="U198" s="247" t="s">
        <v>440</v>
      </c>
      <c r="V198" s="247" t="s">
        <v>418</v>
      </c>
      <c r="W198" s="247" t="s">
        <v>418</v>
      </c>
      <c r="X198" s="247" t="s">
        <v>418</v>
      </c>
      <c r="Y198" s="247" t="s">
        <v>418</v>
      </c>
      <c r="Z198" s="247" t="s">
        <v>418</v>
      </c>
      <c r="AA198" s="248" t="s">
        <v>418</v>
      </c>
      <c r="AB198" s="248" t="s">
        <v>440</v>
      </c>
      <c r="AC198" s="248" t="s">
        <v>418</v>
      </c>
      <c r="AD198" s="248" t="s">
        <v>418</v>
      </c>
      <c r="AE198" s="248" t="s">
        <v>418</v>
      </c>
      <c r="AF198" s="248" t="s">
        <v>418</v>
      </c>
      <c r="AG198" s="248" t="s">
        <v>418</v>
      </c>
      <c r="AH198" s="30">
        <f>(('Project Materials'!$F$25+'Project Materials'!$G$25)*'Project Materials'!$P$25)*2</f>
        <v>0</v>
      </c>
      <c r="AI198" s="27">
        <f>(('Project Materials'!$F$26+'Project Materials'!$G$26)*'Project Materials'!$P$26)*2</f>
        <v>0</v>
      </c>
      <c r="AJ198" s="28">
        <f>(('Project Materials'!$F$27+'Project Materials'!$G$27)*'Project Materials'!$P$27)*2</f>
        <v>0</v>
      </c>
      <c r="AK198" s="256">
        <f>(('Project Materials'!$F$28+'Project Materials'!$G$28)*'Project Materials'!$P$28)*2</f>
        <v>0</v>
      </c>
    </row>
    <row r="199" spans="1:39" x14ac:dyDescent="0.4">
      <c r="A199" s="60" t="s">
        <v>414</v>
      </c>
      <c r="B199" s="2" t="s">
        <v>56</v>
      </c>
      <c r="C199" s="2" t="s">
        <v>57</v>
      </c>
      <c r="D199" s="12"/>
      <c r="E199" s="4">
        <v>7.5</v>
      </c>
      <c r="F199" s="275" t="s">
        <v>418</v>
      </c>
      <c r="G199" s="275" t="s">
        <v>440</v>
      </c>
      <c r="H199" s="275" t="s">
        <v>418</v>
      </c>
      <c r="I199" s="275" t="s">
        <v>418</v>
      </c>
      <c r="J199" s="275" t="s">
        <v>418</v>
      </c>
      <c r="K199" s="275" t="s">
        <v>418</v>
      </c>
      <c r="L199" s="275" t="s">
        <v>418</v>
      </c>
      <c r="M199" s="280" t="s">
        <v>418</v>
      </c>
      <c r="N199" s="280" t="s">
        <v>440</v>
      </c>
      <c r="O199" s="280" t="s">
        <v>418</v>
      </c>
      <c r="P199" s="280" t="s">
        <v>418</v>
      </c>
      <c r="Q199" s="280" t="s">
        <v>418</v>
      </c>
      <c r="R199" s="280" t="s">
        <v>418</v>
      </c>
      <c r="S199" s="280" t="s">
        <v>418</v>
      </c>
      <c r="T199" s="247" t="s">
        <v>418</v>
      </c>
      <c r="U199" s="247" t="s">
        <v>440</v>
      </c>
      <c r="V199" s="247" t="s">
        <v>418</v>
      </c>
      <c r="W199" s="247" t="s">
        <v>418</v>
      </c>
      <c r="X199" s="247" t="s">
        <v>418</v>
      </c>
      <c r="Y199" s="247" t="s">
        <v>418</v>
      </c>
      <c r="Z199" s="247" t="s">
        <v>418</v>
      </c>
      <c r="AA199" s="248" t="s">
        <v>418</v>
      </c>
      <c r="AB199" s="248" t="s">
        <v>440</v>
      </c>
      <c r="AC199" s="248" t="s">
        <v>418</v>
      </c>
      <c r="AD199" s="248" t="s">
        <v>418</v>
      </c>
      <c r="AE199" s="248" t="s">
        <v>418</v>
      </c>
      <c r="AF199" s="248" t="s">
        <v>418</v>
      </c>
      <c r="AG199" s="248" t="s">
        <v>418</v>
      </c>
      <c r="AH199" s="30">
        <f>(('Project Materials'!$F$25+'Project Materials'!$G$25)*'Project Materials'!$P$25)*2</f>
        <v>0</v>
      </c>
      <c r="AI199" s="27">
        <f>(('Project Materials'!$F$26+'Project Materials'!$G$26)*'Project Materials'!$P$26)*2</f>
        <v>0</v>
      </c>
      <c r="AJ199" s="28">
        <f>(('Project Materials'!$F$27+'Project Materials'!$G$27)*'Project Materials'!$P$27)*2</f>
        <v>0</v>
      </c>
      <c r="AK199" s="256">
        <f>(('Project Materials'!$F$28+'Project Materials'!$G$28)*'Project Materials'!$P$28)*2</f>
        <v>0</v>
      </c>
    </row>
    <row r="200" spans="1:39" x14ac:dyDescent="0.4">
      <c r="A200" s="60" t="s">
        <v>414</v>
      </c>
      <c r="B200" s="2" t="s">
        <v>16</v>
      </c>
      <c r="C200" s="2" t="s">
        <v>17</v>
      </c>
      <c r="D200" s="12"/>
      <c r="E200" s="4">
        <v>1</v>
      </c>
      <c r="F200" s="275" t="s">
        <v>418</v>
      </c>
      <c r="G200" s="275" t="s">
        <v>440</v>
      </c>
      <c r="H200" s="275" t="s">
        <v>418</v>
      </c>
      <c r="I200" s="275" t="s">
        <v>418</v>
      </c>
      <c r="J200" s="275" t="s">
        <v>418</v>
      </c>
      <c r="K200" s="275" t="s">
        <v>418</v>
      </c>
      <c r="L200" s="275" t="s">
        <v>418</v>
      </c>
      <c r="M200" s="280" t="s">
        <v>418</v>
      </c>
      <c r="N200" s="280" t="s">
        <v>440</v>
      </c>
      <c r="O200" s="280" t="s">
        <v>418</v>
      </c>
      <c r="P200" s="280" t="s">
        <v>418</v>
      </c>
      <c r="Q200" s="280" t="s">
        <v>418</v>
      </c>
      <c r="R200" s="280" t="s">
        <v>418</v>
      </c>
      <c r="S200" s="280" t="s">
        <v>418</v>
      </c>
      <c r="T200" s="247" t="s">
        <v>418</v>
      </c>
      <c r="U200" s="247" t="s">
        <v>440</v>
      </c>
      <c r="V200" s="247" t="s">
        <v>418</v>
      </c>
      <c r="W200" s="247" t="s">
        <v>418</v>
      </c>
      <c r="X200" s="247" t="s">
        <v>418</v>
      </c>
      <c r="Y200" s="247" t="s">
        <v>418</v>
      </c>
      <c r="Z200" s="247" t="s">
        <v>418</v>
      </c>
      <c r="AA200" s="248" t="s">
        <v>418</v>
      </c>
      <c r="AB200" s="248" t="s">
        <v>440</v>
      </c>
      <c r="AC200" s="248" t="s">
        <v>418</v>
      </c>
      <c r="AD200" s="248" t="s">
        <v>418</v>
      </c>
      <c r="AE200" s="248" t="s">
        <v>418</v>
      </c>
      <c r="AF200" s="248" t="s">
        <v>418</v>
      </c>
      <c r="AG200" s="248" t="s">
        <v>418</v>
      </c>
      <c r="AH200" s="30">
        <f>(('Project Materials'!$F$25+'Project Materials'!$G$25)*'Project Materials'!$P$25)*2</f>
        <v>0</v>
      </c>
      <c r="AI200" s="27">
        <f>(('Project Materials'!$F$26+'Project Materials'!$G$26)*'Project Materials'!$P$26)*2</f>
        <v>0</v>
      </c>
      <c r="AJ200" s="28">
        <f>(('Project Materials'!$F$27+'Project Materials'!$G$27)*'Project Materials'!$P$27)*2</f>
        <v>0</v>
      </c>
      <c r="AK200" s="256">
        <f>(('Project Materials'!$F$28+'Project Materials'!$G$28)*'Project Materials'!$P$28)*2</f>
        <v>0</v>
      </c>
    </row>
    <row r="201" spans="1:39" x14ac:dyDescent="0.4">
      <c r="A201" s="60" t="s">
        <v>414</v>
      </c>
      <c r="B201" s="2" t="s">
        <v>58</v>
      </c>
      <c r="C201" s="2" t="s">
        <v>59</v>
      </c>
      <c r="D201" s="12"/>
      <c r="E201" s="4">
        <v>0.87</v>
      </c>
      <c r="F201" s="275" t="s">
        <v>418</v>
      </c>
      <c r="G201" s="275" t="s">
        <v>440</v>
      </c>
      <c r="H201" s="275" t="s">
        <v>418</v>
      </c>
      <c r="I201" s="275" t="s">
        <v>418</v>
      </c>
      <c r="J201" s="275" t="s">
        <v>418</v>
      </c>
      <c r="K201" s="275" t="s">
        <v>418</v>
      </c>
      <c r="L201" s="275" t="s">
        <v>418</v>
      </c>
      <c r="M201" s="280" t="s">
        <v>418</v>
      </c>
      <c r="N201" s="280" t="s">
        <v>440</v>
      </c>
      <c r="O201" s="280" t="s">
        <v>418</v>
      </c>
      <c r="P201" s="280" t="s">
        <v>418</v>
      </c>
      <c r="Q201" s="280" t="s">
        <v>418</v>
      </c>
      <c r="R201" s="280" t="s">
        <v>418</v>
      </c>
      <c r="S201" s="280" t="s">
        <v>418</v>
      </c>
      <c r="T201" s="247" t="s">
        <v>418</v>
      </c>
      <c r="U201" s="247" t="s">
        <v>440</v>
      </c>
      <c r="V201" s="247" t="s">
        <v>418</v>
      </c>
      <c r="W201" s="247" t="s">
        <v>418</v>
      </c>
      <c r="X201" s="247" t="s">
        <v>418</v>
      </c>
      <c r="Y201" s="247" t="s">
        <v>418</v>
      </c>
      <c r="Z201" s="247" t="s">
        <v>418</v>
      </c>
      <c r="AA201" s="248" t="s">
        <v>418</v>
      </c>
      <c r="AB201" s="248" t="s">
        <v>440</v>
      </c>
      <c r="AC201" s="248" t="s">
        <v>418</v>
      </c>
      <c r="AD201" s="248" t="s">
        <v>418</v>
      </c>
      <c r="AE201" s="248" t="s">
        <v>418</v>
      </c>
      <c r="AF201" s="248" t="s">
        <v>418</v>
      </c>
      <c r="AG201" s="248" t="s">
        <v>418</v>
      </c>
      <c r="AH201" s="30">
        <f>(('Project Materials'!$F$25+'Project Materials'!$G$25)*'Project Materials'!$P$25)*2</f>
        <v>0</v>
      </c>
      <c r="AI201" s="27">
        <f>(('Project Materials'!$F$26+'Project Materials'!$G$26)*'Project Materials'!$P$26)*2</f>
        <v>0</v>
      </c>
      <c r="AJ201" s="28">
        <f>(('Project Materials'!$F$27+'Project Materials'!$G$27)*'Project Materials'!$P$27)*2</f>
        <v>0</v>
      </c>
      <c r="AK201" s="256">
        <f>(('Project Materials'!$F$28+'Project Materials'!$G$28)*'Project Materials'!$P$28)*2</f>
        <v>0</v>
      </c>
    </row>
    <row r="202" spans="1:39" x14ac:dyDescent="0.4">
      <c r="A202" s="60" t="s">
        <v>414</v>
      </c>
      <c r="B202" s="2" t="s">
        <v>60</v>
      </c>
      <c r="C202" s="2" t="s">
        <v>61</v>
      </c>
      <c r="D202" s="12"/>
      <c r="E202" s="4">
        <v>8.65</v>
      </c>
      <c r="F202" s="275" t="s">
        <v>418</v>
      </c>
      <c r="G202" s="275" t="s">
        <v>440</v>
      </c>
      <c r="H202" s="275" t="s">
        <v>418</v>
      </c>
      <c r="I202" s="275" t="s">
        <v>418</v>
      </c>
      <c r="J202" s="275" t="s">
        <v>418</v>
      </c>
      <c r="K202" s="275" t="s">
        <v>418</v>
      </c>
      <c r="L202" s="275" t="s">
        <v>418</v>
      </c>
      <c r="M202" s="280" t="s">
        <v>418</v>
      </c>
      <c r="N202" s="280" t="s">
        <v>440</v>
      </c>
      <c r="O202" s="280" t="s">
        <v>418</v>
      </c>
      <c r="P202" s="280" t="s">
        <v>418</v>
      </c>
      <c r="Q202" s="280" t="s">
        <v>418</v>
      </c>
      <c r="R202" s="280" t="s">
        <v>418</v>
      </c>
      <c r="S202" s="280" t="s">
        <v>418</v>
      </c>
      <c r="T202" s="247" t="s">
        <v>418</v>
      </c>
      <c r="U202" s="247" t="s">
        <v>440</v>
      </c>
      <c r="V202" s="247" t="s">
        <v>418</v>
      </c>
      <c r="W202" s="247" t="s">
        <v>418</v>
      </c>
      <c r="X202" s="247" t="s">
        <v>418</v>
      </c>
      <c r="Y202" s="247" t="s">
        <v>418</v>
      </c>
      <c r="Z202" s="247" t="s">
        <v>418</v>
      </c>
      <c r="AA202" s="248" t="s">
        <v>418</v>
      </c>
      <c r="AB202" s="248" t="s">
        <v>440</v>
      </c>
      <c r="AC202" s="248" t="s">
        <v>418</v>
      </c>
      <c r="AD202" s="248" t="s">
        <v>418</v>
      </c>
      <c r="AE202" s="248" t="s">
        <v>418</v>
      </c>
      <c r="AF202" s="248" t="s">
        <v>418</v>
      </c>
      <c r="AG202" s="248" t="s">
        <v>418</v>
      </c>
      <c r="AH202" s="30">
        <f>(('Project Materials'!$F$25+'Project Materials'!$G$25)*'Project Materials'!$P$25)*2</f>
        <v>0</v>
      </c>
      <c r="AI202" s="27">
        <f>(('Project Materials'!$F$26+'Project Materials'!$G$26)*'Project Materials'!$P$26)*2</f>
        <v>0</v>
      </c>
      <c r="AJ202" s="28">
        <f>(('Project Materials'!$F$27+'Project Materials'!$G$27)*'Project Materials'!$P$27)*2</f>
        <v>0</v>
      </c>
      <c r="AK202" s="256">
        <f>(('Project Materials'!$F$28+'Project Materials'!$G$28)*'Project Materials'!$P$28)*2</f>
        <v>0</v>
      </c>
    </row>
    <row r="203" spans="1:39" x14ac:dyDescent="0.4">
      <c r="A203" s="60" t="s">
        <v>414</v>
      </c>
      <c r="B203" s="2" t="s">
        <v>62</v>
      </c>
      <c r="C203" s="2" t="s">
        <v>63</v>
      </c>
      <c r="D203" s="12"/>
      <c r="E203" s="4">
        <v>0.87</v>
      </c>
      <c r="F203" s="275" t="s">
        <v>418</v>
      </c>
      <c r="G203" s="275" t="s">
        <v>440</v>
      </c>
      <c r="H203" s="275" t="s">
        <v>418</v>
      </c>
      <c r="I203" s="275" t="s">
        <v>418</v>
      </c>
      <c r="J203" s="275" t="s">
        <v>418</v>
      </c>
      <c r="K203" s="275" t="s">
        <v>418</v>
      </c>
      <c r="L203" s="275" t="s">
        <v>418</v>
      </c>
      <c r="M203" s="280" t="s">
        <v>418</v>
      </c>
      <c r="N203" s="280" t="s">
        <v>440</v>
      </c>
      <c r="O203" s="280" t="s">
        <v>418</v>
      </c>
      <c r="P203" s="280" t="s">
        <v>418</v>
      </c>
      <c r="Q203" s="280" t="s">
        <v>418</v>
      </c>
      <c r="R203" s="280" t="s">
        <v>418</v>
      </c>
      <c r="S203" s="280" t="s">
        <v>418</v>
      </c>
      <c r="T203" s="247" t="s">
        <v>418</v>
      </c>
      <c r="U203" s="247" t="s">
        <v>440</v>
      </c>
      <c r="V203" s="247" t="s">
        <v>418</v>
      </c>
      <c r="W203" s="247" t="s">
        <v>418</v>
      </c>
      <c r="X203" s="247" t="s">
        <v>418</v>
      </c>
      <c r="Y203" s="247" t="s">
        <v>418</v>
      </c>
      <c r="Z203" s="247" t="s">
        <v>418</v>
      </c>
      <c r="AA203" s="248" t="s">
        <v>418</v>
      </c>
      <c r="AB203" s="248" t="s">
        <v>440</v>
      </c>
      <c r="AC203" s="248" t="s">
        <v>418</v>
      </c>
      <c r="AD203" s="248" t="s">
        <v>418</v>
      </c>
      <c r="AE203" s="248" t="s">
        <v>418</v>
      </c>
      <c r="AF203" s="248" t="s">
        <v>418</v>
      </c>
      <c r="AG203" s="248" t="s">
        <v>418</v>
      </c>
      <c r="AH203" s="30">
        <f>(('Project Materials'!$F$25+'Project Materials'!$G$25)*'Project Materials'!$P$25)*2</f>
        <v>0</v>
      </c>
      <c r="AI203" s="27">
        <f>(('Project Materials'!$F$26+'Project Materials'!$G$26)*'Project Materials'!$P$26)*2</f>
        <v>0</v>
      </c>
      <c r="AJ203" s="28">
        <f>(('Project Materials'!$F$27+'Project Materials'!$G$27)*'Project Materials'!$P$27)*2</f>
        <v>0</v>
      </c>
      <c r="AK203" s="256">
        <f>(('Project Materials'!$F$28+'Project Materials'!$G$28)*'Project Materials'!$P$28)*2</f>
        <v>0</v>
      </c>
    </row>
    <row r="204" spans="1:39" x14ac:dyDescent="0.4">
      <c r="A204" s="60" t="s">
        <v>414</v>
      </c>
      <c r="B204" s="2" t="s">
        <v>374</v>
      </c>
      <c r="C204" s="2" t="s">
        <v>375</v>
      </c>
      <c r="D204" s="12"/>
      <c r="E204" s="4">
        <v>5.55</v>
      </c>
      <c r="F204" s="275" t="s">
        <v>418</v>
      </c>
      <c r="G204" s="275" t="s">
        <v>440</v>
      </c>
      <c r="H204" s="275" t="s">
        <v>418</v>
      </c>
      <c r="I204" s="275" t="s">
        <v>418</v>
      </c>
      <c r="J204" s="275" t="s">
        <v>418</v>
      </c>
      <c r="K204" s="275" t="s">
        <v>418</v>
      </c>
      <c r="L204" s="275" t="s">
        <v>418</v>
      </c>
      <c r="M204" s="280" t="s">
        <v>418</v>
      </c>
      <c r="N204" s="280" t="s">
        <v>440</v>
      </c>
      <c r="O204" s="280" t="s">
        <v>418</v>
      </c>
      <c r="P204" s="280" t="s">
        <v>418</v>
      </c>
      <c r="Q204" s="280" t="s">
        <v>418</v>
      </c>
      <c r="R204" s="280" t="s">
        <v>418</v>
      </c>
      <c r="S204" s="280" t="s">
        <v>418</v>
      </c>
      <c r="T204" s="247" t="s">
        <v>418</v>
      </c>
      <c r="U204" s="247" t="s">
        <v>440</v>
      </c>
      <c r="V204" s="247" t="s">
        <v>418</v>
      </c>
      <c r="W204" s="247" t="s">
        <v>418</v>
      </c>
      <c r="X204" s="247" t="s">
        <v>418</v>
      </c>
      <c r="Y204" s="247" t="s">
        <v>418</v>
      </c>
      <c r="Z204" s="247" t="s">
        <v>418</v>
      </c>
      <c r="AA204" s="248" t="s">
        <v>418</v>
      </c>
      <c r="AB204" s="248" t="s">
        <v>440</v>
      </c>
      <c r="AC204" s="248" t="s">
        <v>418</v>
      </c>
      <c r="AD204" s="248" t="s">
        <v>418</v>
      </c>
      <c r="AE204" s="248" t="s">
        <v>418</v>
      </c>
      <c r="AF204" s="248" t="s">
        <v>418</v>
      </c>
      <c r="AG204" s="248" t="s">
        <v>418</v>
      </c>
      <c r="AH204" s="30">
        <f>(('Project Materials'!$F$25+'Project Materials'!$G$25)*'Project Materials'!$P$25)*2</f>
        <v>0</v>
      </c>
      <c r="AI204" s="27">
        <f>(('Project Materials'!$F$26+'Project Materials'!$G$26)*'Project Materials'!$P$26)*2</f>
        <v>0</v>
      </c>
      <c r="AJ204" s="28">
        <f>(('Project Materials'!$F$27+'Project Materials'!$G$27)*'Project Materials'!$P$27)*2</f>
        <v>0</v>
      </c>
      <c r="AK204" s="256">
        <f>(('Project Materials'!$F$28+'Project Materials'!$G$28)*'Project Materials'!$P$28)*2</f>
        <v>0</v>
      </c>
    </row>
    <row r="205" spans="1:39" x14ac:dyDescent="0.4">
      <c r="A205" s="60" t="s">
        <v>414</v>
      </c>
      <c r="B205" s="2" t="s">
        <v>856</v>
      </c>
      <c r="C205" s="2" t="s">
        <v>857</v>
      </c>
      <c r="D205" s="12"/>
      <c r="E205" s="4">
        <v>4.5</v>
      </c>
      <c r="F205" s="275" t="s">
        <v>418</v>
      </c>
      <c r="G205" s="275" t="s">
        <v>440</v>
      </c>
      <c r="H205" s="275" t="s">
        <v>418</v>
      </c>
      <c r="I205" s="275" t="s">
        <v>418</v>
      </c>
      <c r="J205" s="275" t="s">
        <v>418</v>
      </c>
      <c r="K205" s="275" t="s">
        <v>418</v>
      </c>
      <c r="L205" s="275" t="s">
        <v>418</v>
      </c>
      <c r="M205" s="280" t="s">
        <v>418</v>
      </c>
      <c r="N205" s="280" t="s">
        <v>440</v>
      </c>
      <c r="O205" s="280" t="s">
        <v>418</v>
      </c>
      <c r="P205" s="280" t="s">
        <v>418</v>
      </c>
      <c r="Q205" s="280" t="s">
        <v>418</v>
      </c>
      <c r="R205" s="280" t="s">
        <v>418</v>
      </c>
      <c r="S205" s="280" t="s">
        <v>418</v>
      </c>
      <c r="T205" s="247" t="s">
        <v>418</v>
      </c>
      <c r="U205" s="247" t="s">
        <v>440</v>
      </c>
      <c r="V205" s="247" t="s">
        <v>418</v>
      </c>
      <c r="W205" s="247" t="s">
        <v>418</v>
      </c>
      <c r="X205" s="247" t="s">
        <v>418</v>
      </c>
      <c r="Y205" s="247" t="s">
        <v>418</v>
      </c>
      <c r="Z205" s="247" t="s">
        <v>418</v>
      </c>
      <c r="AA205" s="248" t="s">
        <v>418</v>
      </c>
      <c r="AB205" s="248" t="s">
        <v>440</v>
      </c>
      <c r="AC205" s="248" t="s">
        <v>418</v>
      </c>
      <c r="AD205" s="248" t="s">
        <v>418</v>
      </c>
      <c r="AE205" s="248" t="s">
        <v>418</v>
      </c>
      <c r="AF205" s="248" t="s">
        <v>418</v>
      </c>
      <c r="AG205" s="248" t="s">
        <v>418</v>
      </c>
      <c r="AH205" s="30">
        <f>(('Project Materials'!$F$25+'Project Materials'!$G$25)*'Project Materials'!$P$25)*2</f>
        <v>0</v>
      </c>
      <c r="AI205" s="27">
        <f>(('Project Materials'!$F$26+'Project Materials'!$G$26)*'Project Materials'!$P$26)*2</f>
        <v>0</v>
      </c>
      <c r="AJ205" s="28">
        <f>(('Project Materials'!$F$27+'Project Materials'!$G$27)*'Project Materials'!$P$27)*2</f>
        <v>0</v>
      </c>
      <c r="AK205" s="256">
        <f>(('Project Materials'!$F$28+'Project Materials'!$G$28)*'Project Materials'!$P$28)*2</f>
        <v>0</v>
      </c>
    </row>
    <row r="206" spans="1:39" ht="15" thickBot="1" x14ac:dyDescent="0.45">
      <c r="A206" s="60" t="s">
        <v>414</v>
      </c>
      <c r="B206" s="2" t="s">
        <v>64</v>
      </c>
      <c r="C206" s="2" t="s">
        <v>65</v>
      </c>
      <c r="D206" s="12"/>
      <c r="E206" s="4">
        <v>1.75</v>
      </c>
      <c r="F206" s="275" t="s">
        <v>418</v>
      </c>
      <c r="G206" s="275" t="s">
        <v>288</v>
      </c>
      <c r="H206" s="275" t="s">
        <v>418</v>
      </c>
      <c r="I206" s="275" t="s">
        <v>418</v>
      </c>
      <c r="J206" s="275" t="s">
        <v>418</v>
      </c>
      <c r="K206" s="275" t="s">
        <v>418</v>
      </c>
      <c r="L206" s="275" t="s">
        <v>418</v>
      </c>
      <c r="M206" s="280" t="s">
        <v>418</v>
      </c>
      <c r="N206" s="280" t="s">
        <v>288</v>
      </c>
      <c r="O206" s="280" t="s">
        <v>418</v>
      </c>
      <c r="P206" s="280" t="s">
        <v>418</v>
      </c>
      <c r="Q206" s="280" t="s">
        <v>418</v>
      </c>
      <c r="R206" s="280" t="s">
        <v>418</v>
      </c>
      <c r="S206" s="280" t="s">
        <v>418</v>
      </c>
      <c r="T206" s="247" t="s">
        <v>418</v>
      </c>
      <c r="U206" s="247" t="s">
        <v>288</v>
      </c>
      <c r="V206" s="247" t="s">
        <v>418</v>
      </c>
      <c r="W206" s="247" t="s">
        <v>418</v>
      </c>
      <c r="X206" s="247" t="s">
        <v>418</v>
      </c>
      <c r="Y206" s="247" t="s">
        <v>418</v>
      </c>
      <c r="Z206" s="247" t="s">
        <v>418</v>
      </c>
      <c r="AA206" s="248" t="s">
        <v>418</v>
      </c>
      <c r="AB206" s="248" t="s">
        <v>288</v>
      </c>
      <c r="AC206" s="248" t="s">
        <v>418</v>
      </c>
      <c r="AD206" s="248" t="s">
        <v>418</v>
      </c>
      <c r="AE206" s="248" t="s">
        <v>418</v>
      </c>
      <c r="AF206" s="248" t="s">
        <v>418</v>
      </c>
      <c r="AG206" s="248" t="s">
        <v>418</v>
      </c>
      <c r="AH206" s="210">
        <f>AH191</f>
        <v>0</v>
      </c>
      <c r="AI206" s="210">
        <f>AI191</f>
        <v>0</v>
      </c>
      <c r="AJ206" s="210">
        <f>AJ191</f>
        <v>0</v>
      </c>
      <c r="AK206" s="210">
        <f>AK191</f>
        <v>0</v>
      </c>
      <c r="AM206" s="98">
        <v>1</v>
      </c>
    </row>
    <row r="207" spans="1:39" ht="15" thickTop="1" x14ac:dyDescent="0.4">
      <c r="A207" s="60" t="s">
        <v>414</v>
      </c>
      <c r="B207" s="2" t="s">
        <v>859</v>
      </c>
      <c r="C207" s="2" t="s">
        <v>858</v>
      </c>
      <c r="D207" s="12"/>
      <c r="E207" s="4">
        <v>4.5</v>
      </c>
      <c r="F207" s="275" t="s">
        <v>418</v>
      </c>
      <c r="G207" s="275" t="s">
        <v>440</v>
      </c>
      <c r="H207" s="275" t="s">
        <v>418</v>
      </c>
      <c r="I207" s="275" t="s">
        <v>418</v>
      </c>
      <c r="J207" s="275" t="s">
        <v>418</v>
      </c>
      <c r="K207" s="275" t="s">
        <v>418</v>
      </c>
      <c r="L207" s="275" t="s">
        <v>418</v>
      </c>
      <c r="M207" s="280" t="s">
        <v>418</v>
      </c>
      <c r="N207" s="280" t="s">
        <v>440</v>
      </c>
      <c r="O207" s="280" t="s">
        <v>418</v>
      </c>
      <c r="P207" s="280" t="s">
        <v>418</v>
      </c>
      <c r="Q207" s="280" t="s">
        <v>418</v>
      </c>
      <c r="R207" s="280" t="s">
        <v>418</v>
      </c>
      <c r="S207" s="280" t="s">
        <v>418</v>
      </c>
      <c r="T207" s="247" t="s">
        <v>418</v>
      </c>
      <c r="U207" s="247" t="s">
        <v>440</v>
      </c>
      <c r="V207" s="247" t="s">
        <v>418</v>
      </c>
      <c r="W207" s="247" t="s">
        <v>418</v>
      </c>
      <c r="X207" s="247" t="s">
        <v>418</v>
      </c>
      <c r="Y207" s="247" t="s">
        <v>418</v>
      </c>
      <c r="Z207" s="247" t="s">
        <v>418</v>
      </c>
      <c r="AA207" s="248" t="s">
        <v>418</v>
      </c>
      <c r="AB207" s="248" t="s">
        <v>440</v>
      </c>
      <c r="AC207" s="248" t="s">
        <v>418</v>
      </c>
      <c r="AD207" s="248" t="s">
        <v>418</v>
      </c>
      <c r="AE207" s="248" t="s">
        <v>418</v>
      </c>
      <c r="AF207" s="248" t="s">
        <v>418</v>
      </c>
      <c r="AG207" s="248" t="s">
        <v>418</v>
      </c>
      <c r="AH207" s="30">
        <f>(('Project Materials'!$F$25+'Project Materials'!$G$25)*'Project Materials'!$P$25)*2</f>
        <v>0</v>
      </c>
      <c r="AI207" s="27">
        <f>(('Project Materials'!$F$26+'Project Materials'!$G$26)*'Project Materials'!$P$26)*2</f>
        <v>0</v>
      </c>
      <c r="AJ207" s="28">
        <f>(('Project Materials'!$F$27+'Project Materials'!$G$27)*'Project Materials'!$P$27)*2</f>
        <v>0</v>
      </c>
      <c r="AK207" s="204">
        <f>(('Project Materials'!$F$28+'Project Materials'!$G$28)*'Project Materials'!$P$28)*2</f>
        <v>0</v>
      </c>
    </row>
    <row r="208" spans="1:39" x14ac:dyDescent="0.4">
      <c r="A208" s="60" t="s">
        <v>414</v>
      </c>
      <c r="B208" s="2" t="s">
        <v>18</v>
      </c>
      <c r="C208" s="2" t="s">
        <v>19</v>
      </c>
      <c r="D208" s="12"/>
      <c r="E208" s="4">
        <v>5.25</v>
      </c>
      <c r="F208" s="275" t="s">
        <v>418</v>
      </c>
      <c r="G208" s="275" t="s">
        <v>440</v>
      </c>
      <c r="H208" s="275" t="s">
        <v>418</v>
      </c>
      <c r="I208" s="275" t="s">
        <v>418</v>
      </c>
      <c r="J208" s="275" t="s">
        <v>418</v>
      </c>
      <c r="K208" s="275" t="s">
        <v>418</v>
      </c>
      <c r="L208" s="275" t="s">
        <v>418</v>
      </c>
      <c r="M208" s="280" t="s">
        <v>418</v>
      </c>
      <c r="N208" s="280" t="s">
        <v>440</v>
      </c>
      <c r="O208" s="280" t="s">
        <v>418</v>
      </c>
      <c r="P208" s="280" t="s">
        <v>418</v>
      </c>
      <c r="Q208" s="280" t="s">
        <v>418</v>
      </c>
      <c r="R208" s="280" t="s">
        <v>418</v>
      </c>
      <c r="S208" s="280" t="s">
        <v>418</v>
      </c>
      <c r="T208" s="247" t="s">
        <v>418</v>
      </c>
      <c r="U208" s="247" t="s">
        <v>440</v>
      </c>
      <c r="V208" s="247" t="s">
        <v>418</v>
      </c>
      <c r="W208" s="247" t="s">
        <v>418</v>
      </c>
      <c r="X208" s="247" t="s">
        <v>418</v>
      </c>
      <c r="Y208" s="247" t="s">
        <v>418</v>
      </c>
      <c r="Z208" s="247" t="s">
        <v>418</v>
      </c>
      <c r="AA208" s="248" t="s">
        <v>418</v>
      </c>
      <c r="AB208" s="248" t="s">
        <v>440</v>
      </c>
      <c r="AC208" s="248" t="s">
        <v>418</v>
      </c>
      <c r="AD208" s="248" t="s">
        <v>418</v>
      </c>
      <c r="AE208" s="248" t="s">
        <v>418</v>
      </c>
      <c r="AF208" s="248" t="s">
        <v>418</v>
      </c>
      <c r="AG208" s="248" t="s">
        <v>418</v>
      </c>
      <c r="AH208" s="30">
        <f>(('Project Materials'!$F$25+'Project Materials'!$G$25)*'Project Materials'!$P$25)*2</f>
        <v>0</v>
      </c>
      <c r="AI208" s="27">
        <f>(('Project Materials'!$F$26+'Project Materials'!$G$26)*'Project Materials'!$P$26)*2</f>
        <v>0</v>
      </c>
      <c r="AJ208" s="28">
        <f>(('Project Materials'!$F$27+'Project Materials'!$G$27)*'Project Materials'!$P$27)*2</f>
        <v>0</v>
      </c>
      <c r="AK208" s="204">
        <f>(('Project Materials'!$F$28+'Project Materials'!$G$28)*'Project Materials'!$P$28)*2</f>
        <v>0</v>
      </c>
    </row>
    <row r="209" spans="1:39" x14ac:dyDescent="0.4">
      <c r="A209" s="2"/>
      <c r="B209" s="2"/>
      <c r="C209" s="2"/>
      <c r="D209" s="12"/>
      <c r="E209" s="4"/>
      <c r="F209" s="275" t="s">
        <v>418</v>
      </c>
      <c r="G209" s="275" t="s">
        <v>418</v>
      </c>
      <c r="H209" s="275" t="s">
        <v>418</v>
      </c>
      <c r="I209" s="275" t="s">
        <v>418</v>
      </c>
      <c r="J209" s="275" t="s">
        <v>418</v>
      </c>
      <c r="K209" s="275" t="s">
        <v>418</v>
      </c>
      <c r="L209" s="275" t="s">
        <v>418</v>
      </c>
      <c r="M209" s="280" t="s">
        <v>418</v>
      </c>
      <c r="N209" s="280" t="s">
        <v>418</v>
      </c>
      <c r="O209" s="280" t="s">
        <v>418</v>
      </c>
      <c r="P209" s="280" t="s">
        <v>418</v>
      </c>
      <c r="Q209" s="280" t="s">
        <v>418</v>
      </c>
      <c r="R209" s="280" t="s">
        <v>418</v>
      </c>
      <c r="S209" s="280" t="s">
        <v>418</v>
      </c>
      <c r="T209" s="247" t="s">
        <v>418</v>
      </c>
      <c r="U209" s="247" t="s">
        <v>418</v>
      </c>
      <c r="V209" s="247" t="s">
        <v>418</v>
      </c>
      <c r="W209" s="247" t="s">
        <v>418</v>
      </c>
      <c r="X209" s="247" t="s">
        <v>418</v>
      </c>
      <c r="Y209" s="247" t="s">
        <v>418</v>
      </c>
      <c r="Z209" s="247" t="s">
        <v>418</v>
      </c>
      <c r="AA209" s="248" t="s">
        <v>418</v>
      </c>
      <c r="AB209" s="248" t="s">
        <v>418</v>
      </c>
      <c r="AC209" s="248" t="s">
        <v>418</v>
      </c>
      <c r="AD209" s="248" t="s">
        <v>418</v>
      </c>
      <c r="AE209" s="248" t="s">
        <v>418</v>
      </c>
      <c r="AF209" s="248" t="s">
        <v>418</v>
      </c>
      <c r="AG209" s="248" t="s">
        <v>418</v>
      </c>
    </row>
    <row r="210" spans="1:39" x14ac:dyDescent="0.4">
      <c r="A210" s="2" t="s">
        <v>7</v>
      </c>
      <c r="B210" s="2" t="s">
        <v>418</v>
      </c>
      <c r="C210" s="2" t="s">
        <v>418</v>
      </c>
      <c r="D210" s="12"/>
      <c r="E210" s="4">
        <v>0</v>
      </c>
      <c r="F210" s="275" t="s">
        <v>418</v>
      </c>
      <c r="G210" s="275" t="s">
        <v>418</v>
      </c>
      <c r="H210" s="275" t="s">
        <v>418</v>
      </c>
      <c r="I210" s="275" t="s">
        <v>418</v>
      </c>
      <c r="J210" s="275" t="s">
        <v>418</v>
      </c>
      <c r="K210" s="275" t="s">
        <v>418</v>
      </c>
      <c r="L210" s="275" t="s">
        <v>418</v>
      </c>
      <c r="M210" s="280" t="s">
        <v>418</v>
      </c>
      <c r="N210" s="280" t="s">
        <v>418</v>
      </c>
      <c r="O210" s="280" t="s">
        <v>418</v>
      </c>
      <c r="P210" s="280" t="s">
        <v>418</v>
      </c>
      <c r="Q210" s="280" t="s">
        <v>418</v>
      </c>
      <c r="R210" s="280" t="s">
        <v>418</v>
      </c>
      <c r="S210" s="280" t="s">
        <v>418</v>
      </c>
      <c r="T210" s="247" t="s">
        <v>418</v>
      </c>
      <c r="U210" s="247" t="s">
        <v>418</v>
      </c>
      <c r="V210" s="247" t="s">
        <v>418</v>
      </c>
      <c r="W210" s="247" t="s">
        <v>418</v>
      </c>
      <c r="X210" s="247" t="s">
        <v>418</v>
      </c>
      <c r="Y210" s="247" t="s">
        <v>418</v>
      </c>
      <c r="Z210" s="247" t="s">
        <v>418</v>
      </c>
      <c r="AA210" s="248" t="s">
        <v>418</v>
      </c>
      <c r="AB210" s="248" t="s">
        <v>418</v>
      </c>
      <c r="AC210" s="248" t="s">
        <v>418</v>
      </c>
      <c r="AD210" s="248" t="s">
        <v>418</v>
      </c>
      <c r="AE210" s="248" t="s">
        <v>418</v>
      </c>
      <c r="AF210" s="248" t="s">
        <v>418</v>
      </c>
      <c r="AG210" s="248" t="s">
        <v>418</v>
      </c>
      <c r="AH210" s="30">
        <v>0</v>
      </c>
      <c r="AI210" s="27">
        <v>0</v>
      </c>
      <c r="AJ210" s="28">
        <v>0</v>
      </c>
      <c r="AK210" s="256">
        <v>0</v>
      </c>
    </row>
    <row r="211" spans="1:39" x14ac:dyDescent="0.4">
      <c r="A211" s="61" t="s">
        <v>7</v>
      </c>
      <c r="B211" s="2" t="s">
        <v>26</v>
      </c>
      <c r="C211" s="2" t="s">
        <v>27</v>
      </c>
      <c r="D211" s="12"/>
      <c r="E211" s="4">
        <v>0.27</v>
      </c>
      <c r="F211" s="275" t="s">
        <v>418</v>
      </c>
      <c r="G211" s="275" t="s">
        <v>418</v>
      </c>
      <c r="H211" s="275" t="s">
        <v>418</v>
      </c>
      <c r="I211" s="275" t="s">
        <v>418</v>
      </c>
      <c r="J211" s="275" t="s">
        <v>418</v>
      </c>
      <c r="K211" s="275" t="s">
        <v>418</v>
      </c>
      <c r="L211" s="275" t="s">
        <v>418</v>
      </c>
      <c r="M211" s="280" t="s">
        <v>418</v>
      </c>
      <c r="N211" s="280" t="s">
        <v>418</v>
      </c>
      <c r="O211" s="280" t="s">
        <v>418</v>
      </c>
      <c r="P211" s="280" t="s">
        <v>418</v>
      </c>
      <c r="Q211" s="280" t="s">
        <v>418</v>
      </c>
      <c r="R211" s="280" t="s">
        <v>418</v>
      </c>
      <c r="S211" s="280" t="s">
        <v>418</v>
      </c>
      <c r="T211" s="247" t="s">
        <v>418</v>
      </c>
      <c r="U211" s="247" t="s">
        <v>418</v>
      </c>
      <c r="V211" s="247" t="s">
        <v>418</v>
      </c>
      <c r="W211" s="247" t="s">
        <v>418</v>
      </c>
      <c r="X211" s="247" t="s">
        <v>418</v>
      </c>
      <c r="Y211" s="247" t="s">
        <v>418</v>
      </c>
      <c r="Z211" s="247" t="s">
        <v>418</v>
      </c>
      <c r="AA211" s="248" t="s">
        <v>418</v>
      </c>
      <c r="AB211" s="248" t="s">
        <v>418</v>
      </c>
      <c r="AC211" s="248" t="s">
        <v>418</v>
      </c>
      <c r="AD211" s="248" t="s">
        <v>418</v>
      </c>
      <c r="AE211" s="248" t="s">
        <v>418</v>
      </c>
      <c r="AF211" s="248" t="s">
        <v>418</v>
      </c>
      <c r="AG211" s="248" t="s">
        <v>418</v>
      </c>
      <c r="AH211" s="30">
        <f>('Project Materials'!$N$25*'Project Materials'!$P$25)*4</f>
        <v>0</v>
      </c>
      <c r="AI211" s="27">
        <f>('Project Materials'!$N$26*'Project Materials'!$P$26)*4</f>
        <v>0</v>
      </c>
      <c r="AJ211" s="28">
        <f>('Project Materials'!$N$27*'Project Materials'!$P$27)*4</f>
        <v>0</v>
      </c>
      <c r="AK211" s="256">
        <f>('Project Materials'!$N$28*'Project Materials'!$P$28)*4</f>
        <v>0</v>
      </c>
      <c r="AM211" s="98">
        <v>4</v>
      </c>
    </row>
    <row r="212" spans="1:39" x14ac:dyDescent="0.4">
      <c r="A212" s="61" t="s">
        <v>7</v>
      </c>
      <c r="B212" s="2" t="s">
        <v>38</v>
      </c>
      <c r="C212" s="2" t="s">
        <v>39</v>
      </c>
      <c r="D212" s="12"/>
      <c r="E212" s="4">
        <v>0.08</v>
      </c>
      <c r="F212" s="275" t="s">
        <v>418</v>
      </c>
      <c r="G212" s="275" t="s">
        <v>418</v>
      </c>
      <c r="H212" s="275" t="s">
        <v>418</v>
      </c>
      <c r="I212" s="275" t="s">
        <v>418</v>
      </c>
      <c r="J212" s="275" t="s">
        <v>418</v>
      </c>
      <c r="K212" s="275" t="s">
        <v>418</v>
      </c>
      <c r="L212" s="275" t="s">
        <v>418</v>
      </c>
      <c r="M212" s="280" t="s">
        <v>418</v>
      </c>
      <c r="N212" s="280" t="s">
        <v>418</v>
      </c>
      <c r="O212" s="280" t="s">
        <v>418</v>
      </c>
      <c r="P212" s="280" t="s">
        <v>418</v>
      </c>
      <c r="Q212" s="280" t="s">
        <v>418</v>
      </c>
      <c r="R212" s="280" t="s">
        <v>418</v>
      </c>
      <c r="S212" s="280" t="s">
        <v>418</v>
      </c>
      <c r="T212" s="247" t="s">
        <v>418</v>
      </c>
      <c r="U212" s="247" t="s">
        <v>418</v>
      </c>
      <c r="V212" s="247" t="s">
        <v>418</v>
      </c>
      <c r="W212" s="247" t="s">
        <v>418</v>
      </c>
      <c r="X212" s="247" t="s">
        <v>418</v>
      </c>
      <c r="Y212" s="247" t="s">
        <v>418</v>
      </c>
      <c r="Z212" s="247" t="s">
        <v>418</v>
      </c>
      <c r="AA212" s="248" t="s">
        <v>418</v>
      </c>
      <c r="AB212" s="248" t="s">
        <v>418</v>
      </c>
      <c r="AC212" s="248" t="s">
        <v>418</v>
      </c>
      <c r="AD212" s="248" t="s">
        <v>418</v>
      </c>
      <c r="AE212" s="248" t="s">
        <v>418</v>
      </c>
      <c r="AF212" s="248" t="s">
        <v>418</v>
      </c>
      <c r="AG212" s="248" t="s">
        <v>418</v>
      </c>
      <c r="AH212" s="30">
        <f>'Project Materials'!$Q$25*4</f>
        <v>0</v>
      </c>
      <c r="AI212" s="27">
        <f>'Project Materials'!$Q$26*4</f>
        <v>0</v>
      </c>
      <c r="AJ212" s="28">
        <f>'Project Materials'!$Q$27*4</f>
        <v>0</v>
      </c>
      <c r="AK212" s="256">
        <f>'Project Materials'!$Q$28*4</f>
        <v>0</v>
      </c>
      <c r="AM212" s="98">
        <v>4</v>
      </c>
    </row>
    <row r="213" spans="1:39" x14ac:dyDescent="0.4">
      <c r="A213" s="61" t="s">
        <v>7</v>
      </c>
      <c r="B213" s="2" t="s">
        <v>40</v>
      </c>
      <c r="C213" s="2" t="s">
        <v>41</v>
      </c>
      <c r="D213" s="12"/>
      <c r="E213" s="4">
        <v>3.3599999999999998E-2</v>
      </c>
      <c r="F213" s="275" t="s">
        <v>418</v>
      </c>
      <c r="G213" s="275" t="s">
        <v>418</v>
      </c>
      <c r="H213" s="275" t="s">
        <v>418</v>
      </c>
      <c r="I213" s="275" t="s">
        <v>418</v>
      </c>
      <c r="J213" s="275" t="s">
        <v>418</v>
      </c>
      <c r="K213" s="275" t="s">
        <v>418</v>
      </c>
      <c r="L213" s="275" t="s">
        <v>418</v>
      </c>
      <c r="M213" s="280" t="s">
        <v>418</v>
      </c>
      <c r="N213" s="280" t="s">
        <v>418</v>
      </c>
      <c r="O213" s="280" t="s">
        <v>418</v>
      </c>
      <c r="P213" s="280" t="s">
        <v>418</v>
      </c>
      <c r="Q213" s="280" t="s">
        <v>418</v>
      </c>
      <c r="R213" s="280" t="s">
        <v>418</v>
      </c>
      <c r="S213" s="280" t="s">
        <v>418</v>
      </c>
      <c r="T213" s="247" t="s">
        <v>418</v>
      </c>
      <c r="U213" s="247" t="s">
        <v>418</v>
      </c>
      <c r="V213" s="247" t="s">
        <v>418</v>
      </c>
      <c r="W213" s="247" t="s">
        <v>418</v>
      </c>
      <c r="X213" s="247" t="s">
        <v>418</v>
      </c>
      <c r="Y213" s="247" t="s">
        <v>418</v>
      </c>
      <c r="Z213" s="247" t="s">
        <v>418</v>
      </c>
      <c r="AA213" s="248" t="s">
        <v>418</v>
      </c>
      <c r="AB213" s="248" t="s">
        <v>418</v>
      </c>
      <c r="AC213" s="248" t="s">
        <v>418</v>
      </c>
      <c r="AD213" s="248" t="s">
        <v>418</v>
      </c>
      <c r="AE213" s="248" t="s">
        <v>418</v>
      </c>
      <c r="AF213" s="248" t="s">
        <v>418</v>
      </c>
      <c r="AG213" s="248" t="s">
        <v>418</v>
      </c>
      <c r="AH213" s="30">
        <f>'Project Materials'!$Q$25*4</f>
        <v>0</v>
      </c>
      <c r="AI213" s="27">
        <f>'Project Materials'!$Q$26*4</f>
        <v>0</v>
      </c>
      <c r="AJ213" s="28">
        <f>'Project Materials'!$Q$27*4</f>
        <v>0</v>
      </c>
      <c r="AK213" s="256">
        <f>'Project Materials'!$Q$28*4</f>
        <v>0</v>
      </c>
      <c r="AM213" s="98">
        <v>4</v>
      </c>
    </row>
    <row r="214" spans="1:39" x14ac:dyDescent="0.4">
      <c r="A214" s="61" t="s">
        <v>7</v>
      </c>
      <c r="B214" s="2" t="s">
        <v>42</v>
      </c>
      <c r="C214" s="2" t="s">
        <v>43</v>
      </c>
      <c r="D214" s="12"/>
      <c r="E214" s="4">
        <v>2.3699999999999999E-2</v>
      </c>
      <c r="F214" s="275" t="s">
        <v>418</v>
      </c>
      <c r="G214" s="275" t="s">
        <v>418</v>
      </c>
      <c r="H214" s="275" t="s">
        <v>418</v>
      </c>
      <c r="I214" s="275" t="s">
        <v>418</v>
      </c>
      <c r="J214" s="275" t="s">
        <v>418</v>
      </c>
      <c r="K214" s="275" t="s">
        <v>418</v>
      </c>
      <c r="L214" s="275" t="s">
        <v>418</v>
      </c>
      <c r="M214" s="280" t="s">
        <v>418</v>
      </c>
      <c r="N214" s="280" t="s">
        <v>418</v>
      </c>
      <c r="O214" s="280" t="s">
        <v>418</v>
      </c>
      <c r="P214" s="280" t="s">
        <v>418</v>
      </c>
      <c r="Q214" s="280" t="s">
        <v>418</v>
      </c>
      <c r="R214" s="280" t="s">
        <v>418</v>
      </c>
      <c r="S214" s="280" t="s">
        <v>418</v>
      </c>
      <c r="T214" s="247" t="s">
        <v>418</v>
      </c>
      <c r="U214" s="247" t="s">
        <v>418</v>
      </c>
      <c r="V214" s="247" t="s">
        <v>418</v>
      </c>
      <c r="W214" s="247" t="s">
        <v>418</v>
      </c>
      <c r="X214" s="247" t="s">
        <v>418</v>
      </c>
      <c r="Y214" s="247" t="s">
        <v>418</v>
      </c>
      <c r="Z214" s="247" t="s">
        <v>418</v>
      </c>
      <c r="AA214" s="248" t="s">
        <v>418</v>
      </c>
      <c r="AB214" s="248" t="s">
        <v>418</v>
      </c>
      <c r="AC214" s="248" t="s">
        <v>418</v>
      </c>
      <c r="AD214" s="248" t="s">
        <v>418</v>
      </c>
      <c r="AE214" s="248" t="s">
        <v>418</v>
      </c>
      <c r="AF214" s="248" t="s">
        <v>418</v>
      </c>
      <c r="AG214" s="248" t="s">
        <v>418</v>
      </c>
      <c r="AH214" s="30">
        <f>'Project Materials'!$Q$25*4</f>
        <v>0</v>
      </c>
      <c r="AI214" s="27">
        <f>'Project Materials'!$Q$26*4</f>
        <v>0</v>
      </c>
      <c r="AJ214" s="28">
        <f>'Project Materials'!$Q$27*4</f>
        <v>0</v>
      </c>
      <c r="AK214" s="256">
        <f>'Project Materials'!$Q$28*4</f>
        <v>0</v>
      </c>
      <c r="AM214" s="98">
        <v>4</v>
      </c>
    </row>
    <row r="215" spans="1:39" x14ac:dyDescent="0.4">
      <c r="A215" s="61" t="s">
        <v>7</v>
      </c>
      <c r="B215" s="2" t="s">
        <v>685</v>
      </c>
      <c r="C215" s="2" t="s">
        <v>44</v>
      </c>
      <c r="D215" s="12"/>
      <c r="E215" s="4">
        <v>0.36</v>
      </c>
      <c r="F215" s="275" t="s">
        <v>418</v>
      </c>
      <c r="G215" s="275" t="s">
        <v>418</v>
      </c>
      <c r="H215" s="275" t="s">
        <v>418</v>
      </c>
      <c r="I215" s="275" t="s">
        <v>418</v>
      </c>
      <c r="J215" s="275" t="s">
        <v>418</v>
      </c>
      <c r="K215" s="275" t="s">
        <v>418</v>
      </c>
      <c r="L215" s="275" t="s">
        <v>418</v>
      </c>
      <c r="M215" s="280" t="s">
        <v>418</v>
      </c>
      <c r="N215" s="280" t="s">
        <v>418</v>
      </c>
      <c r="O215" s="280" t="s">
        <v>418</v>
      </c>
      <c r="P215" s="280" t="s">
        <v>418</v>
      </c>
      <c r="Q215" s="280" t="s">
        <v>418</v>
      </c>
      <c r="R215" s="280" t="s">
        <v>418</v>
      </c>
      <c r="S215" s="280" t="s">
        <v>418</v>
      </c>
      <c r="T215" s="247" t="s">
        <v>418</v>
      </c>
      <c r="U215" s="247" t="s">
        <v>418</v>
      </c>
      <c r="V215" s="247" t="s">
        <v>418</v>
      </c>
      <c r="W215" s="247" t="s">
        <v>418</v>
      </c>
      <c r="X215" s="247" t="s">
        <v>418</v>
      </c>
      <c r="Y215" s="247" t="s">
        <v>418</v>
      </c>
      <c r="Z215" s="247" t="s">
        <v>418</v>
      </c>
      <c r="AA215" s="248" t="s">
        <v>418</v>
      </c>
      <c r="AB215" s="248" t="s">
        <v>418</v>
      </c>
      <c r="AC215" s="248" t="s">
        <v>418</v>
      </c>
      <c r="AD215" s="248" t="s">
        <v>418</v>
      </c>
      <c r="AE215" s="248" t="s">
        <v>418</v>
      </c>
      <c r="AF215" s="248" t="s">
        <v>418</v>
      </c>
      <c r="AG215" s="248" t="s">
        <v>418</v>
      </c>
      <c r="AH215" s="30">
        <f>'Project Materials'!$Q$25*4</f>
        <v>0</v>
      </c>
      <c r="AI215" s="27">
        <f>'Project Materials'!$Q$26*4</f>
        <v>0</v>
      </c>
      <c r="AJ215" s="28">
        <f>'Project Materials'!$Q$27*4</f>
        <v>0</v>
      </c>
      <c r="AK215" s="256">
        <f>'Project Materials'!$Q$28*4</f>
        <v>0</v>
      </c>
      <c r="AM215" s="98">
        <v>4</v>
      </c>
    </row>
    <row r="216" spans="1:39" x14ac:dyDescent="0.4">
      <c r="A216" s="61" t="s">
        <v>7</v>
      </c>
      <c r="B216" s="2" t="s">
        <v>686</v>
      </c>
      <c r="C216" s="2" t="s">
        <v>369</v>
      </c>
      <c r="D216" s="12"/>
      <c r="E216" s="4">
        <v>0.32</v>
      </c>
      <c r="F216" s="275" t="s">
        <v>418</v>
      </c>
      <c r="G216" s="275" t="s">
        <v>418</v>
      </c>
      <c r="H216" s="275" t="s">
        <v>418</v>
      </c>
      <c r="I216" s="275" t="s">
        <v>418</v>
      </c>
      <c r="J216" s="275" t="s">
        <v>418</v>
      </c>
      <c r="K216" s="275" t="s">
        <v>418</v>
      </c>
      <c r="L216" s="275" t="s">
        <v>418</v>
      </c>
      <c r="M216" s="280" t="s">
        <v>418</v>
      </c>
      <c r="N216" s="280" t="s">
        <v>418</v>
      </c>
      <c r="O216" s="280" t="s">
        <v>418</v>
      </c>
      <c r="P216" s="280" t="s">
        <v>418</v>
      </c>
      <c r="Q216" s="280" t="s">
        <v>418</v>
      </c>
      <c r="R216" s="280" t="s">
        <v>418</v>
      </c>
      <c r="S216" s="280" t="s">
        <v>418</v>
      </c>
      <c r="T216" s="247" t="s">
        <v>418</v>
      </c>
      <c r="U216" s="247" t="s">
        <v>418</v>
      </c>
      <c r="V216" s="247" t="s">
        <v>418</v>
      </c>
      <c r="W216" s="247" t="s">
        <v>418</v>
      </c>
      <c r="X216" s="247" t="s">
        <v>418</v>
      </c>
      <c r="Y216" s="247" t="s">
        <v>418</v>
      </c>
      <c r="Z216" s="247" t="s">
        <v>418</v>
      </c>
      <c r="AA216" s="248" t="s">
        <v>418</v>
      </c>
      <c r="AB216" s="248" t="s">
        <v>418</v>
      </c>
      <c r="AC216" s="248" t="s">
        <v>418</v>
      </c>
      <c r="AD216" s="248" t="s">
        <v>418</v>
      </c>
      <c r="AE216" s="248" t="s">
        <v>418</v>
      </c>
      <c r="AF216" s="248" t="s">
        <v>418</v>
      </c>
      <c r="AG216" s="248" t="s">
        <v>418</v>
      </c>
      <c r="AH216" s="30">
        <f>'Project Materials'!$Q$25*4</f>
        <v>0</v>
      </c>
      <c r="AI216" s="27">
        <f>'Project Materials'!$Q$26*4</f>
        <v>0</v>
      </c>
      <c r="AJ216" s="28">
        <f>'Project Materials'!$Q$27*4</f>
        <v>0</v>
      </c>
      <c r="AK216" s="256">
        <f>'Project Materials'!$Q$28*4</f>
        <v>0</v>
      </c>
      <c r="AM216" s="98">
        <v>4</v>
      </c>
    </row>
    <row r="217" spans="1:39" x14ac:dyDescent="0.4">
      <c r="A217" s="61" t="s">
        <v>7</v>
      </c>
      <c r="B217" s="2" t="s">
        <v>687</v>
      </c>
      <c r="C217" s="2" t="s">
        <v>45</v>
      </c>
      <c r="D217" s="12"/>
      <c r="E217" s="4">
        <v>0.43</v>
      </c>
      <c r="F217" s="275" t="s">
        <v>418</v>
      </c>
      <c r="G217" s="275" t="s">
        <v>418</v>
      </c>
      <c r="H217" s="275" t="s">
        <v>418</v>
      </c>
      <c r="I217" s="275" t="s">
        <v>418</v>
      </c>
      <c r="J217" s="275" t="s">
        <v>418</v>
      </c>
      <c r="K217" s="275" t="s">
        <v>418</v>
      </c>
      <c r="L217" s="275" t="s">
        <v>418</v>
      </c>
      <c r="M217" s="280" t="s">
        <v>418</v>
      </c>
      <c r="N217" s="280" t="s">
        <v>418</v>
      </c>
      <c r="O217" s="280" t="s">
        <v>418</v>
      </c>
      <c r="P217" s="280" t="s">
        <v>418</v>
      </c>
      <c r="Q217" s="280" t="s">
        <v>418</v>
      </c>
      <c r="R217" s="280" t="s">
        <v>418</v>
      </c>
      <c r="S217" s="280" t="s">
        <v>418</v>
      </c>
      <c r="T217" s="247" t="s">
        <v>418</v>
      </c>
      <c r="U217" s="247" t="s">
        <v>418</v>
      </c>
      <c r="V217" s="247" t="s">
        <v>418</v>
      </c>
      <c r="W217" s="247" t="s">
        <v>418</v>
      </c>
      <c r="X217" s="247" t="s">
        <v>418</v>
      </c>
      <c r="Y217" s="247" t="s">
        <v>418</v>
      </c>
      <c r="Z217" s="247" t="s">
        <v>418</v>
      </c>
      <c r="AA217" s="248" t="s">
        <v>418</v>
      </c>
      <c r="AB217" s="248" t="s">
        <v>418</v>
      </c>
      <c r="AC217" s="248" t="s">
        <v>418</v>
      </c>
      <c r="AD217" s="248" t="s">
        <v>418</v>
      </c>
      <c r="AE217" s="248" t="s">
        <v>418</v>
      </c>
      <c r="AF217" s="248" t="s">
        <v>418</v>
      </c>
      <c r="AG217" s="248" t="s">
        <v>418</v>
      </c>
      <c r="AH217" s="30">
        <f>'Project Materials'!$Q$25*4</f>
        <v>0</v>
      </c>
      <c r="AI217" s="27">
        <f>'Project Materials'!$Q$26*4</f>
        <v>0</v>
      </c>
      <c r="AJ217" s="28">
        <f>'Project Materials'!$Q$27*4</f>
        <v>0</v>
      </c>
      <c r="AK217" s="256">
        <f>'Project Materials'!$Q$28*4</f>
        <v>0</v>
      </c>
      <c r="AM217" s="98">
        <v>4</v>
      </c>
    </row>
    <row r="218" spans="1:39" x14ac:dyDescent="0.4">
      <c r="A218" s="61" t="s">
        <v>7</v>
      </c>
      <c r="B218" s="2" t="s">
        <v>688</v>
      </c>
      <c r="C218" s="2" t="s">
        <v>46</v>
      </c>
      <c r="D218" s="12"/>
      <c r="E218" s="4">
        <v>0.38</v>
      </c>
      <c r="F218" s="275" t="s">
        <v>418</v>
      </c>
      <c r="G218" s="275" t="s">
        <v>418</v>
      </c>
      <c r="H218" s="275" t="s">
        <v>418</v>
      </c>
      <c r="I218" s="275" t="s">
        <v>418</v>
      </c>
      <c r="J218" s="275" t="s">
        <v>418</v>
      </c>
      <c r="K218" s="275" t="s">
        <v>418</v>
      </c>
      <c r="L218" s="275" t="s">
        <v>418</v>
      </c>
      <c r="M218" s="280" t="s">
        <v>418</v>
      </c>
      <c r="N218" s="280" t="s">
        <v>418</v>
      </c>
      <c r="O218" s="280" t="s">
        <v>418</v>
      </c>
      <c r="P218" s="280" t="s">
        <v>418</v>
      </c>
      <c r="Q218" s="280" t="s">
        <v>418</v>
      </c>
      <c r="R218" s="280" t="s">
        <v>418</v>
      </c>
      <c r="S218" s="280" t="s">
        <v>418</v>
      </c>
      <c r="T218" s="247" t="s">
        <v>418</v>
      </c>
      <c r="U218" s="247" t="s">
        <v>418</v>
      </c>
      <c r="V218" s="247" t="s">
        <v>418</v>
      </c>
      <c r="W218" s="247" t="s">
        <v>418</v>
      </c>
      <c r="X218" s="247" t="s">
        <v>418</v>
      </c>
      <c r="Y218" s="247" t="s">
        <v>418</v>
      </c>
      <c r="Z218" s="247" t="s">
        <v>418</v>
      </c>
      <c r="AA218" s="248" t="s">
        <v>418</v>
      </c>
      <c r="AB218" s="248" t="s">
        <v>418</v>
      </c>
      <c r="AC218" s="248" t="s">
        <v>418</v>
      </c>
      <c r="AD218" s="248" t="s">
        <v>418</v>
      </c>
      <c r="AE218" s="248" t="s">
        <v>418</v>
      </c>
      <c r="AF218" s="248" t="s">
        <v>418</v>
      </c>
      <c r="AG218" s="248" t="s">
        <v>418</v>
      </c>
      <c r="AH218" s="30">
        <f>'Project Materials'!$Q$25*4</f>
        <v>0</v>
      </c>
      <c r="AI218" s="27">
        <f>'Project Materials'!$Q$26*4</f>
        <v>0</v>
      </c>
      <c r="AJ218" s="28">
        <f>'Project Materials'!$Q$27*4</f>
        <v>0</v>
      </c>
      <c r="AK218" s="256">
        <f>'Project Materials'!$Q$28*4</f>
        <v>0</v>
      </c>
      <c r="AM218" s="98">
        <v>2</v>
      </c>
    </row>
    <row r="219" spans="1:39" x14ac:dyDescent="0.4">
      <c r="A219" s="61" t="s">
        <v>7</v>
      </c>
      <c r="B219" s="2" t="s">
        <v>689</v>
      </c>
      <c r="C219" s="2" t="s">
        <v>47</v>
      </c>
      <c r="D219" s="12"/>
      <c r="E219" s="4">
        <v>0.48</v>
      </c>
      <c r="F219" s="275" t="s">
        <v>418</v>
      </c>
      <c r="G219" s="275" t="s">
        <v>418</v>
      </c>
      <c r="H219" s="275" t="s">
        <v>418</v>
      </c>
      <c r="I219" s="275" t="s">
        <v>418</v>
      </c>
      <c r="J219" s="275" t="s">
        <v>418</v>
      </c>
      <c r="K219" s="275" t="s">
        <v>418</v>
      </c>
      <c r="L219" s="275" t="s">
        <v>418</v>
      </c>
      <c r="M219" s="280" t="s">
        <v>418</v>
      </c>
      <c r="N219" s="280" t="s">
        <v>418</v>
      </c>
      <c r="O219" s="280" t="s">
        <v>418</v>
      </c>
      <c r="P219" s="280" t="s">
        <v>418</v>
      </c>
      <c r="Q219" s="280" t="s">
        <v>418</v>
      </c>
      <c r="R219" s="280" t="s">
        <v>418</v>
      </c>
      <c r="S219" s="280" t="s">
        <v>418</v>
      </c>
      <c r="T219" s="247" t="s">
        <v>418</v>
      </c>
      <c r="U219" s="247" t="s">
        <v>418</v>
      </c>
      <c r="V219" s="247" t="s">
        <v>418</v>
      </c>
      <c r="W219" s="247" t="s">
        <v>418</v>
      </c>
      <c r="X219" s="247" t="s">
        <v>418</v>
      </c>
      <c r="Y219" s="247" t="s">
        <v>418</v>
      </c>
      <c r="Z219" s="247" t="s">
        <v>418</v>
      </c>
      <c r="AA219" s="248" t="s">
        <v>418</v>
      </c>
      <c r="AB219" s="248" t="s">
        <v>418</v>
      </c>
      <c r="AC219" s="248" t="s">
        <v>418</v>
      </c>
      <c r="AD219" s="248" t="s">
        <v>418</v>
      </c>
      <c r="AE219" s="248" t="s">
        <v>418</v>
      </c>
      <c r="AF219" s="248" t="s">
        <v>418</v>
      </c>
      <c r="AG219" s="248" t="s">
        <v>418</v>
      </c>
      <c r="AH219" s="30">
        <f>'Project Materials'!$Q$25*4</f>
        <v>0</v>
      </c>
      <c r="AI219" s="27">
        <f>'Project Materials'!$Q$26*4</f>
        <v>0</v>
      </c>
      <c r="AJ219" s="28">
        <f>'Project Materials'!$Q$27*4</f>
        <v>0</v>
      </c>
      <c r="AK219" s="256">
        <f>'Project Materials'!$Q$28*4</f>
        <v>0</v>
      </c>
      <c r="AM219" s="98">
        <v>2</v>
      </c>
    </row>
    <row r="220" spans="1:39" x14ac:dyDescent="0.4">
      <c r="A220" s="61" t="s">
        <v>7</v>
      </c>
      <c r="B220" s="2" t="s">
        <v>370</v>
      </c>
      <c r="C220" s="2" t="s">
        <v>371</v>
      </c>
      <c r="D220" s="12"/>
      <c r="E220" s="4">
        <v>0.75</v>
      </c>
      <c r="F220" s="275" t="s">
        <v>418</v>
      </c>
      <c r="G220" s="275" t="s">
        <v>418</v>
      </c>
      <c r="H220" s="275" t="s">
        <v>418</v>
      </c>
      <c r="I220" s="275" t="s">
        <v>418</v>
      </c>
      <c r="J220" s="275" t="s">
        <v>418</v>
      </c>
      <c r="K220" s="275" t="s">
        <v>418</v>
      </c>
      <c r="L220" s="275" t="s">
        <v>418</v>
      </c>
      <c r="M220" s="280" t="s">
        <v>418</v>
      </c>
      <c r="N220" s="280" t="s">
        <v>418</v>
      </c>
      <c r="O220" s="280" t="s">
        <v>418</v>
      </c>
      <c r="P220" s="280" t="s">
        <v>418</v>
      </c>
      <c r="Q220" s="280" t="s">
        <v>418</v>
      </c>
      <c r="R220" s="280" t="s">
        <v>418</v>
      </c>
      <c r="S220" s="280" t="s">
        <v>418</v>
      </c>
      <c r="T220" s="247" t="s">
        <v>418</v>
      </c>
      <c r="U220" s="247" t="s">
        <v>418</v>
      </c>
      <c r="V220" s="247" t="s">
        <v>418</v>
      </c>
      <c r="W220" s="247" t="s">
        <v>418</v>
      </c>
      <c r="X220" s="247" t="s">
        <v>418</v>
      </c>
      <c r="Y220" s="247" t="s">
        <v>418</v>
      </c>
      <c r="Z220" s="247" t="s">
        <v>418</v>
      </c>
      <c r="AA220" s="248" t="s">
        <v>418</v>
      </c>
      <c r="AB220" s="248" t="s">
        <v>418</v>
      </c>
      <c r="AC220" s="248" t="s">
        <v>418</v>
      </c>
      <c r="AD220" s="248" t="s">
        <v>418</v>
      </c>
      <c r="AE220" s="248" t="s">
        <v>418</v>
      </c>
      <c r="AF220" s="248" t="s">
        <v>418</v>
      </c>
      <c r="AG220" s="248" t="s">
        <v>418</v>
      </c>
      <c r="AH220" s="30">
        <f>'Project Materials'!$Q$25*4</f>
        <v>0</v>
      </c>
      <c r="AI220" s="27">
        <f>'Project Materials'!$Q$26*4</f>
        <v>0</v>
      </c>
      <c r="AJ220" s="28">
        <f>'Project Materials'!$Q$27*4</f>
        <v>0</v>
      </c>
      <c r="AK220" s="256">
        <f>'Project Materials'!$Q$28*4</f>
        <v>0</v>
      </c>
      <c r="AM220" s="98">
        <v>4</v>
      </c>
    </row>
    <row r="221" spans="1:39" x14ac:dyDescent="0.4">
      <c r="A221" s="61" t="s">
        <v>7</v>
      </c>
      <c r="B221" s="2" t="s">
        <v>48</v>
      </c>
      <c r="C221" s="2" t="s">
        <v>49</v>
      </c>
      <c r="D221" s="12"/>
      <c r="E221" s="4">
        <v>0.6</v>
      </c>
      <c r="F221" s="275" t="s">
        <v>418</v>
      </c>
      <c r="G221" s="275" t="s">
        <v>418</v>
      </c>
      <c r="H221" s="275" t="s">
        <v>418</v>
      </c>
      <c r="I221" s="275" t="s">
        <v>418</v>
      </c>
      <c r="J221" s="275" t="s">
        <v>418</v>
      </c>
      <c r="K221" s="275" t="s">
        <v>418</v>
      </c>
      <c r="L221" s="275" t="s">
        <v>418</v>
      </c>
      <c r="M221" s="280" t="s">
        <v>418</v>
      </c>
      <c r="N221" s="280" t="s">
        <v>418</v>
      </c>
      <c r="O221" s="280" t="s">
        <v>418</v>
      </c>
      <c r="P221" s="280" t="s">
        <v>418</v>
      </c>
      <c r="Q221" s="280" t="s">
        <v>418</v>
      </c>
      <c r="R221" s="280" t="s">
        <v>418</v>
      </c>
      <c r="S221" s="280" t="s">
        <v>418</v>
      </c>
      <c r="T221" s="247" t="s">
        <v>418</v>
      </c>
      <c r="U221" s="247" t="s">
        <v>418</v>
      </c>
      <c r="V221" s="247" t="s">
        <v>418</v>
      </c>
      <c r="W221" s="247" t="s">
        <v>418</v>
      </c>
      <c r="X221" s="247" t="s">
        <v>418</v>
      </c>
      <c r="Y221" s="247" t="s">
        <v>418</v>
      </c>
      <c r="Z221" s="247" t="s">
        <v>418</v>
      </c>
      <c r="AA221" s="248" t="s">
        <v>418</v>
      </c>
      <c r="AB221" s="248" t="s">
        <v>418</v>
      </c>
      <c r="AC221" s="248" t="s">
        <v>418</v>
      </c>
      <c r="AD221" s="248" t="s">
        <v>418</v>
      </c>
      <c r="AE221" s="248" t="s">
        <v>418</v>
      </c>
      <c r="AF221" s="248" t="s">
        <v>418</v>
      </c>
      <c r="AG221" s="248" t="s">
        <v>418</v>
      </c>
      <c r="AH221" s="30">
        <f>'Project Materials'!$Q$25*4</f>
        <v>0</v>
      </c>
      <c r="AI221" s="27">
        <f>'Project Materials'!$Q$26*4</f>
        <v>0</v>
      </c>
      <c r="AJ221" s="28">
        <f>'Project Materials'!$Q$27*4</f>
        <v>0</v>
      </c>
      <c r="AK221" s="256">
        <f>'Project Materials'!$Q$28*4</f>
        <v>0</v>
      </c>
      <c r="AM221" s="98">
        <v>4</v>
      </c>
    </row>
    <row r="222" spans="1:39" x14ac:dyDescent="0.4">
      <c r="A222" s="61" t="s">
        <v>7</v>
      </c>
      <c r="B222" s="2" t="s">
        <v>50</v>
      </c>
      <c r="C222" s="2" t="s">
        <v>51</v>
      </c>
      <c r="D222" s="12"/>
      <c r="E222" s="4">
        <v>0.62</v>
      </c>
      <c r="F222" s="275" t="s">
        <v>418</v>
      </c>
      <c r="G222" s="275" t="s">
        <v>418</v>
      </c>
      <c r="H222" s="275" t="s">
        <v>418</v>
      </c>
      <c r="I222" s="275" t="s">
        <v>418</v>
      </c>
      <c r="J222" s="275" t="s">
        <v>418</v>
      </c>
      <c r="K222" s="275" t="s">
        <v>418</v>
      </c>
      <c r="L222" s="275" t="s">
        <v>418</v>
      </c>
      <c r="M222" s="280" t="s">
        <v>418</v>
      </c>
      <c r="N222" s="280" t="s">
        <v>418</v>
      </c>
      <c r="O222" s="280" t="s">
        <v>418</v>
      </c>
      <c r="P222" s="280" t="s">
        <v>418</v>
      </c>
      <c r="Q222" s="280" t="s">
        <v>418</v>
      </c>
      <c r="R222" s="280" t="s">
        <v>418</v>
      </c>
      <c r="S222" s="280" t="s">
        <v>418</v>
      </c>
      <c r="T222" s="247" t="s">
        <v>418</v>
      </c>
      <c r="U222" s="247" t="s">
        <v>418</v>
      </c>
      <c r="V222" s="247" t="s">
        <v>418</v>
      </c>
      <c r="W222" s="247" t="s">
        <v>418</v>
      </c>
      <c r="X222" s="247" t="s">
        <v>418</v>
      </c>
      <c r="Y222" s="247" t="s">
        <v>418</v>
      </c>
      <c r="Z222" s="247" t="s">
        <v>418</v>
      </c>
      <c r="AA222" s="248" t="s">
        <v>418</v>
      </c>
      <c r="AB222" s="248" t="s">
        <v>418</v>
      </c>
      <c r="AC222" s="248" t="s">
        <v>418</v>
      </c>
      <c r="AD222" s="248" t="s">
        <v>418</v>
      </c>
      <c r="AE222" s="248" t="s">
        <v>418</v>
      </c>
      <c r="AF222" s="248" t="s">
        <v>418</v>
      </c>
      <c r="AG222" s="248" t="s">
        <v>418</v>
      </c>
      <c r="AH222" s="30">
        <f>'Project Materials'!$Q$25*4</f>
        <v>0</v>
      </c>
      <c r="AI222" s="27">
        <f>'Project Materials'!$Q$26*4</f>
        <v>0</v>
      </c>
      <c r="AJ222" s="28">
        <f>'Project Materials'!$Q$27*4</f>
        <v>0</v>
      </c>
      <c r="AK222" s="256">
        <f>'Project Materials'!$Q$28*4</f>
        <v>0</v>
      </c>
      <c r="AM222" s="98">
        <v>4</v>
      </c>
    </row>
    <row r="223" spans="1:39" x14ac:dyDescent="0.4">
      <c r="A223" s="61" t="s">
        <v>7</v>
      </c>
      <c r="B223" s="2" t="s">
        <v>52</v>
      </c>
      <c r="C223" s="2" t="s">
        <v>53</v>
      </c>
      <c r="D223" s="12"/>
      <c r="E223" s="4">
        <v>1.19</v>
      </c>
      <c r="F223" s="275" t="s">
        <v>418</v>
      </c>
      <c r="G223" s="275" t="s">
        <v>418</v>
      </c>
      <c r="H223" s="275" t="s">
        <v>418</v>
      </c>
      <c r="I223" s="275" t="s">
        <v>418</v>
      </c>
      <c r="J223" s="275" t="s">
        <v>418</v>
      </c>
      <c r="K223" s="275" t="s">
        <v>418</v>
      </c>
      <c r="L223" s="275" t="s">
        <v>418</v>
      </c>
      <c r="M223" s="280" t="s">
        <v>418</v>
      </c>
      <c r="N223" s="280" t="s">
        <v>418</v>
      </c>
      <c r="O223" s="280" t="s">
        <v>418</v>
      </c>
      <c r="P223" s="280" t="s">
        <v>418</v>
      </c>
      <c r="Q223" s="280" t="s">
        <v>418</v>
      </c>
      <c r="R223" s="280" t="s">
        <v>418</v>
      </c>
      <c r="S223" s="280" t="s">
        <v>418</v>
      </c>
      <c r="T223" s="247" t="s">
        <v>418</v>
      </c>
      <c r="U223" s="247" t="s">
        <v>418</v>
      </c>
      <c r="V223" s="247" t="s">
        <v>418</v>
      </c>
      <c r="W223" s="247" t="s">
        <v>418</v>
      </c>
      <c r="X223" s="247" t="s">
        <v>418</v>
      </c>
      <c r="Y223" s="247" t="s">
        <v>418</v>
      </c>
      <c r="Z223" s="247" t="s">
        <v>418</v>
      </c>
      <c r="AA223" s="248" t="s">
        <v>418</v>
      </c>
      <c r="AB223" s="248" t="s">
        <v>418</v>
      </c>
      <c r="AC223" s="248" t="s">
        <v>418</v>
      </c>
      <c r="AD223" s="248" t="s">
        <v>418</v>
      </c>
      <c r="AE223" s="248" t="s">
        <v>418</v>
      </c>
      <c r="AF223" s="248" t="s">
        <v>418</v>
      </c>
      <c r="AG223" s="248" t="s">
        <v>418</v>
      </c>
      <c r="AH223" s="30">
        <f>'Project Materials'!$Q$25*4</f>
        <v>0</v>
      </c>
      <c r="AI223" s="27">
        <f>'Project Materials'!$Q$26*4</f>
        <v>0</v>
      </c>
      <c r="AJ223" s="28">
        <f>'Project Materials'!$Q$27*4</f>
        <v>0</v>
      </c>
      <c r="AK223" s="256">
        <f>'Project Materials'!$Q$28*4</f>
        <v>0</v>
      </c>
      <c r="AM223" s="98">
        <v>4</v>
      </c>
    </row>
    <row r="224" spans="1:39" x14ac:dyDescent="0.4">
      <c r="A224" s="61" t="s">
        <v>7</v>
      </c>
      <c r="B224" s="2" t="s">
        <v>54</v>
      </c>
      <c r="C224" s="2" t="s">
        <v>55</v>
      </c>
      <c r="D224" s="12"/>
      <c r="E224" s="4">
        <v>1.9</v>
      </c>
      <c r="F224" s="275" t="s">
        <v>418</v>
      </c>
      <c r="G224" s="275" t="s">
        <v>418</v>
      </c>
      <c r="H224" s="275" t="s">
        <v>418</v>
      </c>
      <c r="I224" s="275" t="s">
        <v>418</v>
      </c>
      <c r="J224" s="275" t="s">
        <v>418</v>
      </c>
      <c r="K224" s="275" t="s">
        <v>418</v>
      </c>
      <c r="L224" s="275" t="s">
        <v>418</v>
      </c>
      <c r="M224" s="280" t="s">
        <v>418</v>
      </c>
      <c r="N224" s="280" t="s">
        <v>418</v>
      </c>
      <c r="O224" s="280" t="s">
        <v>418</v>
      </c>
      <c r="P224" s="280" t="s">
        <v>418</v>
      </c>
      <c r="Q224" s="280" t="s">
        <v>418</v>
      </c>
      <c r="R224" s="280" t="s">
        <v>418</v>
      </c>
      <c r="S224" s="280" t="s">
        <v>418</v>
      </c>
      <c r="T224" s="247" t="s">
        <v>418</v>
      </c>
      <c r="U224" s="247" t="s">
        <v>418</v>
      </c>
      <c r="V224" s="247" t="s">
        <v>418</v>
      </c>
      <c r="W224" s="247" t="s">
        <v>418</v>
      </c>
      <c r="X224" s="247" t="s">
        <v>418</v>
      </c>
      <c r="Y224" s="247" t="s">
        <v>418</v>
      </c>
      <c r="Z224" s="247" t="s">
        <v>418</v>
      </c>
      <c r="AA224" s="248" t="s">
        <v>418</v>
      </c>
      <c r="AB224" s="248" t="s">
        <v>418</v>
      </c>
      <c r="AC224" s="248" t="s">
        <v>418</v>
      </c>
      <c r="AD224" s="248" t="s">
        <v>418</v>
      </c>
      <c r="AE224" s="248" t="s">
        <v>418</v>
      </c>
      <c r="AF224" s="248" t="s">
        <v>418</v>
      </c>
      <c r="AG224" s="248" t="s">
        <v>418</v>
      </c>
      <c r="AH224" s="30">
        <f>'Project Materials'!$Q$25*4</f>
        <v>0</v>
      </c>
      <c r="AI224" s="27">
        <f>'Project Materials'!$Q$26*4</f>
        <v>0</v>
      </c>
      <c r="AJ224" s="28">
        <f>'Project Materials'!$Q$27*4</f>
        <v>0</v>
      </c>
      <c r="AK224" s="256">
        <f>'Project Materials'!$Q$28*4</f>
        <v>0</v>
      </c>
      <c r="AM224" s="98">
        <v>4</v>
      </c>
    </row>
    <row r="225" spans="1:40" s="96" customFormat="1" x14ac:dyDescent="0.4">
      <c r="A225" s="61" t="s">
        <v>7</v>
      </c>
      <c r="B225" s="99" t="s">
        <v>690</v>
      </c>
      <c r="C225" s="99" t="s">
        <v>691</v>
      </c>
      <c r="D225" s="12"/>
      <c r="E225" s="4">
        <v>2.1</v>
      </c>
      <c r="F225" s="275" t="s">
        <v>418</v>
      </c>
      <c r="G225" s="275" t="s">
        <v>418</v>
      </c>
      <c r="H225" s="275" t="s">
        <v>418</v>
      </c>
      <c r="I225" s="275" t="s">
        <v>418</v>
      </c>
      <c r="J225" s="275" t="s">
        <v>418</v>
      </c>
      <c r="K225" s="275" t="s">
        <v>418</v>
      </c>
      <c r="L225" s="275" t="s">
        <v>418</v>
      </c>
      <c r="M225" s="280" t="s">
        <v>418</v>
      </c>
      <c r="N225" s="280" t="s">
        <v>418</v>
      </c>
      <c r="O225" s="280" t="s">
        <v>418</v>
      </c>
      <c r="P225" s="280" t="s">
        <v>418</v>
      </c>
      <c r="Q225" s="280" t="s">
        <v>418</v>
      </c>
      <c r="R225" s="280" t="s">
        <v>418</v>
      </c>
      <c r="S225" s="280" t="s">
        <v>418</v>
      </c>
      <c r="T225" s="247" t="s">
        <v>418</v>
      </c>
      <c r="U225" s="247" t="s">
        <v>418</v>
      </c>
      <c r="V225" s="247" t="s">
        <v>418</v>
      </c>
      <c r="W225" s="247" t="s">
        <v>418</v>
      </c>
      <c r="X225" s="247" t="s">
        <v>418</v>
      </c>
      <c r="Y225" s="247" t="s">
        <v>418</v>
      </c>
      <c r="Z225" s="247" t="s">
        <v>418</v>
      </c>
      <c r="AA225" s="248" t="s">
        <v>418</v>
      </c>
      <c r="AB225" s="248" t="s">
        <v>418</v>
      </c>
      <c r="AC225" s="248" t="s">
        <v>418</v>
      </c>
      <c r="AD225" s="248" t="s">
        <v>418</v>
      </c>
      <c r="AE225" s="248" t="s">
        <v>418</v>
      </c>
      <c r="AF225" s="248" t="s">
        <v>418</v>
      </c>
      <c r="AG225" s="248" t="s">
        <v>418</v>
      </c>
      <c r="AH225" s="30">
        <f>'Project Materials'!$Q$25*4</f>
        <v>0</v>
      </c>
      <c r="AI225" s="27">
        <f>'Project Materials'!$Q$26*4</f>
        <v>0</v>
      </c>
      <c r="AJ225" s="28">
        <f>'Project Materials'!$Q$27*4</f>
        <v>0</v>
      </c>
      <c r="AK225" s="256">
        <f>'Project Materials'!$Q$28*4</f>
        <v>0</v>
      </c>
      <c r="AL225" s="98"/>
      <c r="AM225" s="98">
        <v>4</v>
      </c>
      <c r="AN225" s="22"/>
    </row>
    <row r="226" spans="1:40" x14ac:dyDescent="0.4">
      <c r="A226" s="60" t="s">
        <v>7</v>
      </c>
      <c r="B226" s="2" t="s">
        <v>146</v>
      </c>
      <c r="C226" s="2" t="s">
        <v>147</v>
      </c>
      <c r="D226" s="12"/>
      <c r="E226" s="4">
        <v>7.1279999999999996E-2</v>
      </c>
      <c r="F226" s="275" t="s">
        <v>418</v>
      </c>
      <c r="G226" s="275" t="s">
        <v>418</v>
      </c>
      <c r="H226" s="275" t="s">
        <v>418</v>
      </c>
      <c r="I226" s="275" t="s">
        <v>418</v>
      </c>
      <c r="J226" s="275" t="s">
        <v>418</v>
      </c>
      <c r="K226" s="275" t="s">
        <v>418</v>
      </c>
      <c r="L226" s="275" t="s">
        <v>418</v>
      </c>
      <c r="M226" s="280" t="s">
        <v>418</v>
      </c>
      <c r="N226" s="280" t="s">
        <v>418</v>
      </c>
      <c r="O226" s="280" t="s">
        <v>418</v>
      </c>
      <c r="P226" s="280" t="s">
        <v>418</v>
      </c>
      <c r="Q226" s="280" t="s">
        <v>418</v>
      </c>
      <c r="R226" s="280" t="s">
        <v>418</v>
      </c>
      <c r="S226" s="280" t="s">
        <v>418</v>
      </c>
      <c r="T226" s="247" t="s">
        <v>418</v>
      </c>
      <c r="U226" s="247" t="s">
        <v>418</v>
      </c>
      <c r="V226" s="247" t="s">
        <v>418</v>
      </c>
      <c r="W226" s="247" t="s">
        <v>418</v>
      </c>
      <c r="X226" s="247" t="s">
        <v>418</v>
      </c>
      <c r="Y226" s="247" t="s">
        <v>418</v>
      </c>
      <c r="Z226" s="247" t="s">
        <v>418</v>
      </c>
      <c r="AA226" s="248" t="s">
        <v>418</v>
      </c>
      <c r="AB226" s="248" t="s">
        <v>418</v>
      </c>
      <c r="AC226" s="248" t="s">
        <v>418</v>
      </c>
      <c r="AD226" s="248" t="s">
        <v>418</v>
      </c>
      <c r="AE226" s="248" t="s">
        <v>418</v>
      </c>
      <c r="AF226" s="248" t="s">
        <v>418</v>
      </c>
      <c r="AG226" s="248" t="s">
        <v>418</v>
      </c>
      <c r="AH226" s="30">
        <f>'Project Materials'!$Q$25*4</f>
        <v>0</v>
      </c>
      <c r="AI226" s="27">
        <f>'Project Materials'!$Q$26*4</f>
        <v>0</v>
      </c>
      <c r="AJ226" s="28">
        <f>'Project Materials'!$Q$27*4</f>
        <v>0</v>
      </c>
      <c r="AK226" s="256">
        <f>'Project Materials'!$Q$28*4</f>
        <v>0</v>
      </c>
      <c r="AM226" s="98">
        <v>4</v>
      </c>
    </row>
    <row r="227" spans="1:40" x14ac:dyDescent="0.4">
      <c r="A227" s="60" t="s">
        <v>7</v>
      </c>
      <c r="B227" s="2" t="s">
        <v>148</v>
      </c>
      <c r="C227" s="2" t="s">
        <v>149</v>
      </c>
      <c r="D227" s="12"/>
      <c r="E227" s="4">
        <v>7.2800000000000004E-2</v>
      </c>
      <c r="F227" s="275" t="s">
        <v>418</v>
      </c>
      <c r="G227" s="275" t="s">
        <v>418</v>
      </c>
      <c r="H227" s="275" t="s">
        <v>418</v>
      </c>
      <c r="I227" s="275" t="s">
        <v>418</v>
      </c>
      <c r="J227" s="275" t="s">
        <v>418</v>
      </c>
      <c r="K227" s="275" t="s">
        <v>418</v>
      </c>
      <c r="L227" s="275" t="s">
        <v>418</v>
      </c>
      <c r="M227" s="280" t="s">
        <v>418</v>
      </c>
      <c r="N227" s="280" t="s">
        <v>418</v>
      </c>
      <c r="O227" s="280" t="s">
        <v>418</v>
      </c>
      <c r="P227" s="280" t="s">
        <v>418</v>
      </c>
      <c r="Q227" s="280" t="s">
        <v>418</v>
      </c>
      <c r="R227" s="280" t="s">
        <v>418</v>
      </c>
      <c r="S227" s="280" t="s">
        <v>418</v>
      </c>
      <c r="T227" s="247" t="s">
        <v>418</v>
      </c>
      <c r="U227" s="247" t="s">
        <v>418</v>
      </c>
      <c r="V227" s="247" t="s">
        <v>418</v>
      </c>
      <c r="W227" s="247" t="s">
        <v>418</v>
      </c>
      <c r="X227" s="247" t="s">
        <v>418</v>
      </c>
      <c r="Y227" s="247" t="s">
        <v>418</v>
      </c>
      <c r="Z227" s="247" t="s">
        <v>418</v>
      </c>
      <c r="AA227" s="248" t="s">
        <v>418</v>
      </c>
      <c r="AB227" s="248" t="s">
        <v>418</v>
      </c>
      <c r="AC227" s="248" t="s">
        <v>418</v>
      </c>
      <c r="AD227" s="248" t="s">
        <v>418</v>
      </c>
      <c r="AE227" s="248" t="s">
        <v>418</v>
      </c>
      <c r="AF227" s="248" t="s">
        <v>418</v>
      </c>
      <c r="AG227" s="248" t="s">
        <v>418</v>
      </c>
      <c r="AH227" s="30">
        <f>'Project Materials'!$Q$25*4</f>
        <v>0</v>
      </c>
      <c r="AI227" s="27">
        <f>'Project Materials'!$Q$26*4</f>
        <v>0</v>
      </c>
      <c r="AJ227" s="28">
        <f>'Project Materials'!$Q$27*4</f>
        <v>0</v>
      </c>
      <c r="AK227" s="256">
        <f>'Project Materials'!$Q$28*4</f>
        <v>0</v>
      </c>
      <c r="AM227" s="98">
        <v>4</v>
      </c>
    </row>
    <row r="228" spans="1:40" x14ac:dyDescent="0.4">
      <c r="A228" s="60" t="s">
        <v>7</v>
      </c>
      <c r="B228" s="2" t="s">
        <v>150</v>
      </c>
      <c r="C228" s="2" t="s">
        <v>151</v>
      </c>
      <c r="D228" s="12"/>
      <c r="E228" s="4">
        <v>6.028E-2</v>
      </c>
      <c r="F228" s="275" t="s">
        <v>418</v>
      </c>
      <c r="G228" s="275" t="s">
        <v>418</v>
      </c>
      <c r="H228" s="275" t="s">
        <v>418</v>
      </c>
      <c r="I228" s="275" t="s">
        <v>418</v>
      </c>
      <c r="J228" s="275" t="s">
        <v>418</v>
      </c>
      <c r="K228" s="275" t="s">
        <v>418</v>
      </c>
      <c r="L228" s="275" t="s">
        <v>418</v>
      </c>
      <c r="M228" s="280" t="s">
        <v>418</v>
      </c>
      <c r="N228" s="280" t="s">
        <v>418</v>
      </c>
      <c r="O228" s="280" t="s">
        <v>418</v>
      </c>
      <c r="P228" s="280" t="s">
        <v>418</v>
      </c>
      <c r="Q228" s="280" t="s">
        <v>418</v>
      </c>
      <c r="R228" s="280" t="s">
        <v>418</v>
      </c>
      <c r="S228" s="280" t="s">
        <v>418</v>
      </c>
      <c r="T228" s="247" t="s">
        <v>418</v>
      </c>
      <c r="U228" s="247" t="s">
        <v>418</v>
      </c>
      <c r="V228" s="247" t="s">
        <v>418</v>
      </c>
      <c r="W228" s="247" t="s">
        <v>418</v>
      </c>
      <c r="X228" s="247" t="s">
        <v>418</v>
      </c>
      <c r="Y228" s="247" t="s">
        <v>418</v>
      </c>
      <c r="Z228" s="247" t="s">
        <v>418</v>
      </c>
      <c r="AA228" s="248" t="s">
        <v>418</v>
      </c>
      <c r="AB228" s="248" t="s">
        <v>418</v>
      </c>
      <c r="AC228" s="248" t="s">
        <v>418</v>
      </c>
      <c r="AD228" s="248" t="s">
        <v>418</v>
      </c>
      <c r="AE228" s="248" t="s">
        <v>418</v>
      </c>
      <c r="AF228" s="248" t="s">
        <v>418</v>
      </c>
      <c r="AG228" s="248" t="s">
        <v>418</v>
      </c>
      <c r="AH228" s="30">
        <f>'Project Materials'!$Q$25*4</f>
        <v>0</v>
      </c>
      <c r="AI228" s="27">
        <f>'Project Materials'!$Q$26*4</f>
        <v>0</v>
      </c>
      <c r="AJ228" s="28">
        <f>'Project Materials'!$Q$27*4</f>
        <v>0</v>
      </c>
      <c r="AK228" s="256">
        <f>'Project Materials'!$Q$28*4</f>
        <v>0</v>
      </c>
      <c r="AM228" s="98">
        <v>4</v>
      </c>
    </row>
    <row r="229" spans="1:40" x14ac:dyDescent="0.4">
      <c r="A229" s="60" t="s">
        <v>7</v>
      </c>
      <c r="B229" s="2" t="s">
        <v>152</v>
      </c>
      <c r="C229" s="2" t="s">
        <v>153</v>
      </c>
      <c r="D229" s="12"/>
      <c r="E229" s="4">
        <v>7.5399999999999995E-2</v>
      </c>
      <c r="F229" s="275" t="s">
        <v>418</v>
      </c>
      <c r="G229" s="275" t="s">
        <v>418</v>
      </c>
      <c r="H229" s="275" t="s">
        <v>418</v>
      </c>
      <c r="I229" s="275" t="s">
        <v>418</v>
      </c>
      <c r="J229" s="275" t="s">
        <v>418</v>
      </c>
      <c r="K229" s="275" t="s">
        <v>418</v>
      </c>
      <c r="L229" s="275" t="s">
        <v>418</v>
      </c>
      <c r="M229" s="280" t="s">
        <v>418</v>
      </c>
      <c r="N229" s="280" t="s">
        <v>418</v>
      </c>
      <c r="O229" s="280" t="s">
        <v>418</v>
      </c>
      <c r="P229" s="280" t="s">
        <v>418</v>
      </c>
      <c r="Q229" s="280" t="s">
        <v>418</v>
      </c>
      <c r="R229" s="280" t="s">
        <v>418</v>
      </c>
      <c r="S229" s="280" t="s">
        <v>418</v>
      </c>
      <c r="T229" s="247" t="s">
        <v>418</v>
      </c>
      <c r="U229" s="247" t="s">
        <v>418</v>
      </c>
      <c r="V229" s="247" t="s">
        <v>418</v>
      </c>
      <c r="W229" s="247" t="s">
        <v>418</v>
      </c>
      <c r="X229" s="247" t="s">
        <v>418</v>
      </c>
      <c r="Y229" s="247" t="s">
        <v>418</v>
      </c>
      <c r="Z229" s="247" t="s">
        <v>418</v>
      </c>
      <c r="AA229" s="248" t="s">
        <v>418</v>
      </c>
      <c r="AB229" s="248" t="s">
        <v>418</v>
      </c>
      <c r="AC229" s="248" t="s">
        <v>418</v>
      </c>
      <c r="AD229" s="248" t="s">
        <v>418</v>
      </c>
      <c r="AE229" s="248" t="s">
        <v>418</v>
      </c>
      <c r="AF229" s="248" t="s">
        <v>418</v>
      </c>
      <c r="AG229" s="248" t="s">
        <v>418</v>
      </c>
      <c r="AH229" s="30">
        <f>'Project Materials'!$Q$25*4</f>
        <v>0</v>
      </c>
      <c r="AI229" s="27">
        <f>'Project Materials'!$Q$26*4</f>
        <v>0</v>
      </c>
      <c r="AJ229" s="28">
        <f>'Project Materials'!$Q$27*4</f>
        <v>0</v>
      </c>
      <c r="AK229" s="256">
        <f>'Project Materials'!$Q$28*4</f>
        <v>0</v>
      </c>
      <c r="AM229" s="98">
        <v>4</v>
      </c>
    </row>
    <row r="230" spans="1:40" x14ac:dyDescent="0.4">
      <c r="A230" s="60" t="s">
        <v>7</v>
      </c>
      <c r="B230" s="2" t="s">
        <v>183</v>
      </c>
      <c r="C230" s="2" t="s">
        <v>184</v>
      </c>
      <c r="D230" s="12"/>
      <c r="E230" s="4">
        <v>7.2999999999999995E-2</v>
      </c>
      <c r="F230" s="275" t="s">
        <v>418</v>
      </c>
      <c r="G230" s="275" t="s">
        <v>418</v>
      </c>
      <c r="H230" s="275" t="s">
        <v>418</v>
      </c>
      <c r="I230" s="275" t="s">
        <v>418</v>
      </c>
      <c r="J230" s="275" t="s">
        <v>418</v>
      </c>
      <c r="K230" s="275" t="s">
        <v>418</v>
      </c>
      <c r="L230" s="275" t="s">
        <v>418</v>
      </c>
      <c r="M230" s="280" t="s">
        <v>418</v>
      </c>
      <c r="N230" s="280" t="s">
        <v>418</v>
      </c>
      <c r="O230" s="280" t="s">
        <v>418</v>
      </c>
      <c r="P230" s="280" t="s">
        <v>418</v>
      </c>
      <c r="Q230" s="280" t="s">
        <v>418</v>
      </c>
      <c r="R230" s="280" t="s">
        <v>418</v>
      </c>
      <c r="S230" s="280" t="s">
        <v>418</v>
      </c>
      <c r="T230" s="247" t="s">
        <v>418</v>
      </c>
      <c r="U230" s="247" t="s">
        <v>418</v>
      </c>
      <c r="V230" s="247" t="s">
        <v>418</v>
      </c>
      <c r="W230" s="247" t="s">
        <v>418</v>
      </c>
      <c r="X230" s="247" t="s">
        <v>418</v>
      </c>
      <c r="Y230" s="247" t="s">
        <v>418</v>
      </c>
      <c r="Z230" s="247" t="s">
        <v>418</v>
      </c>
      <c r="AA230" s="248" t="s">
        <v>418</v>
      </c>
      <c r="AB230" s="248" t="s">
        <v>418</v>
      </c>
      <c r="AC230" s="248" t="s">
        <v>418</v>
      </c>
      <c r="AD230" s="248" t="s">
        <v>418</v>
      </c>
      <c r="AE230" s="248" t="s">
        <v>418</v>
      </c>
      <c r="AF230" s="248" t="s">
        <v>418</v>
      </c>
      <c r="AG230" s="248" t="s">
        <v>418</v>
      </c>
      <c r="AH230" s="30">
        <f>((2*'Project Materials'!$Q$25)-(1*'Project Materials'!$K$25))*4</f>
        <v>0</v>
      </c>
      <c r="AI230" s="27">
        <f>((2*'Project Materials'!$Q$26)-(1*'Project Materials'!$K$26))*4</f>
        <v>0</v>
      </c>
      <c r="AJ230" s="28">
        <f>((2*'Project Materials'!$Q$27)-(1*'Project Materials'!$K$27))*4</f>
        <v>0</v>
      </c>
      <c r="AK230" s="256">
        <f>((2*'Project Materials'!$Q$28)-(1*'Project Materials'!$K$28))*4</f>
        <v>0</v>
      </c>
      <c r="AM230" s="98">
        <v>4</v>
      </c>
    </row>
    <row r="231" spans="1:40" x14ac:dyDescent="0.4">
      <c r="A231" s="60" t="s">
        <v>7</v>
      </c>
      <c r="B231" s="2" t="s">
        <v>207</v>
      </c>
      <c r="C231" s="2" t="s">
        <v>208</v>
      </c>
      <c r="D231" s="12"/>
      <c r="E231" s="4">
        <v>0.75</v>
      </c>
      <c r="F231" s="275" t="s">
        <v>418</v>
      </c>
      <c r="G231" s="275" t="s">
        <v>418</v>
      </c>
      <c r="H231" s="275" t="s">
        <v>418</v>
      </c>
      <c r="I231" s="275" t="s">
        <v>418</v>
      </c>
      <c r="J231" s="275" t="s">
        <v>418</v>
      </c>
      <c r="K231" s="275" t="s">
        <v>418</v>
      </c>
      <c r="L231" s="275" t="s">
        <v>418</v>
      </c>
      <c r="M231" s="280" t="s">
        <v>418</v>
      </c>
      <c r="N231" s="280" t="s">
        <v>418</v>
      </c>
      <c r="O231" s="280" t="s">
        <v>418</v>
      </c>
      <c r="P231" s="280" t="s">
        <v>418</v>
      </c>
      <c r="Q231" s="280" t="s">
        <v>418</v>
      </c>
      <c r="R231" s="280" t="s">
        <v>418</v>
      </c>
      <c r="S231" s="280" t="s">
        <v>418</v>
      </c>
      <c r="T231" s="247" t="s">
        <v>418</v>
      </c>
      <c r="U231" s="247" t="s">
        <v>418</v>
      </c>
      <c r="V231" s="247" t="s">
        <v>418</v>
      </c>
      <c r="W231" s="247" t="s">
        <v>418</v>
      </c>
      <c r="X231" s="247" t="s">
        <v>418</v>
      </c>
      <c r="Y231" s="247" t="s">
        <v>418</v>
      </c>
      <c r="Z231" s="247" t="s">
        <v>418</v>
      </c>
      <c r="AA231" s="248" t="s">
        <v>418</v>
      </c>
      <c r="AB231" s="248" t="s">
        <v>418</v>
      </c>
      <c r="AC231" s="248" t="s">
        <v>418</v>
      </c>
      <c r="AD231" s="248" t="s">
        <v>418</v>
      </c>
      <c r="AE231" s="248" t="s">
        <v>418</v>
      </c>
      <c r="AF231" s="248" t="s">
        <v>418</v>
      </c>
      <c r="AG231" s="248" t="s">
        <v>418</v>
      </c>
    </row>
    <row r="232" spans="1:40" x14ac:dyDescent="0.4">
      <c r="A232" s="60" t="s">
        <v>7</v>
      </c>
      <c r="B232" s="2" t="s">
        <v>237</v>
      </c>
      <c r="C232" s="2" t="s">
        <v>238</v>
      </c>
      <c r="D232" s="12"/>
      <c r="E232" s="4">
        <v>0.1</v>
      </c>
      <c r="F232" s="275" t="s">
        <v>418</v>
      </c>
      <c r="G232" s="275" t="s">
        <v>418</v>
      </c>
      <c r="H232" s="275" t="s">
        <v>418</v>
      </c>
      <c r="I232" s="275" t="s">
        <v>418</v>
      </c>
      <c r="J232" s="275" t="s">
        <v>418</v>
      </c>
      <c r="K232" s="275" t="s">
        <v>418</v>
      </c>
      <c r="L232" s="275" t="s">
        <v>418</v>
      </c>
      <c r="M232" s="280" t="s">
        <v>418</v>
      </c>
      <c r="N232" s="280" t="s">
        <v>418</v>
      </c>
      <c r="O232" s="280" t="s">
        <v>418</v>
      </c>
      <c r="P232" s="280" t="s">
        <v>418</v>
      </c>
      <c r="Q232" s="280" t="s">
        <v>418</v>
      </c>
      <c r="R232" s="280" t="s">
        <v>418</v>
      </c>
      <c r="S232" s="280" t="s">
        <v>418</v>
      </c>
      <c r="T232" s="247" t="s">
        <v>418</v>
      </c>
      <c r="U232" s="247" t="s">
        <v>418</v>
      </c>
      <c r="V232" s="247" t="s">
        <v>418</v>
      </c>
      <c r="W232" s="247" t="s">
        <v>418</v>
      </c>
      <c r="X232" s="247" t="s">
        <v>418</v>
      </c>
      <c r="Y232" s="247" t="s">
        <v>418</v>
      </c>
      <c r="Z232" s="247" t="s">
        <v>418</v>
      </c>
      <c r="AA232" s="248" t="s">
        <v>418</v>
      </c>
      <c r="AB232" s="248" t="s">
        <v>418</v>
      </c>
      <c r="AC232" s="248" t="s">
        <v>418</v>
      </c>
      <c r="AD232" s="248" t="s">
        <v>418</v>
      </c>
      <c r="AE232" s="248" t="s">
        <v>418</v>
      </c>
      <c r="AF232" s="248" t="s">
        <v>418</v>
      </c>
      <c r="AG232" s="248" t="s">
        <v>418</v>
      </c>
      <c r="AH232" s="30">
        <f>'Project Materials'!$Q$25*5</f>
        <v>0</v>
      </c>
      <c r="AI232" s="27">
        <f>'Project Materials'!$Q$26*5</f>
        <v>0</v>
      </c>
      <c r="AJ232" s="28">
        <f>'Project Materials'!$Q$27*5</f>
        <v>0</v>
      </c>
      <c r="AK232" s="256">
        <f>'Project Materials'!$Q$28*5</f>
        <v>0</v>
      </c>
      <c r="AM232" s="98">
        <v>5</v>
      </c>
    </row>
    <row r="233" spans="1:40" x14ac:dyDescent="0.4">
      <c r="A233" s="60" t="s">
        <v>7</v>
      </c>
      <c r="B233" s="2" t="s">
        <v>239</v>
      </c>
      <c r="C233" s="2" t="s">
        <v>240</v>
      </c>
      <c r="D233" s="12"/>
      <c r="E233" s="4">
        <v>8.1199999999999994E-2</v>
      </c>
      <c r="F233" s="275" t="s">
        <v>418</v>
      </c>
      <c r="G233" s="275" t="s">
        <v>418</v>
      </c>
      <c r="H233" s="275" t="s">
        <v>418</v>
      </c>
      <c r="I233" s="275" t="s">
        <v>418</v>
      </c>
      <c r="J233" s="275" t="s">
        <v>418</v>
      </c>
      <c r="K233" s="275" t="s">
        <v>418</v>
      </c>
      <c r="L233" s="275" t="s">
        <v>418</v>
      </c>
      <c r="M233" s="280" t="s">
        <v>418</v>
      </c>
      <c r="N233" s="280" t="s">
        <v>418</v>
      </c>
      <c r="O233" s="280" t="s">
        <v>418</v>
      </c>
      <c r="P233" s="280" t="s">
        <v>418</v>
      </c>
      <c r="Q233" s="280" t="s">
        <v>418</v>
      </c>
      <c r="R233" s="280" t="s">
        <v>418</v>
      </c>
      <c r="S233" s="280" t="s">
        <v>418</v>
      </c>
      <c r="T233" s="247" t="s">
        <v>418</v>
      </c>
      <c r="U233" s="247" t="s">
        <v>418</v>
      </c>
      <c r="V233" s="247" t="s">
        <v>418</v>
      </c>
      <c r="W233" s="247" t="s">
        <v>418</v>
      </c>
      <c r="X233" s="247" t="s">
        <v>418</v>
      </c>
      <c r="Y233" s="247" t="s">
        <v>418</v>
      </c>
      <c r="Z233" s="247" t="s">
        <v>418</v>
      </c>
      <c r="AA233" s="248" t="s">
        <v>418</v>
      </c>
      <c r="AB233" s="248" t="s">
        <v>418</v>
      </c>
      <c r="AC233" s="248" t="s">
        <v>418</v>
      </c>
      <c r="AD233" s="248" t="s">
        <v>418</v>
      </c>
      <c r="AE233" s="248" t="s">
        <v>418</v>
      </c>
      <c r="AF233" s="248" t="s">
        <v>418</v>
      </c>
      <c r="AG233" s="248" t="s">
        <v>418</v>
      </c>
      <c r="AH233" s="30">
        <f>'Project Materials'!$Q$25*5</f>
        <v>0</v>
      </c>
      <c r="AI233" s="27">
        <f>'Project Materials'!$Q$26*5</f>
        <v>0</v>
      </c>
      <c r="AJ233" s="28">
        <f>'Project Materials'!$Q$27*5</f>
        <v>0</v>
      </c>
      <c r="AK233" s="256">
        <f>'Project Materials'!$Q$28*5</f>
        <v>0</v>
      </c>
      <c r="AM233" s="98">
        <v>5</v>
      </c>
    </row>
    <row r="234" spans="1:40" x14ac:dyDescent="0.4">
      <c r="A234" s="60" t="s">
        <v>7</v>
      </c>
      <c r="B234" s="2" t="s">
        <v>290</v>
      </c>
      <c r="C234" s="2" t="s">
        <v>393</v>
      </c>
      <c r="D234" s="12"/>
      <c r="E234" s="4">
        <v>9.5000000000000001E-2</v>
      </c>
      <c r="F234" s="275" t="s">
        <v>418</v>
      </c>
      <c r="G234" s="275" t="s">
        <v>418</v>
      </c>
      <c r="H234" s="275" t="s">
        <v>418</v>
      </c>
      <c r="I234" s="275" t="s">
        <v>418</v>
      </c>
      <c r="J234" s="275" t="s">
        <v>418</v>
      </c>
      <c r="K234" s="275" t="s">
        <v>418</v>
      </c>
      <c r="L234" s="275" t="s">
        <v>418</v>
      </c>
      <c r="M234" s="280" t="s">
        <v>418</v>
      </c>
      <c r="N234" s="280" t="s">
        <v>418</v>
      </c>
      <c r="O234" s="280" t="s">
        <v>418</v>
      </c>
      <c r="P234" s="280" t="s">
        <v>418</v>
      </c>
      <c r="Q234" s="280" t="s">
        <v>418</v>
      </c>
      <c r="R234" s="280" t="s">
        <v>418</v>
      </c>
      <c r="S234" s="280" t="s">
        <v>418</v>
      </c>
      <c r="T234" s="247" t="s">
        <v>418</v>
      </c>
      <c r="U234" s="247" t="s">
        <v>418</v>
      </c>
      <c r="V234" s="247" t="s">
        <v>418</v>
      </c>
      <c r="W234" s="247" t="s">
        <v>418</v>
      </c>
      <c r="X234" s="247" t="s">
        <v>418</v>
      </c>
      <c r="Y234" s="247" t="s">
        <v>418</v>
      </c>
      <c r="Z234" s="247" t="s">
        <v>418</v>
      </c>
      <c r="AA234" s="248" t="s">
        <v>418</v>
      </c>
      <c r="AB234" s="248" t="s">
        <v>418</v>
      </c>
      <c r="AC234" s="248" t="s">
        <v>418</v>
      </c>
      <c r="AD234" s="248" t="s">
        <v>418</v>
      </c>
      <c r="AE234" s="248" t="s">
        <v>418</v>
      </c>
      <c r="AF234" s="248" t="s">
        <v>418</v>
      </c>
      <c r="AG234" s="248" t="s">
        <v>418</v>
      </c>
      <c r="AH234" s="30">
        <f>'Project Materials'!$Q$25*4</f>
        <v>0</v>
      </c>
      <c r="AI234" s="27">
        <f>'Project Materials'!$Q$26*4</f>
        <v>0</v>
      </c>
      <c r="AJ234" s="28">
        <f>'Project Materials'!$Q$27*4</f>
        <v>0</v>
      </c>
      <c r="AK234" s="256">
        <f>'Project Materials'!$Q$28*5</f>
        <v>0</v>
      </c>
      <c r="AM234" s="98">
        <v>5</v>
      </c>
    </row>
    <row r="235" spans="1:40" x14ac:dyDescent="0.4">
      <c r="A235" s="60" t="s">
        <v>7</v>
      </c>
      <c r="B235" s="2" t="s">
        <v>241</v>
      </c>
      <c r="C235" s="2" t="s">
        <v>242</v>
      </c>
      <c r="D235" s="12"/>
      <c r="E235" s="4">
        <v>8.1199999999999994E-2</v>
      </c>
      <c r="F235" s="275" t="s">
        <v>418</v>
      </c>
      <c r="G235" s="275" t="s">
        <v>418</v>
      </c>
      <c r="H235" s="275" t="s">
        <v>418</v>
      </c>
      <c r="I235" s="275" t="s">
        <v>418</v>
      </c>
      <c r="J235" s="275" t="s">
        <v>418</v>
      </c>
      <c r="K235" s="275" t="s">
        <v>418</v>
      </c>
      <c r="L235" s="275" t="s">
        <v>418</v>
      </c>
      <c r="M235" s="280" t="s">
        <v>418</v>
      </c>
      <c r="N235" s="280" t="s">
        <v>418</v>
      </c>
      <c r="O235" s="280" t="s">
        <v>418</v>
      </c>
      <c r="P235" s="280" t="s">
        <v>418</v>
      </c>
      <c r="Q235" s="280" t="s">
        <v>418</v>
      </c>
      <c r="R235" s="280" t="s">
        <v>418</v>
      </c>
      <c r="S235" s="280" t="s">
        <v>418</v>
      </c>
      <c r="T235" s="247" t="s">
        <v>418</v>
      </c>
      <c r="U235" s="247" t="s">
        <v>418</v>
      </c>
      <c r="V235" s="247" t="s">
        <v>418</v>
      </c>
      <c r="W235" s="247" t="s">
        <v>418</v>
      </c>
      <c r="X235" s="247" t="s">
        <v>418</v>
      </c>
      <c r="Y235" s="247" t="s">
        <v>418</v>
      </c>
      <c r="Z235" s="247" t="s">
        <v>418</v>
      </c>
      <c r="AA235" s="248" t="s">
        <v>418</v>
      </c>
      <c r="AB235" s="248" t="s">
        <v>418</v>
      </c>
      <c r="AC235" s="248" t="s">
        <v>418</v>
      </c>
      <c r="AD235" s="248" t="s">
        <v>418</v>
      </c>
      <c r="AE235" s="248" t="s">
        <v>418</v>
      </c>
      <c r="AF235" s="248" t="s">
        <v>418</v>
      </c>
      <c r="AG235" s="248" t="s">
        <v>418</v>
      </c>
      <c r="AH235" s="30">
        <f>'Project Materials'!$Q$25*5</f>
        <v>0</v>
      </c>
      <c r="AI235" s="27">
        <f>'Project Materials'!$Q$26*5</f>
        <v>0</v>
      </c>
      <c r="AJ235" s="28">
        <f>'Project Materials'!$Q$27*5</f>
        <v>0</v>
      </c>
      <c r="AK235" s="256">
        <f>'Project Materials'!$Q$28*5</f>
        <v>0</v>
      </c>
      <c r="AM235" s="98">
        <v>5</v>
      </c>
    </row>
    <row r="236" spans="1:40" x14ac:dyDescent="0.4">
      <c r="A236" s="60" t="s">
        <v>7</v>
      </c>
      <c r="B236" s="2" t="s">
        <v>245</v>
      </c>
      <c r="C236" s="2" t="s">
        <v>246</v>
      </c>
      <c r="D236" s="12"/>
      <c r="E236" s="4">
        <v>0.13</v>
      </c>
      <c r="F236" s="275" t="s">
        <v>418</v>
      </c>
      <c r="G236" s="275" t="s">
        <v>418</v>
      </c>
      <c r="H236" s="275" t="s">
        <v>418</v>
      </c>
      <c r="I236" s="275" t="s">
        <v>418</v>
      </c>
      <c r="J236" s="275" t="s">
        <v>418</v>
      </c>
      <c r="K236" s="275" t="s">
        <v>418</v>
      </c>
      <c r="L236" s="275" t="s">
        <v>418</v>
      </c>
      <c r="M236" s="280" t="s">
        <v>418</v>
      </c>
      <c r="N236" s="280" t="s">
        <v>418</v>
      </c>
      <c r="O236" s="280" t="s">
        <v>418</v>
      </c>
      <c r="P236" s="280" t="s">
        <v>418</v>
      </c>
      <c r="Q236" s="280" t="s">
        <v>418</v>
      </c>
      <c r="R236" s="280" t="s">
        <v>418</v>
      </c>
      <c r="S236" s="280" t="s">
        <v>418</v>
      </c>
      <c r="T236" s="247" t="s">
        <v>418</v>
      </c>
      <c r="U236" s="247" t="s">
        <v>418</v>
      </c>
      <c r="V236" s="247" t="s">
        <v>418</v>
      </c>
      <c r="W236" s="247" t="s">
        <v>418</v>
      </c>
      <c r="X236" s="247" t="s">
        <v>418</v>
      </c>
      <c r="Y236" s="247" t="s">
        <v>418</v>
      </c>
      <c r="Z236" s="247" t="s">
        <v>418</v>
      </c>
      <c r="AA236" s="248" t="s">
        <v>418</v>
      </c>
      <c r="AB236" s="248" t="s">
        <v>418</v>
      </c>
      <c r="AC236" s="248" t="s">
        <v>418</v>
      </c>
      <c r="AD236" s="248" t="s">
        <v>418</v>
      </c>
      <c r="AE236" s="248" t="s">
        <v>418</v>
      </c>
      <c r="AF236" s="248" t="s">
        <v>418</v>
      </c>
      <c r="AG236" s="248" t="s">
        <v>418</v>
      </c>
      <c r="AH236" s="30">
        <f>'Project Materials'!$Q$25*2</f>
        <v>0</v>
      </c>
      <c r="AI236" s="27">
        <f>'Project Materials'!$Q$26*2</f>
        <v>0</v>
      </c>
      <c r="AJ236" s="28">
        <f>'Project Materials'!$Q$27*2</f>
        <v>0</v>
      </c>
      <c r="AK236" s="256">
        <f>'Project Materials'!$Q$28*2</f>
        <v>0</v>
      </c>
      <c r="AM236" s="98">
        <v>2</v>
      </c>
    </row>
    <row r="237" spans="1:40" x14ac:dyDescent="0.4">
      <c r="A237" s="60" t="s">
        <v>7</v>
      </c>
      <c r="B237" s="2" t="s">
        <v>247</v>
      </c>
      <c r="C237" s="2" t="s">
        <v>107</v>
      </c>
      <c r="D237" s="12"/>
      <c r="E237" s="4">
        <v>0.2</v>
      </c>
      <c r="F237" s="275" t="s">
        <v>418</v>
      </c>
      <c r="G237" s="275" t="s">
        <v>418</v>
      </c>
      <c r="H237" s="275" t="s">
        <v>418</v>
      </c>
      <c r="I237" s="275" t="s">
        <v>418</v>
      </c>
      <c r="J237" s="275" t="s">
        <v>418</v>
      </c>
      <c r="K237" s="275" t="s">
        <v>418</v>
      </c>
      <c r="L237" s="275" t="s">
        <v>418</v>
      </c>
      <c r="M237" s="280" t="s">
        <v>418</v>
      </c>
      <c r="N237" s="280" t="s">
        <v>418</v>
      </c>
      <c r="O237" s="280" t="s">
        <v>418</v>
      </c>
      <c r="P237" s="280" t="s">
        <v>418</v>
      </c>
      <c r="Q237" s="280" t="s">
        <v>418</v>
      </c>
      <c r="R237" s="280" t="s">
        <v>418</v>
      </c>
      <c r="S237" s="280" t="s">
        <v>418</v>
      </c>
      <c r="T237" s="247" t="s">
        <v>418</v>
      </c>
      <c r="U237" s="247" t="s">
        <v>418</v>
      </c>
      <c r="V237" s="247" t="s">
        <v>418</v>
      </c>
      <c r="W237" s="247" t="s">
        <v>418</v>
      </c>
      <c r="X237" s="247" t="s">
        <v>418</v>
      </c>
      <c r="Y237" s="247" t="s">
        <v>418</v>
      </c>
      <c r="Z237" s="247" t="s">
        <v>418</v>
      </c>
      <c r="AA237" s="248" t="s">
        <v>418</v>
      </c>
      <c r="AB237" s="248" t="s">
        <v>418</v>
      </c>
      <c r="AC237" s="248" t="s">
        <v>418</v>
      </c>
      <c r="AD237" s="248" t="s">
        <v>418</v>
      </c>
      <c r="AE237" s="248" t="s">
        <v>418</v>
      </c>
      <c r="AF237" s="248" t="s">
        <v>418</v>
      </c>
      <c r="AG237" s="248" t="s">
        <v>418</v>
      </c>
      <c r="AH237" s="30">
        <f>'Project Materials'!$Q$25*2</f>
        <v>0</v>
      </c>
      <c r="AI237" s="27">
        <f>'Project Materials'!$Q$26*2</f>
        <v>0</v>
      </c>
      <c r="AJ237" s="28">
        <f>'Project Materials'!$Q$27*2</f>
        <v>0</v>
      </c>
      <c r="AK237" s="256">
        <f>'Project Materials'!$Q$28*2</f>
        <v>0</v>
      </c>
      <c r="AM237" s="98">
        <v>2</v>
      </c>
    </row>
    <row r="238" spans="1:40" x14ac:dyDescent="0.4">
      <c r="A238" s="60" t="s">
        <v>7</v>
      </c>
      <c r="B238" s="2" t="s">
        <v>248</v>
      </c>
      <c r="C238" s="2" t="s">
        <v>249</v>
      </c>
      <c r="D238" s="12"/>
      <c r="E238" s="4">
        <v>2.37</v>
      </c>
      <c r="F238" s="275" t="s">
        <v>418</v>
      </c>
      <c r="G238" s="275" t="s">
        <v>418</v>
      </c>
      <c r="H238" s="275" t="s">
        <v>418</v>
      </c>
      <c r="I238" s="275" t="s">
        <v>418</v>
      </c>
      <c r="J238" s="275" t="s">
        <v>418</v>
      </c>
      <c r="K238" s="275" t="s">
        <v>418</v>
      </c>
      <c r="L238" s="275" t="s">
        <v>418</v>
      </c>
      <c r="M238" s="280" t="s">
        <v>418</v>
      </c>
      <c r="N238" s="280" t="s">
        <v>418</v>
      </c>
      <c r="O238" s="280" t="s">
        <v>418</v>
      </c>
      <c r="P238" s="280" t="s">
        <v>418</v>
      </c>
      <c r="Q238" s="280" t="s">
        <v>418</v>
      </c>
      <c r="R238" s="280" t="s">
        <v>418</v>
      </c>
      <c r="S238" s="280" t="s">
        <v>418</v>
      </c>
      <c r="T238" s="247" t="s">
        <v>418</v>
      </c>
      <c r="U238" s="247" t="s">
        <v>418</v>
      </c>
      <c r="V238" s="247" t="s">
        <v>418</v>
      </c>
      <c r="W238" s="247" t="s">
        <v>418</v>
      </c>
      <c r="X238" s="247" t="s">
        <v>418</v>
      </c>
      <c r="Y238" s="247" t="s">
        <v>418</v>
      </c>
      <c r="Z238" s="247" t="s">
        <v>418</v>
      </c>
      <c r="AA238" s="248" t="s">
        <v>418</v>
      </c>
      <c r="AB238" s="248" t="s">
        <v>418</v>
      </c>
      <c r="AC238" s="248" t="s">
        <v>418</v>
      </c>
      <c r="AD238" s="248" t="s">
        <v>418</v>
      </c>
      <c r="AE238" s="248" t="s">
        <v>418</v>
      </c>
      <c r="AF238" s="248" t="s">
        <v>418</v>
      </c>
      <c r="AG238" s="248" t="s">
        <v>418</v>
      </c>
      <c r="AH238" s="30">
        <f>'Project Materials'!$Q$25*2</f>
        <v>0</v>
      </c>
      <c r="AI238" s="27">
        <f>'Project Materials'!$Q$26*2</f>
        <v>0</v>
      </c>
      <c r="AJ238" s="28">
        <f>'Project Materials'!$Q$27*2</f>
        <v>0</v>
      </c>
      <c r="AK238" s="256">
        <f>'Project Materials'!$Q$28*2</f>
        <v>0</v>
      </c>
      <c r="AM238" s="98">
        <v>2</v>
      </c>
    </row>
    <row r="239" spans="1:40" x14ac:dyDescent="0.4">
      <c r="A239" s="60" t="s">
        <v>7</v>
      </c>
      <c r="B239" s="2" t="s">
        <v>385</v>
      </c>
      <c r="C239" s="2" t="s">
        <v>386</v>
      </c>
      <c r="D239" s="12"/>
      <c r="E239" s="4">
        <v>0.63519999999999999</v>
      </c>
      <c r="F239" s="275" t="s">
        <v>418</v>
      </c>
      <c r="G239" s="275" t="s">
        <v>418</v>
      </c>
      <c r="H239" s="275" t="s">
        <v>418</v>
      </c>
      <c r="I239" s="275" t="s">
        <v>418</v>
      </c>
      <c r="J239" s="275" t="s">
        <v>418</v>
      </c>
      <c r="K239" s="275" t="s">
        <v>418</v>
      </c>
      <c r="L239" s="275" t="s">
        <v>418</v>
      </c>
      <c r="M239" s="280" t="s">
        <v>418</v>
      </c>
      <c r="N239" s="280" t="s">
        <v>418</v>
      </c>
      <c r="O239" s="280" t="s">
        <v>418</v>
      </c>
      <c r="P239" s="280" t="s">
        <v>418</v>
      </c>
      <c r="Q239" s="280" t="s">
        <v>418</v>
      </c>
      <c r="R239" s="280" t="s">
        <v>418</v>
      </c>
      <c r="S239" s="280" t="s">
        <v>418</v>
      </c>
      <c r="T239" s="247" t="s">
        <v>418</v>
      </c>
      <c r="U239" s="247" t="s">
        <v>418</v>
      </c>
      <c r="V239" s="247" t="s">
        <v>418</v>
      </c>
      <c r="W239" s="247" t="s">
        <v>418</v>
      </c>
      <c r="X239" s="247" t="s">
        <v>418</v>
      </c>
      <c r="Y239" s="247" t="s">
        <v>418</v>
      </c>
      <c r="Z239" s="247" t="s">
        <v>418</v>
      </c>
      <c r="AA239" s="248" t="s">
        <v>418</v>
      </c>
      <c r="AB239" s="248" t="s">
        <v>418</v>
      </c>
      <c r="AC239" s="248" t="s">
        <v>418</v>
      </c>
      <c r="AD239" s="248" t="s">
        <v>418</v>
      </c>
      <c r="AE239" s="248" t="s">
        <v>418</v>
      </c>
      <c r="AF239" s="248" t="s">
        <v>418</v>
      </c>
      <c r="AG239" s="248" t="s">
        <v>418</v>
      </c>
    </row>
    <row r="240" spans="1:40" x14ac:dyDescent="0.4">
      <c r="A240" s="60" t="s">
        <v>7</v>
      </c>
      <c r="B240" s="2" t="s">
        <v>387</v>
      </c>
      <c r="C240" s="2" t="s">
        <v>388</v>
      </c>
      <c r="D240" s="12"/>
      <c r="E240" s="4">
        <v>4.25</v>
      </c>
      <c r="F240" s="275" t="s">
        <v>418</v>
      </c>
      <c r="G240" s="275" t="s">
        <v>418</v>
      </c>
      <c r="H240" s="275" t="s">
        <v>418</v>
      </c>
      <c r="I240" s="275" t="s">
        <v>418</v>
      </c>
      <c r="J240" s="275" t="s">
        <v>418</v>
      </c>
      <c r="K240" s="275" t="s">
        <v>418</v>
      </c>
      <c r="L240" s="275" t="s">
        <v>418</v>
      </c>
      <c r="M240" s="280" t="s">
        <v>418</v>
      </c>
      <c r="N240" s="280" t="s">
        <v>418</v>
      </c>
      <c r="O240" s="280" t="s">
        <v>418</v>
      </c>
      <c r="P240" s="280" t="s">
        <v>418</v>
      </c>
      <c r="Q240" s="280" t="s">
        <v>418</v>
      </c>
      <c r="R240" s="280" t="s">
        <v>418</v>
      </c>
      <c r="S240" s="280" t="s">
        <v>418</v>
      </c>
      <c r="T240" s="247" t="s">
        <v>418</v>
      </c>
      <c r="U240" s="247" t="s">
        <v>418</v>
      </c>
      <c r="V240" s="247" t="s">
        <v>418</v>
      </c>
      <c r="W240" s="247" t="s">
        <v>418</v>
      </c>
      <c r="X240" s="247" t="s">
        <v>418</v>
      </c>
      <c r="Y240" s="247" t="s">
        <v>418</v>
      </c>
      <c r="Z240" s="247" t="s">
        <v>418</v>
      </c>
      <c r="AA240" s="248" t="s">
        <v>418</v>
      </c>
      <c r="AB240" s="248" t="s">
        <v>418</v>
      </c>
      <c r="AC240" s="248" t="s">
        <v>418</v>
      </c>
      <c r="AD240" s="248" t="s">
        <v>418</v>
      </c>
      <c r="AE240" s="248" t="s">
        <v>418</v>
      </c>
      <c r="AF240" s="248" t="s">
        <v>418</v>
      </c>
      <c r="AG240" s="248" t="s">
        <v>418</v>
      </c>
    </row>
    <row r="241" spans="1:39" x14ac:dyDescent="0.4">
      <c r="A241" s="60" t="s">
        <v>7</v>
      </c>
      <c r="B241" s="2" t="s">
        <v>288</v>
      </c>
      <c r="C241" s="2" t="s">
        <v>289</v>
      </c>
      <c r="D241" s="12"/>
      <c r="E241" s="4">
        <v>0.1275</v>
      </c>
      <c r="F241" s="275" t="s">
        <v>418</v>
      </c>
      <c r="G241" s="275" t="s">
        <v>418</v>
      </c>
      <c r="H241" s="275" t="s">
        <v>418</v>
      </c>
      <c r="I241" s="275" t="s">
        <v>418</v>
      </c>
      <c r="J241" s="275" t="s">
        <v>418</v>
      </c>
      <c r="K241" s="275" t="s">
        <v>418</v>
      </c>
      <c r="L241" s="275" t="s">
        <v>418</v>
      </c>
      <c r="M241" s="280" t="s">
        <v>418</v>
      </c>
      <c r="N241" s="280" t="s">
        <v>418</v>
      </c>
      <c r="O241" s="280" t="s">
        <v>418</v>
      </c>
      <c r="P241" s="280" t="s">
        <v>418</v>
      </c>
      <c r="Q241" s="280" t="s">
        <v>418</v>
      </c>
      <c r="R241" s="280" t="s">
        <v>418</v>
      </c>
      <c r="S241" s="280" t="s">
        <v>418</v>
      </c>
      <c r="T241" s="247" t="s">
        <v>418</v>
      </c>
      <c r="U241" s="247" t="s">
        <v>418</v>
      </c>
      <c r="V241" s="247" t="s">
        <v>418</v>
      </c>
      <c r="W241" s="247" t="s">
        <v>418</v>
      </c>
      <c r="X241" s="247" t="s">
        <v>418</v>
      </c>
      <c r="Y241" s="247" t="s">
        <v>418</v>
      </c>
      <c r="Z241" s="247" t="s">
        <v>418</v>
      </c>
      <c r="AA241" s="248" t="s">
        <v>418</v>
      </c>
      <c r="AB241" s="248" t="s">
        <v>418</v>
      </c>
      <c r="AC241" s="248" t="s">
        <v>418</v>
      </c>
      <c r="AD241" s="248" t="s">
        <v>418</v>
      </c>
      <c r="AE241" s="248" t="s">
        <v>418</v>
      </c>
      <c r="AF241" s="248" t="s">
        <v>418</v>
      </c>
      <c r="AG241" s="248" t="s">
        <v>418</v>
      </c>
      <c r="AH241" s="284">
        <f>AH206*2</f>
        <v>0</v>
      </c>
      <c r="AI241" s="283">
        <f>AI206*2</f>
        <v>0</v>
      </c>
      <c r="AJ241" s="286">
        <f>AJ206*2</f>
        <v>0</v>
      </c>
      <c r="AK241" s="285">
        <f>AK206*2</f>
        <v>0</v>
      </c>
    </row>
    <row r="242" spans="1:39" x14ac:dyDescent="0.4">
      <c r="A242" s="60" t="s">
        <v>7</v>
      </c>
      <c r="B242" s="2" t="s">
        <v>291</v>
      </c>
      <c r="C242" s="2" t="s">
        <v>292</v>
      </c>
      <c r="D242" s="12"/>
      <c r="E242" s="4">
        <v>7.85</v>
      </c>
      <c r="F242" s="275" t="s">
        <v>418</v>
      </c>
      <c r="G242" s="275" t="s">
        <v>418</v>
      </c>
      <c r="H242" s="275" t="s">
        <v>418</v>
      </c>
      <c r="I242" s="275" t="s">
        <v>418</v>
      </c>
      <c r="J242" s="275" t="s">
        <v>418</v>
      </c>
      <c r="K242" s="275" t="s">
        <v>418</v>
      </c>
      <c r="L242" s="275" t="s">
        <v>418</v>
      </c>
      <c r="M242" s="280" t="s">
        <v>418</v>
      </c>
      <c r="N242" s="280" t="s">
        <v>418</v>
      </c>
      <c r="O242" s="280" t="s">
        <v>418</v>
      </c>
      <c r="P242" s="280" t="s">
        <v>418</v>
      </c>
      <c r="Q242" s="280" t="s">
        <v>418</v>
      </c>
      <c r="R242" s="280" t="s">
        <v>418</v>
      </c>
      <c r="S242" s="280" t="s">
        <v>418</v>
      </c>
      <c r="T242" s="247" t="s">
        <v>418</v>
      </c>
      <c r="U242" s="247" t="s">
        <v>418</v>
      </c>
      <c r="V242" s="247" t="s">
        <v>418</v>
      </c>
      <c r="W242" s="247" t="s">
        <v>418</v>
      </c>
      <c r="X242" s="247" t="s">
        <v>418</v>
      </c>
      <c r="Y242" s="247" t="s">
        <v>418</v>
      </c>
      <c r="Z242" s="247" t="s">
        <v>418</v>
      </c>
      <c r="AA242" s="248" t="s">
        <v>418</v>
      </c>
      <c r="AB242" s="248" t="s">
        <v>418</v>
      </c>
      <c r="AC242" s="248" t="s">
        <v>418</v>
      </c>
      <c r="AD242" s="248" t="s">
        <v>418</v>
      </c>
      <c r="AE242" s="248" t="s">
        <v>418</v>
      </c>
      <c r="AF242" s="248" t="s">
        <v>418</v>
      </c>
      <c r="AG242" s="248" t="s">
        <v>418</v>
      </c>
    </row>
    <row r="243" spans="1:39" x14ac:dyDescent="0.4">
      <c r="A243" s="60" t="s">
        <v>7</v>
      </c>
      <c r="B243" s="2" t="s">
        <v>111</v>
      </c>
      <c r="C243" s="2" t="s">
        <v>112</v>
      </c>
      <c r="D243" s="12"/>
      <c r="E243" s="4">
        <v>0.11799999999999999</v>
      </c>
      <c r="F243" s="275" t="s">
        <v>418</v>
      </c>
      <c r="G243" s="275" t="s">
        <v>418</v>
      </c>
      <c r="H243" s="275" t="s">
        <v>418</v>
      </c>
      <c r="I243" s="275" t="s">
        <v>418</v>
      </c>
      <c r="J243" s="275" t="s">
        <v>418</v>
      </c>
      <c r="K243" s="275" t="s">
        <v>418</v>
      </c>
      <c r="L243" s="275" t="s">
        <v>418</v>
      </c>
      <c r="M243" s="280" t="s">
        <v>418</v>
      </c>
      <c r="N243" s="280" t="s">
        <v>418</v>
      </c>
      <c r="O243" s="280" t="s">
        <v>418</v>
      </c>
      <c r="P243" s="280" t="s">
        <v>418</v>
      </c>
      <c r="Q243" s="280" t="s">
        <v>418</v>
      </c>
      <c r="R243" s="280" t="s">
        <v>418</v>
      </c>
      <c r="S243" s="280" t="s">
        <v>418</v>
      </c>
      <c r="T243" s="247" t="s">
        <v>418</v>
      </c>
      <c r="U243" s="247" t="s">
        <v>418</v>
      </c>
      <c r="V243" s="247" t="s">
        <v>418</v>
      </c>
      <c r="W243" s="247" t="s">
        <v>418</v>
      </c>
      <c r="X243" s="247" t="s">
        <v>418</v>
      </c>
      <c r="Y243" s="247" t="s">
        <v>418</v>
      </c>
      <c r="Z243" s="247" t="s">
        <v>418</v>
      </c>
      <c r="AA243" s="248" t="s">
        <v>418</v>
      </c>
      <c r="AB243" s="248" t="s">
        <v>418</v>
      </c>
      <c r="AC243" s="248" t="s">
        <v>418</v>
      </c>
      <c r="AD243" s="248" t="s">
        <v>418</v>
      </c>
      <c r="AE243" s="248" t="s">
        <v>418</v>
      </c>
      <c r="AF243" s="248" t="s">
        <v>418</v>
      </c>
      <c r="AG243" s="248" t="s">
        <v>418</v>
      </c>
      <c r="AH243" s="30">
        <f>'Project Materials'!$Q$25*4</f>
        <v>0</v>
      </c>
      <c r="AI243" s="27">
        <f>'Project Materials'!$Q$26*4</f>
        <v>0</v>
      </c>
      <c r="AJ243" s="28">
        <f>'Project Materials'!$Q$27*4</f>
        <v>0</v>
      </c>
      <c r="AK243" s="255">
        <f>'Project Materials'!$Q$28*4</f>
        <v>0</v>
      </c>
      <c r="AM243" s="98">
        <v>4</v>
      </c>
    </row>
    <row r="244" spans="1:39" x14ac:dyDescent="0.4">
      <c r="A244" s="60" t="s">
        <v>7</v>
      </c>
      <c r="B244" s="2" t="s">
        <v>440</v>
      </c>
      <c r="C244" s="16" t="s">
        <v>220</v>
      </c>
      <c r="D244" s="12"/>
      <c r="E244" s="4">
        <v>5.2600000000000001E-2</v>
      </c>
      <c r="F244" s="275" t="s">
        <v>418</v>
      </c>
      <c r="G244" s="275" t="s">
        <v>418</v>
      </c>
      <c r="H244" s="275" t="s">
        <v>418</v>
      </c>
      <c r="I244" s="275" t="s">
        <v>418</v>
      </c>
      <c r="J244" s="275" t="s">
        <v>418</v>
      </c>
      <c r="K244" s="275" t="s">
        <v>418</v>
      </c>
      <c r="L244" s="275" t="s">
        <v>418</v>
      </c>
      <c r="M244" s="280" t="s">
        <v>418</v>
      </c>
      <c r="N244" s="280" t="s">
        <v>418</v>
      </c>
      <c r="O244" s="280" t="s">
        <v>418</v>
      </c>
      <c r="P244" s="280" t="s">
        <v>418</v>
      </c>
      <c r="Q244" s="280" t="s">
        <v>418</v>
      </c>
      <c r="R244" s="280" t="s">
        <v>418</v>
      </c>
      <c r="S244" s="280" t="s">
        <v>418</v>
      </c>
      <c r="T244" s="247" t="s">
        <v>418</v>
      </c>
      <c r="U244" s="247" t="s">
        <v>418</v>
      </c>
      <c r="V244" s="247" t="s">
        <v>418</v>
      </c>
      <c r="W244" s="247" t="s">
        <v>418</v>
      </c>
      <c r="X244" s="247" t="s">
        <v>418</v>
      </c>
      <c r="Y244" s="247" t="s">
        <v>418</v>
      </c>
      <c r="Z244" s="247" t="s">
        <v>418</v>
      </c>
      <c r="AA244" s="248" t="s">
        <v>418</v>
      </c>
      <c r="AB244" s="248" t="s">
        <v>418</v>
      </c>
      <c r="AC244" s="248" t="s">
        <v>418</v>
      </c>
      <c r="AD244" s="248" t="s">
        <v>418</v>
      </c>
      <c r="AE244" s="248" t="s">
        <v>418</v>
      </c>
      <c r="AF244" s="248" t="s">
        <v>418</v>
      </c>
      <c r="AG244" s="248" t="s">
        <v>418</v>
      </c>
      <c r="AH244" s="30">
        <f>(('Project Materials'!$F$25+'Project Materials'!$G$25)*'Project Materials'!$P$25)*2</f>
        <v>0</v>
      </c>
      <c r="AI244" s="27">
        <f>(('Project Materials'!$F$26+'Project Materials'!$G$26)*'Project Materials'!$P$26)*2</f>
        <v>0</v>
      </c>
      <c r="AJ244" s="28">
        <f>(('Project Materials'!$F$27+'Project Materials'!$G$27)*'Project Materials'!$P$27)*2</f>
        <v>0</v>
      </c>
      <c r="AK244" s="255">
        <f>(('Project Materials'!$F$28+'Project Materials'!$G$28)*'Project Materials'!$P$28)*2</f>
        <v>0</v>
      </c>
      <c r="AM244" s="98">
        <v>2</v>
      </c>
    </row>
    <row r="245" spans="1:39" x14ac:dyDescent="0.4">
      <c r="A245" s="2"/>
      <c r="B245" s="2"/>
      <c r="C245" s="2"/>
      <c r="D245" s="12"/>
      <c r="E245" s="4"/>
      <c r="F245" s="275" t="s">
        <v>418</v>
      </c>
      <c r="G245" s="275" t="s">
        <v>418</v>
      </c>
      <c r="H245" s="275" t="s">
        <v>418</v>
      </c>
      <c r="I245" s="275" t="s">
        <v>418</v>
      </c>
      <c r="J245" s="275" t="s">
        <v>418</v>
      </c>
      <c r="K245" s="275" t="s">
        <v>418</v>
      </c>
      <c r="L245" s="275" t="s">
        <v>418</v>
      </c>
      <c r="M245" s="280" t="s">
        <v>418</v>
      </c>
      <c r="N245" s="280" t="s">
        <v>418</v>
      </c>
      <c r="O245" s="280" t="s">
        <v>418</v>
      </c>
      <c r="P245" s="280" t="s">
        <v>418</v>
      </c>
      <c r="Q245" s="280" t="s">
        <v>418</v>
      </c>
      <c r="R245" s="280" t="s">
        <v>418</v>
      </c>
      <c r="S245" s="280" t="s">
        <v>418</v>
      </c>
      <c r="T245" s="247" t="s">
        <v>418</v>
      </c>
      <c r="U245" s="247" t="s">
        <v>418</v>
      </c>
      <c r="V245" s="247" t="s">
        <v>418</v>
      </c>
      <c r="W245" s="247" t="s">
        <v>418</v>
      </c>
      <c r="X245" s="247" t="s">
        <v>418</v>
      </c>
      <c r="Y245" s="247" t="s">
        <v>418</v>
      </c>
      <c r="Z245" s="247" t="s">
        <v>418</v>
      </c>
      <c r="AA245" s="248" t="s">
        <v>418</v>
      </c>
      <c r="AB245" s="248" t="s">
        <v>418</v>
      </c>
      <c r="AC245" s="248" t="s">
        <v>418</v>
      </c>
      <c r="AD245" s="248" t="s">
        <v>418</v>
      </c>
      <c r="AE245" s="248" t="s">
        <v>418</v>
      </c>
      <c r="AF245" s="248" t="s">
        <v>418</v>
      </c>
      <c r="AG245" s="248" t="s">
        <v>418</v>
      </c>
      <c r="AK245" s="255"/>
    </row>
    <row r="246" spans="1:39" x14ac:dyDescent="0.4">
      <c r="A246" s="60" t="s">
        <v>10</v>
      </c>
      <c r="B246" s="2" t="s">
        <v>418</v>
      </c>
      <c r="C246" s="2" t="s">
        <v>418</v>
      </c>
      <c r="D246" s="12"/>
      <c r="E246" s="4">
        <v>0</v>
      </c>
      <c r="F246" s="275" t="s">
        <v>418</v>
      </c>
      <c r="G246" s="275" t="s">
        <v>418</v>
      </c>
      <c r="H246" s="275" t="s">
        <v>418</v>
      </c>
      <c r="I246" s="275" t="s">
        <v>418</v>
      </c>
      <c r="J246" s="275" t="s">
        <v>418</v>
      </c>
      <c r="K246" s="275" t="s">
        <v>418</v>
      </c>
      <c r="L246" s="275" t="s">
        <v>418</v>
      </c>
      <c r="M246" s="280" t="s">
        <v>418</v>
      </c>
      <c r="N246" s="280" t="s">
        <v>418</v>
      </c>
      <c r="O246" s="280" t="s">
        <v>418</v>
      </c>
      <c r="P246" s="280" t="s">
        <v>418</v>
      </c>
      <c r="Q246" s="280" t="s">
        <v>418</v>
      </c>
      <c r="R246" s="280" t="s">
        <v>418</v>
      </c>
      <c r="S246" s="280" t="s">
        <v>418</v>
      </c>
      <c r="T246" s="247" t="s">
        <v>418</v>
      </c>
      <c r="U246" s="247" t="s">
        <v>418</v>
      </c>
      <c r="V246" s="247" t="s">
        <v>418</v>
      </c>
      <c r="W246" s="247" t="s">
        <v>418</v>
      </c>
      <c r="X246" s="247" t="s">
        <v>418</v>
      </c>
      <c r="Y246" s="247" t="s">
        <v>418</v>
      </c>
      <c r="Z246" s="247" t="s">
        <v>418</v>
      </c>
      <c r="AA246" s="248" t="s">
        <v>418</v>
      </c>
      <c r="AB246" s="248" t="s">
        <v>418</v>
      </c>
      <c r="AC246" s="248" t="s">
        <v>418</v>
      </c>
      <c r="AD246" s="248" t="s">
        <v>418</v>
      </c>
      <c r="AE246" s="248" t="s">
        <v>418</v>
      </c>
      <c r="AF246" s="248" t="s">
        <v>418</v>
      </c>
      <c r="AG246" s="248" t="s">
        <v>418</v>
      </c>
      <c r="AH246" s="30">
        <v>0</v>
      </c>
      <c r="AI246" s="27">
        <v>0</v>
      </c>
      <c r="AJ246" s="28">
        <v>0</v>
      </c>
      <c r="AK246" s="256">
        <v>0</v>
      </c>
    </row>
    <row r="247" spans="1:39" x14ac:dyDescent="0.4">
      <c r="A247" s="61" t="s">
        <v>10</v>
      </c>
      <c r="B247" s="2" t="s">
        <v>28</v>
      </c>
      <c r="C247" s="2" t="s">
        <v>29</v>
      </c>
      <c r="D247" s="12"/>
      <c r="E247" s="4">
        <v>2.16</v>
      </c>
      <c r="F247" s="275" t="s">
        <v>418</v>
      </c>
      <c r="G247" s="275" t="s">
        <v>418</v>
      </c>
      <c r="H247" s="275" t="s">
        <v>418</v>
      </c>
      <c r="I247" s="275" t="s">
        <v>418</v>
      </c>
      <c r="J247" s="275" t="s">
        <v>418</v>
      </c>
      <c r="K247" s="275" t="s">
        <v>418</v>
      </c>
      <c r="L247" s="275" t="s">
        <v>418</v>
      </c>
      <c r="M247" s="280" t="s">
        <v>418</v>
      </c>
      <c r="N247" s="280" t="s">
        <v>418</v>
      </c>
      <c r="O247" s="280" t="s">
        <v>418</v>
      </c>
      <c r="P247" s="280" t="s">
        <v>418</v>
      </c>
      <c r="Q247" s="280" t="s">
        <v>418</v>
      </c>
      <c r="R247" s="280" t="s">
        <v>418</v>
      </c>
      <c r="S247" s="280" t="s">
        <v>418</v>
      </c>
      <c r="T247" s="247" t="s">
        <v>418</v>
      </c>
      <c r="U247" s="247" t="s">
        <v>418</v>
      </c>
      <c r="V247" s="247" t="s">
        <v>418</v>
      </c>
      <c r="W247" s="247" t="s">
        <v>418</v>
      </c>
      <c r="X247" s="247" t="s">
        <v>418</v>
      </c>
      <c r="Y247" s="247" t="s">
        <v>418</v>
      </c>
      <c r="Z247" s="247" t="s">
        <v>418</v>
      </c>
      <c r="AA247" s="248" t="s">
        <v>418</v>
      </c>
      <c r="AB247" s="248" t="s">
        <v>418</v>
      </c>
      <c r="AC247" s="248" t="s">
        <v>418</v>
      </c>
      <c r="AD247" s="248" t="s">
        <v>418</v>
      </c>
      <c r="AE247" s="248" t="s">
        <v>418</v>
      </c>
      <c r="AF247" s="248" t="s">
        <v>418</v>
      </c>
      <c r="AG247" s="248" t="s">
        <v>418</v>
      </c>
      <c r="AH247" s="30">
        <f>2*'Project Materials'!$Q$25</f>
        <v>0</v>
      </c>
      <c r="AI247" s="27">
        <f>2*'Project Materials'!$Q$26</f>
        <v>0</v>
      </c>
      <c r="AJ247" s="28">
        <f>2*'Project Materials'!$Q$27</f>
        <v>0</v>
      </c>
      <c r="AK247" s="256">
        <f>2*'Project Materials'!$Q$28</f>
        <v>0</v>
      </c>
    </row>
    <row r="248" spans="1:39" x14ac:dyDescent="0.4">
      <c r="A248" s="61" t="s">
        <v>10</v>
      </c>
      <c r="B248" s="2" t="s">
        <v>511</v>
      </c>
      <c r="C248" s="2" t="s">
        <v>511</v>
      </c>
      <c r="D248" s="12"/>
      <c r="E248" s="4">
        <v>7.25</v>
      </c>
      <c r="F248" s="275" t="s">
        <v>418</v>
      </c>
      <c r="G248" s="275" t="s">
        <v>418</v>
      </c>
      <c r="H248" s="275" t="s">
        <v>418</v>
      </c>
      <c r="I248" s="275" t="s">
        <v>418</v>
      </c>
      <c r="J248" s="275" t="s">
        <v>418</v>
      </c>
      <c r="K248" s="275" t="s">
        <v>418</v>
      </c>
      <c r="L248" s="275" t="s">
        <v>418</v>
      </c>
      <c r="M248" s="280" t="s">
        <v>418</v>
      </c>
      <c r="N248" s="280" t="s">
        <v>418</v>
      </c>
      <c r="O248" s="280" t="s">
        <v>418</v>
      </c>
      <c r="P248" s="280" t="s">
        <v>418</v>
      </c>
      <c r="Q248" s="280" t="s">
        <v>418</v>
      </c>
      <c r="R248" s="280" t="s">
        <v>418</v>
      </c>
      <c r="S248" s="280" t="s">
        <v>418</v>
      </c>
      <c r="T248" s="247" t="s">
        <v>418</v>
      </c>
      <c r="U248" s="247" t="s">
        <v>418</v>
      </c>
      <c r="V248" s="247" t="s">
        <v>418</v>
      </c>
      <c r="W248" s="247" t="s">
        <v>418</v>
      </c>
      <c r="X248" s="247" t="s">
        <v>418</v>
      </c>
      <c r="Y248" s="247" t="s">
        <v>418</v>
      </c>
      <c r="Z248" s="247" t="s">
        <v>418</v>
      </c>
      <c r="AA248" s="248" t="s">
        <v>418</v>
      </c>
      <c r="AB248" s="248" t="s">
        <v>418</v>
      </c>
      <c r="AC248" s="248" t="s">
        <v>418</v>
      </c>
      <c r="AD248" s="248" t="s">
        <v>418</v>
      </c>
      <c r="AE248" s="248" t="s">
        <v>418</v>
      </c>
      <c r="AF248" s="248" t="s">
        <v>418</v>
      </c>
      <c r="AG248" s="248" t="s">
        <v>418</v>
      </c>
      <c r="AH248" s="30">
        <f>2*'Project Materials'!$Q$25</f>
        <v>0</v>
      </c>
      <c r="AI248" s="27">
        <f>2*'Project Materials'!$Q$26</f>
        <v>0</v>
      </c>
      <c r="AJ248" s="28">
        <f>2*'Project Materials'!$Q$27</f>
        <v>0</v>
      </c>
      <c r="AK248" s="256">
        <f>2*'Project Materials'!$Q$28</f>
        <v>0</v>
      </c>
    </row>
    <row r="249" spans="1:39" x14ac:dyDescent="0.4">
      <c r="A249" s="61" t="s">
        <v>10</v>
      </c>
      <c r="B249" s="2" t="s">
        <v>512</v>
      </c>
      <c r="C249" s="2" t="s">
        <v>513</v>
      </c>
      <c r="D249" s="12"/>
      <c r="E249" s="4">
        <v>4.5</v>
      </c>
      <c r="F249" s="275" t="s">
        <v>418</v>
      </c>
      <c r="G249" s="275" t="s">
        <v>418</v>
      </c>
      <c r="H249" s="275" t="s">
        <v>418</v>
      </c>
      <c r="I249" s="275" t="s">
        <v>418</v>
      </c>
      <c r="J249" s="275" t="s">
        <v>418</v>
      </c>
      <c r="K249" s="275" t="s">
        <v>418</v>
      </c>
      <c r="L249" s="275" t="s">
        <v>418</v>
      </c>
      <c r="M249" s="280" t="s">
        <v>418</v>
      </c>
      <c r="N249" s="280" t="s">
        <v>418</v>
      </c>
      <c r="O249" s="280" t="s">
        <v>418</v>
      </c>
      <c r="P249" s="280" t="s">
        <v>418</v>
      </c>
      <c r="Q249" s="280" t="s">
        <v>418</v>
      </c>
      <c r="R249" s="280" t="s">
        <v>418</v>
      </c>
      <c r="S249" s="280" t="s">
        <v>418</v>
      </c>
      <c r="T249" s="247" t="s">
        <v>418</v>
      </c>
      <c r="U249" s="247" t="s">
        <v>418</v>
      </c>
      <c r="V249" s="247" t="s">
        <v>418</v>
      </c>
      <c r="W249" s="247" t="s">
        <v>418</v>
      </c>
      <c r="X249" s="247" t="s">
        <v>418</v>
      </c>
      <c r="Y249" s="247" t="s">
        <v>418</v>
      </c>
      <c r="Z249" s="247" t="s">
        <v>418</v>
      </c>
      <c r="AA249" s="248" t="s">
        <v>418</v>
      </c>
      <c r="AB249" s="248" t="s">
        <v>418</v>
      </c>
      <c r="AC249" s="248" t="s">
        <v>418</v>
      </c>
      <c r="AD249" s="248" t="s">
        <v>418</v>
      </c>
      <c r="AE249" s="248" t="s">
        <v>418</v>
      </c>
      <c r="AF249" s="248" t="s">
        <v>418</v>
      </c>
      <c r="AG249" s="248" t="s">
        <v>418</v>
      </c>
      <c r="AH249" s="30">
        <f>2*'Project Materials'!$Q$25</f>
        <v>0</v>
      </c>
      <c r="AI249" s="27">
        <f>2*'Project Materials'!$Q$26</f>
        <v>0</v>
      </c>
      <c r="AJ249" s="28">
        <f>2*'Project Materials'!$Q$27</f>
        <v>0</v>
      </c>
      <c r="AK249" s="256">
        <f>2*'Project Materials'!$Q$28</f>
        <v>0</v>
      </c>
    </row>
    <row r="250" spans="1:39" x14ac:dyDescent="0.4">
      <c r="A250" s="61" t="s">
        <v>10</v>
      </c>
      <c r="B250" s="2" t="s">
        <v>86</v>
      </c>
      <c r="C250" s="2" t="s">
        <v>87</v>
      </c>
      <c r="D250" s="12"/>
      <c r="E250" s="4">
        <v>5.49</v>
      </c>
      <c r="F250" s="275" t="s">
        <v>418</v>
      </c>
      <c r="G250" s="275" t="s">
        <v>418</v>
      </c>
      <c r="H250" s="275" t="s">
        <v>418</v>
      </c>
      <c r="I250" s="275" t="s">
        <v>418</v>
      </c>
      <c r="J250" s="275" t="s">
        <v>418</v>
      </c>
      <c r="K250" s="275" t="s">
        <v>418</v>
      </c>
      <c r="L250" s="275" t="s">
        <v>418</v>
      </c>
      <c r="M250" s="280" t="s">
        <v>418</v>
      </c>
      <c r="N250" s="280" t="s">
        <v>418</v>
      </c>
      <c r="O250" s="280" t="s">
        <v>418</v>
      </c>
      <c r="P250" s="280" t="s">
        <v>418</v>
      </c>
      <c r="Q250" s="280" t="s">
        <v>418</v>
      </c>
      <c r="R250" s="280" t="s">
        <v>418</v>
      </c>
      <c r="S250" s="280" t="s">
        <v>418</v>
      </c>
      <c r="T250" s="247" t="s">
        <v>418</v>
      </c>
      <c r="U250" s="247" t="s">
        <v>418</v>
      </c>
      <c r="V250" s="247" t="s">
        <v>418</v>
      </c>
      <c r="W250" s="247" t="s">
        <v>418</v>
      </c>
      <c r="X250" s="247" t="s">
        <v>418</v>
      </c>
      <c r="Y250" s="247" t="s">
        <v>418</v>
      </c>
      <c r="Z250" s="247" t="s">
        <v>418</v>
      </c>
      <c r="AA250" s="248" t="s">
        <v>418</v>
      </c>
      <c r="AB250" s="248" t="s">
        <v>418</v>
      </c>
      <c r="AC250" s="248" t="s">
        <v>418</v>
      </c>
      <c r="AD250" s="248" t="s">
        <v>418</v>
      </c>
      <c r="AE250" s="248" t="s">
        <v>418</v>
      </c>
      <c r="AF250" s="248" t="s">
        <v>418</v>
      </c>
      <c r="AG250" s="248" t="s">
        <v>418</v>
      </c>
      <c r="AH250" s="30">
        <f>'Project Materials'!$Q$25</f>
        <v>0</v>
      </c>
      <c r="AI250" s="27">
        <f>'Project Materials'!$Q$26</f>
        <v>0</v>
      </c>
      <c r="AJ250" s="28">
        <f>'Project Materials'!$Q$27</f>
        <v>0</v>
      </c>
      <c r="AK250" s="256">
        <f>'Project Materials'!$Q$28</f>
        <v>0</v>
      </c>
    </row>
    <row r="251" spans="1:39" x14ac:dyDescent="0.4">
      <c r="A251" s="61" t="s">
        <v>10</v>
      </c>
      <c r="B251" s="2" t="s">
        <v>88</v>
      </c>
      <c r="C251" s="2" t="s">
        <v>89</v>
      </c>
      <c r="D251" s="12"/>
      <c r="E251" s="4">
        <v>5.49</v>
      </c>
      <c r="F251" s="275" t="s">
        <v>418</v>
      </c>
      <c r="G251" s="275" t="s">
        <v>418</v>
      </c>
      <c r="H251" s="275" t="s">
        <v>418</v>
      </c>
      <c r="I251" s="275" t="s">
        <v>418</v>
      </c>
      <c r="J251" s="275" t="s">
        <v>418</v>
      </c>
      <c r="K251" s="275" t="s">
        <v>418</v>
      </c>
      <c r="L251" s="275" t="s">
        <v>418</v>
      </c>
      <c r="M251" s="280" t="s">
        <v>418</v>
      </c>
      <c r="N251" s="280" t="s">
        <v>418</v>
      </c>
      <c r="O251" s="280" t="s">
        <v>418</v>
      </c>
      <c r="P251" s="280" t="s">
        <v>418</v>
      </c>
      <c r="Q251" s="280" t="s">
        <v>418</v>
      </c>
      <c r="R251" s="280" t="s">
        <v>418</v>
      </c>
      <c r="S251" s="280" t="s">
        <v>418</v>
      </c>
      <c r="T251" s="247" t="s">
        <v>418</v>
      </c>
      <c r="U251" s="247" t="s">
        <v>418</v>
      </c>
      <c r="V251" s="247" t="s">
        <v>418</v>
      </c>
      <c r="W251" s="247" t="s">
        <v>418</v>
      </c>
      <c r="X251" s="247" t="s">
        <v>418</v>
      </c>
      <c r="Y251" s="247" t="s">
        <v>418</v>
      </c>
      <c r="Z251" s="247" t="s">
        <v>418</v>
      </c>
      <c r="AA251" s="248" t="s">
        <v>418</v>
      </c>
      <c r="AB251" s="248" t="s">
        <v>418</v>
      </c>
      <c r="AC251" s="248" t="s">
        <v>418</v>
      </c>
      <c r="AD251" s="248" t="s">
        <v>418</v>
      </c>
      <c r="AE251" s="248" t="s">
        <v>418</v>
      </c>
      <c r="AF251" s="248" t="s">
        <v>418</v>
      </c>
      <c r="AG251" s="248" t="s">
        <v>418</v>
      </c>
      <c r="AH251" s="30">
        <f>'Project Materials'!$Q$25</f>
        <v>0</v>
      </c>
      <c r="AI251" s="27">
        <f>'Project Materials'!$Q$26</f>
        <v>0</v>
      </c>
      <c r="AJ251" s="28">
        <f>'Project Materials'!$Q$27</f>
        <v>0</v>
      </c>
      <c r="AK251" s="256">
        <f>'Project Materials'!$Q$28</f>
        <v>0</v>
      </c>
    </row>
    <row r="252" spans="1:39" x14ac:dyDescent="0.4">
      <c r="A252" s="61" t="s">
        <v>10</v>
      </c>
      <c r="B252" s="2" t="s">
        <v>90</v>
      </c>
      <c r="C252" s="2" t="s">
        <v>91</v>
      </c>
      <c r="D252" s="12"/>
      <c r="E252" s="4">
        <v>5.49</v>
      </c>
      <c r="F252" s="275" t="s">
        <v>418</v>
      </c>
      <c r="G252" s="275" t="s">
        <v>418</v>
      </c>
      <c r="H252" s="275" t="s">
        <v>418</v>
      </c>
      <c r="I252" s="275" t="s">
        <v>418</v>
      </c>
      <c r="J252" s="275" t="s">
        <v>418</v>
      </c>
      <c r="K252" s="275" t="s">
        <v>418</v>
      </c>
      <c r="L252" s="275" t="s">
        <v>418</v>
      </c>
      <c r="M252" s="280" t="s">
        <v>418</v>
      </c>
      <c r="N252" s="280" t="s">
        <v>418</v>
      </c>
      <c r="O252" s="280" t="s">
        <v>418</v>
      </c>
      <c r="P252" s="280" t="s">
        <v>418</v>
      </c>
      <c r="Q252" s="280" t="s">
        <v>418</v>
      </c>
      <c r="R252" s="280" t="s">
        <v>418</v>
      </c>
      <c r="S252" s="280" t="s">
        <v>418</v>
      </c>
      <c r="T252" s="247" t="s">
        <v>418</v>
      </c>
      <c r="U252" s="247" t="s">
        <v>418</v>
      </c>
      <c r="V252" s="247" t="s">
        <v>418</v>
      </c>
      <c r="W252" s="247" t="s">
        <v>418</v>
      </c>
      <c r="X252" s="247" t="s">
        <v>418</v>
      </c>
      <c r="Y252" s="247" t="s">
        <v>418</v>
      </c>
      <c r="Z252" s="247" t="s">
        <v>418</v>
      </c>
      <c r="AA252" s="248" t="s">
        <v>418</v>
      </c>
      <c r="AB252" s="248" t="s">
        <v>418</v>
      </c>
      <c r="AC252" s="248" t="s">
        <v>418</v>
      </c>
      <c r="AD252" s="248" t="s">
        <v>418</v>
      </c>
      <c r="AE252" s="248" t="s">
        <v>418</v>
      </c>
      <c r="AF252" s="248" t="s">
        <v>418</v>
      </c>
      <c r="AG252" s="248" t="s">
        <v>418</v>
      </c>
      <c r="AH252" s="30">
        <f>'Project Materials'!$Q$25</f>
        <v>0</v>
      </c>
      <c r="AI252" s="27">
        <f>'Project Materials'!$Q$26</f>
        <v>0</v>
      </c>
      <c r="AJ252" s="28">
        <f>'Project Materials'!$Q$27</f>
        <v>0</v>
      </c>
      <c r="AK252" s="256">
        <f>'Project Materials'!$Q$28</f>
        <v>0</v>
      </c>
    </row>
    <row r="253" spans="1:39" x14ac:dyDescent="0.4">
      <c r="A253" s="61" t="s">
        <v>10</v>
      </c>
      <c r="B253" s="2" t="s">
        <v>92</v>
      </c>
      <c r="C253" s="2" t="s">
        <v>93</v>
      </c>
      <c r="D253" s="12"/>
      <c r="E253" s="4">
        <v>5.49</v>
      </c>
      <c r="F253" s="275" t="s">
        <v>418</v>
      </c>
      <c r="G253" s="275" t="s">
        <v>418</v>
      </c>
      <c r="H253" s="275" t="s">
        <v>418</v>
      </c>
      <c r="I253" s="275" t="s">
        <v>418</v>
      </c>
      <c r="J253" s="275" t="s">
        <v>418</v>
      </c>
      <c r="K253" s="275" t="s">
        <v>418</v>
      </c>
      <c r="L253" s="275" t="s">
        <v>418</v>
      </c>
      <c r="M253" s="280" t="s">
        <v>418</v>
      </c>
      <c r="N253" s="280" t="s">
        <v>418</v>
      </c>
      <c r="O253" s="280" t="s">
        <v>418</v>
      </c>
      <c r="P253" s="280" t="s">
        <v>418</v>
      </c>
      <c r="Q253" s="280" t="s">
        <v>418</v>
      </c>
      <c r="R253" s="280" t="s">
        <v>418</v>
      </c>
      <c r="S253" s="280" t="s">
        <v>418</v>
      </c>
      <c r="T253" s="247" t="s">
        <v>418</v>
      </c>
      <c r="U253" s="247" t="s">
        <v>418</v>
      </c>
      <c r="V253" s="247" t="s">
        <v>418</v>
      </c>
      <c r="W253" s="247" t="s">
        <v>418</v>
      </c>
      <c r="X253" s="247" t="s">
        <v>418</v>
      </c>
      <c r="Y253" s="247" t="s">
        <v>418</v>
      </c>
      <c r="Z253" s="247" t="s">
        <v>418</v>
      </c>
      <c r="AA253" s="248" t="s">
        <v>418</v>
      </c>
      <c r="AB253" s="248" t="s">
        <v>418</v>
      </c>
      <c r="AC253" s="248" t="s">
        <v>418</v>
      </c>
      <c r="AD253" s="248" t="s">
        <v>418</v>
      </c>
      <c r="AE253" s="248" t="s">
        <v>418</v>
      </c>
      <c r="AF253" s="248" t="s">
        <v>418</v>
      </c>
      <c r="AG253" s="248" t="s">
        <v>418</v>
      </c>
      <c r="AH253" s="30">
        <f>'Project Materials'!$Q$25</f>
        <v>0</v>
      </c>
      <c r="AI253" s="27">
        <f>'Project Materials'!$Q$26</f>
        <v>0</v>
      </c>
      <c r="AJ253" s="28">
        <f>'Project Materials'!$Q$27</f>
        <v>0</v>
      </c>
      <c r="AK253" s="256">
        <f>'Project Materials'!$Q$28</f>
        <v>0</v>
      </c>
    </row>
    <row r="254" spans="1:39" x14ac:dyDescent="0.4">
      <c r="A254" s="61" t="s">
        <v>10</v>
      </c>
      <c r="B254" s="2" t="s">
        <v>811</v>
      </c>
      <c r="C254" s="2" t="s">
        <v>812</v>
      </c>
      <c r="D254" s="12"/>
      <c r="E254" s="4">
        <v>14</v>
      </c>
      <c r="F254" s="275" t="s">
        <v>418</v>
      </c>
      <c r="G254" s="275" t="s">
        <v>418</v>
      </c>
      <c r="H254" s="275" t="s">
        <v>418</v>
      </c>
      <c r="I254" s="275" t="s">
        <v>418</v>
      </c>
      <c r="J254" s="275" t="s">
        <v>418</v>
      </c>
      <c r="K254" s="275" t="s">
        <v>418</v>
      </c>
      <c r="L254" s="275" t="s">
        <v>418</v>
      </c>
      <c r="M254" s="280" t="s">
        <v>418</v>
      </c>
      <c r="N254" s="280" t="s">
        <v>418</v>
      </c>
      <c r="O254" s="280" t="s">
        <v>418</v>
      </c>
      <c r="P254" s="280" t="s">
        <v>418</v>
      </c>
      <c r="Q254" s="280" t="s">
        <v>418</v>
      </c>
      <c r="R254" s="280" t="s">
        <v>418</v>
      </c>
      <c r="S254" s="280" t="s">
        <v>418</v>
      </c>
      <c r="T254" s="247" t="s">
        <v>418</v>
      </c>
      <c r="U254" s="247" t="s">
        <v>418</v>
      </c>
      <c r="V254" s="247" t="s">
        <v>418</v>
      </c>
      <c r="W254" s="247" t="s">
        <v>418</v>
      </c>
      <c r="X254" s="247" t="s">
        <v>418</v>
      </c>
      <c r="Y254" s="247" t="s">
        <v>418</v>
      </c>
      <c r="Z254" s="247" t="s">
        <v>418</v>
      </c>
      <c r="AA254" s="248" t="s">
        <v>418</v>
      </c>
      <c r="AB254" s="248" t="s">
        <v>418</v>
      </c>
      <c r="AC254" s="248" t="s">
        <v>418</v>
      </c>
      <c r="AD254" s="248" t="s">
        <v>418</v>
      </c>
      <c r="AE254" s="248" t="s">
        <v>418</v>
      </c>
      <c r="AF254" s="248" t="s">
        <v>418</v>
      </c>
      <c r="AG254" s="248" t="s">
        <v>418</v>
      </c>
      <c r="AH254" s="30">
        <f>2*'Project Materials'!$Q$25</f>
        <v>0</v>
      </c>
      <c r="AI254" s="27">
        <f>2*'Project Materials'!$Q$26</f>
        <v>0</v>
      </c>
      <c r="AJ254" s="28">
        <f>2*'Project Materials'!$Q$27</f>
        <v>0</v>
      </c>
      <c r="AK254" s="256">
        <f>2*'Project Materials'!$Q$28</f>
        <v>0</v>
      </c>
    </row>
    <row r="255" spans="1:39" x14ac:dyDescent="0.4">
      <c r="A255" s="61" t="s">
        <v>10</v>
      </c>
      <c r="B255" s="2" t="s">
        <v>113</v>
      </c>
      <c r="C255" s="2" t="s">
        <v>114</v>
      </c>
      <c r="D255" s="12">
        <v>20</v>
      </c>
      <c r="E255" s="4">
        <v>15.86</v>
      </c>
      <c r="F255" s="275" t="s">
        <v>418</v>
      </c>
      <c r="G255" s="275" t="s">
        <v>418</v>
      </c>
      <c r="H255" s="275" t="s">
        <v>418</v>
      </c>
      <c r="I255" s="275" t="s">
        <v>418</v>
      </c>
      <c r="J255" s="275" t="s">
        <v>418</v>
      </c>
      <c r="K255" s="275" t="s">
        <v>418</v>
      </c>
      <c r="L255" s="275" t="s">
        <v>418</v>
      </c>
      <c r="M255" s="280" t="s">
        <v>418</v>
      </c>
      <c r="N255" s="280" t="s">
        <v>418</v>
      </c>
      <c r="O255" s="280" t="s">
        <v>418</v>
      </c>
      <c r="P255" s="280" t="s">
        <v>418</v>
      </c>
      <c r="Q255" s="280" t="s">
        <v>418</v>
      </c>
      <c r="R255" s="280" t="s">
        <v>418</v>
      </c>
      <c r="S255" s="280" t="s">
        <v>418</v>
      </c>
      <c r="T255" s="247" t="s">
        <v>418</v>
      </c>
      <c r="U255" s="247" t="s">
        <v>418</v>
      </c>
      <c r="V255" s="247" t="s">
        <v>418</v>
      </c>
      <c r="W255" s="247" t="s">
        <v>418</v>
      </c>
      <c r="X255" s="247" t="s">
        <v>418</v>
      </c>
      <c r="Y255" s="247" t="s">
        <v>418</v>
      </c>
      <c r="Z255" s="247" t="s">
        <v>418</v>
      </c>
      <c r="AA255" s="248" t="s">
        <v>418</v>
      </c>
      <c r="AB255" s="248" t="s">
        <v>418</v>
      </c>
      <c r="AC255" s="248" t="s">
        <v>418</v>
      </c>
      <c r="AD255" s="248" t="s">
        <v>418</v>
      </c>
      <c r="AE255" s="248" t="s">
        <v>418</v>
      </c>
      <c r="AF255" s="248" t="s">
        <v>418</v>
      </c>
      <c r="AG255" s="248" t="s">
        <v>418</v>
      </c>
      <c r="AH255" s="162">
        <f>CEILING((((CEILING(('Project Materials'!$O$25/D255),0.25)*'Project Materials'!$P$25))),0.5)</f>
        <v>0</v>
      </c>
      <c r="AI255" s="157">
        <f>CEILING((((CEILING(('Project Materials'!$O$26/D255),0.25)*'Project Materials'!$P$26))),0.5)</f>
        <v>0</v>
      </c>
      <c r="AJ255" s="152">
        <f>CEILING((((CEILING(('Project Materials'!$O$27/D255),0.25)*'Project Materials'!$P$27))),0.5)</f>
        <v>0</v>
      </c>
      <c r="AK255" s="255">
        <f>CEILING((((CEILING(('Project Materials'!$O$28/D255),0.25)*'Project Materials'!$P$28))),0.5)</f>
        <v>0</v>
      </c>
    </row>
    <row r="256" spans="1:39" x14ac:dyDescent="0.4">
      <c r="A256" s="61" t="s">
        <v>10</v>
      </c>
      <c r="B256" s="2" t="s">
        <v>115</v>
      </c>
      <c r="C256" s="2" t="s">
        <v>116</v>
      </c>
      <c r="D256" s="12">
        <v>20</v>
      </c>
      <c r="E256" s="4">
        <v>14.23</v>
      </c>
      <c r="F256" s="275" t="s">
        <v>418</v>
      </c>
      <c r="G256" s="275" t="s">
        <v>418</v>
      </c>
      <c r="H256" s="275" t="s">
        <v>418</v>
      </c>
      <c r="I256" s="275" t="s">
        <v>418</v>
      </c>
      <c r="J256" s="275" t="s">
        <v>418</v>
      </c>
      <c r="K256" s="275" t="s">
        <v>418</v>
      </c>
      <c r="L256" s="275" t="s">
        <v>418</v>
      </c>
      <c r="M256" s="280" t="s">
        <v>418</v>
      </c>
      <c r="N256" s="280" t="s">
        <v>418</v>
      </c>
      <c r="O256" s="280" t="s">
        <v>418</v>
      </c>
      <c r="P256" s="280" t="s">
        <v>418</v>
      </c>
      <c r="Q256" s="280" t="s">
        <v>418</v>
      </c>
      <c r="R256" s="280" t="s">
        <v>418</v>
      </c>
      <c r="S256" s="280" t="s">
        <v>418</v>
      </c>
      <c r="T256" s="247" t="s">
        <v>418</v>
      </c>
      <c r="U256" s="247" t="s">
        <v>418</v>
      </c>
      <c r="V256" s="247" t="s">
        <v>418</v>
      </c>
      <c r="W256" s="247" t="s">
        <v>418</v>
      </c>
      <c r="X256" s="247" t="s">
        <v>418</v>
      </c>
      <c r="Y256" s="247" t="s">
        <v>418</v>
      </c>
      <c r="Z256" s="247" t="s">
        <v>418</v>
      </c>
      <c r="AA256" s="248" t="s">
        <v>418</v>
      </c>
      <c r="AB256" s="248" t="s">
        <v>418</v>
      </c>
      <c r="AC256" s="248" t="s">
        <v>418</v>
      </c>
      <c r="AD256" s="248" t="s">
        <v>418</v>
      </c>
      <c r="AE256" s="248" t="s">
        <v>418</v>
      </c>
      <c r="AF256" s="248" t="s">
        <v>418</v>
      </c>
      <c r="AG256" s="248" t="s">
        <v>418</v>
      </c>
      <c r="AH256" s="162">
        <f>CEILING((((CEILING(('Project Materials'!$O$25/D256),0.25)*'Project Materials'!$P$25))),0.5)</f>
        <v>0</v>
      </c>
      <c r="AI256" s="157">
        <f>CEILING((((CEILING(('Project Materials'!$O$26/D256),0.25)*'Project Materials'!$P$26))),0.5)</f>
        <v>0</v>
      </c>
      <c r="AJ256" s="152">
        <f>CEILING((((CEILING(('Project Materials'!$O$27/D256),0.25)*'Project Materials'!$P$27))),0.5)</f>
        <v>0</v>
      </c>
      <c r="AK256" s="255">
        <f>CEILING((((CEILING(('Project Materials'!$O$28/D256),0.25)*'Project Materials'!$P$28))),0.5)</f>
        <v>0</v>
      </c>
    </row>
    <row r="257" spans="1:40" x14ac:dyDescent="0.4">
      <c r="A257" s="61" t="s">
        <v>10</v>
      </c>
      <c r="B257" s="2" t="s">
        <v>117</v>
      </c>
      <c r="C257" s="2" t="s">
        <v>118</v>
      </c>
      <c r="D257" s="12">
        <v>20</v>
      </c>
      <c r="E257" s="4">
        <v>19.04</v>
      </c>
      <c r="F257" s="275" t="s">
        <v>418</v>
      </c>
      <c r="G257" s="275" t="s">
        <v>418</v>
      </c>
      <c r="H257" s="275" t="s">
        <v>418</v>
      </c>
      <c r="I257" s="275" t="s">
        <v>418</v>
      </c>
      <c r="J257" s="275" t="s">
        <v>418</v>
      </c>
      <c r="K257" s="275" t="s">
        <v>418</v>
      </c>
      <c r="L257" s="275" t="s">
        <v>418</v>
      </c>
      <c r="M257" s="280" t="s">
        <v>418</v>
      </c>
      <c r="N257" s="280" t="s">
        <v>418</v>
      </c>
      <c r="O257" s="280" t="s">
        <v>418</v>
      </c>
      <c r="P257" s="280" t="s">
        <v>418</v>
      </c>
      <c r="Q257" s="280" t="s">
        <v>418</v>
      </c>
      <c r="R257" s="280" t="s">
        <v>418</v>
      </c>
      <c r="S257" s="280" t="s">
        <v>418</v>
      </c>
      <c r="T257" s="247" t="s">
        <v>418</v>
      </c>
      <c r="U257" s="247" t="s">
        <v>418</v>
      </c>
      <c r="V257" s="247" t="s">
        <v>418</v>
      </c>
      <c r="W257" s="247" t="s">
        <v>418</v>
      </c>
      <c r="X257" s="247" t="s">
        <v>418</v>
      </c>
      <c r="Y257" s="247" t="s">
        <v>418</v>
      </c>
      <c r="Z257" s="247" t="s">
        <v>418</v>
      </c>
      <c r="AA257" s="248" t="s">
        <v>418</v>
      </c>
      <c r="AB257" s="248" t="s">
        <v>418</v>
      </c>
      <c r="AC257" s="248" t="s">
        <v>418</v>
      </c>
      <c r="AD257" s="248" t="s">
        <v>418</v>
      </c>
      <c r="AE257" s="248" t="s">
        <v>418</v>
      </c>
      <c r="AF257" s="248" t="s">
        <v>418</v>
      </c>
      <c r="AG257" s="248" t="s">
        <v>418</v>
      </c>
      <c r="AH257" s="162">
        <f>CEILING((((CEILING(('Project Materials'!$O$25/D257),0.25)*'Project Materials'!$P$25))),0.5)</f>
        <v>0</v>
      </c>
      <c r="AI257" s="157">
        <f>CEILING((((CEILING(('Project Materials'!$O$26/D257),0.25)*'Project Materials'!$P$26))),0.5)</f>
        <v>0</v>
      </c>
      <c r="AJ257" s="152">
        <f>CEILING((((CEILING(('Project Materials'!$O$27/D257),0.25)*'Project Materials'!$P$27))),0.5)</f>
        <v>0</v>
      </c>
      <c r="AK257" s="255">
        <f>CEILING((((CEILING(('Project Materials'!$O$28/D257),0.25)*'Project Materials'!$P$28))),0.5)</f>
        <v>0</v>
      </c>
    </row>
    <row r="258" spans="1:40" x14ac:dyDescent="0.4">
      <c r="A258" s="61" t="s">
        <v>10</v>
      </c>
      <c r="B258" s="2" t="s">
        <v>119</v>
      </c>
      <c r="C258" s="2" t="s">
        <v>120</v>
      </c>
      <c r="D258" s="12">
        <v>20</v>
      </c>
      <c r="E258" s="4">
        <v>11.81691</v>
      </c>
      <c r="F258" s="275" t="s">
        <v>418</v>
      </c>
      <c r="G258" s="275" t="s">
        <v>418</v>
      </c>
      <c r="H258" s="275" t="s">
        <v>418</v>
      </c>
      <c r="I258" s="275" t="s">
        <v>418</v>
      </c>
      <c r="J258" s="275" t="s">
        <v>418</v>
      </c>
      <c r="K258" s="275" t="s">
        <v>418</v>
      </c>
      <c r="L258" s="275" t="s">
        <v>418</v>
      </c>
      <c r="M258" s="280" t="s">
        <v>418</v>
      </c>
      <c r="N258" s="280" t="s">
        <v>418</v>
      </c>
      <c r="O258" s="280" t="s">
        <v>418</v>
      </c>
      <c r="P258" s="280" t="s">
        <v>418</v>
      </c>
      <c r="Q258" s="280" t="s">
        <v>418</v>
      </c>
      <c r="R258" s="280" t="s">
        <v>418</v>
      </c>
      <c r="S258" s="280" t="s">
        <v>418</v>
      </c>
      <c r="T258" s="247" t="s">
        <v>418</v>
      </c>
      <c r="U258" s="247" t="s">
        <v>418</v>
      </c>
      <c r="V258" s="247" t="s">
        <v>418</v>
      </c>
      <c r="W258" s="247" t="s">
        <v>418</v>
      </c>
      <c r="X258" s="247" t="s">
        <v>418</v>
      </c>
      <c r="Y258" s="247" t="s">
        <v>418</v>
      </c>
      <c r="Z258" s="247" t="s">
        <v>418</v>
      </c>
      <c r="AA258" s="248" t="s">
        <v>418</v>
      </c>
      <c r="AB258" s="248" t="s">
        <v>418</v>
      </c>
      <c r="AC258" s="248" t="s">
        <v>418</v>
      </c>
      <c r="AD258" s="248" t="s">
        <v>418</v>
      </c>
      <c r="AE258" s="248" t="s">
        <v>418</v>
      </c>
      <c r="AF258" s="248" t="s">
        <v>418</v>
      </c>
      <c r="AG258" s="248" t="s">
        <v>418</v>
      </c>
      <c r="AH258" s="162">
        <f>CEILING((((CEILING(('Project Materials'!$O$25/D258),0.25)*'Project Materials'!$P$25))),0.5)</f>
        <v>0</v>
      </c>
      <c r="AI258" s="157">
        <f>CEILING((((CEILING(('Project Materials'!$O$26/D258),0.25)*'Project Materials'!$P$26))),0.5)</f>
        <v>0</v>
      </c>
      <c r="AJ258" s="152">
        <f>CEILING((((CEILING(('Project Materials'!$O$27/D258),0.25)*'Project Materials'!$P$27))),0.5)</f>
        <v>0</v>
      </c>
      <c r="AK258" s="255">
        <f>CEILING((((CEILING(('Project Materials'!$O$28/D258),0.25)*'Project Materials'!$P$28))),0.5)</f>
        <v>0</v>
      </c>
    </row>
    <row r="259" spans="1:40" x14ac:dyDescent="0.4">
      <c r="A259" s="60" t="s">
        <v>10</v>
      </c>
      <c r="B259" s="2" t="s">
        <v>134</v>
      </c>
      <c r="C259" s="2" t="s">
        <v>135</v>
      </c>
      <c r="D259" s="12"/>
      <c r="E259" s="4">
        <v>5.47</v>
      </c>
      <c r="F259" s="275" t="s">
        <v>418</v>
      </c>
      <c r="G259" s="275" t="s">
        <v>418</v>
      </c>
      <c r="H259" s="275" t="s">
        <v>418</v>
      </c>
      <c r="I259" s="275" t="s">
        <v>418</v>
      </c>
      <c r="J259" s="275" t="s">
        <v>418</v>
      </c>
      <c r="K259" s="275" t="s">
        <v>418</v>
      </c>
      <c r="L259" s="275" t="s">
        <v>418</v>
      </c>
      <c r="M259" s="280" t="s">
        <v>418</v>
      </c>
      <c r="N259" s="280" t="s">
        <v>418</v>
      </c>
      <c r="O259" s="280" t="s">
        <v>418</v>
      </c>
      <c r="P259" s="280" t="s">
        <v>418</v>
      </c>
      <c r="Q259" s="280" t="s">
        <v>418</v>
      </c>
      <c r="R259" s="280" t="s">
        <v>418</v>
      </c>
      <c r="S259" s="280" t="s">
        <v>418</v>
      </c>
      <c r="T259" s="247" t="s">
        <v>418</v>
      </c>
      <c r="U259" s="247" t="s">
        <v>418</v>
      </c>
      <c r="V259" s="247" t="s">
        <v>418</v>
      </c>
      <c r="W259" s="247" t="s">
        <v>418</v>
      </c>
      <c r="X259" s="247" t="s">
        <v>418</v>
      </c>
      <c r="Y259" s="247" t="s">
        <v>418</v>
      </c>
      <c r="Z259" s="247" t="s">
        <v>418</v>
      </c>
      <c r="AA259" s="248" t="s">
        <v>418</v>
      </c>
      <c r="AB259" s="248" t="s">
        <v>418</v>
      </c>
      <c r="AC259" s="248" t="s">
        <v>418</v>
      </c>
      <c r="AD259" s="248" t="s">
        <v>418</v>
      </c>
      <c r="AE259" s="248" t="s">
        <v>418</v>
      </c>
      <c r="AF259" s="248" t="s">
        <v>418</v>
      </c>
      <c r="AG259" s="248" t="s">
        <v>418</v>
      </c>
      <c r="AH259" s="30">
        <f>('Project Materials'!M25+'Project Materials'!L25)*'Project Materials'!$P$25</f>
        <v>0</v>
      </c>
      <c r="AI259" s="27">
        <f>('Project Materials'!M26+'Project Materials'!L26)*'Project Materials'!$P$26</f>
        <v>0</v>
      </c>
      <c r="AJ259" s="28">
        <f>('Project Materials'!M27+'Project Materials'!L27)*'Project Materials'!$P$27</f>
        <v>0</v>
      </c>
      <c r="AK259" s="255">
        <f>('Project Materials'!M28+'Project Materials'!L28)*'Project Materials'!$P$28</f>
        <v>0</v>
      </c>
      <c r="AM259" s="98">
        <v>1</v>
      </c>
    </row>
    <row r="260" spans="1:40" s="98" customFormat="1" x14ac:dyDescent="0.4">
      <c r="A260" s="60" t="s">
        <v>10</v>
      </c>
      <c r="B260" s="99" t="s">
        <v>860</v>
      </c>
      <c r="C260" s="99" t="s">
        <v>861</v>
      </c>
      <c r="D260" s="12"/>
      <c r="E260" s="4">
        <v>3.15</v>
      </c>
      <c r="F260" s="275" t="s">
        <v>418</v>
      </c>
      <c r="G260" s="275" t="s">
        <v>418</v>
      </c>
      <c r="H260" s="275" t="s">
        <v>418</v>
      </c>
      <c r="I260" s="275" t="s">
        <v>418</v>
      </c>
      <c r="J260" s="275" t="s">
        <v>418</v>
      </c>
      <c r="K260" s="275" t="s">
        <v>418</v>
      </c>
      <c r="L260" s="275" t="s">
        <v>418</v>
      </c>
      <c r="M260" s="280" t="s">
        <v>418</v>
      </c>
      <c r="N260" s="280" t="s">
        <v>418</v>
      </c>
      <c r="O260" s="280" t="s">
        <v>418</v>
      </c>
      <c r="P260" s="280" t="s">
        <v>418</v>
      </c>
      <c r="Q260" s="280" t="s">
        <v>418</v>
      </c>
      <c r="R260" s="280" t="s">
        <v>418</v>
      </c>
      <c r="S260" s="280" t="s">
        <v>418</v>
      </c>
      <c r="T260" s="247" t="s">
        <v>418</v>
      </c>
      <c r="U260" s="247" t="s">
        <v>418</v>
      </c>
      <c r="V260" s="247" t="s">
        <v>418</v>
      </c>
      <c r="W260" s="247" t="s">
        <v>418</v>
      </c>
      <c r="X260" s="247" t="s">
        <v>418</v>
      </c>
      <c r="Y260" s="247" t="s">
        <v>418</v>
      </c>
      <c r="Z260" s="247" t="s">
        <v>418</v>
      </c>
      <c r="AA260" s="248" t="s">
        <v>418</v>
      </c>
      <c r="AB260" s="248" t="s">
        <v>418</v>
      </c>
      <c r="AC260" s="248" t="s">
        <v>418</v>
      </c>
      <c r="AD260" s="248" t="s">
        <v>418</v>
      </c>
      <c r="AE260" s="248" t="s">
        <v>418</v>
      </c>
      <c r="AF260" s="248" t="s">
        <v>418</v>
      </c>
      <c r="AG260" s="248" t="s">
        <v>418</v>
      </c>
      <c r="AH260" s="30"/>
      <c r="AI260" s="27"/>
      <c r="AJ260" s="28"/>
      <c r="AK260" s="204"/>
      <c r="AM260" s="98">
        <v>1</v>
      </c>
      <c r="AN260" s="22"/>
    </row>
    <row r="261" spans="1:40" x14ac:dyDescent="0.4">
      <c r="A261" s="60" t="s">
        <v>10</v>
      </c>
      <c r="B261" s="2" t="s">
        <v>136</v>
      </c>
      <c r="C261" s="2" t="s">
        <v>137</v>
      </c>
      <c r="D261" s="12"/>
      <c r="E261" s="4">
        <v>1.4850000000000001</v>
      </c>
      <c r="F261" s="275" t="s">
        <v>418</v>
      </c>
      <c r="G261" s="275" t="s">
        <v>418</v>
      </c>
      <c r="H261" s="275" t="s">
        <v>418</v>
      </c>
      <c r="I261" s="275" t="s">
        <v>418</v>
      </c>
      <c r="J261" s="275" t="s">
        <v>418</v>
      </c>
      <c r="K261" s="275" t="s">
        <v>418</v>
      </c>
      <c r="L261" s="275" t="s">
        <v>418</v>
      </c>
      <c r="M261" s="280" t="s">
        <v>418</v>
      </c>
      <c r="N261" s="280" t="s">
        <v>418</v>
      </c>
      <c r="O261" s="280" t="s">
        <v>418</v>
      </c>
      <c r="P261" s="280" t="s">
        <v>418</v>
      </c>
      <c r="Q261" s="280" t="s">
        <v>418</v>
      </c>
      <c r="R261" s="280" t="s">
        <v>418</v>
      </c>
      <c r="S261" s="280" t="s">
        <v>418</v>
      </c>
      <c r="T261" s="247" t="s">
        <v>418</v>
      </c>
      <c r="U261" s="247" t="s">
        <v>418</v>
      </c>
      <c r="V261" s="247" t="s">
        <v>418</v>
      </c>
      <c r="W261" s="247" t="s">
        <v>418</v>
      </c>
      <c r="X261" s="247" t="s">
        <v>418</v>
      </c>
      <c r="Y261" s="247" t="s">
        <v>418</v>
      </c>
      <c r="Z261" s="247" t="s">
        <v>418</v>
      </c>
      <c r="AA261" s="248" t="s">
        <v>418</v>
      </c>
      <c r="AB261" s="248" t="s">
        <v>418</v>
      </c>
      <c r="AC261" s="248" t="s">
        <v>418</v>
      </c>
      <c r="AD261" s="248" t="s">
        <v>418</v>
      </c>
      <c r="AE261" s="248" t="s">
        <v>418</v>
      </c>
      <c r="AF261" s="248" t="s">
        <v>418</v>
      </c>
      <c r="AG261" s="248" t="s">
        <v>418</v>
      </c>
    </row>
    <row r="262" spans="1:40" x14ac:dyDescent="0.4">
      <c r="A262" s="60" t="s">
        <v>10</v>
      </c>
      <c r="B262" s="2" t="s">
        <v>138</v>
      </c>
      <c r="C262" s="2" t="s">
        <v>139</v>
      </c>
      <c r="D262" s="12"/>
      <c r="E262" s="4">
        <v>1.4850000000000001</v>
      </c>
      <c r="F262" s="275" t="s">
        <v>418</v>
      </c>
      <c r="G262" s="275" t="s">
        <v>418</v>
      </c>
      <c r="H262" s="275" t="s">
        <v>418</v>
      </c>
      <c r="I262" s="275" t="s">
        <v>418</v>
      </c>
      <c r="J262" s="275" t="s">
        <v>418</v>
      </c>
      <c r="K262" s="275" t="s">
        <v>418</v>
      </c>
      <c r="L262" s="275" t="s">
        <v>418</v>
      </c>
      <c r="M262" s="280" t="s">
        <v>418</v>
      </c>
      <c r="N262" s="280" t="s">
        <v>418</v>
      </c>
      <c r="O262" s="280" t="s">
        <v>418</v>
      </c>
      <c r="P262" s="280" t="s">
        <v>418</v>
      </c>
      <c r="Q262" s="280" t="s">
        <v>418</v>
      </c>
      <c r="R262" s="280" t="s">
        <v>418</v>
      </c>
      <c r="S262" s="280" t="s">
        <v>418</v>
      </c>
      <c r="T262" s="247" t="s">
        <v>418</v>
      </c>
      <c r="U262" s="247" t="s">
        <v>418</v>
      </c>
      <c r="V262" s="247" t="s">
        <v>418</v>
      </c>
      <c r="W262" s="247" t="s">
        <v>418</v>
      </c>
      <c r="X262" s="247" t="s">
        <v>418</v>
      </c>
      <c r="Y262" s="247" t="s">
        <v>418</v>
      </c>
      <c r="Z262" s="247" t="s">
        <v>418</v>
      </c>
      <c r="AA262" s="248" t="s">
        <v>418</v>
      </c>
      <c r="AB262" s="248" t="s">
        <v>418</v>
      </c>
      <c r="AC262" s="248" t="s">
        <v>418</v>
      </c>
      <c r="AD262" s="248" t="s">
        <v>418</v>
      </c>
      <c r="AE262" s="248" t="s">
        <v>418</v>
      </c>
      <c r="AF262" s="248" t="s">
        <v>418</v>
      </c>
      <c r="AG262" s="248" t="s">
        <v>418</v>
      </c>
    </row>
    <row r="263" spans="1:40" x14ac:dyDescent="0.4">
      <c r="A263" s="60" t="s">
        <v>10</v>
      </c>
      <c r="B263" s="2" t="s">
        <v>140</v>
      </c>
      <c r="C263" s="2" t="s">
        <v>141</v>
      </c>
      <c r="D263" s="12"/>
      <c r="E263" s="4">
        <v>0.81</v>
      </c>
      <c r="F263" s="275" t="s">
        <v>418</v>
      </c>
      <c r="G263" s="275" t="s">
        <v>418</v>
      </c>
      <c r="H263" s="275" t="s">
        <v>418</v>
      </c>
      <c r="I263" s="275" t="s">
        <v>418</v>
      </c>
      <c r="J263" s="275" t="s">
        <v>418</v>
      </c>
      <c r="K263" s="275" t="s">
        <v>418</v>
      </c>
      <c r="L263" s="275" t="s">
        <v>418</v>
      </c>
      <c r="M263" s="280" t="s">
        <v>418</v>
      </c>
      <c r="N263" s="280" t="s">
        <v>418</v>
      </c>
      <c r="O263" s="280" t="s">
        <v>418</v>
      </c>
      <c r="P263" s="280" t="s">
        <v>418</v>
      </c>
      <c r="Q263" s="280" t="s">
        <v>418</v>
      </c>
      <c r="R263" s="280" t="s">
        <v>418</v>
      </c>
      <c r="S263" s="280" t="s">
        <v>418</v>
      </c>
      <c r="T263" s="247" t="s">
        <v>418</v>
      </c>
      <c r="U263" s="247" t="s">
        <v>418</v>
      </c>
      <c r="V263" s="247" t="s">
        <v>418</v>
      </c>
      <c r="W263" s="247" t="s">
        <v>418</v>
      </c>
      <c r="X263" s="247" t="s">
        <v>418</v>
      </c>
      <c r="Y263" s="247" t="s">
        <v>418</v>
      </c>
      <c r="Z263" s="247" t="s">
        <v>418</v>
      </c>
      <c r="AA263" s="248" t="s">
        <v>418</v>
      </c>
      <c r="AB263" s="248" t="s">
        <v>418</v>
      </c>
      <c r="AC263" s="248" t="s">
        <v>418</v>
      </c>
      <c r="AD263" s="248" t="s">
        <v>418</v>
      </c>
      <c r="AE263" s="248" t="s">
        <v>418</v>
      </c>
      <c r="AF263" s="248" t="s">
        <v>418</v>
      </c>
      <c r="AG263" s="248" t="s">
        <v>418</v>
      </c>
    </row>
    <row r="264" spans="1:40" x14ac:dyDescent="0.4">
      <c r="A264" s="60" t="s">
        <v>10</v>
      </c>
      <c r="B264" s="2" t="s">
        <v>142</v>
      </c>
      <c r="C264" s="2" t="s">
        <v>143</v>
      </c>
      <c r="D264" s="12"/>
      <c r="E264" s="4">
        <v>2.875</v>
      </c>
      <c r="F264" s="275" t="s">
        <v>418</v>
      </c>
      <c r="G264" s="275" t="s">
        <v>418</v>
      </c>
      <c r="H264" s="275" t="s">
        <v>418</v>
      </c>
      <c r="I264" s="275" t="s">
        <v>418</v>
      </c>
      <c r="J264" s="275" t="s">
        <v>418</v>
      </c>
      <c r="K264" s="275" t="s">
        <v>418</v>
      </c>
      <c r="L264" s="275" t="s">
        <v>418</v>
      </c>
      <c r="M264" s="280" t="s">
        <v>418</v>
      </c>
      <c r="N264" s="280" t="s">
        <v>418</v>
      </c>
      <c r="O264" s="280" t="s">
        <v>418</v>
      </c>
      <c r="P264" s="280" t="s">
        <v>418</v>
      </c>
      <c r="Q264" s="280" t="s">
        <v>418</v>
      </c>
      <c r="R264" s="280" t="s">
        <v>418</v>
      </c>
      <c r="S264" s="280" t="s">
        <v>418</v>
      </c>
      <c r="T264" s="247" t="s">
        <v>418</v>
      </c>
      <c r="U264" s="247" t="s">
        <v>418</v>
      </c>
      <c r="V264" s="247" t="s">
        <v>418</v>
      </c>
      <c r="W264" s="247" t="s">
        <v>418</v>
      </c>
      <c r="X264" s="247" t="s">
        <v>418</v>
      </c>
      <c r="Y264" s="247" t="s">
        <v>418</v>
      </c>
      <c r="Z264" s="247" t="s">
        <v>418</v>
      </c>
      <c r="AA264" s="248" t="s">
        <v>418</v>
      </c>
      <c r="AB264" s="248" t="s">
        <v>418</v>
      </c>
      <c r="AC264" s="248" t="s">
        <v>418</v>
      </c>
      <c r="AD264" s="248" t="s">
        <v>418</v>
      </c>
      <c r="AE264" s="248" t="s">
        <v>418</v>
      </c>
      <c r="AF264" s="248" t="s">
        <v>418</v>
      </c>
      <c r="AG264" s="248" t="s">
        <v>418</v>
      </c>
    </row>
    <row r="265" spans="1:40" x14ac:dyDescent="0.4">
      <c r="A265" s="60" t="s">
        <v>10</v>
      </c>
      <c r="B265" s="2" t="s">
        <v>144</v>
      </c>
      <c r="C265" s="2" t="s">
        <v>145</v>
      </c>
      <c r="D265" s="12"/>
      <c r="E265" s="4">
        <v>8</v>
      </c>
      <c r="F265" s="275" t="s">
        <v>418</v>
      </c>
      <c r="G265" s="275" t="s">
        <v>418</v>
      </c>
      <c r="H265" s="275" t="s">
        <v>418</v>
      </c>
      <c r="I265" s="275" t="s">
        <v>418</v>
      </c>
      <c r="J265" s="275" t="s">
        <v>418</v>
      </c>
      <c r="K265" s="275" t="s">
        <v>418</v>
      </c>
      <c r="L265" s="275" t="s">
        <v>418</v>
      </c>
      <c r="M265" s="280" t="s">
        <v>418</v>
      </c>
      <c r="N265" s="280" t="s">
        <v>418</v>
      </c>
      <c r="O265" s="280" t="s">
        <v>418</v>
      </c>
      <c r="P265" s="280" t="s">
        <v>418</v>
      </c>
      <c r="Q265" s="280" t="s">
        <v>418</v>
      </c>
      <c r="R265" s="280" t="s">
        <v>418</v>
      </c>
      <c r="S265" s="280" t="s">
        <v>418</v>
      </c>
      <c r="T265" s="247" t="s">
        <v>418</v>
      </c>
      <c r="U265" s="247" t="s">
        <v>418</v>
      </c>
      <c r="V265" s="247" t="s">
        <v>418</v>
      </c>
      <c r="W265" s="247" t="s">
        <v>418</v>
      </c>
      <c r="X265" s="247" t="s">
        <v>418</v>
      </c>
      <c r="Y265" s="247" t="s">
        <v>418</v>
      </c>
      <c r="Z265" s="247" t="s">
        <v>418</v>
      </c>
      <c r="AA265" s="248" t="s">
        <v>418</v>
      </c>
      <c r="AB265" s="248" t="s">
        <v>418</v>
      </c>
      <c r="AC265" s="248" t="s">
        <v>418</v>
      </c>
      <c r="AD265" s="248" t="s">
        <v>418</v>
      </c>
      <c r="AE265" s="248" t="s">
        <v>418</v>
      </c>
      <c r="AF265" s="248" t="s">
        <v>418</v>
      </c>
      <c r="AG265" s="248" t="s">
        <v>418</v>
      </c>
    </row>
    <row r="266" spans="1:40" x14ac:dyDescent="0.4">
      <c r="A266" s="60" t="s">
        <v>10</v>
      </c>
      <c r="B266" s="2" t="s">
        <v>154</v>
      </c>
      <c r="C266" s="2" t="s">
        <v>155</v>
      </c>
      <c r="D266" s="12"/>
      <c r="E266" s="4">
        <v>3.4</v>
      </c>
      <c r="F266" s="275" t="s">
        <v>418</v>
      </c>
      <c r="G266" s="275" t="s">
        <v>418</v>
      </c>
      <c r="H266" s="275" t="s">
        <v>418</v>
      </c>
      <c r="I266" s="275" t="s">
        <v>418</v>
      </c>
      <c r="J266" s="275" t="s">
        <v>418</v>
      </c>
      <c r="K266" s="275" t="s">
        <v>418</v>
      </c>
      <c r="L266" s="275" t="s">
        <v>418</v>
      </c>
      <c r="M266" s="280" t="s">
        <v>418</v>
      </c>
      <c r="N266" s="280" t="s">
        <v>418</v>
      </c>
      <c r="O266" s="280" t="s">
        <v>418</v>
      </c>
      <c r="P266" s="280" t="s">
        <v>418</v>
      </c>
      <c r="Q266" s="280" t="s">
        <v>418</v>
      </c>
      <c r="R266" s="280" t="s">
        <v>418</v>
      </c>
      <c r="S266" s="280" t="s">
        <v>418</v>
      </c>
      <c r="T266" s="247" t="s">
        <v>418</v>
      </c>
      <c r="U266" s="247" t="s">
        <v>418</v>
      </c>
      <c r="V266" s="247" t="s">
        <v>418</v>
      </c>
      <c r="W266" s="247" t="s">
        <v>418</v>
      </c>
      <c r="X266" s="247" t="s">
        <v>418</v>
      </c>
      <c r="Y266" s="247" t="s">
        <v>418</v>
      </c>
      <c r="Z266" s="247" t="s">
        <v>418</v>
      </c>
      <c r="AA266" s="248" t="s">
        <v>418</v>
      </c>
      <c r="AB266" s="248" t="s">
        <v>418</v>
      </c>
      <c r="AC266" s="248" t="s">
        <v>418</v>
      </c>
      <c r="AD266" s="248" t="s">
        <v>418</v>
      </c>
      <c r="AE266" s="248" t="s">
        <v>418</v>
      </c>
      <c r="AF266" s="248" t="s">
        <v>418</v>
      </c>
      <c r="AG266" s="248" t="s">
        <v>418</v>
      </c>
    </row>
    <row r="267" spans="1:40" x14ac:dyDescent="0.4">
      <c r="A267" s="60" t="s">
        <v>10</v>
      </c>
      <c r="B267" s="2" t="s">
        <v>157</v>
      </c>
      <c r="C267" s="2" t="s">
        <v>158</v>
      </c>
      <c r="D267" s="12"/>
      <c r="E267" s="4">
        <v>1</v>
      </c>
      <c r="F267" s="275" t="s">
        <v>418</v>
      </c>
      <c r="G267" s="275" t="s">
        <v>418</v>
      </c>
      <c r="H267" s="275" t="s">
        <v>418</v>
      </c>
      <c r="I267" s="275" t="s">
        <v>418</v>
      </c>
      <c r="J267" s="275" t="s">
        <v>418</v>
      </c>
      <c r="K267" s="275" t="s">
        <v>418</v>
      </c>
      <c r="L267" s="275" t="s">
        <v>418</v>
      </c>
      <c r="M267" s="280" t="s">
        <v>418</v>
      </c>
      <c r="N267" s="280" t="s">
        <v>418</v>
      </c>
      <c r="O267" s="280" t="s">
        <v>418</v>
      </c>
      <c r="P267" s="280" t="s">
        <v>418</v>
      </c>
      <c r="Q267" s="280" t="s">
        <v>418</v>
      </c>
      <c r="R267" s="280" t="s">
        <v>418</v>
      </c>
      <c r="S267" s="280" t="s">
        <v>418</v>
      </c>
      <c r="T267" s="247" t="s">
        <v>418</v>
      </c>
      <c r="U267" s="247" t="s">
        <v>418</v>
      </c>
      <c r="V267" s="247" t="s">
        <v>418</v>
      </c>
      <c r="W267" s="247" t="s">
        <v>418</v>
      </c>
      <c r="X267" s="247" t="s">
        <v>418</v>
      </c>
      <c r="Y267" s="247" t="s">
        <v>418</v>
      </c>
      <c r="Z267" s="247" t="s">
        <v>418</v>
      </c>
      <c r="AA267" s="248" t="s">
        <v>418</v>
      </c>
      <c r="AB267" s="248" t="s">
        <v>418</v>
      </c>
      <c r="AC267" s="248" t="s">
        <v>418</v>
      </c>
      <c r="AD267" s="248" t="s">
        <v>418</v>
      </c>
      <c r="AE267" s="248" t="s">
        <v>418</v>
      </c>
      <c r="AF267" s="248" t="s">
        <v>418</v>
      </c>
      <c r="AG267" s="248" t="s">
        <v>418</v>
      </c>
      <c r="AH267" s="207">
        <f>'Project Materials'!$Q$25</f>
        <v>0</v>
      </c>
      <c r="AI267" s="208">
        <f>'Project Materials'!$Q$26</f>
        <v>0</v>
      </c>
      <c r="AJ267" s="209">
        <f>'Project Materials'!$Q$27</f>
        <v>0</v>
      </c>
      <c r="AK267" s="258">
        <f>'Project Materials'!$Q$28</f>
        <v>0</v>
      </c>
    </row>
    <row r="268" spans="1:40" x14ac:dyDescent="0.4">
      <c r="A268" s="60" t="s">
        <v>10</v>
      </c>
      <c r="B268" s="2" t="s">
        <v>159</v>
      </c>
      <c r="C268" s="2" t="s">
        <v>160</v>
      </c>
      <c r="D268" s="12"/>
      <c r="E268" s="4">
        <v>1</v>
      </c>
      <c r="F268" s="275" t="s">
        <v>418</v>
      </c>
      <c r="G268" s="275" t="s">
        <v>418</v>
      </c>
      <c r="H268" s="275" t="s">
        <v>418</v>
      </c>
      <c r="I268" s="275" t="s">
        <v>418</v>
      </c>
      <c r="J268" s="275" t="s">
        <v>418</v>
      </c>
      <c r="K268" s="275" t="s">
        <v>418</v>
      </c>
      <c r="L268" s="275" t="s">
        <v>418</v>
      </c>
      <c r="M268" s="280" t="s">
        <v>418</v>
      </c>
      <c r="N268" s="280" t="s">
        <v>418</v>
      </c>
      <c r="O268" s="280" t="s">
        <v>418</v>
      </c>
      <c r="P268" s="280" t="s">
        <v>418</v>
      </c>
      <c r="Q268" s="280" t="s">
        <v>418</v>
      </c>
      <c r="R268" s="280" t="s">
        <v>418</v>
      </c>
      <c r="S268" s="280" t="s">
        <v>418</v>
      </c>
      <c r="T268" s="247" t="s">
        <v>418</v>
      </c>
      <c r="U268" s="247" t="s">
        <v>418</v>
      </c>
      <c r="V268" s="247" t="s">
        <v>418</v>
      </c>
      <c r="W268" s="247" t="s">
        <v>418</v>
      </c>
      <c r="X268" s="247" t="s">
        <v>418</v>
      </c>
      <c r="Y268" s="247" t="s">
        <v>418</v>
      </c>
      <c r="Z268" s="247" t="s">
        <v>418</v>
      </c>
      <c r="AA268" s="248" t="s">
        <v>418</v>
      </c>
      <c r="AB268" s="248" t="s">
        <v>418</v>
      </c>
      <c r="AC268" s="248" t="s">
        <v>418</v>
      </c>
      <c r="AD268" s="248" t="s">
        <v>418</v>
      </c>
      <c r="AE268" s="248" t="s">
        <v>418</v>
      </c>
      <c r="AF268" s="248" t="s">
        <v>418</v>
      </c>
      <c r="AG268" s="248" t="s">
        <v>418</v>
      </c>
      <c r="AH268" s="207">
        <f>'Project Materials'!$Q$25</f>
        <v>0</v>
      </c>
      <c r="AI268" s="208">
        <f>'Project Materials'!$Q$26</f>
        <v>0</v>
      </c>
      <c r="AJ268" s="209">
        <f>'Project Materials'!$Q$27</f>
        <v>0</v>
      </c>
      <c r="AK268" s="258">
        <f>'Project Materials'!$Q$28</f>
        <v>0</v>
      </c>
    </row>
    <row r="269" spans="1:40" x14ac:dyDescent="0.4">
      <c r="A269" s="60" t="s">
        <v>10</v>
      </c>
      <c r="B269" s="2" t="s">
        <v>161</v>
      </c>
      <c r="C269" s="2" t="s">
        <v>162</v>
      </c>
      <c r="D269" s="12"/>
      <c r="E269" s="4">
        <v>0.9</v>
      </c>
      <c r="F269" s="275" t="s">
        <v>418</v>
      </c>
      <c r="G269" s="275" t="s">
        <v>418</v>
      </c>
      <c r="H269" s="275" t="s">
        <v>418</v>
      </c>
      <c r="I269" s="275" t="s">
        <v>418</v>
      </c>
      <c r="J269" s="275" t="s">
        <v>418</v>
      </c>
      <c r="K269" s="275" t="s">
        <v>418</v>
      </c>
      <c r="L269" s="275" t="s">
        <v>418</v>
      </c>
      <c r="M269" s="280" t="s">
        <v>418</v>
      </c>
      <c r="N269" s="280" t="s">
        <v>418</v>
      </c>
      <c r="O269" s="280" t="s">
        <v>418</v>
      </c>
      <c r="P269" s="280" t="s">
        <v>418</v>
      </c>
      <c r="Q269" s="280" t="s">
        <v>418</v>
      </c>
      <c r="R269" s="280" t="s">
        <v>418</v>
      </c>
      <c r="S269" s="280" t="s">
        <v>418</v>
      </c>
      <c r="T269" s="247" t="s">
        <v>418</v>
      </c>
      <c r="U269" s="247" t="s">
        <v>418</v>
      </c>
      <c r="V269" s="247" t="s">
        <v>418</v>
      </c>
      <c r="W269" s="247" t="s">
        <v>418</v>
      </c>
      <c r="X269" s="247" t="s">
        <v>418</v>
      </c>
      <c r="Y269" s="247" t="s">
        <v>418</v>
      </c>
      <c r="Z269" s="247" t="s">
        <v>418</v>
      </c>
      <c r="AA269" s="248" t="s">
        <v>418</v>
      </c>
      <c r="AB269" s="248" t="s">
        <v>418</v>
      </c>
      <c r="AC269" s="248" t="s">
        <v>418</v>
      </c>
      <c r="AD269" s="248" t="s">
        <v>418</v>
      </c>
      <c r="AE269" s="248" t="s">
        <v>418</v>
      </c>
      <c r="AF269" s="248" t="s">
        <v>418</v>
      </c>
      <c r="AG269" s="248" t="s">
        <v>418</v>
      </c>
      <c r="AH269" s="207">
        <f>'Project Materials'!$Q$25</f>
        <v>0</v>
      </c>
      <c r="AI269" s="208">
        <f>'Project Materials'!$Q$26</f>
        <v>0</v>
      </c>
      <c r="AJ269" s="209">
        <f>'Project Materials'!$Q$27</f>
        <v>0</v>
      </c>
      <c r="AK269" s="258">
        <f>'Project Materials'!$Q$28</f>
        <v>0</v>
      </c>
    </row>
    <row r="270" spans="1:40" x14ac:dyDescent="0.4">
      <c r="A270" s="60" t="s">
        <v>10</v>
      </c>
      <c r="B270" s="2" t="s">
        <v>411</v>
      </c>
      <c r="C270" s="2" t="s">
        <v>323</v>
      </c>
      <c r="D270" s="12"/>
      <c r="E270" s="4">
        <v>4.46</v>
      </c>
      <c r="F270" s="275" t="s">
        <v>418</v>
      </c>
      <c r="G270" s="275" t="s">
        <v>418</v>
      </c>
      <c r="H270" s="275" t="s">
        <v>418</v>
      </c>
      <c r="I270" s="275" t="s">
        <v>418</v>
      </c>
      <c r="J270" s="275" t="s">
        <v>418</v>
      </c>
      <c r="K270" s="275" t="s">
        <v>418</v>
      </c>
      <c r="L270" s="275" t="s">
        <v>418</v>
      </c>
      <c r="M270" s="280" t="s">
        <v>418</v>
      </c>
      <c r="N270" s="280" t="s">
        <v>418</v>
      </c>
      <c r="O270" s="280" t="s">
        <v>418</v>
      </c>
      <c r="P270" s="280" t="s">
        <v>418</v>
      </c>
      <c r="Q270" s="280" t="s">
        <v>418</v>
      </c>
      <c r="R270" s="280" t="s">
        <v>418</v>
      </c>
      <c r="S270" s="280" t="s">
        <v>418</v>
      </c>
      <c r="T270" s="247" t="s">
        <v>418</v>
      </c>
      <c r="U270" s="247" t="s">
        <v>418</v>
      </c>
      <c r="V270" s="247" t="s">
        <v>418</v>
      </c>
      <c r="W270" s="247" t="s">
        <v>418</v>
      </c>
      <c r="X270" s="247" t="s">
        <v>418</v>
      </c>
      <c r="Y270" s="247" t="s">
        <v>418</v>
      </c>
      <c r="Z270" s="247" t="s">
        <v>418</v>
      </c>
      <c r="AA270" s="248" t="s">
        <v>418</v>
      </c>
      <c r="AB270" s="248" t="s">
        <v>418</v>
      </c>
      <c r="AC270" s="248" t="s">
        <v>418</v>
      </c>
      <c r="AD270" s="248" t="s">
        <v>418</v>
      </c>
      <c r="AE270" s="248" t="s">
        <v>418</v>
      </c>
      <c r="AF270" s="248" t="s">
        <v>418</v>
      </c>
      <c r="AG270" s="248" t="s">
        <v>418</v>
      </c>
      <c r="AH270" s="207">
        <f>'Project Materials'!$Q$25</f>
        <v>0</v>
      </c>
      <c r="AI270" s="208">
        <f>'Project Materials'!$Q$26</f>
        <v>0</v>
      </c>
      <c r="AJ270" s="209">
        <f>'Project Materials'!$Q$27</f>
        <v>0</v>
      </c>
      <c r="AK270" s="258">
        <f>'Project Materials'!$Q$28</f>
        <v>0</v>
      </c>
    </row>
    <row r="271" spans="1:40" x14ac:dyDescent="0.4">
      <c r="A271" s="60" t="s">
        <v>10</v>
      </c>
      <c r="B271" s="2" t="s">
        <v>378</v>
      </c>
      <c r="C271" s="2" t="s">
        <v>156</v>
      </c>
      <c r="D271" s="12"/>
      <c r="E271" s="4">
        <v>15</v>
      </c>
      <c r="F271" s="275" t="s">
        <v>418</v>
      </c>
      <c r="G271" s="275" t="s">
        <v>418</v>
      </c>
      <c r="H271" s="275" t="s">
        <v>418</v>
      </c>
      <c r="I271" s="275" t="s">
        <v>418</v>
      </c>
      <c r="J271" s="275" t="s">
        <v>418</v>
      </c>
      <c r="K271" s="275" t="s">
        <v>418</v>
      </c>
      <c r="L271" s="275" t="s">
        <v>418</v>
      </c>
      <c r="M271" s="280" t="s">
        <v>418</v>
      </c>
      <c r="N271" s="280" t="s">
        <v>418</v>
      </c>
      <c r="O271" s="280" t="s">
        <v>418</v>
      </c>
      <c r="P271" s="280" t="s">
        <v>418</v>
      </c>
      <c r="Q271" s="280" t="s">
        <v>418</v>
      </c>
      <c r="R271" s="280" t="s">
        <v>418</v>
      </c>
      <c r="S271" s="280" t="s">
        <v>418</v>
      </c>
      <c r="T271" s="247" t="s">
        <v>418</v>
      </c>
      <c r="U271" s="247" t="s">
        <v>418</v>
      </c>
      <c r="V271" s="247" t="s">
        <v>418</v>
      </c>
      <c r="W271" s="247" t="s">
        <v>418</v>
      </c>
      <c r="X271" s="247" t="s">
        <v>418</v>
      </c>
      <c r="Y271" s="247" t="s">
        <v>418</v>
      </c>
      <c r="Z271" s="247" t="s">
        <v>418</v>
      </c>
      <c r="AA271" s="248" t="s">
        <v>418</v>
      </c>
      <c r="AB271" s="248" t="s">
        <v>418</v>
      </c>
      <c r="AC271" s="248" t="s">
        <v>418</v>
      </c>
      <c r="AD271" s="248" t="s">
        <v>418</v>
      </c>
      <c r="AE271" s="248" t="s">
        <v>418</v>
      </c>
      <c r="AF271" s="248" t="s">
        <v>418</v>
      </c>
      <c r="AG271" s="248" t="s">
        <v>418</v>
      </c>
    </row>
    <row r="272" spans="1:40" x14ac:dyDescent="0.4">
      <c r="A272" s="60" t="s">
        <v>10</v>
      </c>
      <c r="B272" s="2" t="s">
        <v>163</v>
      </c>
      <c r="C272" s="2" t="s">
        <v>164</v>
      </c>
      <c r="D272" s="12"/>
      <c r="E272" s="4">
        <v>3.5</v>
      </c>
      <c r="F272" s="275" t="s">
        <v>418</v>
      </c>
      <c r="G272" s="275" t="s">
        <v>418</v>
      </c>
      <c r="H272" s="275" t="s">
        <v>418</v>
      </c>
      <c r="I272" s="275" t="s">
        <v>418</v>
      </c>
      <c r="J272" s="275" t="s">
        <v>418</v>
      </c>
      <c r="K272" s="275" t="s">
        <v>418</v>
      </c>
      <c r="L272" s="275" t="s">
        <v>418</v>
      </c>
      <c r="M272" s="280" t="s">
        <v>418</v>
      </c>
      <c r="N272" s="280" t="s">
        <v>418</v>
      </c>
      <c r="O272" s="280" t="s">
        <v>418</v>
      </c>
      <c r="P272" s="280" t="s">
        <v>418</v>
      </c>
      <c r="Q272" s="280" t="s">
        <v>418</v>
      </c>
      <c r="R272" s="280" t="s">
        <v>418</v>
      </c>
      <c r="S272" s="280" t="s">
        <v>418</v>
      </c>
      <c r="T272" s="247" t="s">
        <v>418</v>
      </c>
      <c r="U272" s="247" t="s">
        <v>418</v>
      </c>
      <c r="V272" s="247" t="s">
        <v>418</v>
      </c>
      <c r="W272" s="247" t="s">
        <v>418</v>
      </c>
      <c r="X272" s="247" t="s">
        <v>418</v>
      </c>
      <c r="Y272" s="247" t="s">
        <v>418</v>
      </c>
      <c r="Z272" s="247" t="s">
        <v>418</v>
      </c>
      <c r="AA272" s="248" t="s">
        <v>418</v>
      </c>
      <c r="AB272" s="248" t="s">
        <v>418</v>
      </c>
      <c r="AC272" s="248" t="s">
        <v>418</v>
      </c>
      <c r="AD272" s="248" t="s">
        <v>418</v>
      </c>
      <c r="AE272" s="248" t="s">
        <v>418</v>
      </c>
      <c r="AF272" s="248" t="s">
        <v>418</v>
      </c>
      <c r="AG272" s="248" t="s">
        <v>418</v>
      </c>
      <c r="AH272" s="246">
        <f>'Project Materials'!Q25</f>
        <v>0</v>
      </c>
      <c r="AI272" s="245">
        <f>'Project Materials'!Q26</f>
        <v>0</v>
      </c>
      <c r="AJ272" s="244">
        <f>'Project Materials'!Q27</f>
        <v>0</v>
      </c>
      <c r="AK272" s="246">
        <f>'Project Materials'!Q28</f>
        <v>0</v>
      </c>
    </row>
    <row r="273" spans="1:39" x14ac:dyDescent="0.4">
      <c r="A273" s="60" t="s">
        <v>10</v>
      </c>
      <c r="B273" s="2" t="s">
        <v>173</v>
      </c>
      <c r="C273" s="2" t="s">
        <v>174</v>
      </c>
      <c r="D273" s="12">
        <v>20</v>
      </c>
      <c r="E273" s="4">
        <v>26.43</v>
      </c>
      <c r="F273" s="275" t="s">
        <v>418</v>
      </c>
      <c r="G273" s="276" t="str">
        <f>IF(('Area A'!$E$29+'Area A'!$E$30)&gt;0,'Item List'!$B$314,IF('Area A'!$J$31&gt;0,'Item List'!$B$313,IF(('Area A'!$J$33+'Area A'!$J$34)&gt;0,'Item List'!$B$281,"none")))</f>
        <v>none</v>
      </c>
      <c r="H273" s="275" t="s">
        <v>418</v>
      </c>
      <c r="I273" s="275" t="s">
        <v>418</v>
      </c>
      <c r="J273" s="275" t="s">
        <v>418</v>
      </c>
      <c r="K273" s="275" t="s">
        <v>418</v>
      </c>
      <c r="L273" s="275" t="s">
        <v>418</v>
      </c>
      <c r="M273" s="280" t="s">
        <v>418</v>
      </c>
      <c r="N273" s="281" t="str">
        <f>IF(('Area B'!$E$29+'Area B'!$E$30)&gt;0,'Item List'!$B$314,IF('Area B'!$J$31&gt;0,'Item List'!$B$313,IF(('Area B'!$J$33+'Area B'!$J$34)&gt;0,'Item List'!$B$281,"none")))</f>
        <v>none</v>
      </c>
      <c r="O273" s="280" t="s">
        <v>418</v>
      </c>
      <c r="P273" s="280" t="s">
        <v>418</v>
      </c>
      <c r="Q273" s="280" t="s">
        <v>418</v>
      </c>
      <c r="R273" s="280" t="s">
        <v>418</v>
      </c>
      <c r="S273" s="280" t="s">
        <v>418</v>
      </c>
      <c r="T273" s="247" t="s">
        <v>418</v>
      </c>
      <c r="U273" s="206" t="str">
        <f>IF(('Area C'!$E$29+'Area C'!$E$30)&gt;0,'Item List'!$B$314,IF('Area C'!$J$31&gt;0,'Item List'!$B$313,IF(('Area C'!$J$33+'Area C'!$J$34)&gt;0,'Item List'!$B$281,"none")))</f>
        <v>none</v>
      </c>
      <c r="V273" s="247" t="s">
        <v>418</v>
      </c>
      <c r="W273" s="247" t="s">
        <v>418</v>
      </c>
      <c r="X273" s="247" t="s">
        <v>418</v>
      </c>
      <c r="Y273" s="247" t="s">
        <v>418</v>
      </c>
      <c r="Z273" s="247" t="s">
        <v>418</v>
      </c>
      <c r="AA273" s="248" t="s">
        <v>418</v>
      </c>
      <c r="AB273" s="249" t="str">
        <f>IF(('Area D'!$E$29+'Area D'!$E$30)&gt;0,'Item List'!$B$314,IF('Area D'!$J$31&gt;0,'Item List'!$B$313,IF(('Area D'!$J$33+'Area D'!$J$34)&gt;0,'Item List'!$B$281,"none")))</f>
        <v>none</v>
      </c>
      <c r="AC273" s="248" t="s">
        <v>418</v>
      </c>
      <c r="AD273" s="248" t="s">
        <v>418</v>
      </c>
      <c r="AE273" s="248" t="s">
        <v>418</v>
      </c>
      <c r="AF273" s="248" t="s">
        <v>418</v>
      </c>
      <c r="AG273" s="248" t="s">
        <v>418</v>
      </c>
      <c r="AH273" s="244">
        <f>CEILING((((CEILING(('Project Materials'!$O$25/D273),0.25)*'Project Materials'!$P$25))),0.5)</f>
        <v>0</v>
      </c>
      <c r="AI273" s="244">
        <f>CEILING((((CEILING(('Project Materials'!$O$26/D273),0.25)*'Project Materials'!$P$26))),0.5)</f>
        <v>0</v>
      </c>
      <c r="AJ273" s="244">
        <f>CEILING((((CEILING(('Project Materials'!$O$27/D273),0.25)*'Project Materials'!$P$27))),0.5)</f>
        <v>0</v>
      </c>
      <c r="AK273" s="245">
        <f>CEILING((((CEILING(('Project Materials'!$O$28/D273),0.25)*'Project Materials'!$P$28))),0.5)</f>
        <v>0</v>
      </c>
    </row>
    <row r="274" spans="1:39" x14ac:dyDescent="0.4">
      <c r="A274" s="60" t="s">
        <v>10</v>
      </c>
      <c r="B274" s="2" t="s">
        <v>175</v>
      </c>
      <c r="C274" s="2" t="s">
        <v>176</v>
      </c>
      <c r="D274" s="12">
        <v>20</v>
      </c>
      <c r="E274" s="4">
        <v>23.449390000000001</v>
      </c>
      <c r="F274" s="275" t="s">
        <v>418</v>
      </c>
      <c r="G274" s="276" t="str">
        <f>IF(('Area A'!$E$29+'Area A'!$E$30)&gt;0,'Item List'!$B$314,IF('Area A'!$J$31&gt;0,'Item List'!$B$313,IF(('Area A'!$J$33+'Area A'!$J$34)&gt;0,'Item List'!$B$282,"none")))</f>
        <v>none</v>
      </c>
      <c r="H274" s="275" t="s">
        <v>418</v>
      </c>
      <c r="I274" s="275" t="s">
        <v>418</v>
      </c>
      <c r="J274" s="275" t="s">
        <v>418</v>
      </c>
      <c r="K274" s="275" t="s">
        <v>418</v>
      </c>
      <c r="L274" s="275" t="s">
        <v>418</v>
      </c>
      <c r="M274" s="280" t="s">
        <v>418</v>
      </c>
      <c r="N274" s="281" t="str">
        <f>IF(('Area B'!$E$29+'Area B'!$E$30)&gt;0,'Item List'!$B$314,IF('Area B'!$J$31&gt;0,'Item List'!$B$313,IF(('Area B'!$J$33+'Area B'!$J$34)&gt;0,'Item List'!$B$282,"none")))</f>
        <v>none</v>
      </c>
      <c r="O274" s="280" t="s">
        <v>418</v>
      </c>
      <c r="P274" s="280" t="s">
        <v>418</v>
      </c>
      <c r="Q274" s="280" t="s">
        <v>418</v>
      </c>
      <c r="R274" s="280" t="s">
        <v>418</v>
      </c>
      <c r="S274" s="280" t="s">
        <v>418</v>
      </c>
      <c r="T274" s="247" t="s">
        <v>418</v>
      </c>
      <c r="U274" s="206" t="str">
        <f>IF(('Area C'!$E$29+'Area C'!$E$30)&gt;0,'Item List'!$B$314,IF('Area C'!$J$31&gt;0,'Item List'!$B$313,IF(('Area C'!$J$33+'Area C'!$J$34)&gt;0,'Item List'!$B$282,"none")))</f>
        <v>none</v>
      </c>
      <c r="V274" s="247" t="s">
        <v>418</v>
      </c>
      <c r="W274" s="247" t="s">
        <v>418</v>
      </c>
      <c r="X274" s="247" t="s">
        <v>418</v>
      </c>
      <c r="Y274" s="247" t="s">
        <v>418</v>
      </c>
      <c r="Z274" s="247" t="s">
        <v>418</v>
      </c>
      <c r="AA274" s="248" t="s">
        <v>418</v>
      </c>
      <c r="AB274" s="249" t="str">
        <f>IF(('Area D'!$E$29+'Area D'!$E$30)&gt;0,'Item List'!$B$314,IF('Area D'!$J$31&gt;0,'Item List'!$B$313,IF(('Area D'!$J$33+'Area D'!$J$34)&gt;0,'Item List'!$B$282,"none")))</f>
        <v>none</v>
      </c>
      <c r="AC274" s="248" t="s">
        <v>418</v>
      </c>
      <c r="AD274" s="248" t="s">
        <v>418</v>
      </c>
      <c r="AE274" s="248" t="s">
        <v>418</v>
      </c>
      <c r="AF274" s="248" t="s">
        <v>418</v>
      </c>
      <c r="AG274" s="248" t="s">
        <v>418</v>
      </c>
      <c r="AH274" s="244">
        <f>CEILING((((CEILING(('Project Materials'!$O$25/D274),0.25)*'Project Materials'!$P$25))),0.5)</f>
        <v>0</v>
      </c>
      <c r="AI274" s="244">
        <f>CEILING((((CEILING(('Project Materials'!$O$26/D274),0.25)*'Project Materials'!$P$26))),0.5)</f>
        <v>0</v>
      </c>
      <c r="AJ274" s="244">
        <f>CEILING((((CEILING(('Project Materials'!$O$27/D274),0.25)*'Project Materials'!$P$27))),0.5)</f>
        <v>0</v>
      </c>
      <c r="AK274" s="245">
        <f>CEILING((((CEILING(('Project Materials'!$O$28/D274),0.25)*'Project Materials'!$P$28))),0.5)</f>
        <v>0</v>
      </c>
    </row>
    <row r="275" spans="1:39" x14ac:dyDescent="0.4">
      <c r="A275" s="60" t="s">
        <v>10</v>
      </c>
      <c r="B275" s="2" t="s">
        <v>177</v>
      </c>
      <c r="C275" s="2" t="s">
        <v>178</v>
      </c>
      <c r="D275" s="12">
        <v>20</v>
      </c>
      <c r="E275" s="4">
        <v>32.729999999999997</v>
      </c>
      <c r="F275" s="275" t="s">
        <v>418</v>
      </c>
      <c r="G275" s="276" t="str">
        <f>IF(('Area A'!$E$29+'Area A'!$E$30)&gt;0,'Item List'!$B$314,IF('Area A'!$J$31&gt;0,'Item List'!$B$313,IF(('Area A'!$J$33+'Area A'!$J$34)&gt;0,'Item List'!$B$283,"none")))</f>
        <v>none</v>
      </c>
      <c r="H275" s="275" t="s">
        <v>418</v>
      </c>
      <c r="I275" s="275" t="s">
        <v>418</v>
      </c>
      <c r="J275" s="275" t="s">
        <v>418</v>
      </c>
      <c r="K275" s="275" t="s">
        <v>418</v>
      </c>
      <c r="L275" s="275" t="s">
        <v>418</v>
      </c>
      <c r="M275" s="280" t="s">
        <v>418</v>
      </c>
      <c r="N275" s="281" t="str">
        <f>IF(('Area B'!$E$29+'Area B'!$E$30)&gt;0,'Item List'!$B$314,IF('Area B'!$J$31&gt;0,'Item List'!$B$313,IF(('Area B'!$J$33+'Area B'!$J$34)&gt;0,'Item List'!$B$283,"none")))</f>
        <v>none</v>
      </c>
      <c r="O275" s="280" t="s">
        <v>418</v>
      </c>
      <c r="P275" s="280" t="s">
        <v>418</v>
      </c>
      <c r="Q275" s="280" t="s">
        <v>418</v>
      </c>
      <c r="R275" s="280" t="s">
        <v>418</v>
      </c>
      <c r="S275" s="280" t="s">
        <v>418</v>
      </c>
      <c r="T275" s="247" t="s">
        <v>418</v>
      </c>
      <c r="U275" s="206" t="str">
        <f>IF(('Area C'!$E$29+'Area C'!$E$30)&gt;0,'Item List'!$B$314,IF('Area C'!$J$31&gt;0,'Item List'!$B$313,IF(('Area C'!$J$33+'Area C'!$J$34)&gt;0,'Item List'!$B$283,"none")))</f>
        <v>none</v>
      </c>
      <c r="V275" s="247" t="s">
        <v>418</v>
      </c>
      <c r="W275" s="247" t="s">
        <v>418</v>
      </c>
      <c r="X275" s="247" t="s">
        <v>418</v>
      </c>
      <c r="Y275" s="247" t="s">
        <v>418</v>
      </c>
      <c r="Z275" s="247" t="s">
        <v>418</v>
      </c>
      <c r="AA275" s="248" t="s">
        <v>418</v>
      </c>
      <c r="AB275" s="249" t="str">
        <f>IF(('Area D'!$E$29+'Area D'!$E$30)&gt;0,'Item List'!$B$314,IF('Area D'!$J$31&gt;0,'Item List'!$B$313,IF(('Area D'!$J$33+'Area D'!$J$34)&gt;0,'Item List'!$B$283,"none")))</f>
        <v>none</v>
      </c>
      <c r="AC275" s="248" t="s">
        <v>418</v>
      </c>
      <c r="AD275" s="248" t="s">
        <v>418</v>
      </c>
      <c r="AE275" s="248" t="s">
        <v>418</v>
      </c>
      <c r="AF275" s="248" t="s">
        <v>418</v>
      </c>
      <c r="AG275" s="248" t="s">
        <v>418</v>
      </c>
      <c r="AH275" s="244">
        <f>CEILING((((CEILING(('Project Materials'!$O$25/D275),0.25)*'Project Materials'!$P$25))),0.5)</f>
        <v>0</v>
      </c>
      <c r="AI275" s="244">
        <f>CEILING((((CEILING(('Project Materials'!$O$26/D275),0.25)*'Project Materials'!$P$26))),0.5)</f>
        <v>0</v>
      </c>
      <c r="AJ275" s="244">
        <f>CEILING((((CEILING(('Project Materials'!$O$27/D275),0.25)*'Project Materials'!$P$27))),0.5)</f>
        <v>0</v>
      </c>
      <c r="AK275" s="245">
        <f>CEILING((((CEILING(('Project Materials'!$O$28/D275),0.25)*'Project Materials'!$P$28))),0.5)</f>
        <v>0</v>
      </c>
    </row>
    <row r="276" spans="1:39" x14ac:dyDescent="0.4">
      <c r="A276" s="60" t="s">
        <v>10</v>
      </c>
      <c r="B276" s="2" t="s">
        <v>179</v>
      </c>
      <c r="C276" s="2" t="s">
        <v>180</v>
      </c>
      <c r="D276" s="12">
        <v>20</v>
      </c>
      <c r="E276" s="4">
        <v>23.9</v>
      </c>
      <c r="F276" s="275" t="s">
        <v>418</v>
      </c>
      <c r="G276" s="276" t="str">
        <f>IF(('Area A'!$E$29+'Area A'!$E$30)&gt;0,'Item List'!$B$314,IF('Area A'!$J$31&gt;0,'Item List'!$B$313,IF(('Area A'!$J$33+'Area A'!$J$34)&gt;0,'Item List'!$B$284,"none")))</f>
        <v>none</v>
      </c>
      <c r="H276" s="275" t="s">
        <v>418</v>
      </c>
      <c r="I276" s="275" t="s">
        <v>418</v>
      </c>
      <c r="J276" s="275" t="s">
        <v>418</v>
      </c>
      <c r="K276" s="275" t="s">
        <v>418</v>
      </c>
      <c r="L276" s="275" t="s">
        <v>418</v>
      </c>
      <c r="M276" s="280" t="s">
        <v>418</v>
      </c>
      <c r="N276" s="281" t="str">
        <f>IF(('Area B'!$E$29+'Area B'!$E$30)&gt;0,'Item List'!$B$314,IF('Area B'!$J$31&gt;0,'Item List'!$B$313,IF(('Area B'!$J$33+'Area B'!$J$34)&gt;0,'Item List'!$B$284,"none")))</f>
        <v>none</v>
      </c>
      <c r="O276" s="280" t="s">
        <v>418</v>
      </c>
      <c r="P276" s="280" t="s">
        <v>418</v>
      </c>
      <c r="Q276" s="280" t="s">
        <v>418</v>
      </c>
      <c r="R276" s="280" t="s">
        <v>418</v>
      </c>
      <c r="S276" s="280" t="s">
        <v>418</v>
      </c>
      <c r="T276" s="247" t="s">
        <v>418</v>
      </c>
      <c r="U276" s="206" t="str">
        <f>IF(('Area C'!$E$29+'Area C'!$E$30)&gt;0,'Item List'!$B$314,IF('Area C'!$J$31&gt;0,'Item List'!$B$313,IF(('Area C'!$J$33+'Area C'!$J$34)&gt;0,'Item List'!$B$284,"none")))</f>
        <v>none</v>
      </c>
      <c r="V276" s="247" t="s">
        <v>418</v>
      </c>
      <c r="W276" s="247" t="s">
        <v>418</v>
      </c>
      <c r="X276" s="247" t="s">
        <v>418</v>
      </c>
      <c r="Y276" s="247" t="s">
        <v>418</v>
      </c>
      <c r="Z276" s="247" t="s">
        <v>418</v>
      </c>
      <c r="AA276" s="248" t="s">
        <v>418</v>
      </c>
      <c r="AB276" s="249" t="str">
        <f>IF(('Area D'!$E$29+'Area D'!$E$30)&gt;0,'Item List'!$B$314,IF('Area D'!$J$31&gt;0,'Item List'!$B$313,IF(('Area D'!$J$33+'Area D'!$J$34)&gt;0,'Item List'!$B$284,"none")))</f>
        <v>none</v>
      </c>
      <c r="AC276" s="248" t="s">
        <v>418</v>
      </c>
      <c r="AD276" s="248" t="s">
        <v>418</v>
      </c>
      <c r="AE276" s="248" t="s">
        <v>418</v>
      </c>
      <c r="AF276" s="248" t="s">
        <v>418</v>
      </c>
      <c r="AG276" s="248" t="s">
        <v>418</v>
      </c>
      <c r="AH276" s="244">
        <f>CEILING((((CEILING(('Project Materials'!$O$25/D276),0.25)*'Project Materials'!$P$25))),0.5)</f>
        <v>0</v>
      </c>
      <c r="AI276" s="244">
        <f>CEILING((((CEILING(('Project Materials'!$O$26/D276),0.25)*'Project Materials'!$P$26))),0.5)</f>
        <v>0</v>
      </c>
      <c r="AJ276" s="244">
        <f>CEILING((((CEILING(('Project Materials'!$O$27/D276),0.25)*'Project Materials'!$P$27))),0.5)</f>
        <v>0</v>
      </c>
      <c r="AK276" s="245">
        <f>CEILING((((CEILING(('Project Materials'!$O$28/D276),0.25)*'Project Materials'!$P$28))),0.5)</f>
        <v>0</v>
      </c>
    </row>
    <row r="277" spans="1:39" x14ac:dyDescent="0.4">
      <c r="A277" s="60" t="s">
        <v>10</v>
      </c>
      <c r="B277" s="2" t="s">
        <v>185</v>
      </c>
      <c r="C277" s="2" t="s">
        <v>186</v>
      </c>
      <c r="D277" s="12">
        <f>120</f>
        <v>120</v>
      </c>
      <c r="E277" s="4">
        <v>6.84</v>
      </c>
      <c r="F277" s="275" t="s">
        <v>418</v>
      </c>
      <c r="G277" s="275" t="s">
        <v>418</v>
      </c>
      <c r="H277" s="275" t="s">
        <v>418</v>
      </c>
      <c r="I277" s="275" t="s">
        <v>418</v>
      </c>
      <c r="J277" s="275" t="s">
        <v>418</v>
      </c>
      <c r="K277" s="275" t="s">
        <v>418</v>
      </c>
      <c r="L277" s="275" t="s">
        <v>418</v>
      </c>
      <c r="M277" s="280" t="s">
        <v>418</v>
      </c>
      <c r="N277" s="280" t="s">
        <v>418</v>
      </c>
      <c r="O277" s="280" t="s">
        <v>418</v>
      </c>
      <c r="P277" s="280" t="s">
        <v>418</v>
      </c>
      <c r="Q277" s="280" t="s">
        <v>418</v>
      </c>
      <c r="R277" s="280" t="s">
        <v>418</v>
      </c>
      <c r="S277" s="280" t="s">
        <v>418</v>
      </c>
      <c r="T277" s="247" t="s">
        <v>418</v>
      </c>
      <c r="U277" s="247" t="s">
        <v>418</v>
      </c>
      <c r="V277" s="247" t="s">
        <v>418</v>
      </c>
      <c r="W277" s="247" t="s">
        <v>418</v>
      </c>
      <c r="X277" s="247" t="s">
        <v>418</v>
      </c>
      <c r="Y277" s="247" t="s">
        <v>418</v>
      </c>
      <c r="Z277" s="247" t="s">
        <v>418</v>
      </c>
      <c r="AA277" s="248" t="s">
        <v>418</v>
      </c>
      <c r="AB277" s="248" t="s">
        <v>418</v>
      </c>
      <c r="AC277" s="248" t="s">
        <v>418</v>
      </c>
      <c r="AD277" s="248" t="s">
        <v>418</v>
      </c>
      <c r="AE277" s="248" t="s">
        <v>418</v>
      </c>
      <c r="AF277" s="248" t="s">
        <v>418</v>
      </c>
      <c r="AG277" s="248" t="s">
        <v>418</v>
      </c>
      <c r="AH277" s="30">
        <f>((('Project Materials'!$Q$25)*2)+(IF('Area A'!B5="TR375 Blk",'Project Materials'!$Q$25,0)))</f>
        <v>0</v>
      </c>
      <c r="AI277" s="27">
        <f>((('Project Materials'!$Q$26)*2)+(IF('Area B'!B5="TR375 Blk",'Project Materials'!$Q$26,0)))</f>
        <v>0</v>
      </c>
      <c r="AJ277" s="28">
        <f>((('Project Materials'!$Q$27)*2)+(IF('Area C'!B5="TR375 Blk",'Project Materials'!$Q$27,0)))</f>
        <v>0</v>
      </c>
      <c r="AK277" s="200">
        <f>((('Project Materials'!$Q$28)*2)+(IF('Area D'!B5="TR375 Blk",'Project Materials'!$Q$28,0)))</f>
        <v>0</v>
      </c>
    </row>
    <row r="278" spans="1:39" x14ac:dyDescent="0.4">
      <c r="A278" s="60" t="s">
        <v>10</v>
      </c>
      <c r="B278" s="2" t="s">
        <v>187</v>
      </c>
      <c r="C278" s="2" t="s">
        <v>188</v>
      </c>
      <c r="D278" s="12">
        <v>120</v>
      </c>
      <c r="E278" s="4">
        <v>13.83503</v>
      </c>
      <c r="F278" s="275" t="s">
        <v>418</v>
      </c>
      <c r="G278" s="275" t="s">
        <v>418</v>
      </c>
      <c r="H278" s="275" t="s">
        <v>418</v>
      </c>
      <c r="I278" s="275" t="s">
        <v>418</v>
      </c>
      <c r="J278" s="275" t="s">
        <v>418</v>
      </c>
      <c r="K278" s="275" t="s">
        <v>418</v>
      </c>
      <c r="L278" s="275" t="s">
        <v>418</v>
      </c>
      <c r="M278" s="280" t="s">
        <v>418</v>
      </c>
      <c r="N278" s="280" t="s">
        <v>418</v>
      </c>
      <c r="O278" s="280" t="s">
        <v>418</v>
      </c>
      <c r="P278" s="280" t="s">
        <v>418</v>
      </c>
      <c r="Q278" s="280" t="s">
        <v>418</v>
      </c>
      <c r="R278" s="280" t="s">
        <v>418</v>
      </c>
      <c r="S278" s="280" t="s">
        <v>418</v>
      </c>
      <c r="T278" s="247" t="s">
        <v>418</v>
      </c>
      <c r="U278" s="247" t="s">
        <v>418</v>
      </c>
      <c r="V278" s="247" t="s">
        <v>418</v>
      </c>
      <c r="W278" s="247" t="s">
        <v>418</v>
      </c>
      <c r="X278" s="247" t="s">
        <v>418</v>
      </c>
      <c r="Y278" s="247" t="s">
        <v>418</v>
      </c>
      <c r="Z278" s="247" t="s">
        <v>418</v>
      </c>
      <c r="AA278" s="248" t="s">
        <v>418</v>
      </c>
      <c r="AB278" s="248" t="s">
        <v>418</v>
      </c>
      <c r="AC278" s="248" t="s">
        <v>418</v>
      </c>
      <c r="AD278" s="248" t="s">
        <v>418</v>
      </c>
      <c r="AE278" s="248" t="s">
        <v>418</v>
      </c>
      <c r="AF278" s="248" t="s">
        <v>418</v>
      </c>
      <c r="AG278" s="248" t="s">
        <v>418</v>
      </c>
      <c r="AH278" s="30">
        <f>('Project Materials'!$Q$25)*2</f>
        <v>0</v>
      </c>
      <c r="AI278" s="27">
        <f>('Project Materials'!$Q$26)*2</f>
        <v>0</v>
      </c>
      <c r="AJ278" s="28">
        <f>('Project Materials'!$Q$27)*2</f>
        <v>0</v>
      </c>
      <c r="AK278" s="200">
        <f>('Project Materials'!$Q$28)*2</f>
        <v>0</v>
      </c>
    </row>
    <row r="279" spans="1:39" x14ac:dyDescent="0.4">
      <c r="A279" s="60" t="s">
        <v>10</v>
      </c>
      <c r="B279" s="2" t="s">
        <v>649</v>
      </c>
      <c r="C279" s="2" t="s">
        <v>650</v>
      </c>
      <c r="D279" s="12">
        <v>120</v>
      </c>
      <c r="E279" s="4">
        <v>12.81</v>
      </c>
      <c r="F279" s="275" t="s">
        <v>418</v>
      </c>
      <c r="G279" s="275" t="s">
        <v>418</v>
      </c>
      <c r="H279" s="275" t="s">
        <v>418</v>
      </c>
      <c r="I279" s="275" t="s">
        <v>418</v>
      </c>
      <c r="J279" s="275" t="s">
        <v>418</v>
      </c>
      <c r="K279" s="275" t="s">
        <v>418</v>
      </c>
      <c r="L279" s="275" t="s">
        <v>418</v>
      </c>
      <c r="M279" s="280" t="s">
        <v>418</v>
      </c>
      <c r="N279" s="280" t="s">
        <v>418</v>
      </c>
      <c r="O279" s="280" t="s">
        <v>418</v>
      </c>
      <c r="P279" s="280" t="s">
        <v>418</v>
      </c>
      <c r="Q279" s="280" t="s">
        <v>418</v>
      </c>
      <c r="R279" s="280" t="s">
        <v>418</v>
      </c>
      <c r="S279" s="280" t="s">
        <v>418</v>
      </c>
      <c r="T279" s="247" t="s">
        <v>418</v>
      </c>
      <c r="U279" s="247" t="s">
        <v>418</v>
      </c>
      <c r="V279" s="247" t="s">
        <v>418</v>
      </c>
      <c r="W279" s="247" t="s">
        <v>418</v>
      </c>
      <c r="X279" s="247" t="s">
        <v>418</v>
      </c>
      <c r="Y279" s="247" t="s">
        <v>418</v>
      </c>
      <c r="Z279" s="247" t="s">
        <v>418</v>
      </c>
      <c r="AA279" s="248" t="s">
        <v>418</v>
      </c>
      <c r="AB279" s="248" t="s">
        <v>418</v>
      </c>
      <c r="AC279" s="248" t="s">
        <v>418</v>
      </c>
      <c r="AD279" s="248" t="s">
        <v>418</v>
      </c>
      <c r="AE279" s="248" t="s">
        <v>418</v>
      </c>
      <c r="AF279" s="248" t="s">
        <v>418</v>
      </c>
      <c r="AG279" s="248" t="s">
        <v>418</v>
      </c>
      <c r="AH279" s="30">
        <f>('Project Materials'!$Q$25)*2</f>
        <v>0</v>
      </c>
      <c r="AI279" s="27">
        <f>('Project Materials'!$Q$26)*2</f>
        <v>0</v>
      </c>
      <c r="AJ279" s="28">
        <f>('Project Materials'!$Q$27)*2</f>
        <v>0</v>
      </c>
      <c r="AK279" s="200">
        <f>('Project Materials'!$Q$28)*2</f>
        <v>0</v>
      </c>
    </row>
    <row r="280" spans="1:39" x14ac:dyDescent="0.4">
      <c r="A280" s="60" t="s">
        <v>10</v>
      </c>
      <c r="B280" s="2" t="s">
        <v>189</v>
      </c>
      <c r="C280" s="2" t="s">
        <v>190</v>
      </c>
      <c r="D280" s="12"/>
      <c r="E280" s="4">
        <v>0.75</v>
      </c>
      <c r="F280" s="275" t="s">
        <v>418</v>
      </c>
      <c r="G280" s="275" t="s">
        <v>418</v>
      </c>
      <c r="H280" s="275" t="s">
        <v>418</v>
      </c>
      <c r="I280" s="275" t="s">
        <v>418</v>
      </c>
      <c r="J280" s="275" t="s">
        <v>418</v>
      </c>
      <c r="K280" s="275" t="s">
        <v>418</v>
      </c>
      <c r="L280" s="275" t="s">
        <v>418</v>
      </c>
      <c r="M280" s="280" t="s">
        <v>418</v>
      </c>
      <c r="N280" s="280" t="s">
        <v>418</v>
      </c>
      <c r="O280" s="280" t="s">
        <v>418</v>
      </c>
      <c r="P280" s="280" t="s">
        <v>418</v>
      </c>
      <c r="Q280" s="280" t="s">
        <v>418</v>
      </c>
      <c r="R280" s="280" t="s">
        <v>418</v>
      </c>
      <c r="S280" s="280" t="s">
        <v>418</v>
      </c>
      <c r="T280" s="247" t="s">
        <v>418</v>
      </c>
      <c r="U280" s="247" t="s">
        <v>418</v>
      </c>
      <c r="V280" s="247" t="s">
        <v>418</v>
      </c>
      <c r="W280" s="247" t="s">
        <v>418</v>
      </c>
      <c r="X280" s="247" t="s">
        <v>418</v>
      </c>
      <c r="Y280" s="247" t="s">
        <v>418</v>
      </c>
      <c r="Z280" s="247" t="s">
        <v>418</v>
      </c>
      <c r="AA280" s="248" t="s">
        <v>418</v>
      </c>
      <c r="AB280" s="248" t="s">
        <v>418</v>
      </c>
      <c r="AC280" s="248" t="s">
        <v>418</v>
      </c>
      <c r="AD280" s="248" t="s">
        <v>418</v>
      </c>
      <c r="AE280" s="248" t="s">
        <v>418</v>
      </c>
      <c r="AF280" s="248" t="s">
        <v>418</v>
      </c>
      <c r="AG280" s="248" t="s">
        <v>418</v>
      </c>
      <c r="AH280" s="242">
        <f>IF(AH308&gt;0,AH308*2,'Project Materials'!D13*2)</f>
        <v>0</v>
      </c>
      <c r="AI280" s="242">
        <f>IF(AI308&gt;0,AI308*2,'Project Materials'!H13*2)</f>
        <v>0</v>
      </c>
      <c r="AJ280" s="242">
        <f>IF(AJ308&gt;0,AJ308*2,'Project Materials'!L13*2)</f>
        <v>0</v>
      </c>
      <c r="AK280" s="242">
        <f>IF(AK308&gt;0,AK308*2,'Project Materials'!P13*2)</f>
        <v>0</v>
      </c>
      <c r="AM280" s="98">
        <v>2</v>
      </c>
    </row>
    <row r="281" spans="1:39" x14ac:dyDescent="0.4">
      <c r="A281" s="60" t="s">
        <v>10</v>
      </c>
      <c r="B281" s="2" t="s">
        <v>191</v>
      </c>
      <c r="C281" s="2" t="s">
        <v>192</v>
      </c>
      <c r="D281" s="12">
        <v>20</v>
      </c>
      <c r="E281" s="4">
        <v>11.0396</v>
      </c>
      <c r="F281" s="275" t="s">
        <v>418</v>
      </c>
      <c r="G281" s="275" t="s">
        <v>418</v>
      </c>
      <c r="H281" s="275" t="s">
        <v>418</v>
      </c>
      <c r="I281" s="275" t="s">
        <v>418</v>
      </c>
      <c r="J281" s="275" t="s">
        <v>418</v>
      </c>
      <c r="K281" s="275" t="s">
        <v>418</v>
      </c>
      <c r="L281" s="275" t="s">
        <v>418</v>
      </c>
      <c r="M281" s="280" t="s">
        <v>418</v>
      </c>
      <c r="N281" s="280" t="s">
        <v>418</v>
      </c>
      <c r="O281" s="280" t="s">
        <v>418</v>
      </c>
      <c r="P281" s="280" t="s">
        <v>418</v>
      </c>
      <c r="Q281" s="280" t="s">
        <v>418</v>
      </c>
      <c r="R281" s="280" t="s">
        <v>418</v>
      </c>
      <c r="S281" s="280" t="s">
        <v>418</v>
      </c>
      <c r="T281" s="247" t="s">
        <v>418</v>
      </c>
      <c r="U281" s="247" t="s">
        <v>418</v>
      </c>
      <c r="V281" s="247" t="s">
        <v>418</v>
      </c>
      <c r="W281" s="247" t="s">
        <v>418</v>
      </c>
      <c r="X281" s="247" t="s">
        <v>418</v>
      </c>
      <c r="Y281" s="247" t="s">
        <v>418</v>
      </c>
      <c r="Z281" s="247" t="s">
        <v>418</v>
      </c>
      <c r="AA281" s="248" t="s">
        <v>418</v>
      </c>
      <c r="AB281" s="248" t="s">
        <v>418</v>
      </c>
      <c r="AC281" s="248" t="s">
        <v>418</v>
      </c>
      <c r="AD281" s="248" t="s">
        <v>418</v>
      </c>
      <c r="AE281" s="248" t="s">
        <v>418</v>
      </c>
      <c r="AF281" s="248" t="s">
        <v>418</v>
      </c>
      <c r="AG281" s="248" t="s">
        <v>418</v>
      </c>
      <c r="AH281" s="243">
        <f>'Area A'!$E$5</f>
        <v>0</v>
      </c>
      <c r="AI281" s="243">
        <f>'Area B'!$E$5</f>
        <v>0</v>
      </c>
      <c r="AJ281" s="243">
        <f>'Area C'!$E$5</f>
        <v>0</v>
      </c>
      <c r="AK281" s="243">
        <f>'Area D'!$E$5</f>
        <v>0</v>
      </c>
      <c r="AL281" s="9"/>
      <c r="AM281" s="9"/>
    </row>
    <row r="282" spans="1:39" x14ac:dyDescent="0.4">
      <c r="A282" s="60" t="s">
        <v>10</v>
      </c>
      <c r="B282" s="2" t="s">
        <v>193</v>
      </c>
      <c r="C282" s="2" t="s">
        <v>194</v>
      </c>
      <c r="D282" s="12">
        <v>20</v>
      </c>
      <c r="E282" s="4">
        <v>10.57</v>
      </c>
      <c r="F282" s="275" t="s">
        <v>418</v>
      </c>
      <c r="G282" s="275" t="s">
        <v>418</v>
      </c>
      <c r="H282" s="275" t="s">
        <v>418</v>
      </c>
      <c r="I282" s="275" t="s">
        <v>418</v>
      </c>
      <c r="J282" s="275" t="s">
        <v>418</v>
      </c>
      <c r="K282" s="275" t="s">
        <v>418</v>
      </c>
      <c r="L282" s="275" t="s">
        <v>418</v>
      </c>
      <c r="M282" s="280" t="s">
        <v>418</v>
      </c>
      <c r="N282" s="280" t="s">
        <v>418</v>
      </c>
      <c r="O282" s="280" t="s">
        <v>418</v>
      </c>
      <c r="P282" s="280" t="s">
        <v>418</v>
      </c>
      <c r="Q282" s="280" t="s">
        <v>418</v>
      </c>
      <c r="R282" s="280" t="s">
        <v>418</v>
      </c>
      <c r="S282" s="280" t="s">
        <v>418</v>
      </c>
      <c r="T282" s="247" t="s">
        <v>418</v>
      </c>
      <c r="U282" s="247" t="s">
        <v>418</v>
      </c>
      <c r="V282" s="247" t="s">
        <v>418</v>
      </c>
      <c r="W282" s="247" t="s">
        <v>418</v>
      </c>
      <c r="X282" s="247" t="s">
        <v>418</v>
      </c>
      <c r="Y282" s="247" t="s">
        <v>418</v>
      </c>
      <c r="Z282" s="247" t="s">
        <v>418</v>
      </c>
      <c r="AA282" s="248" t="s">
        <v>418</v>
      </c>
      <c r="AB282" s="248" t="s">
        <v>418</v>
      </c>
      <c r="AC282" s="248" t="s">
        <v>418</v>
      </c>
      <c r="AD282" s="248" t="s">
        <v>418</v>
      </c>
      <c r="AE282" s="248" t="s">
        <v>418</v>
      </c>
      <c r="AF282" s="248" t="s">
        <v>418</v>
      </c>
      <c r="AG282" s="248" t="s">
        <v>418</v>
      </c>
      <c r="AH282" s="243">
        <f>'Area A'!$E$5</f>
        <v>0</v>
      </c>
      <c r="AI282" s="243">
        <f>'Area B'!$E$5</f>
        <v>0</v>
      </c>
      <c r="AJ282" s="243">
        <f>'Area C'!$E$5</f>
        <v>0</v>
      </c>
      <c r="AK282" s="243">
        <f>'Area D'!$E$5</f>
        <v>0</v>
      </c>
      <c r="AL282" s="9"/>
      <c r="AM282" s="9"/>
    </row>
    <row r="283" spans="1:39" x14ac:dyDescent="0.4">
      <c r="A283" s="60" t="s">
        <v>10</v>
      </c>
      <c r="B283" s="2" t="s">
        <v>195</v>
      </c>
      <c r="C283" s="2" t="s">
        <v>196</v>
      </c>
      <c r="D283" s="12">
        <v>20</v>
      </c>
      <c r="E283" s="4">
        <v>13.59</v>
      </c>
      <c r="F283" s="275" t="s">
        <v>418</v>
      </c>
      <c r="G283" s="275" t="s">
        <v>418</v>
      </c>
      <c r="H283" s="275" t="s">
        <v>418</v>
      </c>
      <c r="I283" s="275" t="s">
        <v>418</v>
      </c>
      <c r="J283" s="275" t="s">
        <v>418</v>
      </c>
      <c r="K283" s="275" t="s">
        <v>418</v>
      </c>
      <c r="L283" s="275" t="s">
        <v>418</v>
      </c>
      <c r="M283" s="280" t="s">
        <v>418</v>
      </c>
      <c r="N283" s="280" t="s">
        <v>418</v>
      </c>
      <c r="O283" s="280" t="s">
        <v>418</v>
      </c>
      <c r="P283" s="280" t="s">
        <v>418</v>
      </c>
      <c r="Q283" s="280" t="s">
        <v>418</v>
      </c>
      <c r="R283" s="280" t="s">
        <v>418</v>
      </c>
      <c r="S283" s="280" t="s">
        <v>418</v>
      </c>
      <c r="T283" s="247" t="s">
        <v>418</v>
      </c>
      <c r="U283" s="247" t="s">
        <v>418</v>
      </c>
      <c r="V283" s="247" t="s">
        <v>418</v>
      </c>
      <c r="W283" s="247" t="s">
        <v>418</v>
      </c>
      <c r="X283" s="247" t="s">
        <v>418</v>
      </c>
      <c r="Y283" s="247" t="s">
        <v>418</v>
      </c>
      <c r="Z283" s="247" t="s">
        <v>418</v>
      </c>
      <c r="AA283" s="248" t="s">
        <v>418</v>
      </c>
      <c r="AB283" s="248" t="s">
        <v>418</v>
      </c>
      <c r="AC283" s="248" t="s">
        <v>418</v>
      </c>
      <c r="AD283" s="248" t="s">
        <v>418</v>
      </c>
      <c r="AE283" s="248" t="s">
        <v>418</v>
      </c>
      <c r="AF283" s="248" t="s">
        <v>418</v>
      </c>
      <c r="AG283" s="248" t="s">
        <v>418</v>
      </c>
      <c r="AH283" s="243">
        <f>'Area A'!$E$5</f>
        <v>0</v>
      </c>
      <c r="AI283" s="243">
        <f>'Area B'!$E$5</f>
        <v>0</v>
      </c>
      <c r="AJ283" s="243">
        <f>'Area C'!$E$5</f>
        <v>0</v>
      </c>
      <c r="AK283" s="243">
        <f>'Area D'!$E$5</f>
        <v>0</v>
      </c>
      <c r="AL283" s="9"/>
      <c r="AM283" s="9"/>
    </row>
    <row r="284" spans="1:39" x14ac:dyDescent="0.4">
      <c r="A284" s="60" t="s">
        <v>10</v>
      </c>
      <c r="B284" s="2" t="s">
        <v>197</v>
      </c>
      <c r="C284" s="2" t="s">
        <v>198</v>
      </c>
      <c r="D284" s="12">
        <v>20</v>
      </c>
      <c r="E284" s="4">
        <v>5.1231</v>
      </c>
      <c r="F284" s="275" t="s">
        <v>418</v>
      </c>
      <c r="G284" s="275" t="s">
        <v>418</v>
      </c>
      <c r="H284" s="275" t="s">
        <v>418</v>
      </c>
      <c r="I284" s="275" t="s">
        <v>418</v>
      </c>
      <c r="J284" s="275" t="s">
        <v>418</v>
      </c>
      <c r="K284" s="275" t="s">
        <v>418</v>
      </c>
      <c r="L284" s="275" t="s">
        <v>418</v>
      </c>
      <c r="M284" s="280" t="s">
        <v>418</v>
      </c>
      <c r="N284" s="280" t="s">
        <v>418</v>
      </c>
      <c r="O284" s="280" t="s">
        <v>418</v>
      </c>
      <c r="P284" s="280" t="s">
        <v>418</v>
      </c>
      <c r="Q284" s="280" t="s">
        <v>418</v>
      </c>
      <c r="R284" s="280" t="s">
        <v>418</v>
      </c>
      <c r="S284" s="280" t="s">
        <v>418</v>
      </c>
      <c r="T284" s="247" t="s">
        <v>418</v>
      </c>
      <c r="U284" s="247" t="s">
        <v>418</v>
      </c>
      <c r="V284" s="247" t="s">
        <v>418</v>
      </c>
      <c r="W284" s="247" t="s">
        <v>418</v>
      </c>
      <c r="X284" s="247" t="s">
        <v>418</v>
      </c>
      <c r="Y284" s="247" t="s">
        <v>418</v>
      </c>
      <c r="Z284" s="247" t="s">
        <v>418</v>
      </c>
      <c r="AA284" s="248" t="s">
        <v>418</v>
      </c>
      <c r="AB284" s="248" t="s">
        <v>418</v>
      </c>
      <c r="AC284" s="248" t="s">
        <v>418</v>
      </c>
      <c r="AD284" s="248" t="s">
        <v>418</v>
      </c>
      <c r="AE284" s="248" t="s">
        <v>418</v>
      </c>
      <c r="AF284" s="248" t="s">
        <v>418</v>
      </c>
      <c r="AG284" s="248" t="s">
        <v>418</v>
      </c>
      <c r="AH284" s="243">
        <f>'Area A'!$E$5</f>
        <v>0</v>
      </c>
      <c r="AI284" s="243">
        <f>'Area B'!$E$5</f>
        <v>0</v>
      </c>
      <c r="AJ284" s="243">
        <f>'Area C'!$E$5</f>
        <v>0</v>
      </c>
      <c r="AK284" s="243">
        <f>'Area D'!$E$5</f>
        <v>0</v>
      </c>
      <c r="AL284" s="9"/>
      <c r="AM284" s="9"/>
    </row>
    <row r="285" spans="1:39" x14ac:dyDescent="0.4">
      <c r="A285" s="60" t="s">
        <v>10</v>
      </c>
      <c r="B285" s="2" t="s">
        <v>199</v>
      </c>
      <c r="C285" s="2" t="s">
        <v>200</v>
      </c>
      <c r="D285" s="12">
        <v>20</v>
      </c>
      <c r="E285" s="4">
        <v>6.5628099999999998</v>
      </c>
      <c r="F285" s="275" t="s">
        <v>418</v>
      </c>
      <c r="G285" s="275" t="s">
        <v>418</v>
      </c>
      <c r="H285" s="275" t="s">
        <v>418</v>
      </c>
      <c r="I285" s="275" t="s">
        <v>418</v>
      </c>
      <c r="J285" s="275" t="s">
        <v>418</v>
      </c>
      <c r="K285" s="275" t="s">
        <v>418</v>
      </c>
      <c r="L285" s="275" t="s">
        <v>418</v>
      </c>
      <c r="M285" s="280" t="s">
        <v>418</v>
      </c>
      <c r="N285" s="280" t="s">
        <v>418</v>
      </c>
      <c r="O285" s="280" t="s">
        <v>418</v>
      </c>
      <c r="P285" s="280" t="s">
        <v>418</v>
      </c>
      <c r="Q285" s="280" t="s">
        <v>418</v>
      </c>
      <c r="R285" s="280" t="s">
        <v>418</v>
      </c>
      <c r="S285" s="280" t="s">
        <v>418</v>
      </c>
      <c r="T285" s="247" t="s">
        <v>418</v>
      </c>
      <c r="U285" s="247" t="s">
        <v>418</v>
      </c>
      <c r="V285" s="247" t="s">
        <v>418</v>
      </c>
      <c r="W285" s="247" t="s">
        <v>418</v>
      </c>
      <c r="X285" s="247" t="s">
        <v>418</v>
      </c>
      <c r="Y285" s="247" t="s">
        <v>418</v>
      </c>
      <c r="Z285" s="247" t="s">
        <v>418</v>
      </c>
      <c r="AA285" s="248" t="s">
        <v>418</v>
      </c>
      <c r="AB285" s="248" t="s">
        <v>418</v>
      </c>
      <c r="AC285" s="248" t="s">
        <v>418</v>
      </c>
      <c r="AD285" s="248" t="s">
        <v>418</v>
      </c>
      <c r="AE285" s="248" t="s">
        <v>418</v>
      </c>
      <c r="AF285" s="248" t="s">
        <v>418</v>
      </c>
      <c r="AG285" s="248" t="s">
        <v>418</v>
      </c>
      <c r="AH285" s="243">
        <f>'Area A'!$E$5</f>
        <v>0</v>
      </c>
      <c r="AI285" s="243">
        <f>'Area B'!$E$5</f>
        <v>0</v>
      </c>
      <c r="AJ285" s="243">
        <f>'Area C'!$E$5</f>
        <v>0</v>
      </c>
      <c r="AK285" s="243">
        <f>'Area D'!$E$5</f>
        <v>0</v>
      </c>
      <c r="AL285" s="9"/>
      <c r="AM285" s="9"/>
    </row>
    <row r="286" spans="1:39" x14ac:dyDescent="0.4">
      <c r="A286" s="60" t="s">
        <v>10</v>
      </c>
      <c r="B286" s="2" t="s">
        <v>201</v>
      </c>
      <c r="C286" s="2" t="s">
        <v>202</v>
      </c>
      <c r="D286" s="12">
        <v>20</v>
      </c>
      <c r="E286" s="4">
        <v>5.7530000000000001</v>
      </c>
      <c r="F286" s="275" t="s">
        <v>418</v>
      </c>
      <c r="G286" s="275" t="s">
        <v>418</v>
      </c>
      <c r="H286" s="275" t="s">
        <v>418</v>
      </c>
      <c r="I286" s="275" t="s">
        <v>418</v>
      </c>
      <c r="J286" s="275" t="s">
        <v>418</v>
      </c>
      <c r="K286" s="275" t="s">
        <v>418</v>
      </c>
      <c r="L286" s="275" t="s">
        <v>418</v>
      </c>
      <c r="M286" s="280" t="s">
        <v>418</v>
      </c>
      <c r="N286" s="280" t="s">
        <v>418</v>
      </c>
      <c r="O286" s="280" t="s">
        <v>418</v>
      </c>
      <c r="P286" s="280" t="s">
        <v>418</v>
      </c>
      <c r="Q286" s="280" t="s">
        <v>418</v>
      </c>
      <c r="R286" s="280" t="s">
        <v>418</v>
      </c>
      <c r="S286" s="280" t="s">
        <v>418</v>
      </c>
      <c r="T286" s="247" t="s">
        <v>418</v>
      </c>
      <c r="U286" s="247" t="s">
        <v>418</v>
      </c>
      <c r="V286" s="247" t="s">
        <v>418</v>
      </c>
      <c r="W286" s="247" t="s">
        <v>418</v>
      </c>
      <c r="X286" s="247" t="s">
        <v>418</v>
      </c>
      <c r="Y286" s="247" t="s">
        <v>418</v>
      </c>
      <c r="Z286" s="247" t="s">
        <v>418</v>
      </c>
      <c r="AA286" s="248" t="s">
        <v>418</v>
      </c>
      <c r="AB286" s="248" t="s">
        <v>418</v>
      </c>
      <c r="AC286" s="248" t="s">
        <v>418</v>
      </c>
      <c r="AD286" s="248" t="s">
        <v>418</v>
      </c>
      <c r="AE286" s="248" t="s">
        <v>418</v>
      </c>
      <c r="AF286" s="248" t="s">
        <v>418</v>
      </c>
      <c r="AG286" s="248" t="s">
        <v>418</v>
      </c>
      <c r="AH286" s="243">
        <f>'Area A'!$E$5</f>
        <v>0</v>
      </c>
      <c r="AI286" s="243">
        <f>'Area B'!$E$5</f>
        <v>0</v>
      </c>
      <c r="AJ286" s="243">
        <f>'Area C'!$E$5</f>
        <v>0</v>
      </c>
      <c r="AK286" s="243">
        <f>'Area D'!$E$5</f>
        <v>0</v>
      </c>
      <c r="AL286" s="9"/>
      <c r="AM286" s="9"/>
    </row>
    <row r="287" spans="1:39" x14ac:dyDescent="0.4">
      <c r="A287" s="60" t="s">
        <v>10</v>
      </c>
      <c r="B287" s="2" t="s">
        <v>203</v>
      </c>
      <c r="C287" s="2" t="s">
        <v>204</v>
      </c>
      <c r="D287" s="12">
        <v>20</v>
      </c>
      <c r="E287" s="4">
        <v>7.3152100000000004</v>
      </c>
      <c r="F287" s="275" t="s">
        <v>418</v>
      </c>
      <c r="G287" s="275" t="s">
        <v>418</v>
      </c>
      <c r="H287" s="275" t="s">
        <v>418</v>
      </c>
      <c r="I287" s="275" t="s">
        <v>418</v>
      </c>
      <c r="J287" s="275" t="s">
        <v>418</v>
      </c>
      <c r="K287" s="275" t="s">
        <v>418</v>
      </c>
      <c r="L287" s="275" t="s">
        <v>418</v>
      </c>
      <c r="M287" s="280" t="s">
        <v>418</v>
      </c>
      <c r="N287" s="280" t="s">
        <v>418</v>
      </c>
      <c r="O287" s="280" t="s">
        <v>418</v>
      </c>
      <c r="P287" s="280" t="s">
        <v>418</v>
      </c>
      <c r="Q287" s="280" t="s">
        <v>418</v>
      </c>
      <c r="R287" s="280" t="s">
        <v>418</v>
      </c>
      <c r="S287" s="280" t="s">
        <v>418</v>
      </c>
      <c r="T287" s="247" t="s">
        <v>418</v>
      </c>
      <c r="U287" s="247" t="s">
        <v>418</v>
      </c>
      <c r="V287" s="247" t="s">
        <v>418</v>
      </c>
      <c r="W287" s="247" t="s">
        <v>418</v>
      </c>
      <c r="X287" s="247" t="s">
        <v>418</v>
      </c>
      <c r="Y287" s="247" t="s">
        <v>418</v>
      </c>
      <c r="Z287" s="247" t="s">
        <v>418</v>
      </c>
      <c r="AA287" s="248" t="s">
        <v>418</v>
      </c>
      <c r="AB287" s="248" t="s">
        <v>418</v>
      </c>
      <c r="AC287" s="248" t="s">
        <v>418</v>
      </c>
      <c r="AD287" s="248" t="s">
        <v>418</v>
      </c>
      <c r="AE287" s="248" t="s">
        <v>418</v>
      </c>
      <c r="AF287" s="248" t="s">
        <v>418</v>
      </c>
      <c r="AG287" s="248" t="s">
        <v>418</v>
      </c>
      <c r="AH287" s="243">
        <f>'Area A'!$E$5</f>
        <v>0</v>
      </c>
      <c r="AI287" s="243">
        <f>'Area B'!$E$5</f>
        <v>0</v>
      </c>
      <c r="AJ287" s="243">
        <f>'Area C'!$E$5</f>
        <v>0</v>
      </c>
      <c r="AK287" s="243">
        <f>'Area D'!$E$5</f>
        <v>0</v>
      </c>
      <c r="AL287" s="9"/>
      <c r="AM287" s="9"/>
    </row>
    <row r="288" spans="1:39" x14ac:dyDescent="0.4">
      <c r="A288" s="60" t="s">
        <v>10</v>
      </c>
      <c r="B288" s="2" t="s">
        <v>205</v>
      </c>
      <c r="C288" s="2" t="s">
        <v>206</v>
      </c>
      <c r="D288" s="12">
        <v>20</v>
      </c>
      <c r="E288" s="4">
        <v>5.3337899999999996</v>
      </c>
      <c r="F288" s="275" t="s">
        <v>418</v>
      </c>
      <c r="G288" s="275" t="s">
        <v>418</v>
      </c>
      <c r="H288" s="275" t="s">
        <v>418</v>
      </c>
      <c r="I288" s="275" t="s">
        <v>418</v>
      </c>
      <c r="J288" s="275" t="s">
        <v>418</v>
      </c>
      <c r="K288" s="275" t="s">
        <v>418</v>
      </c>
      <c r="L288" s="275" t="s">
        <v>418</v>
      </c>
      <c r="M288" s="280" t="s">
        <v>418</v>
      </c>
      <c r="N288" s="280" t="s">
        <v>418</v>
      </c>
      <c r="O288" s="280" t="s">
        <v>418</v>
      </c>
      <c r="P288" s="280" t="s">
        <v>418</v>
      </c>
      <c r="Q288" s="280" t="s">
        <v>418</v>
      </c>
      <c r="R288" s="280" t="s">
        <v>418</v>
      </c>
      <c r="S288" s="280" t="s">
        <v>418</v>
      </c>
      <c r="T288" s="247" t="s">
        <v>418</v>
      </c>
      <c r="U288" s="247" t="s">
        <v>418</v>
      </c>
      <c r="V288" s="247" t="s">
        <v>418</v>
      </c>
      <c r="W288" s="247" t="s">
        <v>418</v>
      </c>
      <c r="X288" s="247" t="s">
        <v>418</v>
      </c>
      <c r="Y288" s="247" t="s">
        <v>418</v>
      </c>
      <c r="Z288" s="247" t="s">
        <v>418</v>
      </c>
      <c r="AA288" s="248" t="s">
        <v>418</v>
      </c>
      <c r="AB288" s="248" t="s">
        <v>418</v>
      </c>
      <c r="AC288" s="248" t="s">
        <v>418</v>
      </c>
      <c r="AD288" s="248" t="s">
        <v>418</v>
      </c>
      <c r="AE288" s="248" t="s">
        <v>418</v>
      </c>
      <c r="AF288" s="248" t="s">
        <v>418</v>
      </c>
      <c r="AG288" s="248" t="s">
        <v>418</v>
      </c>
      <c r="AH288" s="243">
        <f>'Area A'!$E$5</f>
        <v>0</v>
      </c>
      <c r="AI288" s="243">
        <f>'Area B'!$E$5</f>
        <v>0</v>
      </c>
      <c r="AJ288" s="243">
        <f>'Area C'!$E$5</f>
        <v>0</v>
      </c>
      <c r="AK288" s="243">
        <f>'Area D'!$E$5</f>
        <v>0</v>
      </c>
      <c r="AL288" s="9"/>
      <c r="AM288" s="9"/>
    </row>
    <row r="289" spans="1:40" x14ac:dyDescent="0.4">
      <c r="A289" s="60" t="s">
        <v>10</v>
      </c>
      <c r="B289" s="2" t="s">
        <v>319</v>
      </c>
      <c r="C289" s="2" t="s">
        <v>320</v>
      </c>
      <c r="D289" s="12"/>
      <c r="E289" s="4">
        <v>12.97</v>
      </c>
      <c r="F289" s="275" t="s">
        <v>418</v>
      </c>
      <c r="G289" s="275" t="s">
        <v>418</v>
      </c>
      <c r="H289" s="275" t="s">
        <v>418</v>
      </c>
      <c r="I289" s="275" t="s">
        <v>418</v>
      </c>
      <c r="J289" s="275" t="s">
        <v>418</v>
      </c>
      <c r="K289" s="275" t="s">
        <v>418</v>
      </c>
      <c r="L289" s="275" t="s">
        <v>418</v>
      </c>
      <c r="M289" s="280" t="s">
        <v>418</v>
      </c>
      <c r="N289" s="280" t="s">
        <v>418</v>
      </c>
      <c r="O289" s="280" t="s">
        <v>418</v>
      </c>
      <c r="P289" s="280" t="s">
        <v>418</v>
      </c>
      <c r="Q289" s="280" t="s">
        <v>418</v>
      </c>
      <c r="R289" s="280" t="s">
        <v>418</v>
      </c>
      <c r="S289" s="280" t="s">
        <v>418</v>
      </c>
      <c r="T289" s="247" t="s">
        <v>418</v>
      </c>
      <c r="U289" s="247" t="s">
        <v>418</v>
      </c>
      <c r="V289" s="247" t="s">
        <v>418</v>
      </c>
      <c r="W289" s="247" t="s">
        <v>418</v>
      </c>
      <c r="X289" s="247" t="s">
        <v>418</v>
      </c>
      <c r="Y289" s="247" t="s">
        <v>418</v>
      </c>
      <c r="Z289" s="247" t="s">
        <v>418</v>
      </c>
      <c r="AA289" s="248" t="s">
        <v>418</v>
      </c>
      <c r="AB289" s="248" t="s">
        <v>418</v>
      </c>
      <c r="AC289" s="248" t="s">
        <v>418</v>
      </c>
      <c r="AD289" s="248" t="s">
        <v>418</v>
      </c>
      <c r="AE289" s="248" t="s">
        <v>418</v>
      </c>
      <c r="AF289" s="248" t="s">
        <v>418</v>
      </c>
      <c r="AG289" s="248" t="s">
        <v>418</v>
      </c>
      <c r="AM289" s="9"/>
    </row>
    <row r="290" spans="1:40" x14ac:dyDescent="0.4">
      <c r="A290" s="60" t="s">
        <v>10</v>
      </c>
      <c r="B290" s="2" t="s">
        <v>410</v>
      </c>
      <c r="C290" s="2" t="s">
        <v>318</v>
      </c>
      <c r="D290" s="12"/>
      <c r="E290" s="4">
        <v>3.5</v>
      </c>
      <c r="F290" s="275" t="s">
        <v>418</v>
      </c>
      <c r="G290" s="275" t="s">
        <v>418</v>
      </c>
      <c r="H290" s="275" t="s">
        <v>418</v>
      </c>
      <c r="I290" s="275" t="s">
        <v>418</v>
      </c>
      <c r="J290" s="275" t="s">
        <v>418</v>
      </c>
      <c r="K290" s="275" t="s">
        <v>418</v>
      </c>
      <c r="L290" s="275" t="s">
        <v>418</v>
      </c>
      <c r="M290" s="280" t="s">
        <v>418</v>
      </c>
      <c r="N290" s="280" t="s">
        <v>418</v>
      </c>
      <c r="O290" s="280" t="s">
        <v>418</v>
      </c>
      <c r="P290" s="280" t="s">
        <v>418</v>
      </c>
      <c r="Q290" s="280" t="s">
        <v>418</v>
      </c>
      <c r="R290" s="280" t="s">
        <v>418</v>
      </c>
      <c r="S290" s="280" t="s">
        <v>418</v>
      </c>
      <c r="T290" s="247" t="s">
        <v>418</v>
      </c>
      <c r="U290" s="247" t="s">
        <v>418</v>
      </c>
      <c r="V290" s="247" t="s">
        <v>418</v>
      </c>
      <c r="W290" s="247" t="s">
        <v>418</v>
      </c>
      <c r="X290" s="247" t="s">
        <v>418</v>
      </c>
      <c r="Y290" s="247" t="s">
        <v>418</v>
      </c>
      <c r="Z290" s="247" t="s">
        <v>418</v>
      </c>
      <c r="AA290" s="248" t="s">
        <v>418</v>
      </c>
      <c r="AB290" s="248" t="s">
        <v>418</v>
      </c>
      <c r="AC290" s="248" t="s">
        <v>418</v>
      </c>
      <c r="AD290" s="248" t="s">
        <v>418</v>
      </c>
      <c r="AE290" s="248" t="s">
        <v>418</v>
      </c>
      <c r="AF290" s="248" t="s">
        <v>418</v>
      </c>
      <c r="AG290" s="248" t="s">
        <v>418</v>
      </c>
      <c r="AM290" s="9"/>
    </row>
    <row r="291" spans="1:40" x14ac:dyDescent="0.4">
      <c r="A291" s="60" t="s">
        <v>10</v>
      </c>
      <c r="B291" s="2" t="s">
        <v>324</v>
      </c>
      <c r="C291" s="2" t="s">
        <v>325</v>
      </c>
      <c r="D291" s="12"/>
      <c r="E291" s="4">
        <v>0.16</v>
      </c>
      <c r="F291" s="275" t="s">
        <v>418</v>
      </c>
      <c r="G291" s="277" t="s">
        <v>183</v>
      </c>
      <c r="H291" s="275" t="s">
        <v>418</v>
      </c>
      <c r="I291" s="275" t="s">
        <v>418</v>
      </c>
      <c r="J291" s="275" t="s">
        <v>418</v>
      </c>
      <c r="K291" s="275" t="s">
        <v>418</v>
      </c>
      <c r="L291" s="275" t="s">
        <v>418</v>
      </c>
      <c r="M291" s="280" t="s">
        <v>418</v>
      </c>
      <c r="N291" s="282" t="s">
        <v>183</v>
      </c>
      <c r="O291" s="280" t="s">
        <v>418</v>
      </c>
      <c r="P291" s="280" t="s">
        <v>418</v>
      </c>
      <c r="Q291" s="280" t="s">
        <v>418</v>
      </c>
      <c r="R291" s="280" t="s">
        <v>418</v>
      </c>
      <c r="S291" s="280" t="s">
        <v>418</v>
      </c>
      <c r="T291" s="247" t="s">
        <v>418</v>
      </c>
      <c r="U291" s="154" t="s">
        <v>183</v>
      </c>
      <c r="V291" s="247" t="s">
        <v>418</v>
      </c>
      <c r="W291" s="247" t="s">
        <v>418</v>
      </c>
      <c r="X291" s="247" t="s">
        <v>418</v>
      </c>
      <c r="Y291" s="247" t="s">
        <v>418</v>
      </c>
      <c r="Z291" s="247" t="s">
        <v>418</v>
      </c>
      <c r="AA291" s="248" t="s">
        <v>418</v>
      </c>
      <c r="AB291" s="202" t="s">
        <v>183</v>
      </c>
      <c r="AC291" s="248" t="s">
        <v>418</v>
      </c>
      <c r="AD291" s="248" t="s">
        <v>418</v>
      </c>
      <c r="AE291" s="248" t="s">
        <v>418</v>
      </c>
      <c r="AF291" s="248" t="s">
        <v>418</v>
      </c>
      <c r="AG291" s="248" t="s">
        <v>418</v>
      </c>
      <c r="AH291" s="30">
        <f>((2*'Project Materials'!$Q$25)-(1*('Project Materials'!$K$25*'Project Materials'!$P$25)))</f>
        <v>0</v>
      </c>
      <c r="AI291" s="27">
        <f>((2*'Project Materials'!$Q$26)-(1*('Project Materials'!$K$26*'Project Materials'!$P$26)))</f>
        <v>0</v>
      </c>
      <c r="AJ291" s="28">
        <f>((2*'Project Materials'!$Q$27)-(1*('Project Materials'!$K$27*'Project Materials'!$P$27)))</f>
        <v>0</v>
      </c>
      <c r="AK291" s="200">
        <f>((2*'Project Materials'!$Q$28)-(1*('Project Materials'!$K$28*'Project Materials'!$P$28)))</f>
        <v>0</v>
      </c>
    </row>
    <row r="292" spans="1:40" x14ac:dyDescent="0.4">
      <c r="A292" s="60" t="s">
        <v>10</v>
      </c>
      <c r="B292" s="2" t="s">
        <v>326</v>
      </c>
      <c r="C292" s="2" t="s">
        <v>327</v>
      </c>
      <c r="D292" s="12"/>
      <c r="E292" s="4">
        <v>1.71</v>
      </c>
      <c r="F292" s="275" t="s">
        <v>418</v>
      </c>
      <c r="G292" s="275" t="s">
        <v>418</v>
      </c>
      <c r="H292" s="275" t="s">
        <v>418</v>
      </c>
      <c r="I292" s="275" t="s">
        <v>418</v>
      </c>
      <c r="J292" s="275" t="s">
        <v>418</v>
      </c>
      <c r="K292" s="275" t="s">
        <v>418</v>
      </c>
      <c r="L292" s="275" t="s">
        <v>418</v>
      </c>
      <c r="M292" s="280" t="s">
        <v>418</v>
      </c>
      <c r="N292" s="280" t="s">
        <v>418</v>
      </c>
      <c r="O292" s="280" t="s">
        <v>418</v>
      </c>
      <c r="P292" s="280" t="s">
        <v>418</v>
      </c>
      <c r="Q292" s="280" t="s">
        <v>418</v>
      </c>
      <c r="R292" s="280" t="s">
        <v>418</v>
      </c>
      <c r="S292" s="280" t="s">
        <v>418</v>
      </c>
      <c r="T292" s="247" t="s">
        <v>418</v>
      </c>
      <c r="U292" s="247" t="s">
        <v>418</v>
      </c>
      <c r="V292" s="247" t="s">
        <v>418</v>
      </c>
      <c r="W292" s="247" t="s">
        <v>418</v>
      </c>
      <c r="X292" s="247" t="s">
        <v>418</v>
      </c>
      <c r="Y292" s="247" t="s">
        <v>418</v>
      </c>
      <c r="Z292" s="247" t="s">
        <v>418</v>
      </c>
      <c r="AA292" s="248" t="s">
        <v>418</v>
      </c>
      <c r="AB292" s="248" t="s">
        <v>418</v>
      </c>
      <c r="AC292" s="248" t="s">
        <v>418</v>
      </c>
      <c r="AD292" s="248" t="s">
        <v>418</v>
      </c>
      <c r="AE292" s="248" t="s">
        <v>418</v>
      </c>
      <c r="AF292" s="248" t="s">
        <v>418</v>
      </c>
      <c r="AG292" s="248" t="s">
        <v>418</v>
      </c>
      <c r="AH292" s="30">
        <f>((2*'Project Materials'!$Q$25)-(1*('Project Materials'!$K$25*'Project Materials'!$P$25)))</f>
        <v>0</v>
      </c>
      <c r="AI292" s="27">
        <f>((2*'Project Materials'!$Q$26)-(1*('Project Materials'!$K$26*'Project Materials'!$P$26)))</f>
        <v>0</v>
      </c>
      <c r="AJ292" s="28">
        <f>((2*'Project Materials'!$Q$27)-(1*('Project Materials'!$K$27*'Project Materials'!$P$27)))</f>
        <v>0</v>
      </c>
      <c r="AK292" s="200">
        <f>((2*'Project Materials'!$Q$28)-(1*('Project Materials'!$K$28*'Project Materials'!$P$28)))</f>
        <v>0</v>
      </c>
    </row>
    <row r="293" spans="1:40" x14ac:dyDescent="0.4">
      <c r="A293" s="60" t="s">
        <v>10</v>
      </c>
      <c r="B293" s="2" t="s">
        <v>328</v>
      </c>
      <c r="C293" s="2" t="s">
        <v>329</v>
      </c>
      <c r="D293" s="12"/>
      <c r="E293" s="4">
        <v>0.28000000000000003</v>
      </c>
      <c r="F293" s="275" t="s">
        <v>418</v>
      </c>
      <c r="G293" s="277" t="s">
        <v>183</v>
      </c>
      <c r="H293" s="275" t="s">
        <v>418</v>
      </c>
      <c r="I293" s="275" t="s">
        <v>418</v>
      </c>
      <c r="J293" s="275" t="s">
        <v>418</v>
      </c>
      <c r="K293" s="275" t="s">
        <v>418</v>
      </c>
      <c r="L293" s="275" t="s">
        <v>418</v>
      </c>
      <c r="M293" s="280" t="s">
        <v>418</v>
      </c>
      <c r="N293" s="282" t="s">
        <v>183</v>
      </c>
      <c r="O293" s="280" t="s">
        <v>418</v>
      </c>
      <c r="P293" s="280" t="s">
        <v>418</v>
      </c>
      <c r="Q293" s="280" t="s">
        <v>418</v>
      </c>
      <c r="R293" s="280" t="s">
        <v>418</v>
      </c>
      <c r="S293" s="280" t="s">
        <v>418</v>
      </c>
      <c r="T293" s="247" t="s">
        <v>418</v>
      </c>
      <c r="U293" s="154" t="s">
        <v>183</v>
      </c>
      <c r="V293" s="247" t="s">
        <v>418</v>
      </c>
      <c r="W293" s="247" t="s">
        <v>418</v>
      </c>
      <c r="X293" s="247" t="s">
        <v>418</v>
      </c>
      <c r="Y293" s="247" t="s">
        <v>418</v>
      </c>
      <c r="Z293" s="247" t="s">
        <v>418</v>
      </c>
      <c r="AA293" s="248" t="s">
        <v>418</v>
      </c>
      <c r="AB293" s="202" t="s">
        <v>183</v>
      </c>
      <c r="AC293" s="248" t="s">
        <v>418</v>
      </c>
      <c r="AD293" s="248" t="s">
        <v>418</v>
      </c>
      <c r="AE293" s="248" t="s">
        <v>418</v>
      </c>
      <c r="AF293" s="248" t="s">
        <v>418</v>
      </c>
      <c r="AG293" s="248" t="s">
        <v>418</v>
      </c>
      <c r="AH293" s="30">
        <f>((2*'Project Materials'!$Q$25)-(1*('Project Materials'!$K$25*'Project Materials'!$P$25)))</f>
        <v>0</v>
      </c>
      <c r="AI293" s="27">
        <f>((2*'Project Materials'!$Q$26)-(1*('Project Materials'!$K$26*'Project Materials'!$P$26)))</f>
        <v>0</v>
      </c>
      <c r="AJ293" s="28">
        <f>((2*'Project Materials'!$Q$27)-(1*('Project Materials'!$K$27*'Project Materials'!$P$27)))</f>
        <v>0</v>
      </c>
      <c r="AK293" s="200">
        <f>((2*'Project Materials'!$Q$28)-(1*('Project Materials'!$K$28*'Project Materials'!$P$28)))</f>
        <v>0</v>
      </c>
    </row>
    <row r="294" spans="1:40" x14ac:dyDescent="0.4">
      <c r="A294" s="60" t="s">
        <v>10</v>
      </c>
      <c r="B294" s="2" t="s">
        <v>330</v>
      </c>
      <c r="C294" s="2" t="s">
        <v>331</v>
      </c>
      <c r="D294" s="12"/>
      <c r="E294" s="4">
        <v>1.82</v>
      </c>
      <c r="F294" s="275" t="s">
        <v>418</v>
      </c>
      <c r="G294" s="275" t="s">
        <v>418</v>
      </c>
      <c r="H294" s="275" t="s">
        <v>418</v>
      </c>
      <c r="I294" s="275" t="s">
        <v>418</v>
      </c>
      <c r="J294" s="275" t="s">
        <v>418</v>
      </c>
      <c r="K294" s="275" t="s">
        <v>418</v>
      </c>
      <c r="L294" s="275" t="s">
        <v>418</v>
      </c>
      <c r="M294" s="280" t="s">
        <v>418</v>
      </c>
      <c r="N294" s="280" t="s">
        <v>418</v>
      </c>
      <c r="O294" s="280" t="s">
        <v>418</v>
      </c>
      <c r="P294" s="280" t="s">
        <v>418</v>
      </c>
      <c r="Q294" s="280" t="s">
        <v>418</v>
      </c>
      <c r="R294" s="280" t="s">
        <v>418</v>
      </c>
      <c r="S294" s="280" t="s">
        <v>418</v>
      </c>
      <c r="T294" s="247" t="s">
        <v>418</v>
      </c>
      <c r="U294" s="247" t="s">
        <v>418</v>
      </c>
      <c r="V294" s="247" t="s">
        <v>418</v>
      </c>
      <c r="W294" s="247" t="s">
        <v>418</v>
      </c>
      <c r="X294" s="247" t="s">
        <v>418</v>
      </c>
      <c r="Y294" s="247" t="s">
        <v>418</v>
      </c>
      <c r="Z294" s="247" t="s">
        <v>418</v>
      </c>
      <c r="AA294" s="248" t="s">
        <v>418</v>
      </c>
      <c r="AB294" s="248" t="s">
        <v>418</v>
      </c>
      <c r="AC294" s="248" t="s">
        <v>418</v>
      </c>
      <c r="AD294" s="248" t="s">
        <v>418</v>
      </c>
      <c r="AE294" s="248" t="s">
        <v>418</v>
      </c>
      <c r="AF294" s="248" t="s">
        <v>418</v>
      </c>
      <c r="AG294" s="248" t="s">
        <v>418</v>
      </c>
      <c r="AH294" s="30">
        <f>((2*'Project Materials'!$Q$25)-(1*('Project Materials'!$K$25*'Project Materials'!$P$25)))</f>
        <v>0</v>
      </c>
      <c r="AI294" s="27">
        <f>((2*'Project Materials'!$Q$26)-(1*('Project Materials'!$K$26*'Project Materials'!$P$26)))</f>
        <v>0</v>
      </c>
      <c r="AJ294" s="28">
        <f>((2*'Project Materials'!$Q$27)-(1*('Project Materials'!$K$27*'Project Materials'!$P$27)))</f>
        <v>0</v>
      </c>
      <c r="AK294" s="200">
        <f>((2*'Project Materials'!$Q$28)-(1*('Project Materials'!$K$28*'Project Materials'!$P$28)))</f>
        <v>0</v>
      </c>
    </row>
    <row r="295" spans="1:40" s="237" customFormat="1" x14ac:dyDescent="0.4">
      <c r="A295" s="60" t="s">
        <v>10</v>
      </c>
      <c r="B295" s="99" t="s">
        <v>872</v>
      </c>
      <c r="C295" s="99" t="s">
        <v>873</v>
      </c>
      <c r="D295" s="12"/>
      <c r="E295" s="4"/>
      <c r="F295" s="275" t="s">
        <v>418</v>
      </c>
      <c r="G295" s="277" t="s">
        <v>183</v>
      </c>
      <c r="H295" s="275" t="s">
        <v>418</v>
      </c>
      <c r="I295" s="275" t="s">
        <v>418</v>
      </c>
      <c r="J295" s="275" t="s">
        <v>418</v>
      </c>
      <c r="K295" s="275" t="s">
        <v>418</v>
      </c>
      <c r="L295" s="275" t="s">
        <v>418</v>
      </c>
      <c r="M295" s="280" t="s">
        <v>418</v>
      </c>
      <c r="N295" s="282" t="s">
        <v>183</v>
      </c>
      <c r="O295" s="280" t="s">
        <v>418</v>
      </c>
      <c r="P295" s="280" t="s">
        <v>418</v>
      </c>
      <c r="Q295" s="280" t="s">
        <v>418</v>
      </c>
      <c r="R295" s="280" t="s">
        <v>418</v>
      </c>
      <c r="S295" s="280" t="s">
        <v>418</v>
      </c>
      <c r="T295" s="247" t="s">
        <v>418</v>
      </c>
      <c r="U295" s="154" t="s">
        <v>183</v>
      </c>
      <c r="V295" s="247" t="s">
        <v>418</v>
      </c>
      <c r="W295" s="247" t="s">
        <v>418</v>
      </c>
      <c r="X295" s="247" t="s">
        <v>418</v>
      </c>
      <c r="Y295" s="247" t="s">
        <v>418</v>
      </c>
      <c r="Z295" s="247" t="s">
        <v>418</v>
      </c>
      <c r="AA295" s="248" t="s">
        <v>418</v>
      </c>
      <c r="AB295" s="202" t="s">
        <v>183</v>
      </c>
      <c r="AC295" s="248" t="s">
        <v>418</v>
      </c>
      <c r="AD295" s="248" t="s">
        <v>418</v>
      </c>
      <c r="AE295" s="248" t="s">
        <v>418</v>
      </c>
      <c r="AF295" s="248" t="s">
        <v>418</v>
      </c>
      <c r="AG295" s="248" t="s">
        <v>418</v>
      </c>
      <c r="AH295" s="30">
        <f>((2*'Project Materials'!$Q$25)-(1*('Project Materials'!$K$25*'Project Materials'!$P$25)))</f>
        <v>0</v>
      </c>
      <c r="AI295" s="27">
        <f>((2*'Project Materials'!$Q$26)-(1*('Project Materials'!$K$26*'Project Materials'!$P$26)))</f>
        <v>0</v>
      </c>
      <c r="AJ295" s="28">
        <f>((2*'Project Materials'!$Q$27)-(1*('Project Materials'!$K$27*'Project Materials'!$P$27)))</f>
        <v>0</v>
      </c>
      <c r="AK295" s="200">
        <f>((2*'Project Materials'!$Q$28)-(1*('Project Materials'!$K$28*'Project Materials'!$P$28)))</f>
        <v>0</v>
      </c>
      <c r="AN295" s="22"/>
    </row>
    <row r="296" spans="1:40" x14ac:dyDescent="0.4">
      <c r="A296" s="60" t="s">
        <v>10</v>
      </c>
      <c r="B296" s="2" t="s">
        <v>332</v>
      </c>
      <c r="C296" s="2" t="s">
        <v>333</v>
      </c>
      <c r="D296" s="12"/>
      <c r="E296" s="4">
        <v>0.26</v>
      </c>
      <c r="F296" s="275" t="s">
        <v>418</v>
      </c>
      <c r="G296" s="275" t="s">
        <v>418</v>
      </c>
      <c r="H296" s="275" t="s">
        <v>418</v>
      </c>
      <c r="I296" s="275" t="s">
        <v>418</v>
      </c>
      <c r="J296" s="275" t="s">
        <v>418</v>
      </c>
      <c r="K296" s="275" t="s">
        <v>418</v>
      </c>
      <c r="L296" s="275" t="s">
        <v>418</v>
      </c>
      <c r="M296" s="280" t="s">
        <v>418</v>
      </c>
      <c r="N296" s="280" t="s">
        <v>418</v>
      </c>
      <c r="O296" s="280" t="s">
        <v>418</v>
      </c>
      <c r="P296" s="280" t="s">
        <v>418</v>
      </c>
      <c r="Q296" s="280" t="s">
        <v>418</v>
      </c>
      <c r="R296" s="280" t="s">
        <v>418</v>
      </c>
      <c r="S296" s="280" t="s">
        <v>418</v>
      </c>
      <c r="T296" s="247" t="s">
        <v>418</v>
      </c>
      <c r="U296" s="247" t="s">
        <v>418</v>
      </c>
      <c r="V296" s="247" t="s">
        <v>418</v>
      </c>
      <c r="W296" s="247" t="s">
        <v>418</v>
      </c>
      <c r="X296" s="247" t="s">
        <v>418</v>
      </c>
      <c r="Y296" s="247" t="s">
        <v>418</v>
      </c>
      <c r="Z296" s="247" t="s">
        <v>418</v>
      </c>
      <c r="AA296" s="248" t="s">
        <v>418</v>
      </c>
      <c r="AB296" s="248" t="s">
        <v>418</v>
      </c>
      <c r="AC296" s="248" t="s">
        <v>418</v>
      </c>
      <c r="AD296" s="248" t="s">
        <v>418</v>
      </c>
      <c r="AE296" s="248" t="s">
        <v>418</v>
      </c>
      <c r="AF296" s="248" t="s">
        <v>418</v>
      </c>
      <c r="AG296" s="248" t="s">
        <v>418</v>
      </c>
      <c r="AH296" s="259">
        <f>('Project Materials'!$O$25*'Project Materials'!$P$25)*3</f>
        <v>0</v>
      </c>
      <c r="AI296" s="260">
        <f>('Project Materials'!$O$26*'Project Materials'!$P$26)*3</f>
        <v>0</v>
      </c>
      <c r="AJ296" s="261">
        <f>('Project Materials'!$O$27*'Project Materials'!$P$27)*3</f>
        <v>0</v>
      </c>
      <c r="AK296" s="262">
        <f>('Project Materials'!$O$28*'Project Materials'!$P$28)*3</f>
        <v>0</v>
      </c>
      <c r="AL296" s="9"/>
      <c r="AM296" s="9"/>
    </row>
    <row r="297" spans="1:40" x14ac:dyDescent="0.4">
      <c r="A297" s="60" t="s">
        <v>10</v>
      </c>
      <c r="B297" s="2" t="s">
        <v>334</v>
      </c>
      <c r="C297" s="2" t="s">
        <v>335</v>
      </c>
      <c r="D297" s="12"/>
      <c r="E297" s="4">
        <v>0.26</v>
      </c>
      <c r="F297" s="275" t="s">
        <v>418</v>
      </c>
      <c r="G297" s="275" t="s">
        <v>418</v>
      </c>
      <c r="H297" s="275" t="s">
        <v>418</v>
      </c>
      <c r="I297" s="275" t="s">
        <v>418</v>
      </c>
      <c r="J297" s="275" t="s">
        <v>418</v>
      </c>
      <c r="K297" s="275" t="s">
        <v>418</v>
      </c>
      <c r="L297" s="275" t="s">
        <v>418</v>
      </c>
      <c r="M297" s="280" t="s">
        <v>418</v>
      </c>
      <c r="N297" s="280" t="s">
        <v>418</v>
      </c>
      <c r="O297" s="280" t="s">
        <v>418</v>
      </c>
      <c r="P297" s="280" t="s">
        <v>418</v>
      </c>
      <c r="Q297" s="280" t="s">
        <v>418</v>
      </c>
      <c r="R297" s="280" t="s">
        <v>418</v>
      </c>
      <c r="S297" s="280" t="s">
        <v>418</v>
      </c>
      <c r="T297" s="247" t="s">
        <v>418</v>
      </c>
      <c r="U297" s="247" t="s">
        <v>418</v>
      </c>
      <c r="V297" s="247" t="s">
        <v>418</v>
      </c>
      <c r="W297" s="247" t="s">
        <v>418</v>
      </c>
      <c r="X297" s="247" t="s">
        <v>418</v>
      </c>
      <c r="Y297" s="247" t="s">
        <v>418</v>
      </c>
      <c r="Z297" s="247" t="s">
        <v>418</v>
      </c>
      <c r="AA297" s="248" t="s">
        <v>418</v>
      </c>
      <c r="AB297" s="248" t="s">
        <v>418</v>
      </c>
      <c r="AC297" s="248" t="s">
        <v>418</v>
      </c>
      <c r="AD297" s="248" t="s">
        <v>418</v>
      </c>
      <c r="AE297" s="248" t="s">
        <v>418</v>
      </c>
      <c r="AF297" s="248" t="s">
        <v>418</v>
      </c>
      <c r="AG297" s="248" t="s">
        <v>418</v>
      </c>
      <c r="AH297" s="259">
        <f>('Project Materials'!$O$25*'Project Materials'!$P$25)*3</f>
        <v>0</v>
      </c>
      <c r="AI297" s="260">
        <f>('Project Materials'!$O$26*'Project Materials'!$P$26)*3</f>
        <v>0</v>
      </c>
      <c r="AJ297" s="261">
        <f>('Project Materials'!$O$27*'Project Materials'!$P$27)*3</f>
        <v>0</v>
      </c>
      <c r="AK297" s="262">
        <f>('Project Materials'!$O$28*'Project Materials'!$P$28)*3</f>
        <v>0</v>
      </c>
      <c r="AL297" s="9"/>
      <c r="AM297" s="9"/>
    </row>
    <row r="298" spans="1:40" x14ac:dyDescent="0.4">
      <c r="A298" s="60" t="s">
        <v>10</v>
      </c>
      <c r="B298" s="2" t="s">
        <v>336</v>
      </c>
      <c r="C298" s="2" t="s">
        <v>337</v>
      </c>
      <c r="D298" s="12"/>
      <c r="E298" s="4">
        <v>0.31</v>
      </c>
      <c r="F298" s="275" t="s">
        <v>418</v>
      </c>
      <c r="G298" s="275" t="s">
        <v>418</v>
      </c>
      <c r="H298" s="275" t="s">
        <v>418</v>
      </c>
      <c r="I298" s="275" t="s">
        <v>418</v>
      </c>
      <c r="J298" s="275" t="s">
        <v>418</v>
      </c>
      <c r="K298" s="275" t="s">
        <v>418</v>
      </c>
      <c r="L298" s="275" t="s">
        <v>418</v>
      </c>
      <c r="M298" s="280" t="s">
        <v>418</v>
      </c>
      <c r="N298" s="280" t="s">
        <v>418</v>
      </c>
      <c r="O298" s="280" t="s">
        <v>418</v>
      </c>
      <c r="P298" s="280" t="s">
        <v>418</v>
      </c>
      <c r="Q298" s="280" t="s">
        <v>418</v>
      </c>
      <c r="R298" s="280" t="s">
        <v>418</v>
      </c>
      <c r="S298" s="280" t="s">
        <v>418</v>
      </c>
      <c r="T298" s="247" t="s">
        <v>418</v>
      </c>
      <c r="U298" s="247" t="s">
        <v>418</v>
      </c>
      <c r="V298" s="247" t="s">
        <v>418</v>
      </c>
      <c r="W298" s="247" t="s">
        <v>418</v>
      </c>
      <c r="X298" s="247" t="s">
        <v>418</v>
      </c>
      <c r="Y298" s="247" t="s">
        <v>418</v>
      </c>
      <c r="Z298" s="247" t="s">
        <v>418</v>
      </c>
      <c r="AA298" s="248" t="s">
        <v>418</v>
      </c>
      <c r="AB298" s="248" t="s">
        <v>418</v>
      </c>
      <c r="AC298" s="248" t="s">
        <v>418</v>
      </c>
      <c r="AD298" s="248" t="s">
        <v>418</v>
      </c>
      <c r="AE298" s="248" t="s">
        <v>418</v>
      </c>
      <c r="AF298" s="248" t="s">
        <v>418</v>
      </c>
      <c r="AG298" s="248" t="s">
        <v>418</v>
      </c>
      <c r="AH298" s="259">
        <f>('Project Materials'!$O$25*'Project Materials'!$P$25)*3</f>
        <v>0</v>
      </c>
      <c r="AI298" s="260">
        <f>('Project Materials'!$O$26*'Project Materials'!$P$26)*3</f>
        <v>0</v>
      </c>
      <c r="AJ298" s="261">
        <f>('Project Materials'!$O$27*'Project Materials'!$P$27)*3</f>
        <v>0</v>
      </c>
      <c r="AK298" s="262">
        <f>('Project Materials'!$O$28*'Project Materials'!$P$28)*3</f>
        <v>0</v>
      </c>
      <c r="AL298" s="9"/>
      <c r="AM298" s="9"/>
    </row>
    <row r="299" spans="1:40" x14ac:dyDescent="0.4">
      <c r="A299" s="60" t="s">
        <v>10</v>
      </c>
      <c r="B299" s="2" t="s">
        <v>338</v>
      </c>
      <c r="C299" s="2" t="s">
        <v>339</v>
      </c>
      <c r="D299" s="12"/>
      <c r="E299" s="4">
        <v>0.26</v>
      </c>
      <c r="F299" s="275" t="s">
        <v>418</v>
      </c>
      <c r="G299" s="275" t="s">
        <v>418</v>
      </c>
      <c r="H299" s="275" t="s">
        <v>418</v>
      </c>
      <c r="I299" s="275" t="s">
        <v>418</v>
      </c>
      <c r="J299" s="275" t="s">
        <v>418</v>
      </c>
      <c r="K299" s="275" t="s">
        <v>418</v>
      </c>
      <c r="L299" s="275" t="s">
        <v>418</v>
      </c>
      <c r="M299" s="280" t="s">
        <v>418</v>
      </c>
      <c r="N299" s="280" t="s">
        <v>418</v>
      </c>
      <c r="O299" s="280" t="s">
        <v>418</v>
      </c>
      <c r="P299" s="280" t="s">
        <v>418</v>
      </c>
      <c r="Q299" s="280" t="s">
        <v>418</v>
      </c>
      <c r="R299" s="280" t="s">
        <v>418</v>
      </c>
      <c r="S299" s="280" t="s">
        <v>418</v>
      </c>
      <c r="T299" s="247" t="s">
        <v>418</v>
      </c>
      <c r="U299" s="247" t="s">
        <v>418</v>
      </c>
      <c r="V299" s="247" t="s">
        <v>418</v>
      </c>
      <c r="W299" s="247" t="s">
        <v>418</v>
      </c>
      <c r="X299" s="247" t="s">
        <v>418</v>
      </c>
      <c r="Y299" s="247" t="s">
        <v>418</v>
      </c>
      <c r="Z299" s="247" t="s">
        <v>418</v>
      </c>
      <c r="AA299" s="248" t="s">
        <v>418</v>
      </c>
      <c r="AB299" s="248" t="s">
        <v>418</v>
      </c>
      <c r="AC299" s="248" t="s">
        <v>418</v>
      </c>
      <c r="AD299" s="248" t="s">
        <v>418</v>
      </c>
      <c r="AE299" s="248" t="s">
        <v>418</v>
      </c>
      <c r="AF299" s="248" t="s">
        <v>418</v>
      </c>
      <c r="AG299" s="248" t="s">
        <v>418</v>
      </c>
      <c r="AH299" s="259">
        <f>('Project Materials'!$O$25*'Project Materials'!$P$25)*3</f>
        <v>0</v>
      </c>
      <c r="AI299" s="260">
        <f>('Project Materials'!$O$26*'Project Materials'!$P$26)*3</f>
        <v>0</v>
      </c>
      <c r="AJ299" s="261">
        <f>('Project Materials'!$O$27*'Project Materials'!$P$27)*3</f>
        <v>0</v>
      </c>
      <c r="AK299" s="262">
        <f>('Project Materials'!$O$28*'Project Materials'!$P$28)*3</f>
        <v>0</v>
      </c>
      <c r="AL299" s="9"/>
      <c r="AM299" s="9"/>
    </row>
    <row r="300" spans="1:40" x14ac:dyDescent="0.4">
      <c r="A300" s="60" t="s">
        <v>10</v>
      </c>
      <c r="B300" s="2" t="s">
        <v>340</v>
      </c>
      <c r="C300" s="2" t="s">
        <v>341</v>
      </c>
      <c r="D300" s="12"/>
      <c r="E300" s="4">
        <v>0.3</v>
      </c>
      <c r="F300" s="275" t="s">
        <v>418</v>
      </c>
      <c r="G300" s="275" t="s">
        <v>418</v>
      </c>
      <c r="H300" s="275" t="s">
        <v>418</v>
      </c>
      <c r="I300" s="275" t="s">
        <v>418</v>
      </c>
      <c r="J300" s="275" t="s">
        <v>418</v>
      </c>
      <c r="K300" s="275" t="s">
        <v>418</v>
      </c>
      <c r="L300" s="275" t="s">
        <v>418</v>
      </c>
      <c r="M300" s="280" t="s">
        <v>418</v>
      </c>
      <c r="N300" s="280" t="s">
        <v>418</v>
      </c>
      <c r="O300" s="280" t="s">
        <v>418</v>
      </c>
      <c r="P300" s="280" t="s">
        <v>418</v>
      </c>
      <c r="Q300" s="280" t="s">
        <v>418</v>
      </c>
      <c r="R300" s="280" t="s">
        <v>418</v>
      </c>
      <c r="S300" s="280" t="s">
        <v>418</v>
      </c>
      <c r="T300" s="247" t="s">
        <v>418</v>
      </c>
      <c r="U300" s="247" t="s">
        <v>418</v>
      </c>
      <c r="V300" s="247" t="s">
        <v>418</v>
      </c>
      <c r="W300" s="247" t="s">
        <v>418</v>
      </c>
      <c r="X300" s="247" t="s">
        <v>418</v>
      </c>
      <c r="Y300" s="247" t="s">
        <v>418</v>
      </c>
      <c r="Z300" s="247" t="s">
        <v>418</v>
      </c>
      <c r="AA300" s="248" t="s">
        <v>418</v>
      </c>
      <c r="AB300" s="248" t="s">
        <v>418</v>
      </c>
      <c r="AC300" s="248" t="s">
        <v>418</v>
      </c>
      <c r="AD300" s="248" t="s">
        <v>418</v>
      </c>
      <c r="AE300" s="248" t="s">
        <v>418</v>
      </c>
      <c r="AF300" s="248" t="s">
        <v>418</v>
      </c>
      <c r="AG300" s="248" t="s">
        <v>418</v>
      </c>
      <c r="AH300" s="259">
        <f>('Project Materials'!$O$25*'Project Materials'!$P$25)*3</f>
        <v>0</v>
      </c>
      <c r="AI300" s="260">
        <f>('Project Materials'!$O$26*'Project Materials'!$P$26)*3</f>
        <v>0</v>
      </c>
      <c r="AJ300" s="261">
        <f>('Project Materials'!$O$27*'Project Materials'!$P$27)*3</f>
        <v>0</v>
      </c>
      <c r="AK300" s="262">
        <f>('Project Materials'!$O$28*'Project Materials'!$P$28)*3</f>
        <v>0</v>
      </c>
      <c r="AL300" s="9"/>
      <c r="AM300" s="9"/>
    </row>
    <row r="301" spans="1:40" x14ac:dyDescent="0.4">
      <c r="A301" s="60" t="s">
        <v>10</v>
      </c>
      <c r="B301" s="2" t="s">
        <v>342</v>
      </c>
      <c r="C301" s="2" t="s">
        <v>343</v>
      </c>
      <c r="D301" s="12"/>
      <c r="E301" s="4">
        <v>0.3</v>
      </c>
      <c r="F301" s="275" t="s">
        <v>418</v>
      </c>
      <c r="G301" s="275" t="s">
        <v>418</v>
      </c>
      <c r="H301" s="275" t="s">
        <v>418</v>
      </c>
      <c r="I301" s="275" t="s">
        <v>418</v>
      </c>
      <c r="J301" s="275" t="s">
        <v>418</v>
      </c>
      <c r="K301" s="275" t="s">
        <v>418</v>
      </c>
      <c r="L301" s="275" t="s">
        <v>418</v>
      </c>
      <c r="M301" s="280" t="s">
        <v>418</v>
      </c>
      <c r="N301" s="280" t="s">
        <v>418</v>
      </c>
      <c r="O301" s="280" t="s">
        <v>418</v>
      </c>
      <c r="P301" s="280" t="s">
        <v>418</v>
      </c>
      <c r="Q301" s="280" t="s">
        <v>418</v>
      </c>
      <c r="R301" s="280" t="s">
        <v>418</v>
      </c>
      <c r="S301" s="280" t="s">
        <v>418</v>
      </c>
      <c r="T301" s="247" t="s">
        <v>418</v>
      </c>
      <c r="U301" s="247" t="s">
        <v>418</v>
      </c>
      <c r="V301" s="247" t="s">
        <v>418</v>
      </c>
      <c r="W301" s="247" t="s">
        <v>418</v>
      </c>
      <c r="X301" s="247" t="s">
        <v>418</v>
      </c>
      <c r="Y301" s="247" t="s">
        <v>418</v>
      </c>
      <c r="Z301" s="247" t="s">
        <v>418</v>
      </c>
      <c r="AA301" s="248" t="s">
        <v>418</v>
      </c>
      <c r="AB301" s="248" t="s">
        <v>418</v>
      </c>
      <c r="AC301" s="248" t="s">
        <v>418</v>
      </c>
      <c r="AD301" s="248" t="s">
        <v>418</v>
      </c>
      <c r="AE301" s="248" t="s">
        <v>418</v>
      </c>
      <c r="AF301" s="248" t="s">
        <v>418</v>
      </c>
      <c r="AG301" s="248" t="s">
        <v>418</v>
      </c>
      <c r="AH301" s="259">
        <f>('Project Materials'!$O$25*'Project Materials'!$P$25)*3</f>
        <v>0</v>
      </c>
      <c r="AI301" s="260">
        <f>('Project Materials'!$O$26*'Project Materials'!$P$26)*3</f>
        <v>0</v>
      </c>
      <c r="AJ301" s="261">
        <f>('Project Materials'!$O$27*'Project Materials'!$P$27)*3</f>
        <v>0</v>
      </c>
      <c r="AK301" s="262">
        <f>('Project Materials'!$O$28*'Project Materials'!$P$28)*3</f>
        <v>0</v>
      </c>
      <c r="AL301" s="9"/>
      <c r="AM301" s="9"/>
    </row>
    <row r="302" spans="1:40" x14ac:dyDescent="0.4">
      <c r="A302" s="60" t="s">
        <v>10</v>
      </c>
      <c r="B302" s="2" t="s">
        <v>344</v>
      </c>
      <c r="C302" s="2" t="s">
        <v>345</v>
      </c>
      <c r="D302" s="12"/>
      <c r="E302" s="4">
        <v>0.36</v>
      </c>
      <c r="F302" s="275" t="s">
        <v>418</v>
      </c>
      <c r="G302" s="275" t="s">
        <v>418</v>
      </c>
      <c r="H302" s="275" t="s">
        <v>418</v>
      </c>
      <c r="I302" s="275" t="s">
        <v>418</v>
      </c>
      <c r="J302" s="275" t="s">
        <v>418</v>
      </c>
      <c r="K302" s="275" t="s">
        <v>418</v>
      </c>
      <c r="L302" s="275" t="s">
        <v>418</v>
      </c>
      <c r="M302" s="280" t="s">
        <v>418</v>
      </c>
      <c r="N302" s="280" t="s">
        <v>418</v>
      </c>
      <c r="O302" s="280" t="s">
        <v>418</v>
      </c>
      <c r="P302" s="280" t="s">
        <v>418</v>
      </c>
      <c r="Q302" s="280" t="s">
        <v>418</v>
      </c>
      <c r="R302" s="280" t="s">
        <v>418</v>
      </c>
      <c r="S302" s="280" t="s">
        <v>418</v>
      </c>
      <c r="T302" s="247" t="s">
        <v>418</v>
      </c>
      <c r="U302" s="247" t="s">
        <v>418</v>
      </c>
      <c r="V302" s="247" t="s">
        <v>418</v>
      </c>
      <c r="W302" s="247" t="s">
        <v>418</v>
      </c>
      <c r="X302" s="247" t="s">
        <v>418</v>
      </c>
      <c r="Y302" s="247" t="s">
        <v>418</v>
      </c>
      <c r="Z302" s="247" t="s">
        <v>418</v>
      </c>
      <c r="AA302" s="248" t="s">
        <v>418</v>
      </c>
      <c r="AB302" s="248" t="s">
        <v>418</v>
      </c>
      <c r="AC302" s="248" t="s">
        <v>418</v>
      </c>
      <c r="AD302" s="248" t="s">
        <v>418</v>
      </c>
      <c r="AE302" s="248" t="s">
        <v>418</v>
      </c>
      <c r="AF302" s="248" t="s">
        <v>418</v>
      </c>
      <c r="AG302" s="248" t="s">
        <v>418</v>
      </c>
      <c r="AH302" s="259">
        <f>('Project Materials'!$O$25*'Project Materials'!$P$25)*3</f>
        <v>0</v>
      </c>
      <c r="AI302" s="260">
        <f>('Project Materials'!$O$26*'Project Materials'!$P$26)*3</f>
        <v>0</v>
      </c>
      <c r="AJ302" s="261">
        <f>('Project Materials'!$O$27*'Project Materials'!$P$27)*3</f>
        <v>0</v>
      </c>
      <c r="AK302" s="262">
        <f>('Project Materials'!$O$28*'Project Materials'!$P$28)*3</f>
        <v>0</v>
      </c>
      <c r="AL302" s="9"/>
      <c r="AM302" s="9"/>
    </row>
    <row r="303" spans="1:40" x14ac:dyDescent="0.4">
      <c r="A303" s="60" t="s">
        <v>10</v>
      </c>
      <c r="B303" s="2" t="s">
        <v>346</v>
      </c>
      <c r="C303" s="2" t="s">
        <v>347</v>
      </c>
      <c r="D303" s="12"/>
      <c r="E303" s="4">
        <v>0.3</v>
      </c>
      <c r="F303" s="275" t="s">
        <v>418</v>
      </c>
      <c r="G303" s="275" t="s">
        <v>418</v>
      </c>
      <c r="H303" s="275" t="s">
        <v>418</v>
      </c>
      <c r="I303" s="275" t="s">
        <v>418</v>
      </c>
      <c r="J303" s="275" t="s">
        <v>418</v>
      </c>
      <c r="K303" s="275" t="s">
        <v>418</v>
      </c>
      <c r="L303" s="275" t="s">
        <v>418</v>
      </c>
      <c r="M303" s="280" t="s">
        <v>418</v>
      </c>
      <c r="N303" s="280" t="s">
        <v>418</v>
      </c>
      <c r="O303" s="280" t="s">
        <v>418</v>
      </c>
      <c r="P303" s="280" t="s">
        <v>418</v>
      </c>
      <c r="Q303" s="280" t="s">
        <v>418</v>
      </c>
      <c r="R303" s="280" t="s">
        <v>418</v>
      </c>
      <c r="S303" s="280" t="s">
        <v>418</v>
      </c>
      <c r="T303" s="247" t="s">
        <v>418</v>
      </c>
      <c r="U303" s="247" t="s">
        <v>418</v>
      </c>
      <c r="V303" s="247" t="s">
        <v>418</v>
      </c>
      <c r="W303" s="247" t="s">
        <v>418</v>
      </c>
      <c r="X303" s="247" t="s">
        <v>418</v>
      </c>
      <c r="Y303" s="247" t="s">
        <v>418</v>
      </c>
      <c r="Z303" s="247" t="s">
        <v>418</v>
      </c>
      <c r="AA303" s="248" t="s">
        <v>418</v>
      </c>
      <c r="AB303" s="248" t="s">
        <v>418</v>
      </c>
      <c r="AC303" s="248" t="s">
        <v>418</v>
      </c>
      <c r="AD303" s="248" t="s">
        <v>418</v>
      </c>
      <c r="AE303" s="248" t="s">
        <v>418</v>
      </c>
      <c r="AF303" s="248" t="s">
        <v>418</v>
      </c>
      <c r="AG303" s="248" t="s">
        <v>418</v>
      </c>
      <c r="AH303" s="259">
        <f>('Project Materials'!$O$25*'Project Materials'!$P$25)*3</f>
        <v>0</v>
      </c>
      <c r="AI303" s="260">
        <f>('Project Materials'!$O$26*'Project Materials'!$P$26)*3</f>
        <v>0</v>
      </c>
      <c r="AJ303" s="261">
        <f>('Project Materials'!$O$27*'Project Materials'!$P$27)*3</f>
        <v>0</v>
      </c>
      <c r="AK303" s="262">
        <f>('Project Materials'!$O$28*'Project Materials'!$P$28)*3</f>
        <v>0</v>
      </c>
      <c r="AL303" s="9"/>
      <c r="AM303" s="9"/>
    </row>
    <row r="304" spans="1:40" s="98" customFormat="1" x14ac:dyDescent="0.4">
      <c r="A304" s="60" t="s">
        <v>10</v>
      </c>
      <c r="B304" s="99" t="s">
        <v>704</v>
      </c>
      <c r="C304" s="99" t="s">
        <v>705</v>
      </c>
      <c r="D304" s="12"/>
      <c r="E304" s="4">
        <v>2.25</v>
      </c>
      <c r="F304" s="275" t="s">
        <v>418</v>
      </c>
      <c r="G304" s="275" t="s">
        <v>418</v>
      </c>
      <c r="H304" s="275" t="s">
        <v>418</v>
      </c>
      <c r="I304" s="275" t="s">
        <v>418</v>
      </c>
      <c r="J304" s="275" t="s">
        <v>418</v>
      </c>
      <c r="K304" s="275" t="s">
        <v>418</v>
      </c>
      <c r="L304" s="275" t="s">
        <v>418</v>
      </c>
      <c r="M304" s="280" t="s">
        <v>418</v>
      </c>
      <c r="N304" s="280" t="s">
        <v>418</v>
      </c>
      <c r="O304" s="280" t="s">
        <v>418</v>
      </c>
      <c r="P304" s="280" t="s">
        <v>418</v>
      </c>
      <c r="Q304" s="280" t="s">
        <v>418</v>
      </c>
      <c r="R304" s="280" t="s">
        <v>418</v>
      </c>
      <c r="S304" s="280" t="s">
        <v>418</v>
      </c>
      <c r="T304" s="247" t="s">
        <v>418</v>
      </c>
      <c r="U304" s="247" t="s">
        <v>418</v>
      </c>
      <c r="V304" s="247" t="s">
        <v>418</v>
      </c>
      <c r="W304" s="247" t="s">
        <v>418</v>
      </c>
      <c r="X304" s="247" t="s">
        <v>418</v>
      </c>
      <c r="Y304" s="247" t="s">
        <v>418</v>
      </c>
      <c r="Z304" s="247" t="s">
        <v>418</v>
      </c>
      <c r="AA304" s="248" t="s">
        <v>418</v>
      </c>
      <c r="AB304" s="248" t="s">
        <v>418</v>
      </c>
      <c r="AC304" s="248" t="s">
        <v>418</v>
      </c>
      <c r="AD304" s="248" t="s">
        <v>418</v>
      </c>
      <c r="AE304" s="248" t="s">
        <v>418</v>
      </c>
      <c r="AF304" s="248" t="s">
        <v>418</v>
      </c>
      <c r="AG304" s="248" t="s">
        <v>418</v>
      </c>
      <c r="AH304" s="263">
        <f>IF('Area A'!$E$5=0,0,ROUNDUP('Area A'!$E$5,0)-1)</f>
        <v>0</v>
      </c>
      <c r="AI304" s="264">
        <f>IF('Area B'!$E$5=0,0,ROUNDUP('Area B'!$E$5,0)-1)</f>
        <v>0</v>
      </c>
      <c r="AJ304" s="265">
        <f>IF('Area C'!$E$5=0,0,ROUNDUP('Area C'!$E$5,0)-1)</f>
        <v>0</v>
      </c>
      <c r="AK304" s="256">
        <f>IF('Area D'!$E$5=0,0,ROUNDUP('Area D'!$E$5,0)-1)</f>
        <v>0</v>
      </c>
      <c r="AN304" s="22"/>
    </row>
    <row r="305" spans="1:40" x14ac:dyDescent="0.4">
      <c r="A305" s="60" t="s">
        <v>10</v>
      </c>
      <c r="B305" s="2" t="s">
        <v>706</v>
      </c>
      <c r="C305" s="2" t="s">
        <v>707</v>
      </c>
      <c r="D305" s="12"/>
      <c r="E305" s="4">
        <v>2.5499999999999998</v>
      </c>
      <c r="F305" s="275" t="s">
        <v>418</v>
      </c>
      <c r="G305" s="275" t="s">
        <v>418</v>
      </c>
      <c r="H305" s="275" t="s">
        <v>418</v>
      </c>
      <c r="I305" s="275" t="s">
        <v>418</v>
      </c>
      <c r="J305" s="275" t="s">
        <v>418</v>
      </c>
      <c r="K305" s="275" t="s">
        <v>418</v>
      </c>
      <c r="L305" s="275" t="s">
        <v>418</v>
      </c>
      <c r="M305" s="280" t="s">
        <v>418</v>
      </c>
      <c r="N305" s="280" t="s">
        <v>418</v>
      </c>
      <c r="O305" s="280" t="s">
        <v>418</v>
      </c>
      <c r="P305" s="280" t="s">
        <v>418</v>
      </c>
      <c r="Q305" s="280" t="s">
        <v>418</v>
      </c>
      <c r="R305" s="280" t="s">
        <v>418</v>
      </c>
      <c r="S305" s="280" t="s">
        <v>418</v>
      </c>
      <c r="T305" s="247" t="s">
        <v>418</v>
      </c>
      <c r="U305" s="247" t="s">
        <v>418</v>
      </c>
      <c r="V305" s="247" t="s">
        <v>418</v>
      </c>
      <c r="W305" s="247" t="s">
        <v>418</v>
      </c>
      <c r="X305" s="247" t="s">
        <v>418</v>
      </c>
      <c r="Y305" s="247" t="s">
        <v>418</v>
      </c>
      <c r="Z305" s="247" t="s">
        <v>418</v>
      </c>
      <c r="AA305" s="248" t="s">
        <v>418</v>
      </c>
      <c r="AB305" s="248" t="s">
        <v>418</v>
      </c>
      <c r="AC305" s="248" t="s">
        <v>418</v>
      </c>
      <c r="AD305" s="248" t="s">
        <v>418</v>
      </c>
      <c r="AE305" s="248" t="s">
        <v>418</v>
      </c>
      <c r="AF305" s="248" t="s">
        <v>418</v>
      </c>
      <c r="AG305" s="248" t="s">
        <v>418</v>
      </c>
      <c r="AH305" s="263">
        <f>IF('Area A'!$E$5=0,0,ROUNDUP('Area A'!$E$5,0)-1)</f>
        <v>0</v>
      </c>
      <c r="AI305" s="264">
        <f>IF('Area B'!$E$5=0,0,ROUNDUP('Area B'!$E$5,0)-1)</f>
        <v>0</v>
      </c>
      <c r="AJ305" s="265">
        <f>IF('Area C'!$E$5=0,0,ROUNDUP('Area C'!$E$5,0)-1)</f>
        <v>0</v>
      </c>
      <c r="AK305" s="256">
        <f>IF('Area D'!$E$5=0,0,ROUNDUP('Area D'!$E$5,0)-1)</f>
        <v>0</v>
      </c>
    </row>
    <row r="306" spans="1:40" x14ac:dyDescent="0.4">
      <c r="A306" s="60" t="s">
        <v>10</v>
      </c>
      <c r="B306" s="2" t="s">
        <v>412</v>
      </c>
      <c r="C306" s="2" t="s">
        <v>412</v>
      </c>
      <c r="D306" s="12"/>
      <c r="E306" s="4">
        <v>70</v>
      </c>
      <c r="F306" s="275" t="s">
        <v>418</v>
      </c>
      <c r="G306" s="275" t="s">
        <v>418</v>
      </c>
      <c r="H306" s="275" t="s">
        <v>418</v>
      </c>
      <c r="I306" s="275" t="s">
        <v>418</v>
      </c>
      <c r="J306" s="275" t="s">
        <v>418</v>
      </c>
      <c r="K306" s="275" t="s">
        <v>418</v>
      </c>
      <c r="L306" s="275" t="s">
        <v>418</v>
      </c>
      <c r="M306" s="280" t="s">
        <v>418</v>
      </c>
      <c r="N306" s="280" t="s">
        <v>418</v>
      </c>
      <c r="O306" s="280" t="s">
        <v>418</v>
      </c>
      <c r="P306" s="280" t="s">
        <v>418</v>
      </c>
      <c r="Q306" s="280" t="s">
        <v>418</v>
      </c>
      <c r="R306" s="280" t="s">
        <v>418</v>
      </c>
      <c r="S306" s="280" t="s">
        <v>418</v>
      </c>
      <c r="T306" s="247" t="s">
        <v>418</v>
      </c>
      <c r="U306" s="247" t="s">
        <v>418</v>
      </c>
      <c r="V306" s="247" t="s">
        <v>418</v>
      </c>
      <c r="W306" s="247" t="s">
        <v>418</v>
      </c>
      <c r="X306" s="247" t="s">
        <v>418</v>
      </c>
      <c r="Y306" s="247" t="s">
        <v>418</v>
      </c>
      <c r="Z306" s="247" t="s">
        <v>418</v>
      </c>
      <c r="AA306" s="248" t="s">
        <v>418</v>
      </c>
      <c r="AB306" s="248" t="s">
        <v>418</v>
      </c>
      <c r="AC306" s="248" t="s">
        <v>418</v>
      </c>
      <c r="AD306" s="248" t="s">
        <v>418</v>
      </c>
      <c r="AE306" s="248" t="s">
        <v>418</v>
      </c>
      <c r="AF306" s="248" t="s">
        <v>418</v>
      </c>
      <c r="AG306" s="248" t="s">
        <v>418</v>
      </c>
      <c r="AH306" s="30">
        <f>ROUNDUP(0.125*'Project Materials'!Q25,2)</f>
        <v>0</v>
      </c>
      <c r="AI306" s="27">
        <f>ROUNDUP(0.125*'Project Materials'!Q26,2)</f>
        <v>0</v>
      </c>
      <c r="AJ306" s="28">
        <f>ROUNDUP(0.125*'Project Materials'!Q27,2)</f>
        <v>0</v>
      </c>
      <c r="AK306" s="200">
        <f>ROUNDUP(0.125*'Project Materials'!Q28,2)</f>
        <v>0</v>
      </c>
    </row>
    <row r="307" spans="1:40" s="98" customFormat="1" ht="15" thickBot="1" x14ac:dyDescent="0.45">
      <c r="A307" s="60" t="s">
        <v>10</v>
      </c>
      <c r="B307" s="99" t="s">
        <v>692</v>
      </c>
      <c r="C307" s="99" t="s">
        <v>693</v>
      </c>
      <c r="D307" s="12"/>
      <c r="E307" s="4">
        <v>2.1</v>
      </c>
      <c r="F307" s="275" t="s">
        <v>418</v>
      </c>
      <c r="G307" s="275" t="s">
        <v>418</v>
      </c>
      <c r="H307" s="275" t="s">
        <v>418</v>
      </c>
      <c r="I307" s="275" t="s">
        <v>418</v>
      </c>
      <c r="J307" s="275" t="s">
        <v>418</v>
      </c>
      <c r="K307" s="275" t="s">
        <v>418</v>
      </c>
      <c r="L307" s="275" t="s">
        <v>418</v>
      </c>
      <c r="M307" s="280" t="s">
        <v>418</v>
      </c>
      <c r="N307" s="280" t="s">
        <v>418</v>
      </c>
      <c r="O307" s="280" t="s">
        <v>418</v>
      </c>
      <c r="P307" s="280" t="s">
        <v>418</v>
      </c>
      <c r="Q307" s="280" t="s">
        <v>418</v>
      </c>
      <c r="R307" s="280" t="s">
        <v>418</v>
      </c>
      <c r="S307" s="280" t="s">
        <v>418</v>
      </c>
      <c r="T307" s="247" t="s">
        <v>418</v>
      </c>
      <c r="U307" s="247" t="s">
        <v>418</v>
      </c>
      <c r="V307" s="247" t="s">
        <v>418</v>
      </c>
      <c r="W307" s="247" t="s">
        <v>418</v>
      </c>
      <c r="X307" s="247" t="s">
        <v>418</v>
      </c>
      <c r="Y307" s="247" t="s">
        <v>418</v>
      </c>
      <c r="Z307" s="247" t="s">
        <v>418</v>
      </c>
      <c r="AA307" s="248" t="s">
        <v>418</v>
      </c>
      <c r="AB307" s="248" t="s">
        <v>418</v>
      </c>
      <c r="AC307" s="248" t="s">
        <v>418</v>
      </c>
      <c r="AD307" s="248" t="s">
        <v>418</v>
      </c>
      <c r="AE307" s="248" t="s">
        <v>418</v>
      </c>
      <c r="AF307" s="248" t="s">
        <v>418</v>
      </c>
      <c r="AG307" s="248" t="s">
        <v>418</v>
      </c>
      <c r="AH307" s="163">
        <f>'Project Materials'!Q25</f>
        <v>0</v>
      </c>
      <c r="AI307" s="158">
        <f>'Project Materials'!Q26</f>
        <v>0</v>
      </c>
      <c r="AJ307" s="153">
        <f>'Project Materials'!Q27</f>
        <v>0</v>
      </c>
      <c r="AK307" s="205">
        <f>'Project Materials'!Q28</f>
        <v>0</v>
      </c>
      <c r="AN307" s="22"/>
    </row>
    <row r="308" spans="1:40" s="98" customFormat="1" ht="15" thickBot="1" x14ac:dyDescent="0.45">
      <c r="A308" s="60" t="s">
        <v>10</v>
      </c>
      <c r="B308" s="99" t="s">
        <v>806</v>
      </c>
      <c r="C308" s="99" t="s">
        <v>807</v>
      </c>
      <c r="D308" s="12"/>
      <c r="E308" s="4">
        <v>3.16</v>
      </c>
      <c r="F308" s="275" t="s">
        <v>418</v>
      </c>
      <c r="G308" s="275" t="s">
        <v>418</v>
      </c>
      <c r="H308" s="275" t="s">
        <v>418</v>
      </c>
      <c r="I308" s="275" t="s">
        <v>418</v>
      </c>
      <c r="J308" s="275" t="s">
        <v>418</v>
      </c>
      <c r="K308" s="275" t="s">
        <v>418</v>
      </c>
      <c r="L308" s="275" t="s">
        <v>418</v>
      </c>
      <c r="M308" s="280" t="s">
        <v>418</v>
      </c>
      <c r="N308" s="280" t="s">
        <v>418</v>
      </c>
      <c r="O308" s="280" t="s">
        <v>418</v>
      </c>
      <c r="P308" s="280" t="s">
        <v>418</v>
      </c>
      <c r="Q308" s="280" t="s">
        <v>418</v>
      </c>
      <c r="R308" s="280" t="s">
        <v>418</v>
      </c>
      <c r="S308" s="280" t="s">
        <v>418</v>
      </c>
      <c r="T308" s="247" t="s">
        <v>418</v>
      </c>
      <c r="U308" s="247" t="s">
        <v>418</v>
      </c>
      <c r="V308" s="247" t="s">
        <v>418</v>
      </c>
      <c r="W308" s="247" t="s">
        <v>418</v>
      </c>
      <c r="X308" s="247" t="s">
        <v>418</v>
      </c>
      <c r="Y308" s="247" t="s">
        <v>418</v>
      </c>
      <c r="Z308" s="247" t="s">
        <v>418</v>
      </c>
      <c r="AA308" s="248" t="s">
        <v>418</v>
      </c>
      <c r="AB308" s="248" t="s">
        <v>418</v>
      </c>
      <c r="AC308" s="248" t="s">
        <v>418</v>
      </c>
      <c r="AD308" s="248" t="s">
        <v>418</v>
      </c>
      <c r="AE308" s="248" t="s">
        <v>418</v>
      </c>
      <c r="AF308" s="248" t="s">
        <v>418</v>
      </c>
      <c r="AG308" s="248" t="s">
        <v>418</v>
      </c>
      <c r="AH308" s="231">
        <f>ROUNDUP('Project Materials'!D14*2,0)</f>
        <v>0</v>
      </c>
      <c r="AI308" s="232">
        <f>ROUNDUP('Project Materials'!H14*2,0)</f>
        <v>0</v>
      </c>
      <c r="AJ308" s="233">
        <f>ROUNDUP('Project Materials'!L14*2,0)</f>
        <v>0</v>
      </c>
      <c r="AK308" s="234">
        <f>ROUNDUP('Project Materials'!P14*2,0)</f>
        <v>0</v>
      </c>
      <c r="AL308" s="235"/>
      <c r="AM308" s="235">
        <v>21</v>
      </c>
      <c r="AN308" s="236" t="s">
        <v>871</v>
      </c>
    </row>
    <row r="309" spans="1:40" x14ac:dyDescent="0.4">
      <c r="A309" s="60" t="s">
        <v>10</v>
      </c>
      <c r="B309" s="2" t="s">
        <v>121</v>
      </c>
      <c r="C309" s="2"/>
      <c r="D309" s="12"/>
      <c r="E309" s="4">
        <v>15</v>
      </c>
      <c r="F309" s="275" t="s">
        <v>418</v>
      </c>
      <c r="G309" s="275" t="s">
        <v>418</v>
      </c>
      <c r="H309" s="275" t="s">
        <v>418</v>
      </c>
      <c r="I309" s="275" t="s">
        <v>418</v>
      </c>
      <c r="J309" s="275" t="s">
        <v>418</v>
      </c>
      <c r="K309" s="275" t="s">
        <v>418</v>
      </c>
      <c r="L309" s="275" t="s">
        <v>418</v>
      </c>
      <c r="M309" s="280" t="s">
        <v>418</v>
      </c>
      <c r="N309" s="280" t="s">
        <v>418</v>
      </c>
      <c r="O309" s="280" t="s">
        <v>418</v>
      </c>
      <c r="P309" s="280" t="s">
        <v>418</v>
      </c>
      <c r="Q309" s="280" t="s">
        <v>418</v>
      </c>
      <c r="R309" s="280" t="s">
        <v>418</v>
      </c>
      <c r="S309" s="280" t="s">
        <v>418</v>
      </c>
      <c r="T309" s="247" t="s">
        <v>418</v>
      </c>
      <c r="U309" s="247" t="s">
        <v>418</v>
      </c>
      <c r="V309" s="247" t="s">
        <v>418</v>
      </c>
      <c r="W309" s="247" t="s">
        <v>418</v>
      </c>
      <c r="X309" s="247" t="s">
        <v>418</v>
      </c>
      <c r="Y309" s="247" t="s">
        <v>418</v>
      </c>
      <c r="Z309" s="247" t="s">
        <v>418</v>
      </c>
      <c r="AA309" s="248" t="s">
        <v>418</v>
      </c>
      <c r="AB309" s="248" t="s">
        <v>418</v>
      </c>
      <c r="AC309" s="248" t="s">
        <v>418</v>
      </c>
      <c r="AD309" s="248" t="s">
        <v>418</v>
      </c>
      <c r="AE309" s="248" t="s">
        <v>418</v>
      </c>
      <c r="AF309" s="248" t="s">
        <v>418</v>
      </c>
      <c r="AG309" s="248" t="s">
        <v>418</v>
      </c>
    </row>
    <row r="310" spans="1:40" x14ac:dyDescent="0.4">
      <c r="A310" s="2"/>
      <c r="B310" s="2"/>
      <c r="C310" s="2"/>
      <c r="D310" s="12"/>
      <c r="E310" s="4"/>
      <c r="F310" s="275" t="s">
        <v>418</v>
      </c>
      <c r="G310" s="275" t="s">
        <v>418</v>
      </c>
      <c r="H310" s="275" t="s">
        <v>418</v>
      </c>
      <c r="I310" s="275" t="s">
        <v>418</v>
      </c>
      <c r="J310" s="275" t="s">
        <v>418</v>
      </c>
      <c r="K310" s="275" t="s">
        <v>418</v>
      </c>
      <c r="L310" s="275" t="s">
        <v>418</v>
      </c>
      <c r="M310" s="280" t="s">
        <v>418</v>
      </c>
      <c r="N310" s="280" t="s">
        <v>418</v>
      </c>
      <c r="O310" s="280" t="s">
        <v>418</v>
      </c>
      <c r="P310" s="280" t="s">
        <v>418</v>
      </c>
      <c r="Q310" s="280" t="s">
        <v>418</v>
      </c>
      <c r="R310" s="280" t="s">
        <v>418</v>
      </c>
      <c r="S310" s="280" t="s">
        <v>418</v>
      </c>
      <c r="T310" s="247" t="s">
        <v>418</v>
      </c>
      <c r="U310" s="247" t="s">
        <v>418</v>
      </c>
      <c r="V310" s="247" t="s">
        <v>418</v>
      </c>
      <c r="W310" s="247" t="s">
        <v>418</v>
      </c>
      <c r="X310" s="247" t="s">
        <v>418</v>
      </c>
      <c r="Y310" s="247" t="s">
        <v>418</v>
      </c>
      <c r="Z310" s="247" t="s">
        <v>418</v>
      </c>
      <c r="AA310" s="248" t="s">
        <v>418</v>
      </c>
      <c r="AB310" s="248" t="s">
        <v>418</v>
      </c>
      <c r="AC310" s="248" t="s">
        <v>418</v>
      </c>
      <c r="AD310" s="248" t="s">
        <v>418</v>
      </c>
      <c r="AE310" s="248" t="s">
        <v>418</v>
      </c>
      <c r="AF310" s="248" t="s">
        <v>418</v>
      </c>
      <c r="AG310" s="248" t="s">
        <v>418</v>
      </c>
    </row>
    <row r="311" spans="1:40" x14ac:dyDescent="0.4">
      <c r="A311" s="60" t="s">
        <v>368</v>
      </c>
      <c r="B311" s="2" t="s">
        <v>418</v>
      </c>
      <c r="C311" s="2" t="s">
        <v>418</v>
      </c>
      <c r="D311" s="12"/>
      <c r="E311" s="4">
        <v>0</v>
      </c>
      <c r="F311" s="275" t="s">
        <v>418</v>
      </c>
      <c r="G311" s="275" t="s">
        <v>418</v>
      </c>
      <c r="H311" s="275" t="s">
        <v>418</v>
      </c>
      <c r="I311" s="275" t="s">
        <v>418</v>
      </c>
      <c r="J311" s="275" t="s">
        <v>418</v>
      </c>
      <c r="K311" s="275" t="s">
        <v>418</v>
      </c>
      <c r="L311" s="275" t="s">
        <v>418</v>
      </c>
      <c r="M311" s="280" t="s">
        <v>418</v>
      </c>
      <c r="N311" s="280" t="s">
        <v>418</v>
      </c>
      <c r="O311" s="280" t="s">
        <v>418</v>
      </c>
      <c r="P311" s="280" t="s">
        <v>418</v>
      </c>
      <c r="Q311" s="280" t="s">
        <v>418</v>
      </c>
      <c r="R311" s="280" t="s">
        <v>418</v>
      </c>
      <c r="S311" s="280" t="s">
        <v>418</v>
      </c>
      <c r="T311" s="247" t="s">
        <v>418</v>
      </c>
      <c r="U311" s="247" t="s">
        <v>418</v>
      </c>
      <c r="V311" s="247" t="s">
        <v>418</v>
      </c>
      <c r="W311" s="247" t="s">
        <v>418</v>
      </c>
      <c r="X311" s="247" t="s">
        <v>418</v>
      </c>
      <c r="Y311" s="247" t="s">
        <v>418</v>
      </c>
      <c r="Z311" s="247" t="s">
        <v>418</v>
      </c>
      <c r="AA311" s="248" t="s">
        <v>418</v>
      </c>
      <c r="AB311" s="248" t="s">
        <v>418</v>
      </c>
      <c r="AC311" s="248" t="s">
        <v>418</v>
      </c>
      <c r="AD311" s="248" t="s">
        <v>418</v>
      </c>
      <c r="AE311" s="248" t="s">
        <v>418</v>
      </c>
      <c r="AF311" s="248" t="s">
        <v>418</v>
      </c>
      <c r="AG311" s="248" t="s">
        <v>418</v>
      </c>
      <c r="AH311" s="164" t="s">
        <v>456</v>
      </c>
      <c r="AI311" s="159" t="s">
        <v>456</v>
      </c>
      <c r="AJ311" s="154" t="s">
        <v>456</v>
      </c>
      <c r="AK311" s="202" t="s">
        <v>456</v>
      </c>
      <c r="AL311" s="2"/>
      <c r="AM311" s="99"/>
    </row>
    <row r="312" spans="1:40" x14ac:dyDescent="0.4">
      <c r="A312" s="60" t="s">
        <v>368</v>
      </c>
      <c r="B312" s="2" t="s">
        <v>122</v>
      </c>
      <c r="C312" s="2" t="s">
        <v>123</v>
      </c>
      <c r="D312" s="12">
        <v>10</v>
      </c>
      <c r="E312" s="4">
        <v>2.2149999999999999</v>
      </c>
      <c r="F312" s="275" t="s">
        <v>418</v>
      </c>
      <c r="G312" s="275" t="s">
        <v>418</v>
      </c>
      <c r="H312" s="275" t="s">
        <v>418</v>
      </c>
      <c r="I312" s="275" t="s">
        <v>418</v>
      </c>
      <c r="J312" s="275" t="s">
        <v>418</v>
      </c>
      <c r="K312" s="275" t="s">
        <v>418</v>
      </c>
      <c r="L312" s="275" t="s">
        <v>418</v>
      </c>
      <c r="M312" s="280" t="s">
        <v>418</v>
      </c>
      <c r="N312" s="280" t="s">
        <v>418</v>
      </c>
      <c r="O312" s="280" t="s">
        <v>418</v>
      </c>
      <c r="P312" s="280" t="s">
        <v>418</v>
      </c>
      <c r="Q312" s="280" t="s">
        <v>418</v>
      </c>
      <c r="R312" s="280" t="s">
        <v>418</v>
      </c>
      <c r="S312" s="280" t="s">
        <v>418</v>
      </c>
      <c r="T312" s="247" t="s">
        <v>418</v>
      </c>
      <c r="U312" s="247" t="s">
        <v>418</v>
      </c>
      <c r="V312" s="247" t="s">
        <v>418</v>
      </c>
      <c r="W312" s="247" t="s">
        <v>418</v>
      </c>
      <c r="X312" s="247" t="s">
        <v>418</v>
      </c>
      <c r="Y312" s="247" t="s">
        <v>418</v>
      </c>
      <c r="Z312" s="247" t="s">
        <v>418</v>
      </c>
      <c r="AA312" s="248" t="s">
        <v>418</v>
      </c>
      <c r="AB312" s="248" t="s">
        <v>418</v>
      </c>
      <c r="AC312" s="248" t="s">
        <v>418</v>
      </c>
      <c r="AD312" s="248" t="s">
        <v>418</v>
      </c>
      <c r="AE312" s="248" t="s">
        <v>418</v>
      </c>
      <c r="AF312" s="248" t="s">
        <v>418</v>
      </c>
      <c r="AG312" s="248" t="s">
        <v>418</v>
      </c>
      <c r="AH312" s="266">
        <f>CEILING(('Area A'!$D$6+'Area A'!$D$8)/'Item List'!$D$312,0.5)</f>
        <v>0</v>
      </c>
      <c r="AI312" s="267">
        <f>CEILING(('Area B'!$D$6+'Area B'!$D$8)/'Item List'!$D$312,0.5)</f>
        <v>0</v>
      </c>
      <c r="AJ312" s="268">
        <f>CEILING(('Area C'!$D$6+'Area C'!$D$8)/'Item List'!$D$312,0.5)</f>
        <v>0</v>
      </c>
      <c r="AK312" s="269">
        <f>('Area D'!D8+'Area D'!D6)/'Item List'!D312</f>
        <v>0</v>
      </c>
      <c r="AL312" s="10"/>
      <c r="AM312" s="10"/>
    </row>
    <row r="313" spans="1:40" x14ac:dyDescent="0.4">
      <c r="A313" s="60" t="s">
        <v>368</v>
      </c>
      <c r="B313" s="2" t="s">
        <v>124</v>
      </c>
      <c r="C313" s="2" t="s">
        <v>125</v>
      </c>
      <c r="D313" s="12">
        <v>10</v>
      </c>
      <c r="E313" s="4">
        <v>4.5430000000000001</v>
      </c>
      <c r="F313" s="275" t="s">
        <v>418</v>
      </c>
      <c r="G313" s="275" t="s">
        <v>418</v>
      </c>
      <c r="H313" s="275" t="s">
        <v>418</v>
      </c>
      <c r="I313" s="275" t="s">
        <v>418</v>
      </c>
      <c r="J313" s="275" t="s">
        <v>418</v>
      </c>
      <c r="K313" s="275" t="s">
        <v>418</v>
      </c>
      <c r="L313" s="275" t="s">
        <v>418</v>
      </c>
      <c r="M313" s="280" t="s">
        <v>418</v>
      </c>
      <c r="N313" s="280" t="s">
        <v>418</v>
      </c>
      <c r="O313" s="280" t="s">
        <v>418</v>
      </c>
      <c r="P313" s="280" t="s">
        <v>418</v>
      </c>
      <c r="Q313" s="280" t="s">
        <v>418</v>
      </c>
      <c r="R313" s="280" t="s">
        <v>418</v>
      </c>
      <c r="S313" s="280" t="s">
        <v>418</v>
      </c>
      <c r="T313" s="247" t="s">
        <v>418</v>
      </c>
      <c r="U313" s="247" t="s">
        <v>418</v>
      </c>
      <c r="V313" s="247" t="s">
        <v>418</v>
      </c>
      <c r="W313" s="247" t="s">
        <v>418</v>
      </c>
      <c r="X313" s="247" t="s">
        <v>418</v>
      </c>
      <c r="Y313" s="247" t="s">
        <v>418</v>
      </c>
      <c r="Z313" s="247" t="s">
        <v>418</v>
      </c>
      <c r="AA313" s="248" t="s">
        <v>418</v>
      </c>
      <c r="AB313" s="248" t="s">
        <v>418</v>
      </c>
      <c r="AC313" s="248" t="s">
        <v>418</v>
      </c>
      <c r="AD313" s="248" t="s">
        <v>418</v>
      </c>
      <c r="AE313" s="248" t="s">
        <v>418</v>
      </c>
      <c r="AF313" s="248" t="s">
        <v>418</v>
      </c>
      <c r="AG313" s="248" t="s">
        <v>418</v>
      </c>
      <c r="AH313" s="266">
        <f>CEILING(('Area A'!$D$5+'Area A'!$D$7)/'Item List'!$D$313,0.5)</f>
        <v>0</v>
      </c>
      <c r="AI313" s="267">
        <f>CEILING(('Area B'!$D$5+'Area B'!$D$7)/'Item List'!$D$313,0.5)</f>
        <v>0</v>
      </c>
      <c r="AJ313" s="268">
        <f>CEILING(('Area C'!$D$5+'Area C'!$D$7)/'Item List'!$D$313,0.5)</f>
        <v>0</v>
      </c>
      <c r="AK313" s="269">
        <f>('Area D'!D5+'Area D'!D7)/'Item List'!D313</f>
        <v>0</v>
      </c>
      <c r="AL313" s="10"/>
      <c r="AM313" s="10"/>
    </row>
    <row r="314" spans="1:40" x14ac:dyDescent="0.4">
      <c r="A314" s="60" t="s">
        <v>368</v>
      </c>
      <c r="B314" s="2" t="s">
        <v>181</v>
      </c>
      <c r="C314" s="2" t="s">
        <v>182</v>
      </c>
      <c r="D314" s="12">
        <v>10</v>
      </c>
      <c r="E314" s="4">
        <v>2.1080000000000001</v>
      </c>
      <c r="F314" s="275" t="s">
        <v>418</v>
      </c>
      <c r="G314" s="275" t="s">
        <v>418</v>
      </c>
      <c r="H314" s="275" t="s">
        <v>418</v>
      </c>
      <c r="I314" s="275" t="s">
        <v>418</v>
      </c>
      <c r="J314" s="275" t="s">
        <v>418</v>
      </c>
      <c r="K314" s="275" t="s">
        <v>418</v>
      </c>
      <c r="L314" s="275" t="s">
        <v>418</v>
      </c>
      <c r="M314" s="280" t="s">
        <v>418</v>
      </c>
      <c r="N314" s="280" t="s">
        <v>418</v>
      </c>
      <c r="O314" s="280" t="s">
        <v>418</v>
      </c>
      <c r="P314" s="280" t="s">
        <v>418</v>
      </c>
      <c r="Q314" s="280" t="s">
        <v>418</v>
      </c>
      <c r="R314" s="280" t="s">
        <v>418</v>
      </c>
      <c r="S314" s="280" t="s">
        <v>418</v>
      </c>
      <c r="T314" s="247" t="s">
        <v>418</v>
      </c>
      <c r="U314" s="247" t="s">
        <v>418</v>
      </c>
      <c r="V314" s="247" t="s">
        <v>418</v>
      </c>
      <c r="W314" s="247" t="s">
        <v>418</v>
      </c>
      <c r="X314" s="247" t="s">
        <v>418</v>
      </c>
      <c r="Y314" s="247" t="s">
        <v>418</v>
      </c>
      <c r="Z314" s="247" t="s">
        <v>418</v>
      </c>
      <c r="AA314" s="248" t="s">
        <v>418</v>
      </c>
      <c r="AB314" s="248" t="s">
        <v>418</v>
      </c>
      <c r="AC314" s="248" t="s">
        <v>418</v>
      </c>
      <c r="AD314" s="248" t="s">
        <v>418</v>
      </c>
      <c r="AE314" s="248" t="s">
        <v>418</v>
      </c>
      <c r="AF314" s="248" t="s">
        <v>418</v>
      </c>
      <c r="AG314" s="248" t="s">
        <v>418</v>
      </c>
      <c r="AH314" s="266">
        <f>ROUNDUP(('Project Materials'!D14/'Item List'!$D$314),0)</f>
        <v>0</v>
      </c>
      <c r="AI314" s="267">
        <f>ROUNDUP(('Project Materials'!H14/'Item List'!$D$314),0)</f>
        <v>0</v>
      </c>
      <c r="AJ314" s="268">
        <f>ROUNDUP(('Project Materials'!L14/'Item List'!$D$314),0)</f>
        <v>0</v>
      </c>
      <c r="AK314" s="269">
        <f>ROUNDUP(('Project Materials'!P14/'Item List'!$D$314),0)</f>
        <v>0</v>
      </c>
      <c r="AL314" s="10"/>
      <c r="AM314" s="10"/>
    </row>
    <row r="315" spans="1:40" x14ac:dyDescent="0.4">
      <c r="A315" s="2"/>
      <c r="B315" s="2"/>
      <c r="C315" s="2"/>
      <c r="D315" s="12"/>
      <c r="E315" s="4"/>
      <c r="F315" s="275" t="s">
        <v>418</v>
      </c>
      <c r="G315" s="275" t="s">
        <v>418</v>
      </c>
      <c r="H315" s="275" t="s">
        <v>418</v>
      </c>
      <c r="I315" s="275" t="s">
        <v>418</v>
      </c>
      <c r="J315" s="275" t="s">
        <v>418</v>
      </c>
      <c r="K315" s="275" t="s">
        <v>418</v>
      </c>
      <c r="L315" s="275" t="s">
        <v>418</v>
      </c>
      <c r="M315" s="280" t="s">
        <v>418</v>
      </c>
      <c r="N315" s="280" t="s">
        <v>418</v>
      </c>
      <c r="O315" s="280" t="s">
        <v>418</v>
      </c>
      <c r="P315" s="280" t="s">
        <v>418</v>
      </c>
      <c r="Q315" s="280" t="s">
        <v>418</v>
      </c>
      <c r="R315" s="280" t="s">
        <v>418</v>
      </c>
      <c r="S315" s="280" t="s">
        <v>418</v>
      </c>
      <c r="T315" s="247" t="s">
        <v>418</v>
      </c>
      <c r="U315" s="247" t="s">
        <v>418</v>
      </c>
      <c r="V315" s="247" t="s">
        <v>418</v>
      </c>
      <c r="W315" s="247" t="s">
        <v>418</v>
      </c>
      <c r="X315" s="247" t="s">
        <v>418</v>
      </c>
      <c r="Y315" s="247" t="s">
        <v>418</v>
      </c>
      <c r="Z315" s="247" t="s">
        <v>418</v>
      </c>
      <c r="AA315" s="248" t="s">
        <v>418</v>
      </c>
      <c r="AB315" s="248" t="s">
        <v>418</v>
      </c>
      <c r="AC315" s="248" t="s">
        <v>418</v>
      </c>
      <c r="AD315" s="248" t="s">
        <v>418</v>
      </c>
      <c r="AE315" s="248" t="s">
        <v>418</v>
      </c>
      <c r="AF315" s="248" t="s">
        <v>418</v>
      </c>
      <c r="AG315" s="248" t="s">
        <v>418</v>
      </c>
    </row>
    <row r="316" spans="1:40" x14ac:dyDescent="0.4">
      <c r="F316" s="275" t="s">
        <v>418</v>
      </c>
      <c r="G316" s="275" t="s">
        <v>418</v>
      </c>
      <c r="H316" s="275" t="s">
        <v>418</v>
      </c>
      <c r="I316" s="275" t="s">
        <v>418</v>
      </c>
      <c r="J316" s="275" t="s">
        <v>418</v>
      </c>
      <c r="K316" s="275" t="s">
        <v>418</v>
      </c>
      <c r="L316" s="275" t="s">
        <v>418</v>
      </c>
      <c r="M316" s="280" t="s">
        <v>418</v>
      </c>
      <c r="N316" s="280" t="s">
        <v>418</v>
      </c>
      <c r="O316" s="280" t="s">
        <v>418</v>
      </c>
      <c r="P316" s="280" t="s">
        <v>418</v>
      </c>
      <c r="Q316" s="280" t="s">
        <v>418</v>
      </c>
      <c r="R316" s="280" t="s">
        <v>418</v>
      </c>
      <c r="S316" s="280" t="s">
        <v>418</v>
      </c>
      <c r="T316" s="247" t="s">
        <v>418</v>
      </c>
      <c r="U316" s="247" t="s">
        <v>418</v>
      </c>
      <c r="V316" s="247" t="s">
        <v>418</v>
      </c>
      <c r="W316" s="247" t="s">
        <v>418</v>
      </c>
      <c r="X316" s="247" t="s">
        <v>418</v>
      </c>
      <c r="Y316" s="247" t="s">
        <v>418</v>
      </c>
      <c r="Z316" s="247" t="s">
        <v>418</v>
      </c>
      <c r="AA316" s="248" t="s">
        <v>418</v>
      </c>
      <c r="AB316" s="248" t="s">
        <v>418</v>
      </c>
      <c r="AC316" s="248" t="s">
        <v>418</v>
      </c>
      <c r="AD316" s="248" t="s">
        <v>418</v>
      </c>
      <c r="AE316" s="248" t="s">
        <v>418</v>
      </c>
      <c r="AF316" s="248" t="s">
        <v>418</v>
      </c>
      <c r="AG316" s="248" t="s">
        <v>418</v>
      </c>
    </row>
    <row r="317" spans="1:40" x14ac:dyDescent="0.4">
      <c r="A317" s="60" t="s">
        <v>415</v>
      </c>
      <c r="B317" s="2" t="s">
        <v>215</v>
      </c>
      <c r="C317" s="2" t="s">
        <v>216</v>
      </c>
      <c r="D317" s="12"/>
      <c r="E317" s="4">
        <v>1.26</v>
      </c>
      <c r="F317" s="275" t="s">
        <v>418</v>
      </c>
      <c r="G317" s="275" t="s">
        <v>418</v>
      </c>
      <c r="H317" s="275" t="s">
        <v>418</v>
      </c>
      <c r="I317" s="275" t="s">
        <v>418</v>
      </c>
      <c r="J317" s="275" t="s">
        <v>418</v>
      </c>
      <c r="K317" s="275" t="s">
        <v>418</v>
      </c>
      <c r="L317" s="275" t="s">
        <v>418</v>
      </c>
      <c r="M317" s="280" t="s">
        <v>418</v>
      </c>
      <c r="N317" s="280" t="s">
        <v>418</v>
      </c>
      <c r="O317" s="280" t="s">
        <v>418</v>
      </c>
      <c r="P317" s="280" t="s">
        <v>418</v>
      </c>
      <c r="Q317" s="280" t="s">
        <v>418</v>
      </c>
      <c r="R317" s="280" t="s">
        <v>418</v>
      </c>
      <c r="S317" s="280" t="s">
        <v>418</v>
      </c>
      <c r="T317" s="247" t="s">
        <v>418</v>
      </c>
      <c r="U317" s="247" t="s">
        <v>418</v>
      </c>
      <c r="V317" s="247" t="s">
        <v>418</v>
      </c>
      <c r="W317" s="247" t="s">
        <v>418</v>
      </c>
      <c r="X317" s="247" t="s">
        <v>418</v>
      </c>
      <c r="Y317" s="247" t="s">
        <v>418</v>
      </c>
      <c r="Z317" s="247" t="s">
        <v>418</v>
      </c>
      <c r="AA317" s="248" t="s">
        <v>418</v>
      </c>
      <c r="AB317" s="248" t="s">
        <v>418</v>
      </c>
      <c r="AC317" s="248" t="s">
        <v>418</v>
      </c>
      <c r="AD317" s="248" t="s">
        <v>418</v>
      </c>
      <c r="AE317" s="248" t="s">
        <v>418</v>
      </c>
      <c r="AF317" s="248" t="s">
        <v>418</v>
      </c>
      <c r="AG317" s="248" t="s">
        <v>418</v>
      </c>
      <c r="AH317" s="30" t="e">
        <f>('Project Materials'!$D$8*'Project Materials'!$D$9)*'Project Materials'!$P$25</f>
        <v>#VALUE!</v>
      </c>
      <c r="AI317" s="27" t="e">
        <f>('Project Materials'!$H$8*'Project Materials'!$H$9)*'Project Materials'!$P$26</f>
        <v>#VALUE!</v>
      </c>
      <c r="AJ317" s="28" t="e">
        <f>('Project Materials'!$L$8*'Project Materials'!$L$9)*'Project Materials'!$P$27</f>
        <v>#VALUE!</v>
      </c>
      <c r="AK317" s="200" t="e">
        <f>('Project Materials'!$P$8*'Project Materials'!$P$9)*'Project Materials'!$P$28</f>
        <v>#VALUE!</v>
      </c>
    </row>
    <row r="318" spans="1:40" x14ac:dyDescent="0.4">
      <c r="A318" s="60" t="s">
        <v>415</v>
      </c>
      <c r="B318" s="2" t="s">
        <v>217</v>
      </c>
      <c r="C318" s="2" t="s">
        <v>218</v>
      </c>
      <c r="D318" s="12"/>
      <c r="E318" s="4">
        <v>1.08</v>
      </c>
      <c r="F318" s="275" t="s">
        <v>418</v>
      </c>
      <c r="G318" s="275" t="s">
        <v>418</v>
      </c>
      <c r="H318" s="275" t="s">
        <v>418</v>
      </c>
      <c r="I318" s="275" t="s">
        <v>418</v>
      </c>
      <c r="J318" s="275" t="s">
        <v>418</v>
      </c>
      <c r="K318" s="275" t="s">
        <v>418</v>
      </c>
      <c r="L318" s="275" t="s">
        <v>418</v>
      </c>
      <c r="M318" s="280" t="s">
        <v>418</v>
      </c>
      <c r="N318" s="280" t="s">
        <v>418</v>
      </c>
      <c r="O318" s="280" t="s">
        <v>418</v>
      </c>
      <c r="P318" s="280" t="s">
        <v>418</v>
      </c>
      <c r="Q318" s="280" t="s">
        <v>418</v>
      </c>
      <c r="R318" s="280" t="s">
        <v>418</v>
      </c>
      <c r="S318" s="280" t="s">
        <v>418</v>
      </c>
      <c r="T318" s="247" t="s">
        <v>418</v>
      </c>
      <c r="U318" s="247" t="s">
        <v>418</v>
      </c>
      <c r="V318" s="247" t="s">
        <v>418</v>
      </c>
      <c r="W318" s="247" t="s">
        <v>418</v>
      </c>
      <c r="X318" s="247" t="s">
        <v>418</v>
      </c>
      <c r="Y318" s="247" t="s">
        <v>418</v>
      </c>
      <c r="Z318" s="247" t="s">
        <v>418</v>
      </c>
      <c r="AA318" s="248" t="s">
        <v>418</v>
      </c>
      <c r="AB318" s="248" t="s">
        <v>418</v>
      </c>
      <c r="AC318" s="248" t="s">
        <v>418</v>
      </c>
      <c r="AD318" s="248" t="s">
        <v>418</v>
      </c>
      <c r="AE318" s="248" t="s">
        <v>418</v>
      </c>
      <c r="AF318" s="248" t="s">
        <v>418</v>
      </c>
      <c r="AG318" s="248" t="s">
        <v>418</v>
      </c>
      <c r="AH318" s="30" t="e">
        <f>('Project Materials'!$D$8*'Project Materials'!$D$9)*'Project Materials'!$P$25</f>
        <v>#VALUE!</v>
      </c>
      <c r="AI318" s="27" t="e">
        <f>('Project Materials'!$H$8*'Project Materials'!$H$9)*'Project Materials'!$P$26</f>
        <v>#VALUE!</v>
      </c>
      <c r="AJ318" s="28" t="e">
        <f>('Project Materials'!$L$8*'Project Materials'!$L$9)*'Project Materials'!$P$27</f>
        <v>#VALUE!</v>
      </c>
      <c r="AK318" s="200" t="e">
        <f>('Project Materials'!$P$8*'Project Materials'!$P$9)*'Project Materials'!$P$28</f>
        <v>#VALUE!</v>
      </c>
    </row>
    <row r="319" spans="1:40" x14ac:dyDescent="0.4">
      <c r="A319" s="60" t="s">
        <v>415</v>
      </c>
      <c r="B319" s="2" t="s">
        <v>219</v>
      </c>
      <c r="C319" s="2" t="s">
        <v>220</v>
      </c>
      <c r="D319" s="12"/>
      <c r="E319" s="4">
        <v>5.2600000000000001E-2</v>
      </c>
      <c r="F319" s="275" t="s">
        <v>418</v>
      </c>
      <c r="G319" s="275" t="s">
        <v>418</v>
      </c>
      <c r="H319" s="275" t="s">
        <v>418</v>
      </c>
      <c r="I319" s="275" t="s">
        <v>418</v>
      </c>
      <c r="J319" s="275" t="s">
        <v>418</v>
      </c>
      <c r="K319" s="275" t="s">
        <v>418</v>
      </c>
      <c r="L319" s="275" t="s">
        <v>418</v>
      </c>
      <c r="M319" s="280" t="s">
        <v>418</v>
      </c>
      <c r="N319" s="280" t="s">
        <v>418</v>
      </c>
      <c r="O319" s="280" t="s">
        <v>418</v>
      </c>
      <c r="P319" s="280" t="s">
        <v>418</v>
      </c>
      <c r="Q319" s="280" t="s">
        <v>418</v>
      </c>
      <c r="R319" s="280" t="s">
        <v>418</v>
      </c>
      <c r="S319" s="280" t="s">
        <v>418</v>
      </c>
      <c r="T319" s="247" t="s">
        <v>418</v>
      </c>
      <c r="U319" s="247" t="s">
        <v>418</v>
      </c>
      <c r="V319" s="247" t="s">
        <v>418</v>
      </c>
      <c r="W319" s="247" t="s">
        <v>418</v>
      </c>
      <c r="X319" s="247" t="s">
        <v>418</v>
      </c>
      <c r="Y319" s="247" t="s">
        <v>418</v>
      </c>
      <c r="Z319" s="247" t="s">
        <v>418</v>
      </c>
      <c r="AA319" s="248" t="s">
        <v>418</v>
      </c>
      <c r="AB319" s="248" t="s">
        <v>418</v>
      </c>
      <c r="AC319" s="248" t="s">
        <v>418</v>
      </c>
      <c r="AD319" s="248" t="s">
        <v>418</v>
      </c>
      <c r="AE319" s="248" t="s">
        <v>418</v>
      </c>
      <c r="AF319" s="248" t="s">
        <v>418</v>
      </c>
      <c r="AG319" s="248" t="s">
        <v>418</v>
      </c>
    </row>
    <row r="320" spans="1:40" x14ac:dyDescent="0.4">
      <c r="A320" s="60" t="s">
        <v>415</v>
      </c>
      <c r="B320" s="2" t="s">
        <v>221</v>
      </c>
      <c r="C320" s="2" t="s">
        <v>222</v>
      </c>
      <c r="D320" s="12"/>
      <c r="E320" s="4">
        <v>2.73</v>
      </c>
      <c r="F320" s="275" t="s">
        <v>418</v>
      </c>
      <c r="G320" s="275" t="s">
        <v>418</v>
      </c>
      <c r="H320" s="275" t="s">
        <v>418</v>
      </c>
      <c r="I320" s="275" t="s">
        <v>418</v>
      </c>
      <c r="J320" s="275" t="s">
        <v>418</v>
      </c>
      <c r="K320" s="275" t="s">
        <v>418</v>
      </c>
      <c r="L320" s="275" t="s">
        <v>418</v>
      </c>
      <c r="M320" s="280" t="s">
        <v>418</v>
      </c>
      <c r="N320" s="280" t="s">
        <v>418</v>
      </c>
      <c r="O320" s="280" t="s">
        <v>418</v>
      </c>
      <c r="P320" s="280" t="s">
        <v>418</v>
      </c>
      <c r="Q320" s="280" t="s">
        <v>418</v>
      </c>
      <c r="R320" s="280" t="s">
        <v>418</v>
      </c>
      <c r="S320" s="280" t="s">
        <v>418</v>
      </c>
      <c r="T320" s="247" t="s">
        <v>418</v>
      </c>
      <c r="U320" s="247" t="s">
        <v>418</v>
      </c>
      <c r="V320" s="247" t="s">
        <v>418</v>
      </c>
      <c r="W320" s="247" t="s">
        <v>418</v>
      </c>
      <c r="X320" s="247" t="s">
        <v>418</v>
      </c>
      <c r="Y320" s="247" t="s">
        <v>418</v>
      </c>
      <c r="Z320" s="247" t="s">
        <v>418</v>
      </c>
      <c r="AA320" s="248" t="s">
        <v>418</v>
      </c>
      <c r="AB320" s="248" t="s">
        <v>418</v>
      </c>
      <c r="AC320" s="248" t="s">
        <v>418</v>
      </c>
      <c r="AD320" s="248" t="s">
        <v>418</v>
      </c>
      <c r="AE320" s="248" t="s">
        <v>418</v>
      </c>
      <c r="AF320" s="248" t="s">
        <v>418</v>
      </c>
      <c r="AG320" s="248" t="s">
        <v>418</v>
      </c>
      <c r="AH320" s="30" t="e">
        <f>('Project Materials'!$D$8*'Project Materials'!$D$9)*'Project Materials'!$P$25</f>
        <v>#VALUE!</v>
      </c>
      <c r="AI320" s="27" t="e">
        <f>('Project Materials'!$H$8*'Project Materials'!$H$9)*'Project Materials'!$P$26</f>
        <v>#VALUE!</v>
      </c>
      <c r="AJ320" s="28" t="e">
        <f>('Project Materials'!$L$8*'Project Materials'!$L$9)*'Project Materials'!$P$27</f>
        <v>#VALUE!</v>
      </c>
      <c r="AK320" s="200" t="e">
        <f>('Project Materials'!$P$8*'Project Materials'!$P$9)*'Project Materials'!$P$28</f>
        <v>#VALUE!</v>
      </c>
    </row>
    <row r="321" spans="1:37" x14ac:dyDescent="0.4">
      <c r="A321" s="60" t="s">
        <v>415</v>
      </c>
      <c r="B321" s="2" t="s">
        <v>223</v>
      </c>
      <c r="C321" s="2" t="s">
        <v>224</v>
      </c>
      <c r="D321" s="12"/>
      <c r="E321" s="4">
        <v>2.73</v>
      </c>
      <c r="F321" s="275" t="s">
        <v>418</v>
      </c>
      <c r="G321" s="275" t="s">
        <v>418</v>
      </c>
      <c r="H321" s="275" t="s">
        <v>418</v>
      </c>
      <c r="I321" s="275" t="s">
        <v>418</v>
      </c>
      <c r="J321" s="275" t="s">
        <v>418</v>
      </c>
      <c r="K321" s="275" t="s">
        <v>418</v>
      </c>
      <c r="L321" s="275" t="s">
        <v>418</v>
      </c>
      <c r="M321" s="280" t="s">
        <v>418</v>
      </c>
      <c r="N321" s="280" t="s">
        <v>418</v>
      </c>
      <c r="O321" s="280" t="s">
        <v>418</v>
      </c>
      <c r="P321" s="280" t="s">
        <v>418</v>
      </c>
      <c r="Q321" s="280" t="s">
        <v>418</v>
      </c>
      <c r="R321" s="280" t="s">
        <v>418</v>
      </c>
      <c r="S321" s="280" t="s">
        <v>418</v>
      </c>
      <c r="T321" s="247" t="s">
        <v>418</v>
      </c>
      <c r="U321" s="247" t="s">
        <v>418</v>
      </c>
      <c r="V321" s="247" t="s">
        <v>418</v>
      </c>
      <c r="W321" s="247" t="s">
        <v>418</v>
      </c>
      <c r="X321" s="247" t="s">
        <v>418</v>
      </c>
      <c r="Y321" s="247" t="s">
        <v>418</v>
      </c>
      <c r="Z321" s="247" t="s">
        <v>418</v>
      </c>
      <c r="AA321" s="248" t="s">
        <v>418</v>
      </c>
      <c r="AB321" s="248" t="s">
        <v>418</v>
      </c>
      <c r="AC321" s="248" t="s">
        <v>418</v>
      </c>
      <c r="AD321" s="248" t="s">
        <v>418</v>
      </c>
      <c r="AE321" s="248" t="s">
        <v>418</v>
      </c>
      <c r="AF321" s="248" t="s">
        <v>418</v>
      </c>
      <c r="AG321" s="248" t="s">
        <v>418</v>
      </c>
      <c r="AH321" s="30" t="e">
        <f>('Project Materials'!$D$8*'Project Materials'!$D$9)*'Project Materials'!$P$25</f>
        <v>#VALUE!</v>
      </c>
      <c r="AI321" s="27" t="e">
        <f>('Project Materials'!$H$8*'Project Materials'!$H$9)*'Project Materials'!$P$26</f>
        <v>#VALUE!</v>
      </c>
      <c r="AJ321" s="28" t="e">
        <f>('Project Materials'!$L$8*'Project Materials'!$L$9)*'Project Materials'!$P$27</f>
        <v>#VALUE!</v>
      </c>
      <c r="AK321" s="200" t="e">
        <f>('Project Materials'!$P$8*'Project Materials'!$P$9)*'Project Materials'!$P$28</f>
        <v>#VALUE!</v>
      </c>
    </row>
    <row r="322" spans="1:37" x14ac:dyDescent="0.4">
      <c r="A322" s="60" t="s">
        <v>415</v>
      </c>
      <c r="B322" s="2" t="s">
        <v>225</v>
      </c>
      <c r="C322" s="2" t="s">
        <v>226</v>
      </c>
      <c r="D322" s="12"/>
      <c r="E322" s="4">
        <v>1.83</v>
      </c>
      <c r="F322" s="275" t="s">
        <v>418</v>
      </c>
      <c r="G322" s="275" t="s">
        <v>418</v>
      </c>
      <c r="H322" s="275" t="s">
        <v>418</v>
      </c>
      <c r="I322" s="275" t="s">
        <v>418</v>
      </c>
      <c r="J322" s="275" t="s">
        <v>418</v>
      </c>
      <c r="K322" s="275" t="s">
        <v>418</v>
      </c>
      <c r="L322" s="275" t="s">
        <v>418</v>
      </c>
      <c r="M322" s="280" t="s">
        <v>418</v>
      </c>
      <c r="N322" s="280" t="s">
        <v>418</v>
      </c>
      <c r="O322" s="280" t="s">
        <v>418</v>
      </c>
      <c r="P322" s="280" t="s">
        <v>418</v>
      </c>
      <c r="Q322" s="280" t="s">
        <v>418</v>
      </c>
      <c r="R322" s="280" t="s">
        <v>418</v>
      </c>
      <c r="S322" s="280" t="s">
        <v>418</v>
      </c>
      <c r="T322" s="247" t="s">
        <v>418</v>
      </c>
      <c r="U322" s="247" t="s">
        <v>418</v>
      </c>
      <c r="V322" s="247" t="s">
        <v>418</v>
      </c>
      <c r="W322" s="247" t="s">
        <v>418</v>
      </c>
      <c r="X322" s="247" t="s">
        <v>418</v>
      </c>
      <c r="Y322" s="247" t="s">
        <v>418</v>
      </c>
      <c r="Z322" s="247" t="s">
        <v>418</v>
      </c>
      <c r="AA322" s="248" t="s">
        <v>418</v>
      </c>
      <c r="AB322" s="248" t="s">
        <v>418</v>
      </c>
      <c r="AC322" s="248" t="s">
        <v>418</v>
      </c>
      <c r="AD322" s="248" t="s">
        <v>418</v>
      </c>
      <c r="AE322" s="248" t="s">
        <v>418</v>
      </c>
      <c r="AF322" s="248" t="s">
        <v>418</v>
      </c>
      <c r="AG322" s="248" t="s">
        <v>418</v>
      </c>
      <c r="AH322" s="30" t="e">
        <f>('Project Materials'!$D$8*'Project Materials'!$D$9)*'Project Materials'!$P$25</f>
        <v>#VALUE!</v>
      </c>
      <c r="AI322" s="27" t="e">
        <f>('Project Materials'!$H$8*'Project Materials'!$H$9)*'Project Materials'!$P$26</f>
        <v>#VALUE!</v>
      </c>
      <c r="AJ322" s="28" t="e">
        <f>('Project Materials'!$L$8*'Project Materials'!$L$9)*'Project Materials'!$P$27</f>
        <v>#VALUE!</v>
      </c>
      <c r="AK322" s="200" t="e">
        <f>('Project Materials'!$P$8*'Project Materials'!$P$9)*'Project Materials'!$P$28</f>
        <v>#VALUE!</v>
      </c>
    </row>
    <row r="323" spans="1:37" x14ac:dyDescent="0.4">
      <c r="A323" s="60" t="s">
        <v>415</v>
      </c>
      <c r="B323" s="2" t="s">
        <v>227</v>
      </c>
      <c r="C323" s="2" t="s">
        <v>228</v>
      </c>
      <c r="D323" s="12"/>
      <c r="E323" s="4">
        <v>0.6</v>
      </c>
      <c r="F323" s="275" t="s">
        <v>418</v>
      </c>
      <c r="G323" s="275" t="s">
        <v>418</v>
      </c>
      <c r="H323" s="275" t="s">
        <v>418</v>
      </c>
      <c r="I323" s="275" t="s">
        <v>418</v>
      </c>
      <c r="J323" s="275" t="s">
        <v>418</v>
      </c>
      <c r="K323" s="275" t="s">
        <v>418</v>
      </c>
      <c r="L323" s="275" t="s">
        <v>418</v>
      </c>
      <c r="M323" s="280" t="s">
        <v>418</v>
      </c>
      <c r="N323" s="280" t="s">
        <v>418</v>
      </c>
      <c r="O323" s="280" t="s">
        <v>418</v>
      </c>
      <c r="P323" s="280" t="s">
        <v>418</v>
      </c>
      <c r="Q323" s="280" t="s">
        <v>418</v>
      </c>
      <c r="R323" s="280" t="s">
        <v>418</v>
      </c>
      <c r="S323" s="280" t="s">
        <v>418</v>
      </c>
      <c r="T323" s="247" t="s">
        <v>418</v>
      </c>
      <c r="U323" s="247" t="s">
        <v>418</v>
      </c>
      <c r="V323" s="247" t="s">
        <v>418</v>
      </c>
      <c r="W323" s="247" t="s">
        <v>418</v>
      </c>
      <c r="X323" s="247" t="s">
        <v>418</v>
      </c>
      <c r="Y323" s="247" t="s">
        <v>418</v>
      </c>
      <c r="Z323" s="247" t="s">
        <v>418</v>
      </c>
      <c r="AA323" s="248" t="s">
        <v>418</v>
      </c>
      <c r="AB323" s="248" t="s">
        <v>418</v>
      </c>
      <c r="AC323" s="248" t="s">
        <v>418</v>
      </c>
      <c r="AD323" s="248" t="s">
        <v>418</v>
      </c>
      <c r="AE323" s="248" t="s">
        <v>418</v>
      </c>
      <c r="AF323" s="248" t="s">
        <v>418</v>
      </c>
      <c r="AG323" s="248" t="s">
        <v>418</v>
      </c>
      <c r="AH323" s="30" t="e">
        <f>('Project Materials'!$D$8*'Project Materials'!$D$9)*'Project Materials'!$P$25</f>
        <v>#VALUE!</v>
      </c>
      <c r="AI323" s="27" t="e">
        <f>('Project Materials'!$H$8*'Project Materials'!$H$9)*'Project Materials'!$P$26</f>
        <v>#VALUE!</v>
      </c>
      <c r="AJ323" s="28" t="e">
        <f>('Project Materials'!$L$8*'Project Materials'!$L$9)*'Project Materials'!$P$27</f>
        <v>#VALUE!</v>
      </c>
      <c r="AK323" s="200" t="e">
        <f>('Project Materials'!$P$8*'Project Materials'!$P$9)*'Project Materials'!$P$28</f>
        <v>#VALUE!</v>
      </c>
    </row>
    <row r="324" spans="1:37" x14ac:dyDescent="0.4">
      <c r="A324" s="60" t="s">
        <v>415</v>
      </c>
      <c r="B324" s="2" t="s">
        <v>229</v>
      </c>
      <c r="C324" s="2" t="s">
        <v>230</v>
      </c>
      <c r="D324" s="12"/>
      <c r="E324" s="4">
        <v>0.72</v>
      </c>
      <c r="F324" s="275" t="s">
        <v>418</v>
      </c>
      <c r="G324" s="275" t="s">
        <v>418</v>
      </c>
      <c r="H324" s="275" t="s">
        <v>418</v>
      </c>
      <c r="I324" s="275" t="s">
        <v>418</v>
      </c>
      <c r="J324" s="275" t="s">
        <v>418</v>
      </c>
      <c r="K324" s="275" t="s">
        <v>418</v>
      </c>
      <c r="L324" s="275" t="s">
        <v>418</v>
      </c>
      <c r="M324" s="280" t="s">
        <v>418</v>
      </c>
      <c r="N324" s="280" t="s">
        <v>418</v>
      </c>
      <c r="O324" s="280" t="s">
        <v>418</v>
      </c>
      <c r="P324" s="280" t="s">
        <v>418</v>
      </c>
      <c r="Q324" s="280" t="s">
        <v>418</v>
      </c>
      <c r="R324" s="280" t="s">
        <v>418</v>
      </c>
      <c r="S324" s="280" t="s">
        <v>418</v>
      </c>
      <c r="T324" s="247" t="s">
        <v>418</v>
      </c>
      <c r="U324" s="247" t="s">
        <v>418</v>
      </c>
      <c r="V324" s="247" t="s">
        <v>418</v>
      </c>
      <c r="W324" s="247" t="s">
        <v>418</v>
      </c>
      <c r="X324" s="247" t="s">
        <v>418</v>
      </c>
      <c r="Y324" s="247" t="s">
        <v>418</v>
      </c>
      <c r="Z324" s="247" t="s">
        <v>418</v>
      </c>
      <c r="AA324" s="248" t="s">
        <v>418</v>
      </c>
      <c r="AB324" s="248" t="s">
        <v>418</v>
      </c>
      <c r="AC324" s="248" t="s">
        <v>418</v>
      </c>
      <c r="AD324" s="248" t="s">
        <v>418</v>
      </c>
      <c r="AE324" s="248" t="s">
        <v>418</v>
      </c>
      <c r="AF324" s="248" t="s">
        <v>418</v>
      </c>
      <c r="AG324" s="248" t="s">
        <v>418</v>
      </c>
      <c r="AH324" s="30" t="e">
        <f>('Project Materials'!$D$8*'Project Materials'!$D$9)*'Project Materials'!$P$25</f>
        <v>#VALUE!</v>
      </c>
      <c r="AI324" s="27" t="e">
        <f>('Project Materials'!$H$8*'Project Materials'!$H$9)*'Project Materials'!$P$26</f>
        <v>#VALUE!</v>
      </c>
      <c r="AJ324" s="28" t="e">
        <f>('Project Materials'!$L$8*'Project Materials'!$L$9)*'Project Materials'!$P$27</f>
        <v>#VALUE!</v>
      </c>
      <c r="AK324" s="200" t="e">
        <f>('Project Materials'!$P$8*'Project Materials'!$P$9)*'Project Materials'!$P$28</f>
        <v>#VALUE!</v>
      </c>
    </row>
    <row r="325" spans="1:37" x14ac:dyDescent="0.4">
      <c r="A325" s="60" t="s">
        <v>415</v>
      </c>
      <c r="B325" s="2" t="s">
        <v>231</v>
      </c>
      <c r="C325" s="2" t="s">
        <v>232</v>
      </c>
      <c r="D325" s="12"/>
      <c r="E325" s="4">
        <v>0.8</v>
      </c>
      <c r="F325" s="275" t="s">
        <v>418</v>
      </c>
      <c r="G325" s="275" t="s">
        <v>418</v>
      </c>
      <c r="H325" s="275" t="s">
        <v>418</v>
      </c>
      <c r="I325" s="275" t="s">
        <v>418</v>
      </c>
      <c r="J325" s="275" t="s">
        <v>418</v>
      </c>
      <c r="K325" s="275" t="s">
        <v>418</v>
      </c>
      <c r="L325" s="275" t="s">
        <v>418</v>
      </c>
      <c r="M325" s="280" t="s">
        <v>418</v>
      </c>
      <c r="N325" s="280" t="s">
        <v>418</v>
      </c>
      <c r="O325" s="280" t="s">
        <v>418</v>
      </c>
      <c r="P325" s="280" t="s">
        <v>418</v>
      </c>
      <c r="Q325" s="280" t="s">
        <v>418</v>
      </c>
      <c r="R325" s="280" t="s">
        <v>418</v>
      </c>
      <c r="S325" s="280" t="s">
        <v>418</v>
      </c>
      <c r="T325" s="247" t="s">
        <v>418</v>
      </c>
      <c r="U325" s="247" t="s">
        <v>418</v>
      </c>
      <c r="V325" s="247" t="s">
        <v>418</v>
      </c>
      <c r="W325" s="247" t="s">
        <v>418</v>
      </c>
      <c r="X325" s="247" t="s">
        <v>418</v>
      </c>
      <c r="Y325" s="247" t="s">
        <v>418</v>
      </c>
      <c r="Z325" s="247" t="s">
        <v>418</v>
      </c>
      <c r="AA325" s="248" t="s">
        <v>418</v>
      </c>
      <c r="AB325" s="248" t="s">
        <v>418</v>
      </c>
      <c r="AC325" s="248" t="s">
        <v>418</v>
      </c>
      <c r="AD325" s="248" t="s">
        <v>418</v>
      </c>
      <c r="AE325" s="248" t="s">
        <v>418</v>
      </c>
      <c r="AF325" s="248" t="s">
        <v>418</v>
      </c>
      <c r="AG325" s="248" t="s">
        <v>418</v>
      </c>
      <c r="AH325" s="30" t="e">
        <f>('Project Materials'!$D$8*'Project Materials'!$D$9)*'Project Materials'!$P$25</f>
        <v>#VALUE!</v>
      </c>
      <c r="AI325" s="27" t="e">
        <f>('Project Materials'!$H$8*'Project Materials'!$H$9)*'Project Materials'!$P$26</f>
        <v>#VALUE!</v>
      </c>
      <c r="AJ325" s="28" t="e">
        <f>('Project Materials'!$L$8*'Project Materials'!$L$9)*'Project Materials'!$P$27</f>
        <v>#VALUE!</v>
      </c>
      <c r="AK325" s="200" t="e">
        <f>('Project Materials'!$P$8*'Project Materials'!$P$9)*'Project Materials'!$P$28</f>
        <v>#VALUE!</v>
      </c>
    </row>
    <row r="326" spans="1:37" x14ac:dyDescent="0.4">
      <c r="A326" s="60" t="s">
        <v>415</v>
      </c>
      <c r="B326" s="2" t="s">
        <v>233</v>
      </c>
      <c r="C326" s="2" t="s">
        <v>234</v>
      </c>
      <c r="D326" s="12"/>
      <c r="E326" s="4">
        <v>0.6</v>
      </c>
      <c r="F326" s="275" t="s">
        <v>418</v>
      </c>
      <c r="G326" s="275" t="s">
        <v>418</v>
      </c>
      <c r="H326" s="275" t="s">
        <v>418</v>
      </c>
      <c r="I326" s="275" t="s">
        <v>418</v>
      </c>
      <c r="J326" s="275" t="s">
        <v>418</v>
      </c>
      <c r="K326" s="275" t="s">
        <v>418</v>
      </c>
      <c r="L326" s="275" t="s">
        <v>418</v>
      </c>
      <c r="M326" s="280" t="s">
        <v>418</v>
      </c>
      <c r="N326" s="280" t="s">
        <v>418</v>
      </c>
      <c r="O326" s="280" t="s">
        <v>418</v>
      </c>
      <c r="P326" s="280" t="s">
        <v>418</v>
      </c>
      <c r="Q326" s="280" t="s">
        <v>418</v>
      </c>
      <c r="R326" s="280" t="s">
        <v>418</v>
      </c>
      <c r="S326" s="280" t="s">
        <v>418</v>
      </c>
      <c r="T326" s="247" t="s">
        <v>418</v>
      </c>
      <c r="U326" s="247" t="s">
        <v>418</v>
      </c>
      <c r="V326" s="247" t="s">
        <v>418</v>
      </c>
      <c r="W326" s="247" t="s">
        <v>418</v>
      </c>
      <c r="X326" s="247" t="s">
        <v>418</v>
      </c>
      <c r="Y326" s="247" t="s">
        <v>418</v>
      </c>
      <c r="Z326" s="247" t="s">
        <v>418</v>
      </c>
      <c r="AA326" s="248" t="s">
        <v>418</v>
      </c>
      <c r="AB326" s="248" t="s">
        <v>418</v>
      </c>
      <c r="AC326" s="248" t="s">
        <v>418</v>
      </c>
      <c r="AD326" s="248" t="s">
        <v>418</v>
      </c>
      <c r="AE326" s="248" t="s">
        <v>418</v>
      </c>
      <c r="AF326" s="248" t="s">
        <v>418</v>
      </c>
      <c r="AG326" s="248" t="s">
        <v>418</v>
      </c>
      <c r="AH326" s="30" t="e">
        <f>('Project Materials'!$D$8*'Project Materials'!$D$9)*'Project Materials'!$P$25</f>
        <v>#VALUE!</v>
      </c>
      <c r="AI326" s="27" t="e">
        <f>('Project Materials'!$H$8*'Project Materials'!$H$9)*'Project Materials'!$P$26</f>
        <v>#VALUE!</v>
      </c>
      <c r="AJ326" s="28" t="e">
        <f>('Project Materials'!$L$8*'Project Materials'!$L$9)*'Project Materials'!$P$27</f>
        <v>#VALUE!</v>
      </c>
      <c r="AK326" s="200" t="e">
        <f>('Project Materials'!$P$8*'Project Materials'!$P$9)*'Project Materials'!$P$28</f>
        <v>#VALUE!</v>
      </c>
    </row>
    <row r="327" spans="1:37" x14ac:dyDescent="0.4">
      <c r="A327" s="60" t="s">
        <v>415</v>
      </c>
      <c r="B327" s="2" t="s">
        <v>235</v>
      </c>
      <c r="C327" s="2" t="s">
        <v>236</v>
      </c>
      <c r="D327" s="12"/>
      <c r="E327" s="4">
        <v>2.96</v>
      </c>
      <c r="F327" s="275" t="s">
        <v>418</v>
      </c>
      <c r="G327" s="275" t="s">
        <v>418</v>
      </c>
      <c r="H327" s="275" t="s">
        <v>418</v>
      </c>
      <c r="I327" s="275" t="s">
        <v>418</v>
      </c>
      <c r="J327" s="275" t="s">
        <v>418</v>
      </c>
      <c r="K327" s="275" t="s">
        <v>418</v>
      </c>
      <c r="L327" s="275" t="s">
        <v>418</v>
      </c>
      <c r="M327" s="280" t="s">
        <v>418</v>
      </c>
      <c r="N327" s="280" t="s">
        <v>418</v>
      </c>
      <c r="O327" s="280" t="s">
        <v>418</v>
      </c>
      <c r="P327" s="280" t="s">
        <v>418</v>
      </c>
      <c r="Q327" s="280" t="s">
        <v>418</v>
      </c>
      <c r="R327" s="280" t="s">
        <v>418</v>
      </c>
      <c r="S327" s="280" t="s">
        <v>418</v>
      </c>
      <c r="T327" s="247" t="s">
        <v>418</v>
      </c>
      <c r="U327" s="247" t="s">
        <v>418</v>
      </c>
      <c r="V327" s="247" t="s">
        <v>418</v>
      </c>
      <c r="W327" s="247" t="s">
        <v>418</v>
      </c>
      <c r="X327" s="247" t="s">
        <v>418</v>
      </c>
      <c r="Y327" s="247" t="s">
        <v>418</v>
      </c>
      <c r="Z327" s="247" t="s">
        <v>418</v>
      </c>
      <c r="AA327" s="248" t="s">
        <v>418</v>
      </c>
      <c r="AB327" s="248" t="s">
        <v>418</v>
      </c>
      <c r="AC327" s="248" t="s">
        <v>418</v>
      </c>
      <c r="AD327" s="248" t="s">
        <v>418</v>
      </c>
      <c r="AE327" s="248" t="s">
        <v>418</v>
      </c>
      <c r="AF327" s="248" t="s">
        <v>418</v>
      </c>
      <c r="AG327" s="248" t="s">
        <v>418</v>
      </c>
      <c r="AH327" s="30" t="e">
        <f>('Project Materials'!$D$8*'Project Materials'!$D$9)*'Project Materials'!$P$25</f>
        <v>#VALUE!</v>
      </c>
      <c r="AI327" s="27" t="e">
        <f>('Project Materials'!$H$8*'Project Materials'!$H$9)*'Project Materials'!$P$26</f>
        <v>#VALUE!</v>
      </c>
      <c r="AJ327" s="28" t="e">
        <f>('Project Materials'!$L$8*'Project Materials'!$L$9)*'Project Materials'!$P$27</f>
        <v>#VALUE!</v>
      </c>
      <c r="AK327" s="200" t="e">
        <f>('Project Materials'!$P$8*'Project Materials'!$P$9)*'Project Materials'!$P$28</f>
        <v>#VALUE!</v>
      </c>
    </row>
    <row r="366" spans="8:8" x14ac:dyDescent="0.4">
      <c r="H366" s="273" t="s">
        <v>290</v>
      </c>
    </row>
    <row r="397" spans="8:8" x14ac:dyDescent="0.4">
      <c r="H397" s="273" t="s">
        <v>290</v>
      </c>
    </row>
    <row r="414" spans="6:40" s="686" customFormat="1" x14ac:dyDescent="0.4">
      <c r="F414" s="273"/>
      <c r="G414" s="273"/>
      <c r="H414" s="273"/>
      <c r="I414" s="273"/>
      <c r="J414" s="273"/>
      <c r="K414" s="273"/>
      <c r="L414" s="273"/>
      <c r="M414" s="278"/>
      <c r="N414" s="278"/>
      <c r="O414" s="278"/>
      <c r="P414" s="278"/>
      <c r="Q414" s="278"/>
      <c r="R414" s="278"/>
      <c r="S414" s="278"/>
      <c r="T414" s="28"/>
      <c r="U414" s="28"/>
      <c r="V414" s="28"/>
      <c r="W414" s="28"/>
      <c r="X414" s="28"/>
      <c r="Y414" s="28"/>
      <c r="Z414" s="28"/>
      <c r="AA414" s="200"/>
      <c r="AB414" s="200"/>
      <c r="AC414" s="200"/>
      <c r="AD414" s="200"/>
      <c r="AE414" s="200"/>
      <c r="AF414" s="200"/>
      <c r="AG414" s="200"/>
      <c r="AH414" s="30"/>
      <c r="AI414" s="27"/>
      <c r="AJ414" s="28"/>
      <c r="AK414" s="200"/>
      <c r="AN414" s="22"/>
    </row>
    <row r="415" spans="6:40" s="686" customFormat="1" x14ac:dyDescent="0.4">
      <c r="F415" s="273"/>
      <c r="G415" s="273"/>
      <c r="H415" s="273"/>
      <c r="I415" s="273"/>
      <c r="J415" s="273"/>
      <c r="K415" s="273"/>
      <c r="L415" s="273"/>
      <c r="M415" s="278"/>
      <c r="N415" s="278"/>
      <c r="O415" s="278"/>
      <c r="P415" s="278"/>
      <c r="Q415" s="278"/>
      <c r="R415" s="278"/>
      <c r="S415" s="278"/>
      <c r="T415" s="28"/>
      <c r="U415" s="28"/>
      <c r="V415" s="28"/>
      <c r="W415" s="28"/>
      <c r="X415" s="28"/>
      <c r="Y415" s="28"/>
      <c r="Z415" s="28"/>
      <c r="AA415" s="200"/>
      <c r="AB415" s="200"/>
      <c r="AC415" s="200"/>
      <c r="AD415" s="200"/>
      <c r="AE415" s="200"/>
      <c r="AF415" s="200"/>
      <c r="AG415" s="200"/>
      <c r="AH415" s="30"/>
      <c r="AI415" s="27"/>
      <c r="AJ415" s="28"/>
      <c r="AK415" s="200"/>
      <c r="AN415" s="22"/>
    </row>
    <row r="416" spans="6:40" s="686" customFormat="1" x14ac:dyDescent="0.4">
      <c r="F416" s="273"/>
      <c r="G416" s="273"/>
      <c r="H416" s="273"/>
      <c r="I416" s="273"/>
      <c r="J416" s="273"/>
      <c r="K416" s="273"/>
      <c r="L416" s="273"/>
      <c r="M416" s="278"/>
      <c r="N416" s="278"/>
      <c r="O416" s="278"/>
      <c r="P416" s="278"/>
      <c r="Q416" s="278"/>
      <c r="R416" s="278"/>
      <c r="S416" s="278"/>
      <c r="T416" s="28"/>
      <c r="U416" s="28"/>
      <c r="V416" s="28"/>
      <c r="W416" s="28"/>
      <c r="X416" s="28"/>
      <c r="Y416" s="28"/>
      <c r="Z416" s="28"/>
      <c r="AA416" s="200"/>
      <c r="AB416" s="200"/>
      <c r="AC416" s="200"/>
      <c r="AD416" s="200"/>
      <c r="AE416" s="200"/>
      <c r="AF416" s="200"/>
      <c r="AG416" s="200"/>
      <c r="AH416" s="30"/>
      <c r="AI416" s="27"/>
      <c r="AJ416" s="28"/>
      <c r="AK416" s="200"/>
      <c r="AN416" s="22"/>
    </row>
    <row r="417" spans="6:40" s="686" customFormat="1" x14ac:dyDescent="0.4">
      <c r="F417" s="273"/>
      <c r="G417" s="273"/>
      <c r="H417" s="273"/>
      <c r="I417" s="273"/>
      <c r="J417" s="273"/>
      <c r="K417" s="273"/>
      <c r="L417" s="273"/>
      <c r="M417" s="278"/>
      <c r="N417" s="278"/>
      <c r="O417" s="278"/>
      <c r="P417" s="278"/>
      <c r="Q417" s="278"/>
      <c r="R417" s="278"/>
      <c r="S417" s="278"/>
      <c r="T417" s="28"/>
      <c r="U417" s="28"/>
      <c r="V417" s="28"/>
      <c r="W417" s="28"/>
      <c r="X417" s="28"/>
      <c r="Y417" s="28"/>
      <c r="Z417" s="28"/>
      <c r="AA417" s="200"/>
      <c r="AB417" s="200"/>
      <c r="AC417" s="200"/>
      <c r="AD417" s="200"/>
      <c r="AE417" s="200"/>
      <c r="AF417" s="200"/>
      <c r="AG417" s="200"/>
      <c r="AH417" s="30"/>
      <c r="AI417" s="27"/>
      <c r="AJ417" s="28"/>
      <c r="AK417" s="200"/>
      <c r="AN417" s="22"/>
    </row>
    <row r="418" spans="6:40" s="686" customFormat="1" x14ac:dyDescent="0.4">
      <c r="F418" s="273"/>
      <c r="G418" s="273"/>
      <c r="H418" s="273"/>
      <c r="I418" s="273"/>
      <c r="J418" s="273"/>
      <c r="K418" s="273"/>
      <c r="L418" s="273"/>
      <c r="M418" s="278"/>
      <c r="N418" s="278"/>
      <c r="O418" s="278"/>
      <c r="P418" s="278"/>
      <c r="Q418" s="278"/>
      <c r="R418" s="278"/>
      <c r="S418" s="278"/>
      <c r="T418" s="28"/>
      <c r="U418" s="28"/>
      <c r="V418" s="28"/>
      <c r="W418" s="28"/>
      <c r="X418" s="28"/>
      <c r="Y418" s="28"/>
      <c r="Z418" s="28"/>
      <c r="AA418" s="200"/>
      <c r="AB418" s="200"/>
      <c r="AC418" s="200"/>
      <c r="AD418" s="200"/>
      <c r="AE418" s="200"/>
      <c r="AF418" s="200"/>
      <c r="AG418" s="200"/>
      <c r="AH418" s="30"/>
      <c r="AI418" s="27"/>
      <c r="AJ418" s="28"/>
      <c r="AK418" s="200"/>
      <c r="AN418" s="22"/>
    </row>
    <row r="419" spans="6:40" s="686" customFormat="1" x14ac:dyDescent="0.4">
      <c r="F419" s="273"/>
      <c r="G419" s="273"/>
      <c r="H419" s="273"/>
      <c r="I419" s="273"/>
      <c r="J419" s="273"/>
      <c r="K419" s="273"/>
      <c r="L419" s="273"/>
      <c r="M419" s="278"/>
      <c r="N419" s="278"/>
      <c r="O419" s="278"/>
      <c r="P419" s="278"/>
      <c r="Q419" s="278"/>
      <c r="R419" s="278"/>
      <c r="S419" s="278"/>
      <c r="T419" s="28"/>
      <c r="U419" s="28"/>
      <c r="V419" s="28"/>
      <c r="W419" s="28"/>
      <c r="X419" s="28"/>
      <c r="Y419" s="28"/>
      <c r="Z419" s="28"/>
      <c r="AA419" s="200"/>
      <c r="AB419" s="200"/>
      <c r="AC419" s="200"/>
      <c r="AD419" s="200"/>
      <c r="AE419" s="200"/>
      <c r="AF419" s="200"/>
      <c r="AG419" s="200"/>
      <c r="AH419" s="30"/>
      <c r="AI419" s="27"/>
      <c r="AJ419" s="28"/>
      <c r="AK419" s="200"/>
      <c r="AN419" s="22"/>
    </row>
    <row r="420" spans="6:40" s="686" customFormat="1" x14ac:dyDescent="0.4">
      <c r="F420" s="273"/>
      <c r="G420" s="273"/>
      <c r="H420" s="273"/>
      <c r="I420" s="273"/>
      <c r="J420" s="273"/>
      <c r="K420" s="273"/>
      <c r="L420" s="273"/>
      <c r="M420" s="278"/>
      <c r="N420" s="278"/>
      <c r="O420" s="278"/>
      <c r="P420" s="278"/>
      <c r="Q420" s="278"/>
      <c r="R420" s="278"/>
      <c r="S420" s="278"/>
      <c r="T420" s="28"/>
      <c r="U420" s="28"/>
      <c r="V420" s="28"/>
      <c r="W420" s="28"/>
      <c r="X420" s="28"/>
      <c r="Y420" s="28"/>
      <c r="Z420" s="28"/>
      <c r="AA420" s="200"/>
      <c r="AB420" s="200"/>
      <c r="AC420" s="200"/>
      <c r="AD420" s="200"/>
      <c r="AE420" s="200"/>
      <c r="AF420" s="200"/>
      <c r="AG420" s="200"/>
      <c r="AH420" s="30"/>
      <c r="AI420" s="27"/>
      <c r="AJ420" s="28"/>
      <c r="AK420" s="200"/>
      <c r="AN420" s="22"/>
    </row>
    <row r="421" spans="6:40" s="686" customFormat="1" x14ac:dyDescent="0.4">
      <c r="F421" s="273"/>
      <c r="G421" s="273"/>
      <c r="H421" s="273"/>
      <c r="I421" s="273"/>
      <c r="J421" s="273"/>
      <c r="K421" s="273"/>
      <c r="L421" s="273"/>
      <c r="M421" s="278"/>
      <c r="N421" s="278"/>
      <c r="O421" s="278"/>
      <c r="P421" s="278"/>
      <c r="Q421" s="278"/>
      <c r="R421" s="278"/>
      <c r="S421" s="278"/>
      <c r="T421" s="28"/>
      <c r="U421" s="28"/>
      <c r="V421" s="28"/>
      <c r="W421" s="28"/>
      <c r="X421" s="28"/>
      <c r="Y421" s="28"/>
      <c r="Z421" s="28"/>
      <c r="AA421" s="200"/>
      <c r="AB421" s="200"/>
      <c r="AC421" s="200"/>
      <c r="AD421" s="200"/>
      <c r="AE421" s="200"/>
      <c r="AF421" s="200"/>
      <c r="AG421" s="200"/>
      <c r="AH421" s="30"/>
      <c r="AI421" s="27"/>
      <c r="AJ421" s="28"/>
      <c r="AK421" s="200"/>
      <c r="AN421" s="22"/>
    </row>
    <row r="422" spans="6:40" s="686" customFormat="1" x14ac:dyDescent="0.4">
      <c r="F422" s="273"/>
      <c r="G422" s="273"/>
      <c r="H422" s="273"/>
      <c r="I422" s="273"/>
      <c r="J422" s="273"/>
      <c r="K422" s="273"/>
      <c r="L422" s="273"/>
      <c r="M422" s="278"/>
      <c r="N422" s="278"/>
      <c r="O422" s="278"/>
      <c r="P422" s="278"/>
      <c r="Q422" s="278"/>
      <c r="R422" s="278"/>
      <c r="S422" s="278"/>
      <c r="T422" s="28"/>
      <c r="U422" s="28"/>
      <c r="V422" s="28"/>
      <c r="W422" s="28"/>
      <c r="X422" s="28"/>
      <c r="Y422" s="28"/>
      <c r="Z422" s="28"/>
      <c r="AA422" s="200"/>
      <c r="AB422" s="200"/>
      <c r="AC422" s="200"/>
      <c r="AD422" s="200"/>
      <c r="AE422" s="200"/>
      <c r="AF422" s="200"/>
      <c r="AG422" s="200"/>
      <c r="AH422" s="30"/>
      <c r="AI422" s="27"/>
      <c r="AJ422" s="28"/>
      <c r="AK422" s="200"/>
      <c r="AN422" s="22"/>
    </row>
    <row r="423" spans="6:40" s="686" customFormat="1" x14ac:dyDescent="0.4">
      <c r="F423" s="273"/>
      <c r="G423" s="273"/>
      <c r="H423" s="273"/>
      <c r="I423" s="273"/>
      <c r="J423" s="273"/>
      <c r="K423" s="273"/>
      <c r="L423" s="273"/>
      <c r="M423" s="278"/>
      <c r="N423" s="278"/>
      <c r="O423" s="278"/>
      <c r="P423" s="278"/>
      <c r="Q423" s="278"/>
      <c r="R423" s="278"/>
      <c r="S423" s="278"/>
      <c r="T423" s="28"/>
      <c r="U423" s="28"/>
      <c r="V423" s="28"/>
      <c r="W423" s="28"/>
      <c r="X423" s="28"/>
      <c r="Y423" s="28"/>
      <c r="Z423" s="28"/>
      <c r="AA423" s="200"/>
      <c r="AB423" s="200"/>
      <c r="AC423" s="200"/>
      <c r="AD423" s="200"/>
      <c r="AE423" s="200"/>
      <c r="AF423" s="200"/>
      <c r="AG423" s="200"/>
      <c r="AH423" s="30"/>
      <c r="AI423" s="27"/>
      <c r="AJ423" s="28"/>
      <c r="AK423" s="200"/>
      <c r="AN423" s="22"/>
    </row>
    <row r="428" spans="6:40" x14ac:dyDescent="0.4">
      <c r="H428" s="273" t="s">
        <v>290</v>
      </c>
    </row>
  </sheetData>
  <sheetProtection selectLockedCells="1"/>
  <sortState xmlns:xlrd2="http://schemas.microsoft.com/office/spreadsheetml/2017/richdata2" ref="A331:AN428">
    <sortCondition ref="B331:B428"/>
  </sortState>
  <phoneticPr fontId="32" type="noConversion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99B4A4-1F54-438C-8CB6-E75F848A1FA2}">
  <dimension ref="A1:Q69"/>
  <sheetViews>
    <sheetView workbookViewId="0">
      <pane xSplit="6" ySplit="2" topLeftCell="G3" activePane="bottomRight" state="frozen"/>
      <selection pane="topRight" activeCell="H1" sqref="H1"/>
      <selection pane="bottomLeft" activeCell="A2" sqref="A2"/>
      <selection pane="bottomRight" activeCell="D25" sqref="D25"/>
    </sheetView>
  </sheetViews>
  <sheetFormatPr defaultColWidth="9.15234375" defaultRowHeight="12.9" x14ac:dyDescent="0.35"/>
  <cols>
    <col min="1" max="1" width="11.84375" style="696" bestFit="1" customWidth="1"/>
    <col min="2" max="2" width="12.69140625" style="696" bestFit="1" customWidth="1"/>
    <col min="3" max="3" width="28" style="696" bestFit="1" customWidth="1"/>
    <col min="4" max="4" width="102" style="696" bestFit="1" customWidth="1"/>
    <col min="5" max="5" width="6.3046875" style="696" bestFit="1" customWidth="1"/>
    <col min="6" max="6" width="9" style="707" bestFit="1" customWidth="1"/>
    <col min="7" max="7" width="21.69140625" style="696" bestFit="1" customWidth="1"/>
    <col min="8" max="8" width="28.84375" style="696" bestFit="1" customWidth="1"/>
    <col min="9" max="9" width="16.69140625" style="696" customWidth="1"/>
    <col min="10" max="10" width="16.53515625" style="696" customWidth="1"/>
    <col min="11" max="11" width="14.53515625" style="696" bestFit="1" customWidth="1"/>
    <col min="12" max="12" width="14.53515625" style="696" customWidth="1"/>
    <col min="13" max="15" width="12" style="696" customWidth="1"/>
    <col min="16" max="16384" width="9.15234375" style="696"/>
  </cols>
  <sheetData>
    <row r="1" spans="1:17" x14ac:dyDescent="0.35">
      <c r="C1" s="696">
        <v>1</v>
      </c>
      <c r="D1" s="696">
        <v>2</v>
      </c>
      <c r="E1" s="696">
        <v>3</v>
      </c>
      <c r="F1" s="707">
        <v>4</v>
      </c>
      <c r="G1" s="696">
        <v>5</v>
      </c>
      <c r="H1" s="696">
        <v>6</v>
      </c>
      <c r="I1" s="696">
        <v>7</v>
      </c>
      <c r="J1" s="696">
        <v>8</v>
      </c>
      <c r="K1" s="696">
        <v>9</v>
      </c>
      <c r="L1" s="696">
        <v>10</v>
      </c>
      <c r="M1" s="696">
        <v>11</v>
      </c>
      <c r="N1" s="696">
        <v>12</v>
      </c>
      <c r="O1" s="696">
        <v>13</v>
      </c>
      <c r="P1" s="696">
        <v>14</v>
      </c>
      <c r="Q1" s="696">
        <v>15</v>
      </c>
    </row>
    <row r="2" spans="1:17" x14ac:dyDescent="0.35">
      <c r="A2" s="697" t="s">
        <v>416</v>
      </c>
      <c r="B2" s="697" t="s">
        <v>1027</v>
      </c>
      <c r="C2" s="697"/>
      <c r="D2" s="697"/>
      <c r="E2" s="697"/>
      <c r="F2" s="708"/>
      <c r="G2" s="697" t="s">
        <v>948</v>
      </c>
      <c r="H2" s="697" t="s">
        <v>955</v>
      </c>
      <c r="I2" s="697" t="s">
        <v>956</v>
      </c>
      <c r="J2" s="697" t="s">
        <v>949</v>
      </c>
      <c r="K2" s="697" t="s">
        <v>992</v>
      </c>
      <c r="L2" s="697" t="s">
        <v>993</v>
      </c>
      <c r="M2" s="697" t="s">
        <v>953</v>
      </c>
      <c r="N2" s="697" t="s">
        <v>954</v>
      </c>
      <c r="O2" s="697" t="s">
        <v>957</v>
      </c>
      <c r="P2" s="697" t="s">
        <v>996</v>
      </c>
      <c r="Q2" s="697" t="s">
        <v>996</v>
      </c>
    </row>
    <row r="3" spans="1:17" x14ac:dyDescent="0.35">
      <c r="A3" s="699" t="s">
        <v>950</v>
      </c>
      <c r="B3" s="699"/>
      <c r="C3" s="703" t="s">
        <v>998</v>
      </c>
      <c r="D3" s="703" t="s">
        <v>999</v>
      </c>
      <c r="E3" s="698"/>
      <c r="F3" s="705">
        <v>12.58</v>
      </c>
      <c r="G3" s="699"/>
      <c r="H3" s="699"/>
      <c r="I3" s="699"/>
      <c r="J3" s="699"/>
      <c r="K3" s="703" t="s">
        <v>958</v>
      </c>
      <c r="L3" s="703" t="s">
        <v>237</v>
      </c>
      <c r="M3" s="699" t="s">
        <v>146</v>
      </c>
      <c r="N3" s="703" t="s">
        <v>111</v>
      </c>
      <c r="O3" s="699"/>
      <c r="P3" s="699"/>
      <c r="Q3" s="699"/>
    </row>
    <row r="4" spans="1:17" x14ac:dyDescent="0.35">
      <c r="A4" s="699" t="s">
        <v>951</v>
      </c>
      <c r="B4" s="699" t="s">
        <v>939</v>
      </c>
      <c r="C4" s="703" t="s">
        <v>1000</v>
      </c>
      <c r="D4" s="703" t="s">
        <v>1001</v>
      </c>
      <c r="E4" s="698"/>
      <c r="F4" s="705">
        <v>14.98</v>
      </c>
      <c r="G4" s="699"/>
      <c r="H4" s="699"/>
      <c r="I4" s="699"/>
      <c r="J4" s="699"/>
      <c r="K4" s="699"/>
      <c r="L4" s="699"/>
      <c r="M4" s="699"/>
      <c r="N4" s="699"/>
      <c r="O4" s="699"/>
      <c r="P4" s="699"/>
      <c r="Q4" s="699"/>
    </row>
    <row r="5" spans="1:17" x14ac:dyDescent="0.35">
      <c r="A5" s="699" t="s">
        <v>951</v>
      </c>
      <c r="B5" s="699" t="s">
        <v>938</v>
      </c>
      <c r="C5" s="703" t="s">
        <v>1044</v>
      </c>
      <c r="D5" s="703" t="s">
        <v>1002</v>
      </c>
      <c r="E5" s="698"/>
      <c r="F5" s="705">
        <v>15.9</v>
      </c>
      <c r="G5" s="699"/>
      <c r="H5" s="699"/>
      <c r="I5" s="699"/>
      <c r="J5" s="699"/>
      <c r="K5" s="699"/>
      <c r="L5" s="699"/>
      <c r="M5" s="699"/>
      <c r="N5" s="699"/>
      <c r="O5" s="699"/>
      <c r="P5" s="699"/>
      <c r="Q5" s="699"/>
    </row>
    <row r="6" spans="1:17" x14ac:dyDescent="0.35">
      <c r="A6" s="699" t="s">
        <v>951</v>
      </c>
      <c r="B6" s="699" t="s">
        <v>940</v>
      </c>
      <c r="C6" s="703" t="s">
        <v>1045</v>
      </c>
      <c r="D6" s="703" t="s">
        <v>1003</v>
      </c>
      <c r="E6" s="698"/>
      <c r="F6" s="705">
        <v>14.98</v>
      </c>
      <c r="G6" s="699"/>
      <c r="H6" s="699"/>
      <c r="I6" s="699"/>
      <c r="J6" s="699"/>
      <c r="K6" s="699"/>
      <c r="L6" s="699"/>
      <c r="M6" s="699"/>
      <c r="N6" s="699"/>
      <c r="O6" s="699"/>
      <c r="P6" s="699"/>
      <c r="Q6" s="699"/>
    </row>
    <row r="7" spans="1:17" x14ac:dyDescent="0.35">
      <c r="A7" s="699" t="s">
        <v>954</v>
      </c>
      <c r="B7" s="699"/>
      <c r="C7" s="703" t="s">
        <v>111</v>
      </c>
      <c r="D7" s="703" t="s">
        <v>112</v>
      </c>
      <c r="E7" s="704"/>
      <c r="F7" s="705">
        <v>0.11799999999999999</v>
      </c>
      <c r="G7" s="699"/>
      <c r="H7" s="699"/>
      <c r="I7" s="699"/>
      <c r="J7" s="699"/>
      <c r="K7" s="699"/>
      <c r="L7" s="699"/>
      <c r="M7" s="699"/>
      <c r="N7" s="699"/>
      <c r="O7" s="699"/>
      <c r="P7" s="700">
        <f>'Grab Rail'!$E$31</f>
        <v>0</v>
      </c>
      <c r="Q7" s="699"/>
    </row>
    <row r="8" spans="1:17" x14ac:dyDescent="0.35">
      <c r="A8" s="699" t="s">
        <v>417</v>
      </c>
      <c r="B8" s="699" t="s">
        <v>941</v>
      </c>
      <c r="C8" s="703" t="s">
        <v>237</v>
      </c>
      <c r="D8" s="703" t="s">
        <v>238</v>
      </c>
      <c r="E8" s="704"/>
      <c r="F8" s="705">
        <v>2.8</v>
      </c>
      <c r="G8" s="699"/>
      <c r="H8" s="699"/>
      <c r="I8" s="699"/>
      <c r="J8" s="699"/>
      <c r="K8" s="699"/>
      <c r="L8" s="699"/>
      <c r="M8" s="699"/>
      <c r="N8" s="699"/>
      <c r="O8" s="699"/>
      <c r="P8" s="699">
        <f>'Grab Rail'!$E$31*2</f>
        <v>0</v>
      </c>
      <c r="Q8" s="699"/>
    </row>
    <row r="9" spans="1:17" x14ac:dyDescent="0.35">
      <c r="A9" s="699" t="s">
        <v>417</v>
      </c>
      <c r="B9" s="699" t="s">
        <v>942</v>
      </c>
      <c r="C9" s="703" t="s">
        <v>239</v>
      </c>
      <c r="D9" s="703" t="s">
        <v>240</v>
      </c>
      <c r="E9" s="704"/>
      <c r="F9" s="705">
        <v>8.1199999999999994E-2</v>
      </c>
      <c r="G9" s="699"/>
      <c r="H9" s="699"/>
      <c r="I9" s="699"/>
      <c r="J9" s="699"/>
      <c r="K9" s="699"/>
      <c r="L9" s="699"/>
      <c r="M9" s="699"/>
      <c r="N9" s="699"/>
      <c r="O9" s="699"/>
      <c r="P9" s="699">
        <f>'Grab Rail'!$E$31*2</f>
        <v>0</v>
      </c>
      <c r="Q9" s="699"/>
    </row>
    <row r="10" spans="1:17" x14ac:dyDescent="0.35">
      <c r="A10" s="699" t="s">
        <v>417</v>
      </c>
      <c r="B10" s="699" t="s">
        <v>1028</v>
      </c>
      <c r="C10" s="703" t="s">
        <v>290</v>
      </c>
      <c r="D10" s="703" t="s">
        <v>393</v>
      </c>
      <c r="E10" s="704"/>
      <c r="F10" s="705">
        <v>9.5000000000000001E-2</v>
      </c>
      <c r="G10" s="699"/>
      <c r="H10" s="699"/>
      <c r="I10" s="699"/>
      <c r="J10" s="699"/>
      <c r="K10" s="699"/>
      <c r="L10" s="699"/>
      <c r="M10" s="699"/>
      <c r="N10" s="699"/>
      <c r="O10" s="699"/>
      <c r="P10" s="699">
        <f>'Grab Rail'!$E$31*2</f>
        <v>0</v>
      </c>
      <c r="Q10" s="699"/>
    </row>
    <row r="11" spans="1:17" x14ac:dyDescent="0.35">
      <c r="A11" s="699" t="s">
        <v>417</v>
      </c>
      <c r="B11" s="699" t="s">
        <v>944</v>
      </c>
      <c r="C11" s="703" t="s">
        <v>290</v>
      </c>
      <c r="D11" s="703" t="s">
        <v>393</v>
      </c>
      <c r="E11" s="704"/>
      <c r="F11" s="705">
        <v>9.5000000000000001E-2</v>
      </c>
      <c r="G11" s="699"/>
      <c r="H11" s="699"/>
      <c r="I11" s="699"/>
      <c r="J11" s="699"/>
      <c r="K11" s="699"/>
      <c r="L11" s="699"/>
      <c r="M11" s="699"/>
      <c r="N11" s="699"/>
      <c r="O11" s="699"/>
      <c r="P11" s="699">
        <f>'Grab Rail'!$E$31*2</f>
        <v>0</v>
      </c>
      <c r="Q11" s="699"/>
    </row>
    <row r="12" spans="1:17" x14ac:dyDescent="0.35">
      <c r="A12" s="699" t="s">
        <v>417</v>
      </c>
      <c r="B12" s="699" t="s">
        <v>945</v>
      </c>
      <c r="C12" s="703" t="s">
        <v>241</v>
      </c>
      <c r="D12" s="703" t="s">
        <v>242</v>
      </c>
      <c r="E12" s="704"/>
      <c r="F12" s="705">
        <v>8.1199999999999994E-2</v>
      </c>
      <c r="G12" s="699"/>
      <c r="H12" s="699"/>
      <c r="I12" s="699"/>
      <c r="J12" s="699"/>
      <c r="K12" s="699"/>
      <c r="L12" s="699"/>
      <c r="M12" s="699"/>
      <c r="N12" s="699"/>
      <c r="O12" s="699"/>
      <c r="P12" s="699">
        <f>'Grab Rail'!$E$31*2</f>
        <v>0</v>
      </c>
      <c r="Q12" s="699"/>
    </row>
    <row r="13" spans="1:17" x14ac:dyDescent="0.35">
      <c r="A13" s="699" t="s">
        <v>953</v>
      </c>
      <c r="B13" s="699" t="s">
        <v>941</v>
      </c>
      <c r="C13" s="699" t="s">
        <v>146</v>
      </c>
      <c r="D13" s="699" t="s">
        <v>147</v>
      </c>
      <c r="E13" s="698"/>
      <c r="F13" s="701">
        <v>7.1279999999999996E-2</v>
      </c>
      <c r="G13" s="699"/>
      <c r="H13" s="699"/>
      <c r="I13" s="699"/>
      <c r="J13" s="699"/>
      <c r="K13" s="699"/>
      <c r="L13" s="699"/>
      <c r="M13" s="699"/>
      <c r="N13" s="699"/>
      <c r="O13" s="699"/>
      <c r="P13" s="700">
        <f>'Grab Rail'!$E$31</f>
        <v>0</v>
      </c>
      <c r="Q13" s="699">
        <f>'Grab Rail'!$E$32*4</f>
        <v>0</v>
      </c>
    </row>
    <row r="14" spans="1:17" x14ac:dyDescent="0.35">
      <c r="A14" s="699" t="s">
        <v>953</v>
      </c>
      <c r="B14" s="699" t="s">
        <v>942</v>
      </c>
      <c r="C14" s="699" t="s">
        <v>148</v>
      </c>
      <c r="D14" s="699" t="s">
        <v>149</v>
      </c>
      <c r="E14" s="698"/>
      <c r="F14" s="701">
        <v>7.2800000000000004E-2</v>
      </c>
      <c r="G14" s="699"/>
      <c r="H14" s="699"/>
      <c r="I14" s="699"/>
      <c r="J14" s="699"/>
      <c r="K14" s="699"/>
      <c r="L14" s="699"/>
      <c r="M14" s="699"/>
      <c r="N14" s="699"/>
      <c r="O14" s="699"/>
      <c r="P14" s="700">
        <f>'Grab Rail'!$E$31</f>
        <v>0</v>
      </c>
      <c r="Q14" s="699">
        <f>'Grab Rail'!$E$32*4</f>
        <v>0</v>
      </c>
    </row>
    <row r="15" spans="1:17" x14ac:dyDescent="0.35">
      <c r="A15" s="699" t="s">
        <v>953</v>
      </c>
      <c r="B15" s="699" t="s">
        <v>1028</v>
      </c>
      <c r="C15" s="699" t="s">
        <v>150</v>
      </c>
      <c r="D15" s="699" t="s">
        <v>151</v>
      </c>
      <c r="E15" s="698"/>
      <c r="F15" s="701">
        <v>6.028E-2</v>
      </c>
      <c r="G15" s="699"/>
      <c r="H15" s="699"/>
      <c r="I15" s="699"/>
      <c r="J15" s="699"/>
      <c r="K15" s="699"/>
      <c r="L15" s="699"/>
      <c r="M15" s="699"/>
      <c r="N15" s="699"/>
      <c r="O15" s="699"/>
      <c r="P15" s="700">
        <f>'Grab Rail'!$E$31</f>
        <v>0</v>
      </c>
      <c r="Q15" s="699">
        <f>'Grab Rail'!$E$32*4</f>
        <v>0</v>
      </c>
    </row>
    <row r="16" spans="1:17" x14ac:dyDescent="0.35">
      <c r="A16" s="699" t="s">
        <v>953</v>
      </c>
      <c r="B16" s="699" t="s">
        <v>944</v>
      </c>
      <c r="C16" s="699" t="s">
        <v>150</v>
      </c>
      <c r="D16" s="699" t="s">
        <v>151</v>
      </c>
      <c r="E16" s="698"/>
      <c r="F16" s="701">
        <v>6.028E-2</v>
      </c>
      <c r="G16" s="699"/>
      <c r="H16" s="699"/>
      <c r="I16" s="699"/>
      <c r="J16" s="699"/>
      <c r="K16" s="699"/>
      <c r="L16" s="699"/>
      <c r="M16" s="699"/>
      <c r="N16" s="699"/>
      <c r="O16" s="699"/>
      <c r="P16" s="700">
        <f>'Grab Rail'!$E$31</f>
        <v>0</v>
      </c>
      <c r="Q16" s="699">
        <f>'Grab Rail'!$E$32*4</f>
        <v>0</v>
      </c>
    </row>
    <row r="17" spans="1:17" x14ac:dyDescent="0.35">
      <c r="A17" s="699" t="s">
        <v>953</v>
      </c>
      <c r="B17" s="699" t="s">
        <v>945</v>
      </c>
      <c r="C17" s="699" t="s">
        <v>152</v>
      </c>
      <c r="D17" s="699" t="s">
        <v>153</v>
      </c>
      <c r="E17" s="698"/>
      <c r="F17" s="701">
        <v>7.5399999999999995E-2</v>
      </c>
      <c r="G17" s="699"/>
      <c r="H17" s="699"/>
      <c r="I17" s="699"/>
      <c r="J17" s="699"/>
      <c r="K17" s="699"/>
      <c r="L17" s="699"/>
      <c r="M17" s="699"/>
      <c r="N17" s="699"/>
      <c r="O17" s="699"/>
      <c r="P17" s="700">
        <f>'Grab Rail'!$E$31</f>
        <v>0</v>
      </c>
      <c r="Q17" s="699">
        <f>'Grab Rail'!$E$32*4</f>
        <v>0</v>
      </c>
    </row>
    <row r="18" spans="1:17" x14ac:dyDescent="0.35">
      <c r="A18" s="699" t="s">
        <v>955</v>
      </c>
      <c r="B18" s="699"/>
      <c r="C18" s="699" t="s">
        <v>418</v>
      </c>
      <c r="D18" s="699" t="s">
        <v>418</v>
      </c>
      <c r="E18" s="698"/>
      <c r="F18" s="701">
        <v>0</v>
      </c>
      <c r="G18" s="699"/>
      <c r="H18" s="699"/>
      <c r="I18" s="699"/>
      <c r="J18" s="699"/>
      <c r="K18" s="699"/>
      <c r="L18" s="699"/>
      <c r="M18" s="699"/>
      <c r="N18" s="699"/>
      <c r="O18" s="699"/>
      <c r="P18" s="699"/>
      <c r="Q18" s="699"/>
    </row>
    <row r="19" spans="1:17" x14ac:dyDescent="0.35">
      <c r="A19" s="699" t="s">
        <v>955</v>
      </c>
      <c r="B19" s="699" t="s">
        <v>939</v>
      </c>
      <c r="C19" s="703" t="s">
        <v>1004</v>
      </c>
      <c r="D19" s="699" t="s">
        <v>1005</v>
      </c>
      <c r="E19" s="698">
        <v>3</v>
      </c>
      <c r="F19" s="701">
        <v>58.56</v>
      </c>
      <c r="G19" s="699"/>
      <c r="H19" s="699"/>
      <c r="I19" s="699"/>
      <c r="J19" s="699"/>
      <c r="K19" s="699"/>
      <c r="L19" s="699"/>
      <c r="M19" s="699"/>
      <c r="N19" s="699"/>
      <c r="O19" s="699"/>
      <c r="P19" s="699"/>
      <c r="Q19" s="699"/>
    </row>
    <row r="20" spans="1:17" x14ac:dyDescent="0.35">
      <c r="A20" s="699" t="s">
        <v>955</v>
      </c>
      <c r="B20" s="699" t="s">
        <v>938</v>
      </c>
      <c r="C20" s="703" t="s">
        <v>1024</v>
      </c>
      <c r="D20" s="699" t="s">
        <v>1006</v>
      </c>
      <c r="E20" s="698">
        <v>3</v>
      </c>
      <c r="F20" s="701">
        <v>59.94</v>
      </c>
      <c r="G20" s="699"/>
      <c r="H20" s="699"/>
      <c r="I20" s="699"/>
      <c r="J20" s="699"/>
      <c r="K20" s="699"/>
      <c r="L20" s="699"/>
      <c r="M20" s="699"/>
      <c r="N20" s="699"/>
      <c r="O20" s="699"/>
      <c r="P20" s="699"/>
      <c r="Q20" s="699"/>
    </row>
    <row r="21" spans="1:17" x14ac:dyDescent="0.35">
      <c r="A21" s="699" t="s">
        <v>955</v>
      </c>
      <c r="B21" s="699" t="s">
        <v>940</v>
      </c>
      <c r="C21" s="703" t="s">
        <v>1025</v>
      </c>
      <c r="D21" s="699" t="s">
        <v>1007</v>
      </c>
      <c r="E21" s="698">
        <v>3</v>
      </c>
      <c r="F21" s="701">
        <f>F12*3</f>
        <v>0.24359999999999998</v>
      </c>
      <c r="G21" s="699"/>
      <c r="H21" s="699"/>
      <c r="I21" s="699"/>
      <c r="J21" s="699"/>
      <c r="K21" s="699"/>
      <c r="L21" s="699"/>
      <c r="M21" s="699"/>
      <c r="N21" s="699"/>
      <c r="O21" s="699"/>
      <c r="P21" s="699"/>
      <c r="Q21" s="699"/>
    </row>
    <row r="22" spans="1:17" x14ac:dyDescent="0.35">
      <c r="A22" s="699" t="s">
        <v>947</v>
      </c>
      <c r="B22" s="699"/>
      <c r="C22" s="703" t="s">
        <v>418</v>
      </c>
      <c r="D22" s="699" t="s">
        <v>418</v>
      </c>
      <c r="E22" s="698"/>
      <c r="F22" s="701">
        <v>0</v>
      </c>
      <c r="G22" s="699"/>
      <c r="H22" s="699"/>
      <c r="I22" s="699"/>
      <c r="J22" s="699"/>
      <c r="K22" s="699"/>
      <c r="L22" s="699"/>
      <c r="M22" s="699"/>
      <c r="N22" s="699"/>
      <c r="O22" s="699"/>
      <c r="P22" s="699"/>
      <c r="Q22" s="699"/>
    </row>
    <row r="23" spans="1:17" x14ac:dyDescent="0.35">
      <c r="A23" s="699" t="s">
        <v>947</v>
      </c>
      <c r="B23" s="699" t="s">
        <v>939</v>
      </c>
      <c r="C23" s="703" t="s">
        <v>1061</v>
      </c>
      <c r="D23" s="703" t="s">
        <v>1062</v>
      </c>
      <c r="E23" s="698">
        <v>20</v>
      </c>
      <c r="F23" s="705">
        <v>60.510150000000003</v>
      </c>
      <c r="G23" s="703" t="s">
        <v>1012</v>
      </c>
      <c r="H23" s="703" t="s">
        <v>1004</v>
      </c>
      <c r="I23" s="703" t="s">
        <v>998</v>
      </c>
      <c r="J23" s="703" t="s">
        <v>929</v>
      </c>
      <c r="K23" s="703"/>
      <c r="L23" s="703"/>
      <c r="M23" s="699"/>
      <c r="N23" s="703" t="s">
        <v>111</v>
      </c>
      <c r="O23" s="699"/>
      <c r="P23" s="699"/>
      <c r="Q23" s="699"/>
    </row>
    <row r="24" spans="1:17" x14ac:dyDescent="0.35">
      <c r="A24" s="699" t="s">
        <v>947</v>
      </c>
      <c r="B24" s="699" t="s">
        <v>938</v>
      </c>
      <c r="C24" s="703" t="s">
        <v>1008</v>
      </c>
      <c r="D24" s="703" t="s">
        <v>1010</v>
      </c>
      <c r="E24" s="698">
        <v>20</v>
      </c>
      <c r="F24" s="705">
        <v>56.62</v>
      </c>
      <c r="G24" s="703" t="s">
        <v>1014</v>
      </c>
      <c r="H24" s="703" t="s">
        <v>1024</v>
      </c>
      <c r="I24" s="703" t="s">
        <v>998</v>
      </c>
      <c r="J24" s="703" t="s">
        <v>931</v>
      </c>
      <c r="K24" s="703"/>
      <c r="L24" s="703"/>
      <c r="M24" s="699"/>
      <c r="N24" s="703" t="s">
        <v>111</v>
      </c>
      <c r="O24" s="699"/>
      <c r="P24" s="699"/>
      <c r="Q24" s="699"/>
    </row>
    <row r="25" spans="1:17" x14ac:dyDescent="0.35">
      <c r="A25" s="699" t="s">
        <v>947</v>
      </c>
      <c r="B25" s="699" t="s">
        <v>940</v>
      </c>
      <c r="C25" s="703" t="s">
        <v>1009</v>
      </c>
      <c r="D25" s="703" t="s">
        <v>1011</v>
      </c>
      <c r="E25" s="698">
        <v>20</v>
      </c>
      <c r="F25" s="705">
        <v>47.42</v>
      </c>
      <c r="G25" s="703" t="s">
        <v>1016</v>
      </c>
      <c r="H25" s="703" t="s">
        <v>1025</v>
      </c>
      <c r="I25" s="703" t="s">
        <v>998</v>
      </c>
      <c r="J25" s="703" t="s">
        <v>933</v>
      </c>
      <c r="K25" s="703"/>
      <c r="L25" s="703"/>
      <c r="M25" s="699"/>
      <c r="N25" s="703" t="s">
        <v>111</v>
      </c>
      <c r="O25" s="699"/>
      <c r="P25" s="699"/>
      <c r="Q25" s="699"/>
    </row>
    <row r="26" spans="1:17" x14ac:dyDescent="0.35">
      <c r="A26" s="699" t="s">
        <v>948</v>
      </c>
      <c r="B26" s="699"/>
      <c r="C26" s="703" t="s">
        <v>418</v>
      </c>
      <c r="D26" s="703" t="s">
        <v>418</v>
      </c>
      <c r="E26" s="698"/>
      <c r="F26" s="705">
        <v>0</v>
      </c>
      <c r="G26" s="703"/>
      <c r="H26" s="703"/>
      <c r="I26" s="703"/>
      <c r="J26" s="703"/>
      <c r="K26" s="703"/>
      <c r="L26" s="703"/>
      <c r="M26" s="699"/>
      <c r="N26" s="703"/>
      <c r="O26" s="699"/>
      <c r="P26" s="699"/>
      <c r="Q26" s="699"/>
    </row>
    <row r="27" spans="1:17" x14ac:dyDescent="0.35">
      <c r="A27" s="699" t="s">
        <v>948</v>
      </c>
      <c r="B27" s="699" t="s">
        <v>939</v>
      </c>
      <c r="C27" s="703" t="s">
        <v>1012</v>
      </c>
      <c r="D27" s="703" t="s">
        <v>1018</v>
      </c>
      <c r="E27" s="698">
        <v>1</v>
      </c>
      <c r="F27" s="705">
        <v>13.04</v>
      </c>
      <c r="G27" s="699"/>
      <c r="H27" s="699"/>
      <c r="I27" s="699"/>
      <c r="J27" s="699"/>
      <c r="K27" s="699"/>
      <c r="L27" s="699"/>
      <c r="M27" s="699"/>
      <c r="N27" s="699"/>
      <c r="O27" s="699"/>
      <c r="P27" s="699"/>
      <c r="Q27" s="699"/>
    </row>
    <row r="28" spans="1:17" x14ac:dyDescent="0.35">
      <c r="A28" s="699" t="s">
        <v>948</v>
      </c>
      <c r="B28" s="699" t="s">
        <v>939</v>
      </c>
      <c r="C28" s="703" t="s">
        <v>1013</v>
      </c>
      <c r="D28" s="703" t="s">
        <v>1019</v>
      </c>
      <c r="E28" s="698">
        <v>0.5</v>
      </c>
      <c r="F28" s="705">
        <v>11.85</v>
      </c>
      <c r="G28" s="699"/>
      <c r="H28" s="699"/>
      <c r="I28" s="699"/>
      <c r="J28" s="699"/>
      <c r="K28" s="699"/>
      <c r="L28" s="699"/>
      <c r="M28" s="699"/>
      <c r="N28" s="699"/>
      <c r="O28" s="699"/>
      <c r="P28" s="699"/>
      <c r="Q28" s="699"/>
    </row>
    <row r="29" spans="1:17" x14ac:dyDescent="0.35">
      <c r="A29" s="699" t="s">
        <v>948</v>
      </c>
      <c r="B29" s="699" t="s">
        <v>938</v>
      </c>
      <c r="C29" s="703" t="s">
        <v>1014</v>
      </c>
      <c r="D29" s="703" t="s">
        <v>1020</v>
      </c>
      <c r="E29" s="698">
        <v>1</v>
      </c>
      <c r="F29" s="705">
        <v>13.5</v>
      </c>
      <c r="G29" s="699"/>
      <c r="H29" s="699"/>
      <c r="I29" s="699"/>
      <c r="J29" s="699"/>
      <c r="K29" s="699"/>
      <c r="L29" s="699"/>
      <c r="M29" s="699"/>
      <c r="N29" s="699"/>
      <c r="O29" s="699"/>
      <c r="P29" s="699"/>
      <c r="Q29" s="699"/>
    </row>
    <row r="30" spans="1:17" x14ac:dyDescent="0.35">
      <c r="A30" s="699" t="s">
        <v>948</v>
      </c>
      <c r="B30" s="699" t="s">
        <v>938</v>
      </c>
      <c r="C30" s="703" t="s">
        <v>1015</v>
      </c>
      <c r="D30" s="703" t="s">
        <v>1021</v>
      </c>
      <c r="E30" s="698">
        <v>0.5</v>
      </c>
      <c r="F30" s="705">
        <v>12.08</v>
      </c>
      <c r="G30" s="699"/>
      <c r="H30" s="699"/>
      <c r="I30" s="699"/>
      <c r="J30" s="699"/>
      <c r="K30" s="699"/>
      <c r="L30" s="699"/>
      <c r="M30" s="699"/>
      <c r="N30" s="699"/>
      <c r="O30" s="699"/>
      <c r="P30" s="699"/>
      <c r="Q30" s="699"/>
    </row>
    <row r="31" spans="1:17" x14ac:dyDescent="0.35">
      <c r="A31" s="699" t="s">
        <v>948</v>
      </c>
      <c r="B31" s="699" t="s">
        <v>940</v>
      </c>
      <c r="C31" s="703" t="s">
        <v>1016</v>
      </c>
      <c r="D31" s="703" t="s">
        <v>1022</v>
      </c>
      <c r="E31" s="698">
        <v>1</v>
      </c>
      <c r="F31" s="705">
        <v>13.04</v>
      </c>
      <c r="G31" s="699"/>
      <c r="H31" s="699"/>
      <c r="I31" s="699"/>
      <c r="J31" s="699"/>
      <c r="K31" s="699"/>
      <c r="L31" s="699"/>
      <c r="M31" s="699"/>
      <c r="N31" s="699"/>
      <c r="O31" s="699"/>
      <c r="P31" s="699"/>
      <c r="Q31" s="699"/>
    </row>
    <row r="32" spans="1:17" x14ac:dyDescent="0.35">
      <c r="A32" s="699" t="s">
        <v>948</v>
      </c>
      <c r="B32" s="699" t="s">
        <v>940</v>
      </c>
      <c r="C32" s="703" t="s">
        <v>1017</v>
      </c>
      <c r="D32" s="703" t="s">
        <v>1023</v>
      </c>
      <c r="E32" s="698">
        <v>0.5</v>
      </c>
      <c r="F32" s="705">
        <v>11.85</v>
      </c>
      <c r="G32" s="699"/>
      <c r="H32" s="699"/>
      <c r="I32" s="699"/>
      <c r="J32" s="699"/>
      <c r="K32" s="699"/>
      <c r="L32" s="699"/>
      <c r="M32" s="699"/>
      <c r="N32" s="699"/>
      <c r="O32" s="699"/>
      <c r="P32" s="699"/>
      <c r="Q32" s="699"/>
    </row>
    <row r="33" spans="1:17" x14ac:dyDescent="0.35">
      <c r="A33" s="699" t="s">
        <v>949</v>
      </c>
      <c r="B33" s="699" t="s">
        <v>939</v>
      </c>
      <c r="C33" s="703" t="s">
        <v>929</v>
      </c>
      <c r="D33" s="703" t="s">
        <v>930</v>
      </c>
      <c r="E33" s="698"/>
      <c r="F33" s="705">
        <v>5.66</v>
      </c>
      <c r="G33" s="699"/>
      <c r="H33" s="699"/>
      <c r="I33" s="699"/>
      <c r="J33" s="699"/>
      <c r="K33" s="699"/>
      <c r="L33" s="699"/>
      <c r="M33" s="699"/>
      <c r="N33" s="699"/>
      <c r="O33" s="699"/>
      <c r="P33" s="699"/>
      <c r="Q33" s="699"/>
    </row>
    <row r="34" spans="1:17" x14ac:dyDescent="0.35">
      <c r="A34" s="699" t="s">
        <v>949</v>
      </c>
      <c r="B34" s="699" t="s">
        <v>938</v>
      </c>
      <c r="C34" s="703" t="s">
        <v>931</v>
      </c>
      <c r="D34" s="703" t="s">
        <v>932</v>
      </c>
      <c r="E34" s="698"/>
      <c r="F34" s="705">
        <v>2.06</v>
      </c>
      <c r="G34" s="699"/>
      <c r="H34" s="699"/>
      <c r="I34" s="699"/>
      <c r="J34" s="699"/>
      <c r="K34" s="699"/>
      <c r="L34" s="699"/>
      <c r="M34" s="699"/>
      <c r="N34" s="699"/>
      <c r="O34" s="699"/>
      <c r="P34" s="699"/>
      <c r="Q34" s="699"/>
    </row>
    <row r="35" spans="1:17" x14ac:dyDescent="0.35">
      <c r="A35" s="699" t="s">
        <v>949</v>
      </c>
      <c r="B35" s="699" t="s">
        <v>940</v>
      </c>
      <c r="C35" s="703" t="s">
        <v>933</v>
      </c>
      <c r="D35" s="703" t="s">
        <v>934</v>
      </c>
      <c r="E35" s="698"/>
      <c r="F35" s="705">
        <v>5.66</v>
      </c>
      <c r="G35" s="699"/>
      <c r="H35" s="699"/>
      <c r="I35" s="699"/>
      <c r="J35" s="699"/>
      <c r="K35" s="699"/>
      <c r="L35" s="699"/>
      <c r="M35" s="699"/>
      <c r="N35" s="699"/>
      <c r="O35" s="699"/>
      <c r="P35" s="699"/>
      <c r="Q35" s="699"/>
    </row>
    <row r="36" spans="1:17" x14ac:dyDescent="0.35">
      <c r="A36" s="699" t="s">
        <v>417</v>
      </c>
      <c r="B36" s="699" t="s">
        <v>1063</v>
      </c>
      <c r="C36" s="703" t="s">
        <v>958</v>
      </c>
      <c r="D36" s="703" t="s">
        <v>959</v>
      </c>
      <c r="E36" s="698"/>
      <c r="F36" s="705">
        <v>2.12</v>
      </c>
      <c r="G36" s="699"/>
      <c r="H36" s="699"/>
      <c r="I36" s="699"/>
      <c r="J36" s="699"/>
      <c r="K36" s="699"/>
      <c r="L36" s="699"/>
      <c r="M36" s="699"/>
      <c r="N36" s="699"/>
      <c r="O36" s="699"/>
      <c r="P36" s="700">
        <f>'Grab Rail'!$E$31</f>
        <v>0</v>
      </c>
      <c r="Q36" s="699">
        <f>'Grab Rail'!E32*4</f>
        <v>0</v>
      </c>
    </row>
    <row r="37" spans="1:17" x14ac:dyDescent="0.35">
      <c r="A37" s="699" t="s">
        <v>417</v>
      </c>
      <c r="B37" s="699" t="s">
        <v>1064</v>
      </c>
      <c r="C37" s="703" t="s">
        <v>370</v>
      </c>
      <c r="D37" s="699" t="s">
        <v>961</v>
      </c>
      <c r="E37" s="699"/>
      <c r="F37" s="705">
        <v>0.75</v>
      </c>
      <c r="G37" s="699"/>
      <c r="H37" s="699"/>
      <c r="I37" s="699"/>
      <c r="J37" s="699"/>
      <c r="K37" s="699"/>
      <c r="L37" s="699"/>
      <c r="M37" s="699"/>
      <c r="N37" s="699"/>
      <c r="O37" s="699"/>
      <c r="P37" s="700">
        <f>'Grab Rail'!$E$31</f>
        <v>0</v>
      </c>
      <c r="Q37" s="699"/>
    </row>
    <row r="38" spans="1:17" x14ac:dyDescent="0.35">
      <c r="A38" s="699" t="s">
        <v>986</v>
      </c>
      <c r="B38" s="699"/>
      <c r="C38" s="703" t="s">
        <v>418</v>
      </c>
      <c r="D38" s="699" t="s">
        <v>418</v>
      </c>
      <c r="E38" s="699"/>
      <c r="F38" s="705">
        <v>0</v>
      </c>
      <c r="G38" s="699"/>
      <c r="H38" s="699"/>
      <c r="I38" s="699"/>
      <c r="J38" s="699"/>
      <c r="K38" s="699"/>
      <c r="L38" s="699"/>
      <c r="M38" s="699"/>
      <c r="N38" s="699"/>
      <c r="O38" s="699"/>
      <c r="P38" s="699"/>
      <c r="Q38" s="699"/>
    </row>
    <row r="39" spans="1:17" x14ac:dyDescent="0.35">
      <c r="A39" s="702" t="s">
        <v>986</v>
      </c>
      <c r="B39" s="702"/>
      <c r="C39" s="706" t="s">
        <v>1059</v>
      </c>
      <c r="D39" s="706" t="s">
        <v>1098</v>
      </c>
      <c r="E39" s="702"/>
      <c r="F39" s="709">
        <f>28.875/(36)</f>
        <v>0.80208333333333337</v>
      </c>
      <c r="G39" s="702"/>
      <c r="H39" s="702"/>
      <c r="I39" s="702"/>
      <c r="J39" s="702"/>
      <c r="K39" s="706" t="s">
        <v>958</v>
      </c>
      <c r="L39" s="699"/>
      <c r="M39" s="699"/>
      <c r="N39" s="699"/>
      <c r="O39" s="699"/>
      <c r="P39" s="699"/>
      <c r="Q39" s="699"/>
    </row>
    <row r="40" spans="1:17" x14ac:dyDescent="0.35">
      <c r="A40" s="702" t="s">
        <v>986</v>
      </c>
      <c r="B40" s="702"/>
      <c r="C40" s="706" t="s">
        <v>442</v>
      </c>
      <c r="D40" s="706" t="s">
        <v>995</v>
      </c>
      <c r="E40" s="702">
        <v>6</v>
      </c>
      <c r="F40" s="709">
        <f>15*E40</f>
        <v>90</v>
      </c>
      <c r="G40" s="702"/>
      <c r="H40" s="702"/>
      <c r="I40" s="702"/>
      <c r="J40" s="702"/>
      <c r="K40" s="706" t="s">
        <v>994</v>
      </c>
      <c r="L40" s="699"/>
      <c r="M40" s="699"/>
      <c r="N40" s="699"/>
      <c r="O40" s="699"/>
      <c r="P40" s="699"/>
      <c r="Q40" s="699"/>
    </row>
    <row r="41" spans="1:17" x14ac:dyDescent="0.35">
      <c r="A41" s="702" t="s">
        <v>442</v>
      </c>
      <c r="B41" s="702"/>
      <c r="C41" s="706" t="s">
        <v>994</v>
      </c>
      <c r="D41" s="706" t="s">
        <v>1058</v>
      </c>
      <c r="E41" s="702">
        <v>0.25</v>
      </c>
      <c r="F41" s="709">
        <v>70.900000000000006</v>
      </c>
      <c r="G41" s="702"/>
      <c r="H41" s="702"/>
      <c r="I41" s="702"/>
      <c r="J41" s="702"/>
      <c r="K41" s="702"/>
      <c r="L41" s="699"/>
      <c r="M41" s="699"/>
      <c r="N41" s="699"/>
      <c r="O41" s="699"/>
      <c r="P41" s="699"/>
      <c r="Q41" s="699">
        <f>'Grab Rail'!E32/4</f>
        <v>0</v>
      </c>
    </row>
    <row r="42" spans="1:17" x14ac:dyDescent="0.35">
      <c r="A42" s="702" t="s">
        <v>1042</v>
      </c>
      <c r="B42" s="702" t="s">
        <v>941</v>
      </c>
      <c r="C42" s="706" t="s">
        <v>1030</v>
      </c>
      <c r="D42" s="706" t="s">
        <v>1035</v>
      </c>
      <c r="E42" s="702"/>
      <c r="F42" s="709">
        <v>5</v>
      </c>
      <c r="G42" s="702"/>
      <c r="H42" s="702"/>
      <c r="I42" s="702"/>
      <c r="J42" s="702"/>
      <c r="K42" s="702"/>
      <c r="L42" s="699"/>
      <c r="M42" s="699"/>
      <c r="N42" s="699"/>
      <c r="O42" s="699"/>
      <c r="P42" s="699"/>
      <c r="Q42" s="699"/>
    </row>
    <row r="43" spans="1:17" x14ac:dyDescent="0.35">
      <c r="A43" s="702" t="s">
        <v>1042</v>
      </c>
      <c r="B43" s="702" t="s">
        <v>942</v>
      </c>
      <c r="C43" s="706" t="s">
        <v>1031</v>
      </c>
      <c r="D43" s="706" t="s">
        <v>1036</v>
      </c>
      <c r="E43" s="702"/>
      <c r="F43" s="709">
        <v>5</v>
      </c>
      <c r="G43" s="702"/>
      <c r="H43" s="702"/>
      <c r="I43" s="702"/>
      <c r="J43" s="702"/>
      <c r="K43" s="702"/>
      <c r="L43" s="699"/>
      <c r="M43" s="699"/>
      <c r="N43" s="699"/>
      <c r="O43" s="699"/>
      <c r="P43" s="699"/>
      <c r="Q43" s="699"/>
    </row>
    <row r="44" spans="1:17" x14ac:dyDescent="0.35">
      <c r="A44" s="702" t="s">
        <v>1042</v>
      </c>
      <c r="B44" s="702" t="s">
        <v>1028</v>
      </c>
      <c r="C44" s="706" t="s">
        <v>1032</v>
      </c>
      <c r="D44" s="706" t="s">
        <v>1037</v>
      </c>
      <c r="E44" s="702"/>
      <c r="F44" s="709">
        <v>5</v>
      </c>
      <c r="G44" s="702"/>
      <c r="H44" s="702"/>
      <c r="I44" s="702"/>
      <c r="J44" s="702"/>
      <c r="K44" s="702"/>
      <c r="L44" s="699"/>
      <c r="M44" s="699"/>
      <c r="N44" s="699"/>
      <c r="O44" s="699"/>
      <c r="P44" s="699"/>
      <c r="Q44" s="699"/>
    </row>
    <row r="45" spans="1:17" x14ac:dyDescent="0.35">
      <c r="A45" s="702" t="s">
        <v>1042</v>
      </c>
      <c r="B45" s="702" t="s">
        <v>944</v>
      </c>
      <c r="C45" s="706" t="s">
        <v>418</v>
      </c>
      <c r="D45" s="702" t="s">
        <v>418</v>
      </c>
      <c r="E45" s="702"/>
      <c r="F45" s="709">
        <v>0</v>
      </c>
      <c r="G45" s="702"/>
      <c r="H45" s="702"/>
      <c r="I45" s="702"/>
      <c r="J45" s="702"/>
      <c r="K45" s="702"/>
      <c r="L45" s="699"/>
      <c r="M45" s="699"/>
      <c r="N45" s="699"/>
      <c r="O45" s="699"/>
      <c r="P45" s="699"/>
      <c r="Q45" s="699"/>
    </row>
    <row r="46" spans="1:17" x14ac:dyDescent="0.35">
      <c r="A46" s="702" t="s">
        <v>1042</v>
      </c>
      <c r="B46" s="702" t="s">
        <v>945</v>
      </c>
      <c r="C46" s="706" t="s">
        <v>1033</v>
      </c>
      <c r="D46" s="706" t="s">
        <v>1038</v>
      </c>
      <c r="E46" s="702"/>
      <c r="F46" s="709">
        <v>5</v>
      </c>
      <c r="G46" s="702"/>
      <c r="H46" s="702"/>
      <c r="I46" s="702"/>
      <c r="J46" s="702"/>
      <c r="K46" s="702"/>
      <c r="L46" s="699"/>
      <c r="M46" s="699"/>
      <c r="N46" s="699"/>
      <c r="O46" s="699"/>
      <c r="P46" s="699"/>
      <c r="Q46" s="699"/>
    </row>
    <row r="47" spans="1:17" x14ac:dyDescent="0.35">
      <c r="A47" s="702" t="s">
        <v>1042</v>
      </c>
      <c r="B47" s="702" t="s">
        <v>946</v>
      </c>
      <c r="C47" s="706" t="s">
        <v>1034</v>
      </c>
      <c r="D47" s="706" t="s">
        <v>1039</v>
      </c>
      <c r="E47" s="702"/>
      <c r="F47" s="709">
        <v>5</v>
      </c>
      <c r="G47" s="702"/>
      <c r="H47" s="702"/>
      <c r="I47" s="702"/>
      <c r="J47" s="702"/>
      <c r="K47" s="702"/>
      <c r="L47" s="699"/>
      <c r="M47" s="699"/>
      <c r="N47" s="699"/>
      <c r="O47" s="699"/>
      <c r="P47" s="699"/>
      <c r="Q47" s="699"/>
    </row>
    <row r="52" spans="1:1" x14ac:dyDescent="0.35">
      <c r="A52" s="697" t="s">
        <v>419</v>
      </c>
    </row>
    <row r="53" spans="1:1" x14ac:dyDescent="0.35">
      <c r="A53" s="697" t="s">
        <v>420</v>
      </c>
    </row>
    <row r="54" spans="1:1" x14ac:dyDescent="0.35">
      <c r="A54" s="697" t="s">
        <v>936</v>
      </c>
    </row>
    <row r="55" spans="1:1" x14ac:dyDescent="0.35">
      <c r="A55" s="697" t="s">
        <v>937</v>
      </c>
    </row>
    <row r="56" spans="1:1" x14ac:dyDescent="0.35">
      <c r="A56" s="697" t="s">
        <v>418</v>
      </c>
    </row>
    <row r="57" spans="1:1" x14ac:dyDescent="0.35">
      <c r="A57" s="697" t="s">
        <v>986</v>
      </c>
    </row>
    <row r="58" spans="1:1" x14ac:dyDescent="0.35">
      <c r="A58" s="697" t="s">
        <v>442</v>
      </c>
    </row>
    <row r="59" spans="1:1" x14ac:dyDescent="0.35">
      <c r="A59" s="697" t="s">
        <v>938</v>
      </c>
    </row>
    <row r="60" spans="1:1" x14ac:dyDescent="0.35">
      <c r="A60" s="697" t="s">
        <v>939</v>
      </c>
    </row>
    <row r="61" spans="1:1" x14ac:dyDescent="0.35">
      <c r="A61" s="697" t="s">
        <v>940</v>
      </c>
    </row>
    <row r="62" spans="1:1" x14ac:dyDescent="0.35">
      <c r="A62" s="697" t="s">
        <v>941</v>
      </c>
    </row>
    <row r="63" spans="1:1" x14ac:dyDescent="0.35">
      <c r="A63" s="697" t="s">
        <v>942</v>
      </c>
    </row>
    <row r="64" spans="1:1" x14ac:dyDescent="0.35">
      <c r="A64" s="697" t="s">
        <v>943</v>
      </c>
    </row>
    <row r="65" spans="1:1" x14ac:dyDescent="0.35">
      <c r="A65" s="697" t="s">
        <v>944</v>
      </c>
    </row>
    <row r="66" spans="1:1" x14ac:dyDescent="0.35">
      <c r="A66" s="697" t="s">
        <v>945</v>
      </c>
    </row>
    <row r="67" spans="1:1" x14ac:dyDescent="0.35">
      <c r="A67" s="697" t="s">
        <v>946</v>
      </c>
    </row>
    <row r="68" spans="1:1" x14ac:dyDescent="0.35">
      <c r="A68" s="697" t="s">
        <v>1063</v>
      </c>
    </row>
    <row r="69" spans="1:1" x14ac:dyDescent="0.35">
      <c r="A69" s="697" t="s">
        <v>1064</v>
      </c>
    </row>
  </sheetData>
  <sortState xmlns:xlrd2="http://schemas.microsoft.com/office/spreadsheetml/2017/richdata2" ref="A23:Q25">
    <sortCondition ref="E23:E25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3D95C-0803-437E-A161-C44519386FA9}">
  <sheetPr codeName="Sheet9">
    <tabColor rgb="FFFFFF00"/>
  </sheetPr>
  <dimension ref="A1:K14"/>
  <sheetViews>
    <sheetView workbookViewId="0">
      <selection activeCell="K3" sqref="K3"/>
    </sheetView>
  </sheetViews>
  <sheetFormatPr defaultRowHeight="14.6" x14ac:dyDescent="0.4"/>
  <cols>
    <col min="1" max="1" width="23.53515625" customWidth="1"/>
    <col min="2" max="2" width="49.765625" customWidth="1"/>
    <col min="3" max="3" width="23.84375" customWidth="1"/>
    <col min="4" max="4" width="9.3828125" customWidth="1"/>
    <col min="5" max="5" width="13.69140625" customWidth="1"/>
    <col min="6" max="6" width="54.4609375" customWidth="1"/>
    <col min="7" max="7" width="18.61328125" customWidth="1"/>
    <col min="8" max="8" width="18.3828125" customWidth="1"/>
    <col min="9" max="10" width="18.3046875" customWidth="1"/>
    <col min="11" max="11" width="18.4609375" customWidth="1"/>
  </cols>
  <sheetData>
    <row r="1" spans="1:11" ht="24.9" customHeight="1" x14ac:dyDescent="0.4">
      <c r="A1" t="s">
        <v>1148</v>
      </c>
      <c r="B1" t="s">
        <v>1166</v>
      </c>
      <c r="C1" s="864" t="s">
        <v>1174</v>
      </c>
      <c r="D1" t="s">
        <v>1154</v>
      </c>
      <c r="E1" t="s">
        <v>1155</v>
      </c>
      <c r="F1" s="864" t="s">
        <v>1175</v>
      </c>
      <c r="G1" t="s">
        <v>1156</v>
      </c>
      <c r="H1" t="s">
        <v>1157</v>
      </c>
      <c r="I1" t="s">
        <v>1158</v>
      </c>
      <c r="J1" t="s">
        <v>1159</v>
      </c>
      <c r="K1" t="s">
        <v>1160</v>
      </c>
    </row>
    <row r="2" spans="1:11" ht="22.3" customHeight="1" x14ac:dyDescent="0.4">
      <c r="A2" t="s">
        <v>1149</v>
      </c>
      <c r="B2" s="863" t="s">
        <v>1165</v>
      </c>
      <c r="C2">
        <f>'Project Materials'!C25:E25</f>
        <v>0</v>
      </c>
      <c r="D2">
        <f>'Estimate Total'!O6</f>
        <v>0</v>
      </c>
      <c r="E2" s="862">
        <f>'Estimate Total'!O7</f>
        <v>0</v>
      </c>
      <c r="F2" t="s">
        <v>1163</v>
      </c>
      <c r="G2">
        <v>1</v>
      </c>
      <c r="H2">
        <v>1</v>
      </c>
      <c r="I2">
        <v>1</v>
      </c>
      <c r="J2">
        <v>2</v>
      </c>
      <c r="K2">
        <v>2</v>
      </c>
    </row>
    <row r="3" spans="1:11" ht="29.15" x14ac:dyDescent="0.4">
      <c r="A3" t="s">
        <v>1150</v>
      </c>
      <c r="B3" t="s">
        <v>1167</v>
      </c>
      <c r="C3">
        <f>'Project Materials'!C26:E26</f>
        <v>0</v>
      </c>
      <c r="D3">
        <f>'Estimate Total'!P6</f>
        <v>0</v>
      </c>
      <c r="E3" s="862">
        <f>'Estimate Total'!P7</f>
        <v>0</v>
      </c>
      <c r="F3" s="861" t="s">
        <v>1162</v>
      </c>
      <c r="G3">
        <v>1</v>
      </c>
      <c r="H3">
        <v>1</v>
      </c>
      <c r="I3">
        <v>1</v>
      </c>
      <c r="J3">
        <v>3</v>
      </c>
      <c r="K3">
        <v>3</v>
      </c>
    </row>
    <row r="4" spans="1:11" ht="51" customHeight="1" x14ac:dyDescent="0.4">
      <c r="A4" s="860" t="s">
        <v>1151</v>
      </c>
      <c r="B4" t="s">
        <v>1169</v>
      </c>
      <c r="C4">
        <f>'Project Materials'!C27:E27</f>
        <v>0</v>
      </c>
      <c r="D4">
        <f>'Estimate Total'!Q6</f>
        <v>0</v>
      </c>
      <c r="E4" s="862">
        <f>'Estimate Total'!Q7</f>
        <v>0</v>
      </c>
      <c r="F4" s="861" t="s">
        <v>1178</v>
      </c>
      <c r="G4">
        <v>0</v>
      </c>
      <c r="H4">
        <v>0</v>
      </c>
      <c r="I4">
        <v>3</v>
      </c>
      <c r="J4">
        <v>6</v>
      </c>
      <c r="K4">
        <v>7</v>
      </c>
    </row>
    <row r="5" spans="1:11" ht="45.45" customHeight="1" x14ac:dyDescent="0.4">
      <c r="A5" s="860" t="s">
        <v>1152</v>
      </c>
      <c r="B5" t="s">
        <v>1168</v>
      </c>
      <c r="C5">
        <f>'Project Materials'!C28:E28</f>
        <v>0</v>
      </c>
      <c r="D5">
        <f>'Estimate Total'!R6</f>
        <v>0</v>
      </c>
      <c r="E5" s="862">
        <f>'Estimate Total'!R7</f>
        <v>0</v>
      </c>
      <c r="F5" s="861" t="s">
        <v>1173</v>
      </c>
      <c r="G5">
        <v>0</v>
      </c>
      <c r="H5">
        <v>0</v>
      </c>
      <c r="I5">
        <v>1</v>
      </c>
      <c r="J5">
        <v>5</v>
      </c>
      <c r="K5">
        <v>6</v>
      </c>
    </row>
    <row r="6" spans="1:11" ht="44.15" customHeight="1" x14ac:dyDescent="0.4">
      <c r="A6" s="860" t="s">
        <v>1153</v>
      </c>
      <c r="B6" t="s">
        <v>1170</v>
      </c>
      <c r="C6" t="s">
        <v>1177</v>
      </c>
      <c r="D6">
        <f>'Estimate Total'!S6</f>
        <v>0</v>
      </c>
      <c r="E6" s="862">
        <f>'Estimate Total'!S7</f>
        <v>0</v>
      </c>
      <c r="F6" s="861" t="s">
        <v>1172</v>
      </c>
      <c r="G6">
        <v>2</v>
      </c>
      <c r="H6">
        <v>2</v>
      </c>
      <c r="I6">
        <v>2</v>
      </c>
      <c r="J6">
        <v>6</v>
      </c>
      <c r="K6">
        <v>5</v>
      </c>
    </row>
    <row r="7" spans="1:11" ht="48.9" customHeight="1" x14ac:dyDescent="0.4">
      <c r="A7" s="860"/>
      <c r="F7" s="861" t="s">
        <v>1171</v>
      </c>
      <c r="G7">
        <v>0</v>
      </c>
      <c r="H7">
        <v>0</v>
      </c>
      <c r="I7">
        <v>0</v>
      </c>
      <c r="J7">
        <v>5</v>
      </c>
      <c r="K7">
        <v>9</v>
      </c>
    </row>
    <row r="8" spans="1:11" x14ac:dyDescent="0.4">
      <c r="A8" s="860"/>
      <c r="B8" s="88"/>
      <c r="F8" s="861" t="s">
        <v>1161</v>
      </c>
      <c r="G8">
        <v>4</v>
      </c>
      <c r="H8">
        <v>4</v>
      </c>
      <c r="I8">
        <v>4</v>
      </c>
      <c r="J8">
        <v>4</v>
      </c>
      <c r="K8">
        <v>4</v>
      </c>
    </row>
    <row r="9" spans="1:11" x14ac:dyDescent="0.4">
      <c r="A9" s="860"/>
      <c r="F9" s="861" t="s">
        <v>1164</v>
      </c>
      <c r="G9">
        <v>0</v>
      </c>
      <c r="H9">
        <v>0</v>
      </c>
      <c r="I9">
        <v>0</v>
      </c>
      <c r="J9">
        <v>3</v>
      </c>
      <c r="K9">
        <v>3</v>
      </c>
    </row>
    <row r="10" spans="1:11" x14ac:dyDescent="0.4">
      <c r="A10" s="860"/>
    </row>
    <row r="11" spans="1:11" x14ac:dyDescent="0.4">
      <c r="A11" s="860"/>
    </row>
    <row r="12" spans="1:11" x14ac:dyDescent="0.4">
      <c r="A12" s="860"/>
    </row>
    <row r="13" spans="1:11" ht="70.3" customHeight="1" x14ac:dyDescent="0.55000000000000004">
      <c r="A13" s="860" t="s">
        <v>1179</v>
      </c>
      <c r="B13" t="s">
        <v>1180</v>
      </c>
      <c r="F13" s="865" t="s">
        <v>1176</v>
      </c>
    </row>
    <row r="14" spans="1:11" x14ac:dyDescent="0.4">
      <c r="A14" s="860"/>
    </row>
  </sheetData>
  <pageMargins left="0.7" right="0.7" top="0.75" bottom="0.75" header="0.3" footer="0.3"/>
  <pageSetup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328C5-3530-4D2C-A7E2-BC86801EE308}">
  <sheetPr codeName="Sheet5"/>
  <dimension ref="A1:T25"/>
  <sheetViews>
    <sheetView workbookViewId="0">
      <selection activeCell="E31" sqref="E31"/>
    </sheetView>
  </sheetViews>
  <sheetFormatPr defaultColWidth="9.15234375" defaultRowHeight="14.6" x14ac:dyDescent="0.4"/>
  <cols>
    <col min="1" max="2" width="11.15234375" style="67" customWidth="1"/>
    <col min="3" max="3" width="14.15234375" style="67" customWidth="1"/>
    <col min="4" max="4" width="15.84375" style="67" customWidth="1"/>
    <col min="5" max="5" width="11.84375" style="67" customWidth="1"/>
    <col min="6" max="6" width="15.84375" style="67" bestFit="1" customWidth="1"/>
    <col min="7" max="7" width="7.15234375" style="67" customWidth="1"/>
    <col min="8" max="8" width="11.3046875" style="67" bestFit="1" customWidth="1"/>
    <col min="9" max="9" width="10.53515625" style="67" customWidth="1"/>
    <col min="10" max="10" width="15.53515625" style="67" customWidth="1"/>
    <col min="11" max="12" width="14" style="67" customWidth="1"/>
    <col min="13" max="13" width="15.84375" style="67" bestFit="1" customWidth="1"/>
    <col min="14" max="14" width="7.84375" style="67" customWidth="1"/>
    <col min="15" max="15" width="11.3046875" style="67" bestFit="1" customWidth="1"/>
    <col min="16" max="16" width="10.53515625" style="67" customWidth="1"/>
    <col min="17" max="17" width="15.15234375" style="67" customWidth="1"/>
    <col min="18" max="18" width="16.3046875" style="67" bestFit="1" customWidth="1"/>
    <col min="19" max="19" width="14" style="67" customWidth="1"/>
    <col min="20" max="20" width="15.84375" style="67" bestFit="1" customWidth="1"/>
    <col min="21" max="16384" width="9.15234375" style="67"/>
  </cols>
  <sheetData>
    <row r="1" spans="1:20" x14ac:dyDescent="0.4">
      <c r="A1" s="66" t="s">
        <v>432</v>
      </c>
      <c r="B1" s="66"/>
      <c r="C1" s="66"/>
      <c r="D1" s="66"/>
      <c r="E1" s="66"/>
      <c r="F1" s="66"/>
      <c r="H1" s="68" t="s">
        <v>433</v>
      </c>
      <c r="I1" s="68"/>
      <c r="J1" s="68"/>
      <c r="K1" s="68"/>
      <c r="L1" s="68"/>
      <c r="M1" s="68"/>
      <c r="O1" s="69" t="s">
        <v>434</v>
      </c>
      <c r="P1" s="69"/>
      <c r="Q1" s="69"/>
      <c r="R1" s="69"/>
      <c r="S1" s="69"/>
      <c r="T1" s="69"/>
    </row>
    <row r="2" spans="1:20" x14ac:dyDescent="0.4">
      <c r="A2" s="81"/>
      <c r="B2" s="81"/>
      <c r="C2" s="81"/>
      <c r="D2" s="81" t="s">
        <v>530</v>
      </c>
      <c r="E2" s="81" t="s">
        <v>531</v>
      </c>
      <c r="F2" s="81" t="s">
        <v>532</v>
      </c>
      <c r="G2" s="81"/>
      <c r="H2" s="81"/>
      <c r="I2" s="81"/>
      <c r="J2" s="81"/>
      <c r="K2" s="81" t="s">
        <v>530</v>
      </c>
      <c r="L2" s="81" t="s">
        <v>531</v>
      </c>
      <c r="M2" s="81" t="s">
        <v>532</v>
      </c>
      <c r="N2" s="81"/>
      <c r="O2" s="81"/>
      <c r="P2" s="81"/>
      <c r="Q2" s="81"/>
      <c r="R2" s="81" t="s">
        <v>530</v>
      </c>
      <c r="S2" s="81" t="s">
        <v>531</v>
      </c>
      <c r="T2" s="81" t="s">
        <v>532</v>
      </c>
    </row>
    <row r="3" spans="1:20" x14ac:dyDescent="0.4">
      <c r="A3" s="81"/>
      <c r="B3" s="81"/>
      <c r="C3" s="81"/>
      <c r="D3" s="81" t="s">
        <v>0</v>
      </c>
      <c r="E3" s="81" t="str">
        <f>'Area A'!B5</f>
        <v>TR375 Blk</v>
      </c>
      <c r="F3" s="81">
        <f>VLOOKUP(E3,'Item List'!$B:$D,3,FALSE)</f>
        <v>20</v>
      </c>
      <c r="G3" s="81"/>
      <c r="H3" s="81"/>
      <c r="I3" s="81"/>
      <c r="J3" s="81"/>
      <c r="K3" s="81" t="s">
        <v>0</v>
      </c>
      <c r="L3" s="81" t="e">
        <f>#REF!</f>
        <v>#REF!</v>
      </c>
      <c r="M3" s="81" t="e">
        <f>VLOOKUP(L3,'Item List'!$B:$D,3,FALSE)</f>
        <v>#REF!</v>
      </c>
      <c r="N3" s="81"/>
      <c r="O3" s="81"/>
      <c r="P3" s="81"/>
      <c r="Q3" s="81"/>
      <c r="R3" s="81" t="s">
        <v>0</v>
      </c>
      <c r="S3" s="81" t="e">
        <f>#REF!</f>
        <v>#REF!</v>
      </c>
      <c r="T3" s="81" t="e">
        <f>VLOOKUP(S3,'Item List'!$B:$D,3,FALSE)</f>
        <v>#REF!</v>
      </c>
    </row>
    <row r="4" spans="1:20" x14ac:dyDescent="0.4">
      <c r="A4" s="81"/>
      <c r="B4" s="81"/>
      <c r="C4" s="81"/>
      <c r="D4" s="81" t="s">
        <v>413</v>
      </c>
      <c r="E4" s="81" t="str">
        <f>'Area A'!B6</f>
        <v>BR100- Blk</v>
      </c>
      <c r="F4" s="81">
        <f>VLOOKUP(E4,'Item List'!$B:$D,3,FALSE)</f>
        <v>20</v>
      </c>
      <c r="G4" s="81"/>
      <c r="H4" s="81"/>
      <c r="I4" s="81"/>
      <c r="J4" s="81"/>
      <c r="K4" s="81" t="s">
        <v>413</v>
      </c>
      <c r="L4" s="81" t="e">
        <f>#REF!</f>
        <v>#REF!</v>
      </c>
      <c r="M4" s="81" t="e">
        <f>VLOOKUP(L4,'Item List'!$B:$D,3,FALSE)</f>
        <v>#REF!</v>
      </c>
      <c r="N4" s="81"/>
      <c r="O4" s="81"/>
      <c r="P4" s="81"/>
      <c r="Q4" s="81"/>
      <c r="R4" s="81" t="s">
        <v>413</v>
      </c>
      <c r="S4" s="81" t="e">
        <f>#REF!</f>
        <v>#REF!</v>
      </c>
      <c r="T4" s="81" t="e">
        <f>VLOOKUP(S4,'Item List'!$B:$D,3,FALSE)</f>
        <v>#REF!</v>
      </c>
    </row>
    <row r="5" spans="1:20" x14ac:dyDescent="0.4">
      <c r="A5" s="81"/>
      <c r="B5" s="81"/>
      <c r="C5" s="81"/>
      <c r="D5" s="83" t="s">
        <v>533</v>
      </c>
      <c r="E5" s="81"/>
      <c r="F5" s="84">
        <f>'Project Materials'!P25</f>
        <v>0</v>
      </c>
      <c r="G5" s="81"/>
      <c r="H5" s="81"/>
      <c r="I5" s="81"/>
      <c r="J5" s="81"/>
      <c r="K5" s="83" t="s">
        <v>533</v>
      </c>
      <c r="L5" s="81"/>
      <c r="M5" s="84">
        <f>'Project Materials'!P26</f>
        <v>0</v>
      </c>
      <c r="N5" s="81"/>
      <c r="O5" s="81"/>
      <c r="P5" s="81"/>
      <c r="Q5" s="81"/>
      <c r="R5" s="83" t="s">
        <v>533</v>
      </c>
      <c r="S5" s="81"/>
      <c r="T5" s="84">
        <f>'Project Materials'!P27</f>
        <v>0</v>
      </c>
    </row>
    <row r="6" spans="1:20" ht="3.75" customHeight="1" x14ac:dyDescent="0.4">
      <c r="A6" s="85"/>
      <c r="B6" s="85"/>
      <c r="C6" s="85"/>
      <c r="D6" s="85"/>
      <c r="E6" s="85"/>
      <c r="F6" s="85"/>
      <c r="G6" s="81"/>
      <c r="H6" s="86"/>
      <c r="I6" s="86"/>
      <c r="J6" s="86"/>
      <c r="K6" s="86"/>
      <c r="L6" s="86"/>
      <c r="M6" s="86"/>
      <c r="N6" s="81"/>
      <c r="O6" s="87"/>
      <c r="P6" s="87"/>
      <c r="Q6" s="87"/>
      <c r="R6" s="87"/>
      <c r="S6" s="87"/>
      <c r="T6" s="87"/>
    </row>
    <row r="7" spans="1:20" ht="16.5" customHeight="1" x14ac:dyDescent="0.4">
      <c r="A7" s="70" t="s">
        <v>0</v>
      </c>
      <c r="B7" s="70"/>
      <c r="C7" s="70"/>
      <c r="D7" s="70"/>
      <c r="E7" s="70"/>
      <c r="F7" s="70"/>
      <c r="H7" s="71" t="s">
        <v>0</v>
      </c>
      <c r="I7" s="71"/>
      <c r="J7" s="71"/>
      <c r="K7" s="71"/>
      <c r="L7" s="71"/>
      <c r="M7" s="71"/>
      <c r="O7" s="72" t="s">
        <v>0</v>
      </c>
      <c r="P7" s="72"/>
      <c r="Q7" s="72"/>
      <c r="R7" s="72"/>
      <c r="S7" s="72"/>
      <c r="T7" s="72"/>
    </row>
    <row r="8" spans="1:20" s="73" customFormat="1" x14ac:dyDescent="0.4">
      <c r="A8" s="73" t="s">
        <v>534</v>
      </c>
      <c r="B8" s="73" t="s">
        <v>535</v>
      </c>
      <c r="C8" s="80" t="s">
        <v>536</v>
      </c>
      <c r="D8" s="80" t="s">
        <v>537</v>
      </c>
      <c r="E8" s="80" t="s">
        <v>538</v>
      </c>
      <c r="F8" s="80" t="s">
        <v>539</v>
      </c>
      <c r="H8" s="73" t="s">
        <v>534</v>
      </c>
      <c r="I8" s="73" t="s">
        <v>535</v>
      </c>
      <c r="J8" s="73" t="s">
        <v>536</v>
      </c>
      <c r="K8" s="73" t="s">
        <v>537</v>
      </c>
      <c r="L8" s="73" t="s">
        <v>538</v>
      </c>
      <c r="M8" s="73" t="s">
        <v>539</v>
      </c>
      <c r="O8" s="73" t="s">
        <v>534</v>
      </c>
      <c r="P8" s="73" t="s">
        <v>535</v>
      </c>
      <c r="Q8" s="73" t="s">
        <v>536</v>
      </c>
      <c r="R8" s="73" t="s">
        <v>537</v>
      </c>
      <c r="S8" s="73" t="s">
        <v>538</v>
      </c>
      <c r="T8" s="73" t="s">
        <v>539</v>
      </c>
    </row>
    <row r="9" spans="1:20" x14ac:dyDescent="0.4">
      <c r="A9" s="67" t="s">
        <v>540</v>
      </c>
      <c r="B9" s="74"/>
      <c r="C9" s="78">
        <f>ROUNDUP(B9/$F$3,0)</f>
        <v>0</v>
      </c>
      <c r="D9" s="89">
        <f>($F$3*C9)-B9</f>
        <v>0</v>
      </c>
      <c r="E9" s="79" t="s">
        <v>541</v>
      </c>
      <c r="F9" s="78">
        <f>D9</f>
        <v>0</v>
      </c>
      <c r="H9" s="67" t="s">
        <v>540</v>
      </c>
      <c r="I9" s="74"/>
      <c r="J9" s="78" t="e">
        <f>ROUNDUP(I9/$M$3,0)</f>
        <v>#REF!</v>
      </c>
      <c r="K9" s="78" t="e">
        <f>($M$3*J9)-I9</f>
        <v>#REF!</v>
      </c>
      <c r="L9" s="79" t="s">
        <v>541</v>
      </c>
      <c r="M9" s="78" t="e">
        <f>K9</f>
        <v>#REF!</v>
      </c>
      <c r="O9" s="67" t="s">
        <v>540</v>
      </c>
      <c r="P9" s="74"/>
      <c r="Q9" s="78" t="e">
        <f>ROUNDUP(P9/$T$3,0)</f>
        <v>#REF!</v>
      </c>
      <c r="R9" s="78" t="e">
        <f>($T$3*Q9)-P9</f>
        <v>#REF!</v>
      </c>
      <c r="S9" s="79" t="s">
        <v>541</v>
      </c>
      <c r="T9" s="78" t="e">
        <f>R9</f>
        <v>#REF!</v>
      </c>
    </row>
    <row r="10" spans="1:20" x14ac:dyDescent="0.4">
      <c r="A10" s="67" t="s">
        <v>542</v>
      </c>
      <c r="B10" s="74"/>
      <c r="C10" s="78">
        <f>IF(B10&lt;=F9,0,ROUNDUP(B10/$F$3,0))</f>
        <v>0</v>
      </c>
      <c r="D10" s="78">
        <f>IF(C10=0,F9-B10,($F$3*C10)-B10)</f>
        <v>0</v>
      </c>
      <c r="E10" s="78">
        <f>IF(B10&lt;=D9,B10,0)</f>
        <v>0</v>
      </c>
      <c r="F10" s="78">
        <f>IF(C10=0,F9-E10,F9+D10-E10)</f>
        <v>0</v>
      </c>
      <c r="H10" s="67" t="s">
        <v>542</v>
      </c>
      <c r="I10" s="74"/>
      <c r="J10" s="78" t="e">
        <f>IF(I10&lt;=M9,0,ROUNDUP(I10/$M$3,0))</f>
        <v>#REF!</v>
      </c>
      <c r="K10" s="78" t="e">
        <f>IF(J10=0,M9-I10,($M$3*J10)-I10)</f>
        <v>#REF!</v>
      </c>
      <c r="L10" s="78" t="e">
        <f>IF(I10&lt;=K9,I10,0)</f>
        <v>#REF!</v>
      </c>
      <c r="M10" s="78" t="e">
        <f>IF(J10=0,M9-L10,M9+K10-L10)</f>
        <v>#REF!</v>
      </c>
      <c r="O10" s="67" t="s">
        <v>542</v>
      </c>
      <c r="P10" s="74"/>
      <c r="Q10" s="78" t="e">
        <f>IF(P10&lt;=T9,0,ROUNDUP(P10/$T$3,0))</f>
        <v>#REF!</v>
      </c>
      <c r="R10" s="78" t="e">
        <f>IF(Q10=0,T9-P10,($T$3*Q10)-P10)</f>
        <v>#REF!</v>
      </c>
      <c r="S10" s="78" t="e">
        <f>IF(P10&lt;=R9,P10,0)</f>
        <v>#REF!</v>
      </c>
      <c r="T10" s="78" t="e">
        <f>IF(Q10=0,T9-S10,T9+R10-S10)</f>
        <v>#REF!</v>
      </c>
    </row>
    <row r="11" spans="1:20" x14ac:dyDescent="0.4">
      <c r="A11" s="67" t="s">
        <v>543</v>
      </c>
      <c r="B11" s="74"/>
      <c r="C11" s="78">
        <f>IF(B11&lt;=F10,0,ROUNDUP(B11/$F$3,0))</f>
        <v>0</v>
      </c>
      <c r="D11" s="78">
        <f>IF(C11=0,F10-B11,($F$3*C11)-B11)</f>
        <v>0</v>
      </c>
      <c r="E11" s="78">
        <f>IF(B11&lt;=F10,B11,0)</f>
        <v>0</v>
      </c>
      <c r="F11" s="78">
        <f>IF(C11=0,F10-E11,F10+D11-E11)</f>
        <v>0</v>
      </c>
      <c r="H11" s="67" t="s">
        <v>543</v>
      </c>
      <c r="I11" s="74"/>
      <c r="J11" s="78" t="e">
        <f>IF(I11&lt;=M10,0,ROUNDUP(I11/$M$3,0))</f>
        <v>#REF!</v>
      </c>
      <c r="K11" s="78" t="e">
        <f>IF(J11=0,M10-I11,($M$3*J11)-I11)</f>
        <v>#REF!</v>
      </c>
      <c r="L11" s="78" t="e">
        <f>IF(I11&lt;=M10,I11,0)</f>
        <v>#REF!</v>
      </c>
      <c r="M11" s="78" t="e">
        <f>IF(J11=0,M10-L11,M10+K11-L11)</f>
        <v>#REF!</v>
      </c>
      <c r="O11" s="67" t="s">
        <v>543</v>
      </c>
      <c r="P11" s="74"/>
      <c r="Q11" s="78" t="e">
        <f>IF(P11&lt;=T10,0,ROUNDUP(P11/$T$3,0))</f>
        <v>#REF!</v>
      </c>
      <c r="R11" s="78" t="e">
        <f>IF(Q11=0,T10-P11,($T$3*Q11)-P11)</f>
        <v>#REF!</v>
      </c>
      <c r="S11" s="78" t="e">
        <f>IF(P11&lt;=T10,P11,0)</f>
        <v>#REF!</v>
      </c>
      <c r="T11" s="78" t="e">
        <f>IF(Q11=0,T10-S11,T10+R11-S11)</f>
        <v>#REF!</v>
      </c>
    </row>
    <row r="12" spans="1:20" x14ac:dyDescent="0.4">
      <c r="A12" s="67" t="s">
        <v>544</v>
      </c>
      <c r="B12" s="74"/>
      <c r="C12" s="78">
        <f>IF(B12&lt;=F11,0,ROUNDUP(B12/$F$3,0))</f>
        <v>0</v>
      </c>
      <c r="D12" s="78">
        <f>IF(C12=0,F11-B12,($F$3*C12)-B12)</f>
        <v>0</v>
      </c>
      <c r="E12" s="78">
        <f>IF(B12&lt;=F11,B12,0)</f>
        <v>0</v>
      </c>
      <c r="F12" s="78">
        <f>IF(C12=0,F11-E12,F11+D12-E12)</f>
        <v>0</v>
      </c>
      <c r="H12" s="67" t="s">
        <v>544</v>
      </c>
      <c r="I12" s="74"/>
      <c r="J12" s="78" t="e">
        <f>IF(I12&lt;=M11,0,ROUNDUP(I12/$M$3,0))</f>
        <v>#REF!</v>
      </c>
      <c r="K12" s="78" t="e">
        <f>IF(J12=0,M11-I12,($M$3*J12)-I12)</f>
        <v>#REF!</v>
      </c>
      <c r="L12" s="78" t="e">
        <f>IF(I12&lt;=M11,I12,0)</f>
        <v>#REF!</v>
      </c>
      <c r="M12" s="78" t="e">
        <f>IF(J12=0,M11-L12,M11+K12-L12)</f>
        <v>#REF!</v>
      </c>
      <c r="O12" s="67" t="s">
        <v>544</v>
      </c>
      <c r="P12" s="74"/>
      <c r="Q12" s="78" t="e">
        <f>IF(P12&lt;=T11,0,ROUNDUP(P12/$T$3,0))</f>
        <v>#REF!</v>
      </c>
      <c r="R12" s="78" t="e">
        <f>IF(Q12=0,T11-P12,($T$3*Q12)-P12)</f>
        <v>#REF!</v>
      </c>
      <c r="S12" s="78" t="e">
        <f>IF(P12&lt;=T11,P12,0)</f>
        <v>#REF!</v>
      </c>
      <c r="T12" s="78" t="e">
        <f>IF(Q12=0,T11-S12,T11+R12-S12)</f>
        <v>#REF!</v>
      </c>
    </row>
    <row r="13" spans="1:20" x14ac:dyDescent="0.4">
      <c r="A13" s="67" t="s">
        <v>545</v>
      </c>
      <c r="B13" s="74"/>
      <c r="C13" s="78">
        <f>IF(B13&lt;=F12,0,ROUNDUP(B13/$F$3,0))</f>
        <v>0</v>
      </c>
      <c r="D13" s="78">
        <f>IF(C13=0,F12-B13,($F$3*C13)-B13)</f>
        <v>0</v>
      </c>
      <c r="E13" s="78">
        <f>IF(B13&lt;=F12,B13,0)</f>
        <v>0</v>
      </c>
      <c r="F13" s="78">
        <f>IF(C13=0,F12-E13,F12+D13-E13)</f>
        <v>0</v>
      </c>
      <c r="H13" s="67" t="s">
        <v>545</v>
      </c>
      <c r="I13" s="74"/>
      <c r="J13" s="78" t="e">
        <f>IF(I13&lt;=M12,0,ROUNDUP(I13/$M$3,0))</f>
        <v>#REF!</v>
      </c>
      <c r="K13" s="78" t="e">
        <f>IF(J13=0,M12-I13,($M$3*J13)-I13)</f>
        <v>#REF!</v>
      </c>
      <c r="L13" s="78" t="e">
        <f>IF(I13&lt;=M12,I13,0)</f>
        <v>#REF!</v>
      </c>
      <c r="M13" s="78" t="e">
        <f>IF(J13=0,M12-L13,M12+K13-L13)</f>
        <v>#REF!</v>
      </c>
      <c r="O13" s="67" t="s">
        <v>545</v>
      </c>
      <c r="P13" s="74"/>
      <c r="Q13" s="78" t="e">
        <f>IF(P13&lt;=T12,0,ROUNDUP(P13/$T$3,0))</f>
        <v>#REF!</v>
      </c>
      <c r="R13" s="78" t="e">
        <f>IF(Q13=0,T12-P13,($T$3*Q13)-P13)</f>
        <v>#REF!</v>
      </c>
      <c r="S13" s="78" t="e">
        <f>IF(P13&lt;=T12,P13,0)</f>
        <v>#REF!</v>
      </c>
      <c r="T13" s="78" t="e">
        <f>IF(Q13=0,T12-S13,T12+R13-S13)</f>
        <v>#REF!</v>
      </c>
    </row>
    <row r="14" spans="1:20" x14ac:dyDescent="0.4">
      <c r="A14" s="67" t="s">
        <v>367</v>
      </c>
      <c r="C14" s="78">
        <f>SUM(C9:C13)</f>
        <v>0</v>
      </c>
      <c r="D14" s="81"/>
      <c r="E14" s="81"/>
      <c r="F14" s="81"/>
      <c r="H14" s="67" t="s">
        <v>367</v>
      </c>
      <c r="J14" s="78" t="e">
        <f>SUM(J9:J13)</f>
        <v>#REF!</v>
      </c>
      <c r="K14" s="81"/>
      <c r="L14" s="81"/>
      <c r="M14" s="81"/>
      <c r="O14" s="67" t="s">
        <v>367</v>
      </c>
      <c r="Q14" s="78" t="e">
        <f>SUM(Q9:Q13)</f>
        <v>#REF!</v>
      </c>
      <c r="R14" s="81"/>
      <c r="S14" s="81"/>
      <c r="T14" s="81"/>
    </row>
    <row r="15" spans="1:20" x14ac:dyDescent="0.4">
      <c r="A15" s="1161" t="s">
        <v>662</v>
      </c>
      <c r="B15" s="1161"/>
      <c r="C15" s="1161"/>
      <c r="D15" s="1161"/>
      <c r="E15" s="1161"/>
      <c r="F15" s="82" t="e">
        <f>(F13/(C14*$F$3))</f>
        <v>#DIV/0!</v>
      </c>
      <c r="H15" s="1161" t="s">
        <v>662</v>
      </c>
      <c r="I15" s="1161"/>
      <c r="J15" s="1161"/>
      <c r="K15" s="1161"/>
      <c r="L15" s="1161"/>
      <c r="M15" s="82" t="e">
        <f>(M13/(J14*$M$3))</f>
        <v>#REF!</v>
      </c>
      <c r="O15" s="1161" t="s">
        <v>662</v>
      </c>
      <c r="P15" s="1161"/>
      <c r="Q15" s="1161"/>
      <c r="R15" s="1161"/>
      <c r="S15" s="1161"/>
      <c r="T15" s="82" t="e">
        <f>(T13/(Q14*$T$3))</f>
        <v>#REF!</v>
      </c>
    </row>
    <row r="16" spans="1:20" s="76" customFormat="1" x14ac:dyDescent="0.4">
      <c r="C16" s="77"/>
      <c r="J16" s="77"/>
      <c r="Q16" s="77"/>
    </row>
    <row r="17" spans="1:20" ht="15.75" customHeight="1" x14ac:dyDescent="0.4">
      <c r="A17" s="70" t="s">
        <v>413</v>
      </c>
      <c r="B17" s="70"/>
      <c r="C17" s="70"/>
      <c r="D17" s="70"/>
      <c r="E17" s="70"/>
      <c r="H17" s="71" t="s">
        <v>413</v>
      </c>
      <c r="I17" s="71"/>
      <c r="J17" s="71"/>
      <c r="K17" s="71"/>
      <c r="L17" s="71"/>
      <c r="O17" s="72" t="s">
        <v>413</v>
      </c>
      <c r="P17" s="72"/>
      <c r="Q17" s="72"/>
      <c r="R17" s="72"/>
      <c r="S17" s="72"/>
    </row>
    <row r="18" spans="1:20" ht="29.15" x14ac:dyDescent="0.4">
      <c r="A18" s="73" t="s">
        <v>534</v>
      </c>
      <c r="B18" s="73" t="s">
        <v>535</v>
      </c>
      <c r="C18" s="80" t="s">
        <v>536</v>
      </c>
      <c r="D18" s="73" t="s">
        <v>546</v>
      </c>
      <c r="E18" s="73" t="s">
        <v>538</v>
      </c>
      <c r="H18" s="73" t="s">
        <v>534</v>
      </c>
      <c r="I18" s="73" t="s">
        <v>535</v>
      </c>
      <c r="J18" s="80" t="s">
        <v>536</v>
      </c>
      <c r="K18" s="73" t="s">
        <v>546</v>
      </c>
      <c r="L18" s="73" t="s">
        <v>538</v>
      </c>
      <c r="O18" s="73" t="s">
        <v>534</v>
      </c>
      <c r="P18" s="73" t="s">
        <v>535</v>
      </c>
      <c r="Q18" s="80" t="s">
        <v>536</v>
      </c>
      <c r="R18" s="73" t="s">
        <v>546</v>
      </c>
      <c r="S18" s="73" t="s">
        <v>538</v>
      </c>
    </row>
    <row r="19" spans="1:20" x14ac:dyDescent="0.4">
      <c r="A19" s="67" t="s">
        <v>540</v>
      </c>
      <c r="B19" s="74"/>
      <c r="C19" s="78">
        <f>ROUNDUP(B19/$F$4,0)</f>
        <v>0</v>
      </c>
      <c r="D19" s="78">
        <f>($F$4*C19)-B19</f>
        <v>0</v>
      </c>
      <c r="E19" s="79" t="s">
        <v>541</v>
      </c>
      <c r="F19" s="78">
        <f>D19</f>
        <v>0</v>
      </c>
      <c r="H19" s="67" t="s">
        <v>540</v>
      </c>
      <c r="I19" s="74"/>
      <c r="J19" s="78" t="e">
        <f>ROUNDUP(I19/$M$4,0)</f>
        <v>#REF!</v>
      </c>
      <c r="K19" s="78" t="e">
        <f>($M$4*J19)-I19</f>
        <v>#REF!</v>
      </c>
      <c r="L19" s="79" t="s">
        <v>541</v>
      </c>
      <c r="M19" s="78" t="e">
        <f>K19</f>
        <v>#REF!</v>
      </c>
      <c r="O19" s="81" t="s">
        <v>540</v>
      </c>
      <c r="P19" s="74"/>
      <c r="Q19" s="75" t="e">
        <f>ROUNDUP(P19/$T$4,0)</f>
        <v>#REF!</v>
      </c>
      <c r="R19" s="78" t="e">
        <f>($T$4*Q19)-P19</f>
        <v>#REF!</v>
      </c>
      <c r="S19" s="79" t="s">
        <v>541</v>
      </c>
      <c r="T19" s="78" t="e">
        <f>R19</f>
        <v>#REF!</v>
      </c>
    </row>
    <row r="20" spans="1:20" x14ac:dyDescent="0.4">
      <c r="A20" s="67" t="s">
        <v>542</v>
      </c>
      <c r="B20" s="74"/>
      <c r="C20" s="78">
        <f>IF(B20&lt;=F19,0,ROUNDUP(B20/$F$4,0))</f>
        <v>0</v>
      </c>
      <c r="D20" s="78">
        <f>IF(C20=0,F19-B20,($F$4*C20)-B20)</f>
        <v>0</v>
      </c>
      <c r="E20" s="78">
        <f>IF(B20&lt;=D19,B20,0)</f>
        <v>0</v>
      </c>
      <c r="F20" s="78">
        <f>IF(C20=0,F19-E20,F19+D20-E20)</f>
        <v>0</v>
      </c>
      <c r="H20" s="67" t="s">
        <v>542</v>
      </c>
      <c r="I20" s="74"/>
      <c r="J20" s="78" t="e">
        <f>IF(I20&lt;=M19,0,ROUNDUP(I20/$M$4,0))</f>
        <v>#REF!</v>
      </c>
      <c r="K20" s="78" t="e">
        <f>IF(J20=0,M19-I20,($M$4*J20)-I20)</f>
        <v>#REF!</v>
      </c>
      <c r="L20" s="78" t="e">
        <f>IF(I20&lt;=K19,I20,0)</f>
        <v>#REF!</v>
      </c>
      <c r="M20" s="78" t="e">
        <f>IF(J20=0,M19-L20,M19+K20-L20)</f>
        <v>#REF!</v>
      </c>
      <c r="O20" s="81" t="s">
        <v>542</v>
      </c>
      <c r="P20" s="74"/>
      <c r="Q20" s="78" t="e">
        <f>IF(P20&lt;=T19,0,ROUNDUP(P20/$T$4,0))</f>
        <v>#REF!</v>
      </c>
      <c r="R20" s="78" t="e">
        <f>IF(Q20=0,T19-P20,($T$4*Q20)-P20)</f>
        <v>#REF!</v>
      </c>
      <c r="S20" s="78" t="e">
        <f>IF(P20&lt;=R19,P20,0)</f>
        <v>#REF!</v>
      </c>
      <c r="T20" s="78" t="e">
        <f>IF(Q20=0,T19-S20,T19+R20-S20)</f>
        <v>#REF!</v>
      </c>
    </row>
    <row r="21" spans="1:20" x14ac:dyDescent="0.4">
      <c r="A21" s="67" t="s">
        <v>543</v>
      </c>
      <c r="B21" s="74"/>
      <c r="C21" s="78">
        <f>IF(B21&lt;=F20,0,ROUNDUP(B21/$F$3,0))</f>
        <v>0</v>
      </c>
      <c r="D21" s="78">
        <f>IF(C21=0,F20-B21,($F$4*C21)-B21)</f>
        <v>0</v>
      </c>
      <c r="E21" s="78">
        <f>IF(B21&lt;=F20,B21,0)</f>
        <v>0</v>
      </c>
      <c r="F21" s="78">
        <f>IF(C21=0,F20-E21,F20+D21-E21)</f>
        <v>0</v>
      </c>
      <c r="H21" s="67" t="s">
        <v>543</v>
      </c>
      <c r="I21" s="74"/>
      <c r="J21" s="78" t="e">
        <f>IF(I21&lt;=M20,0,ROUNDUP(I21/$M$3,0))</f>
        <v>#REF!</v>
      </c>
      <c r="K21" s="78" t="e">
        <f>IF(J21=0,M20-I21,($M$4*J21)-I21)</f>
        <v>#REF!</v>
      </c>
      <c r="L21" s="78" t="e">
        <f>IF(I21&lt;=M20,I21,0)</f>
        <v>#REF!</v>
      </c>
      <c r="M21" s="78" t="e">
        <f>IF(J21=0,M20-L21,M20+K21-L21)</f>
        <v>#REF!</v>
      </c>
      <c r="O21" s="81" t="s">
        <v>543</v>
      </c>
      <c r="P21" s="74"/>
      <c r="Q21" s="78" t="e">
        <f>IF(P21&lt;=T20,0,ROUNDUP(P21/$T$3,0))</f>
        <v>#REF!</v>
      </c>
      <c r="R21" s="78" t="e">
        <f>IF(Q21=0,T20-P21,($T$4*Q21)-P21)</f>
        <v>#REF!</v>
      </c>
      <c r="S21" s="78" t="e">
        <f>IF(P21&lt;=T20,P21,0)</f>
        <v>#REF!</v>
      </c>
      <c r="T21" s="78" t="e">
        <f>IF(Q21=0,T20-S21,T20+R21-S21)</f>
        <v>#REF!</v>
      </c>
    </row>
    <row r="22" spans="1:20" x14ac:dyDescent="0.4">
      <c r="A22" s="67" t="s">
        <v>544</v>
      </c>
      <c r="B22" s="74"/>
      <c r="C22" s="78">
        <f>IF(B22&lt;=F21,0,ROUNDUP(B22/$F$3,0))</f>
        <v>0</v>
      </c>
      <c r="D22" s="78">
        <f>IF(C22=0,F21-B22,($F$4*C22)-B22)</f>
        <v>0</v>
      </c>
      <c r="E22" s="78">
        <f>IF(B22&lt;=F21,B22,0)</f>
        <v>0</v>
      </c>
      <c r="F22" s="78">
        <f>IF(C22=0,F21-E22,F21+D22-E22)</f>
        <v>0</v>
      </c>
      <c r="H22" s="67" t="s">
        <v>544</v>
      </c>
      <c r="I22" s="74"/>
      <c r="J22" s="78" t="e">
        <f>IF(I22&lt;=M21,0,ROUNDUP(I22/$M$3,0))</f>
        <v>#REF!</v>
      </c>
      <c r="K22" s="78" t="e">
        <f>IF(J22=0,M21-I22,($M$4*J22)-I22)</f>
        <v>#REF!</v>
      </c>
      <c r="L22" s="78" t="e">
        <f>IF(I22&lt;=M21,I22,0)</f>
        <v>#REF!</v>
      </c>
      <c r="M22" s="78" t="e">
        <f>IF(J22=0,M21-L22,M21+K22-L22)</f>
        <v>#REF!</v>
      </c>
      <c r="O22" s="81" t="s">
        <v>544</v>
      </c>
      <c r="P22" s="74"/>
      <c r="Q22" s="78" t="e">
        <f>IF(P22&lt;=T21,0,ROUNDUP(P22/$T$3,0))</f>
        <v>#REF!</v>
      </c>
      <c r="R22" s="78" t="e">
        <f>IF(Q22=0,T21-P22,($T$4*Q22)-P22)</f>
        <v>#REF!</v>
      </c>
      <c r="S22" s="78" t="e">
        <f>IF(P22&lt;=T21,P22,0)</f>
        <v>#REF!</v>
      </c>
      <c r="T22" s="78" t="e">
        <f>IF(Q22=0,T21-S22,T21+R22-S22)</f>
        <v>#REF!</v>
      </c>
    </row>
    <row r="23" spans="1:20" x14ac:dyDescent="0.4">
      <c r="A23" s="67" t="s">
        <v>545</v>
      </c>
      <c r="B23" s="74"/>
      <c r="C23" s="78">
        <f>IF(B23&lt;=F22,0,ROUNDUP(B23/$F$3,0))</f>
        <v>0</v>
      </c>
      <c r="D23" s="78">
        <f>IF(C23=0,F22-B23,($F$4*C23)-B23)</f>
        <v>0</v>
      </c>
      <c r="E23" s="78">
        <f>IF(B23&lt;=F22,B23,0)</f>
        <v>0</v>
      </c>
      <c r="F23" s="78">
        <f>IF(C23=0,F22-E23,F22+D23-E23)</f>
        <v>0</v>
      </c>
      <c r="H23" s="67" t="s">
        <v>545</v>
      </c>
      <c r="I23" s="74"/>
      <c r="J23" s="78" t="e">
        <f>IF(I23&lt;=M22,0,ROUNDUP(I23/$M$3,0))</f>
        <v>#REF!</v>
      </c>
      <c r="K23" s="78" t="e">
        <f>IF(J23=0,M22-I23,($M$4*J23)-I23)</f>
        <v>#REF!</v>
      </c>
      <c r="L23" s="78" t="e">
        <f>IF(I23&lt;=M22,I23,0)</f>
        <v>#REF!</v>
      </c>
      <c r="M23" s="78" t="e">
        <f>IF(J23=0,M22-L23,M22+K23-L23)</f>
        <v>#REF!</v>
      </c>
      <c r="O23" s="81" t="s">
        <v>545</v>
      </c>
      <c r="P23" s="74"/>
      <c r="Q23" s="78" t="e">
        <f>IF(P23&lt;=T22,0,ROUNDUP(P23/$T$3,0))</f>
        <v>#REF!</v>
      </c>
      <c r="R23" s="78" t="e">
        <f>IF(Q23=0,T22-P23,($T$4*Q23)-P23)</f>
        <v>#REF!</v>
      </c>
      <c r="S23" s="78" t="e">
        <f>IF(P23&lt;=T22,P23,0)</f>
        <v>#REF!</v>
      </c>
      <c r="T23" s="78" t="e">
        <f>IF(Q23=0,T22-S23,T22+R23-S23)</f>
        <v>#REF!</v>
      </c>
    </row>
    <row r="24" spans="1:20" x14ac:dyDescent="0.4">
      <c r="A24" s="67" t="s">
        <v>367</v>
      </c>
      <c r="C24" s="78">
        <f>SUM(C19:C23)</f>
        <v>0</v>
      </c>
      <c r="D24" s="81"/>
      <c r="E24" s="81"/>
      <c r="F24" s="81"/>
      <c r="H24" s="67" t="s">
        <v>367</v>
      </c>
      <c r="J24" s="78" t="e">
        <f>SUM(J19:J23)</f>
        <v>#REF!</v>
      </c>
      <c r="K24" s="81"/>
      <c r="L24" s="81"/>
      <c r="M24" s="81"/>
      <c r="O24" s="81" t="s">
        <v>367</v>
      </c>
      <c r="P24" s="81"/>
      <c r="Q24" s="78" t="e">
        <f>SUM(Q19:Q23)</f>
        <v>#REF!</v>
      </c>
      <c r="R24" s="81"/>
      <c r="S24" s="81"/>
      <c r="T24" s="81"/>
    </row>
    <row r="25" spans="1:20" x14ac:dyDescent="0.4">
      <c r="A25" s="1161" t="s">
        <v>662</v>
      </c>
      <c r="B25" s="1161"/>
      <c r="C25" s="1161"/>
      <c r="D25" s="1161"/>
      <c r="E25" s="1161"/>
      <c r="F25" s="82" t="e">
        <f>(F23/(C24*$F$3))</f>
        <v>#DIV/0!</v>
      </c>
      <c r="H25" s="1161" t="s">
        <v>662</v>
      </c>
      <c r="I25" s="1161"/>
      <c r="J25" s="1161"/>
      <c r="K25" s="1161"/>
      <c r="L25" s="1161"/>
      <c r="M25" s="82" t="e">
        <f>(M23/(J24*$M$3))</f>
        <v>#REF!</v>
      </c>
      <c r="O25" s="1162" t="s">
        <v>662</v>
      </c>
      <c r="P25" s="1162"/>
      <c r="Q25" s="1162"/>
      <c r="R25" s="1162"/>
      <c r="S25" s="1162"/>
      <c r="T25" s="82" t="e">
        <f>(T23/(Q24*$T$3))</f>
        <v>#REF!</v>
      </c>
    </row>
  </sheetData>
  <sheetProtection selectLockedCells="1"/>
  <mergeCells count="6">
    <mergeCell ref="A15:E15"/>
    <mergeCell ref="H15:L15"/>
    <mergeCell ref="O15:S15"/>
    <mergeCell ref="O25:S25"/>
    <mergeCell ref="H25:L25"/>
    <mergeCell ref="A25:E25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EB35-D3BF-445A-B914-FFBF9F0C98A4}">
  <dimension ref="A1:U92"/>
  <sheetViews>
    <sheetView topLeftCell="A17" workbookViewId="0">
      <selection activeCell="D43" sqref="D43"/>
    </sheetView>
  </sheetViews>
  <sheetFormatPr defaultColWidth="8.84375" defaultRowHeight="14.6" x14ac:dyDescent="0.4"/>
  <cols>
    <col min="1" max="2" width="8.84375" style="98"/>
    <col min="3" max="3" width="29.15234375" style="98" customWidth="1"/>
    <col min="4" max="4" width="8.84375" style="98"/>
    <col min="5" max="5" width="9.53515625" style="98" bestFit="1" customWidth="1"/>
    <col min="6" max="7" width="9.84375" style="98" bestFit="1" customWidth="1"/>
    <col min="8" max="8" width="20.84375" style="98" bestFit="1" customWidth="1"/>
    <col min="9" max="9" width="10.3046875" style="98" customWidth="1"/>
    <col min="10" max="10" width="32.15234375" style="98" customWidth="1"/>
    <col min="11" max="11" width="18" style="98" customWidth="1"/>
    <col min="12" max="12" width="11.3046875" style="98" bestFit="1" customWidth="1"/>
    <col min="13" max="13" width="13.15234375" style="98" customWidth="1"/>
    <col min="14" max="14" width="14.15234375" style="98" bestFit="1" customWidth="1"/>
    <col min="15" max="15" width="12.15234375" style="98" customWidth="1"/>
    <col min="16" max="16" width="12.69140625" style="98" bestFit="1" customWidth="1"/>
    <col min="17" max="17" width="10.15234375" style="98" bestFit="1" customWidth="1"/>
    <col min="18" max="16384" width="8.84375" style="98"/>
  </cols>
  <sheetData>
    <row r="1" spans="1:19" ht="15.45" x14ac:dyDescent="0.4">
      <c r="A1" s="309"/>
      <c r="B1" s="310"/>
      <c r="C1" s="311" t="s">
        <v>794</v>
      </c>
      <c r="D1" s="312">
        <v>1</v>
      </c>
      <c r="E1" s="312">
        <v>2</v>
      </c>
      <c r="F1" s="312">
        <v>3</v>
      </c>
      <c r="G1" s="313"/>
      <c r="H1" s="118"/>
      <c r="L1" s="20" t="s">
        <v>793</v>
      </c>
    </row>
    <row r="2" spans="1:19" ht="15.45" x14ac:dyDescent="0.4">
      <c r="A2" s="314"/>
      <c r="B2" s="308"/>
      <c r="C2" s="308"/>
      <c r="D2" s="308" t="s">
        <v>9</v>
      </c>
      <c r="E2" s="308" t="s">
        <v>792</v>
      </c>
      <c r="F2" s="308"/>
      <c r="G2" s="294"/>
      <c r="H2" s="118"/>
      <c r="I2" s="118"/>
      <c r="J2" s="118"/>
      <c r="K2" s="118"/>
      <c r="L2" s="118"/>
      <c r="M2" s="145" t="s">
        <v>791</v>
      </c>
      <c r="N2" s="144"/>
      <c r="O2" s="118"/>
      <c r="P2" s="118"/>
      <c r="Q2" s="118"/>
      <c r="R2" s="118"/>
    </row>
    <row r="3" spans="1:19" ht="15.45" x14ac:dyDescent="0.4">
      <c r="A3" s="314"/>
      <c r="B3" s="308"/>
      <c r="C3" s="308"/>
      <c r="D3" s="315" t="s">
        <v>724</v>
      </c>
      <c r="E3" s="308" t="s">
        <v>791</v>
      </c>
      <c r="F3" s="308"/>
      <c r="G3" s="294"/>
      <c r="H3" s="118"/>
      <c r="I3" s="118"/>
      <c r="J3" s="118"/>
      <c r="M3" s="118" t="s">
        <v>790</v>
      </c>
      <c r="N3" s="118" t="s">
        <v>789</v>
      </c>
      <c r="O3" s="118"/>
      <c r="P3" s="118"/>
      <c r="Q3" s="118"/>
      <c r="R3" s="118"/>
    </row>
    <row r="4" spans="1:19" ht="15.45" x14ac:dyDescent="0.4">
      <c r="A4" s="314"/>
      <c r="B4" s="308"/>
      <c r="C4" s="308" t="s">
        <v>788</v>
      </c>
      <c r="D4" s="143" t="s">
        <v>787</v>
      </c>
      <c r="E4" s="143" t="s">
        <v>786</v>
      </c>
      <c r="F4" s="143" t="s">
        <v>785</v>
      </c>
      <c r="G4" s="294"/>
      <c r="H4" s="118"/>
      <c r="I4" s="118"/>
      <c r="J4" s="118"/>
      <c r="M4" s="143" t="s">
        <v>784</v>
      </c>
      <c r="N4" s="143" t="s">
        <v>783</v>
      </c>
      <c r="O4" s="118"/>
      <c r="P4" s="118"/>
      <c r="Q4" s="118"/>
      <c r="R4" s="118"/>
    </row>
    <row r="5" spans="1:19" ht="15.45" x14ac:dyDescent="0.4">
      <c r="A5" s="314"/>
      <c r="B5" s="308"/>
      <c r="C5" s="308" t="s">
        <v>782</v>
      </c>
      <c r="D5" s="316">
        <v>30</v>
      </c>
      <c r="E5" s="317">
        <f>+M9</f>
        <v>49.62</v>
      </c>
      <c r="F5" s="317">
        <f>+N9</f>
        <v>49.47</v>
      </c>
      <c r="G5" s="294"/>
      <c r="H5" s="118"/>
      <c r="I5" s="118" t="s">
        <v>9</v>
      </c>
      <c r="J5" s="118"/>
      <c r="M5" s="121">
        <v>37.79</v>
      </c>
      <c r="N5" s="121">
        <v>0</v>
      </c>
      <c r="O5" s="118"/>
      <c r="P5" s="118"/>
      <c r="Q5" s="118"/>
      <c r="R5" s="118"/>
    </row>
    <row r="6" spans="1:19" ht="15.45" x14ac:dyDescent="0.4">
      <c r="A6" s="314"/>
      <c r="B6" s="777">
        <f>+Q23</f>
        <v>0.156</v>
      </c>
      <c r="C6" s="308" t="s">
        <v>781</v>
      </c>
      <c r="D6" s="142">
        <f>+D5*$B$6</f>
        <v>4.68</v>
      </c>
      <c r="E6" s="142">
        <f>+E5*$B$6</f>
        <v>7.7407199999999996</v>
      </c>
      <c r="F6" s="142">
        <f>+F5*$B$6</f>
        <v>7.71732</v>
      </c>
      <c r="G6" s="294"/>
      <c r="H6" s="118"/>
      <c r="I6" s="118" t="s">
        <v>9</v>
      </c>
      <c r="J6" s="118"/>
      <c r="M6" s="141">
        <v>16.829999999999998</v>
      </c>
      <c r="N6" s="141">
        <v>0</v>
      </c>
      <c r="O6" s="118"/>
      <c r="P6" s="118"/>
      <c r="Q6" s="118"/>
      <c r="R6" s="118"/>
    </row>
    <row r="7" spans="1:19" ht="15.9" thickBot="1" x14ac:dyDescent="0.45">
      <c r="A7" s="318"/>
      <c r="B7" s="307"/>
      <c r="C7" s="307"/>
      <c r="D7" s="319">
        <f>SUM(D5:D6)</f>
        <v>34.68</v>
      </c>
      <c r="E7" s="319">
        <f>SUM(E5:E6)</f>
        <v>57.360720000000001</v>
      </c>
      <c r="F7" s="319">
        <f>SUM(F5:F6)</f>
        <v>57.18732</v>
      </c>
      <c r="G7" s="320"/>
      <c r="H7" s="118"/>
      <c r="I7" s="118" t="s">
        <v>9</v>
      </c>
      <c r="J7" s="118"/>
      <c r="M7" s="139">
        <f>SUM(M5:M6)</f>
        <v>54.62</v>
      </c>
      <c r="N7" s="139">
        <v>54.47</v>
      </c>
      <c r="O7" s="118"/>
      <c r="P7" s="118"/>
      <c r="Q7" s="118"/>
      <c r="R7" s="118"/>
    </row>
    <row r="8" spans="1:19" ht="15.45" x14ac:dyDescent="0.4">
      <c r="A8" s="118"/>
      <c r="B8" s="118"/>
      <c r="C8" s="118"/>
      <c r="D8" s="118"/>
      <c r="E8" s="118"/>
      <c r="F8" s="118"/>
      <c r="H8" s="118"/>
      <c r="I8" s="118"/>
      <c r="J8" s="118"/>
      <c r="K8" s="118"/>
      <c r="L8" s="130" t="s">
        <v>780</v>
      </c>
      <c r="M8" s="140">
        <v>5</v>
      </c>
      <c r="N8" s="140">
        <f>+M8</f>
        <v>5</v>
      </c>
      <c r="O8" s="118"/>
      <c r="P8" s="118"/>
      <c r="Q8" s="118"/>
      <c r="R8" s="118"/>
    </row>
    <row r="9" spans="1:19" ht="15.45" x14ac:dyDescent="0.4">
      <c r="A9" s="118"/>
      <c r="B9" s="118"/>
      <c r="C9" s="118" t="s">
        <v>779</v>
      </c>
      <c r="D9" s="126">
        <v>0.2</v>
      </c>
      <c r="E9" s="126">
        <v>0.17499999999999999</v>
      </c>
      <c r="F9" s="126">
        <v>0.15</v>
      </c>
      <c r="K9" s="118"/>
      <c r="L9" s="118"/>
      <c r="M9" s="139">
        <f>+M7-M8</f>
        <v>49.62</v>
      </c>
      <c r="N9" s="139">
        <f>+N7-N8</f>
        <v>49.47</v>
      </c>
      <c r="O9" s="118"/>
      <c r="P9" s="118"/>
      <c r="Q9" s="118"/>
      <c r="R9" s="118"/>
    </row>
    <row r="10" spans="1:19" ht="15.45" x14ac:dyDescent="0.4">
      <c r="A10" s="118"/>
      <c r="B10" s="118"/>
      <c r="C10" s="118" t="s">
        <v>778</v>
      </c>
      <c r="D10" s="138">
        <v>0</v>
      </c>
      <c r="E10" s="138">
        <f>+D10</f>
        <v>0</v>
      </c>
      <c r="F10" s="138">
        <f>+E10</f>
        <v>0</v>
      </c>
      <c r="K10" s="118"/>
      <c r="L10" s="118"/>
      <c r="M10" s="118"/>
      <c r="N10" s="118"/>
      <c r="O10" s="118"/>
      <c r="P10" s="118"/>
      <c r="Q10" s="118"/>
      <c r="R10" s="118"/>
    </row>
    <row r="11" spans="1:19" ht="15.45" x14ac:dyDescent="0.4">
      <c r="A11" s="118"/>
      <c r="B11" s="118"/>
      <c r="C11" s="118" t="s">
        <v>777</v>
      </c>
      <c r="D11" s="137">
        <f>+D10+D9</f>
        <v>0.2</v>
      </c>
      <c r="E11" s="137">
        <f>+E10+E9</f>
        <v>0.17499999999999999</v>
      </c>
      <c r="F11" s="137">
        <f>+F10+F9</f>
        <v>0.15</v>
      </c>
      <c r="K11" s="118"/>
      <c r="L11" s="118" t="s">
        <v>776</v>
      </c>
      <c r="M11" s="118"/>
      <c r="N11" s="118"/>
      <c r="O11" s="118"/>
      <c r="P11" s="118"/>
      <c r="Q11" s="118"/>
      <c r="R11" s="118"/>
    </row>
    <row r="12" spans="1:19" ht="15.45" x14ac:dyDescent="0.4">
      <c r="A12" s="118"/>
      <c r="B12" s="118"/>
      <c r="C12" s="118"/>
      <c r="D12" s="118"/>
      <c r="E12" s="118"/>
      <c r="F12" s="118"/>
      <c r="K12" s="118"/>
      <c r="L12" s="118"/>
      <c r="M12" s="118"/>
      <c r="N12" s="118"/>
      <c r="O12" s="118"/>
      <c r="P12" s="118"/>
      <c r="Q12" s="118"/>
      <c r="R12" s="118"/>
    </row>
    <row r="13" spans="1:19" ht="15.45" x14ac:dyDescent="0.4">
      <c r="A13" s="118"/>
      <c r="B13" s="118"/>
      <c r="C13" s="118" t="s">
        <v>775</v>
      </c>
      <c r="D13" s="137">
        <f>1-D11</f>
        <v>0.8</v>
      </c>
      <c r="E13" s="137">
        <f>1-E11</f>
        <v>0.82499999999999996</v>
      </c>
      <c r="F13" s="137">
        <f>1-F11</f>
        <v>0.85</v>
      </c>
      <c r="K13" s="118"/>
      <c r="L13" s="118"/>
      <c r="M13" s="118"/>
      <c r="N13" s="118"/>
      <c r="O13" s="118"/>
      <c r="P13" s="118"/>
      <c r="Q13" s="118"/>
      <c r="R13" s="118"/>
    </row>
    <row r="14" spans="1:19" ht="15.45" x14ac:dyDescent="0.4">
      <c r="A14" s="118"/>
      <c r="B14" s="118"/>
      <c r="C14" s="118"/>
      <c r="D14" s="118"/>
      <c r="E14" s="118"/>
      <c r="K14" s="118"/>
      <c r="N14" s="20" t="s">
        <v>1068</v>
      </c>
      <c r="O14" s="20"/>
      <c r="Q14" s="20" t="s">
        <v>1075</v>
      </c>
      <c r="R14" s="118"/>
      <c r="S14" s="118"/>
    </row>
    <row r="15" spans="1:19" ht="15.45" x14ac:dyDescent="0.4">
      <c r="A15" s="118"/>
      <c r="B15" s="118"/>
      <c r="C15" s="118"/>
      <c r="D15" s="118"/>
      <c r="E15" s="118"/>
      <c r="K15" s="118"/>
      <c r="L15" s="765"/>
      <c r="M15" s="20" t="s">
        <v>1066</v>
      </c>
      <c r="N15" s="20" t="s">
        <v>1069</v>
      </c>
      <c r="O15" s="20" t="s">
        <v>1079</v>
      </c>
      <c r="P15" s="20" t="s">
        <v>446</v>
      </c>
      <c r="Q15" s="20" t="s">
        <v>1070</v>
      </c>
      <c r="R15" s="20" t="s">
        <v>1086</v>
      </c>
      <c r="S15" s="118"/>
    </row>
    <row r="16" spans="1:19" ht="19.5" customHeight="1" x14ac:dyDescent="0.4">
      <c r="A16" s="118"/>
      <c r="B16" s="118"/>
      <c r="C16" s="136" t="s">
        <v>774</v>
      </c>
      <c r="D16" s="241">
        <f>+Q19</f>
        <v>0.78129999999999999</v>
      </c>
      <c r="E16" s="126">
        <f>+D16</f>
        <v>0.78129999999999999</v>
      </c>
      <c r="J16" s="118"/>
      <c r="K16" s="118"/>
      <c r="L16" s="775" t="s">
        <v>1065</v>
      </c>
      <c r="M16" s="775" t="s">
        <v>1067</v>
      </c>
      <c r="N16" s="775" t="s">
        <v>1067</v>
      </c>
      <c r="O16" s="775" t="s">
        <v>952</v>
      </c>
      <c r="P16" s="775" t="s">
        <v>1079</v>
      </c>
      <c r="Q16" s="775" t="s">
        <v>997</v>
      </c>
      <c r="R16" s="775" t="s">
        <v>1087</v>
      </c>
      <c r="S16" s="118"/>
    </row>
    <row r="17" spans="1:21" ht="15.45" x14ac:dyDescent="0.4">
      <c r="A17" s="118"/>
      <c r="B17" s="118"/>
      <c r="C17" s="118"/>
      <c r="D17" s="118"/>
      <c r="E17" s="118"/>
      <c r="I17" s="125"/>
      <c r="J17" s="125" t="s">
        <v>1078</v>
      </c>
      <c r="K17" s="118"/>
      <c r="L17" s="780">
        <v>1</v>
      </c>
      <c r="M17" s="780">
        <v>2</v>
      </c>
      <c r="N17" s="780">
        <v>3</v>
      </c>
      <c r="O17" s="780">
        <v>4</v>
      </c>
      <c r="P17" s="780">
        <v>5</v>
      </c>
      <c r="Q17" s="782">
        <f>+'Estimate Total'!C32</f>
        <v>2</v>
      </c>
      <c r="R17" s="118"/>
      <c r="S17" s="118"/>
    </row>
    <row r="18" spans="1:21" ht="15.45" x14ac:dyDescent="0.4">
      <c r="A18" s="118"/>
      <c r="B18" s="118"/>
      <c r="C18" s="136" t="s">
        <v>876</v>
      </c>
      <c r="R18" s="118"/>
      <c r="S18" s="118"/>
    </row>
    <row r="19" spans="1:21" ht="15.45" x14ac:dyDescent="0.4">
      <c r="A19" s="118"/>
      <c r="B19" s="118"/>
      <c r="C19" s="118" t="s">
        <v>773</v>
      </c>
      <c r="D19" s="119">
        <v>1</v>
      </c>
      <c r="E19" s="119">
        <f>+D19</f>
        <v>1</v>
      </c>
      <c r="I19" s="118" t="s">
        <v>1081</v>
      </c>
      <c r="J19" s="125"/>
      <c r="K19" s="118"/>
      <c r="L19" s="847">
        <f>+L63</f>
        <v>0.82589999999999997</v>
      </c>
      <c r="M19" s="847">
        <f>+M63</f>
        <v>0.78129999999999999</v>
      </c>
      <c r="N19" s="847">
        <f>+N63</f>
        <v>0.74509999999999998</v>
      </c>
      <c r="O19" s="847">
        <f>+O63</f>
        <v>0.74319999999999997</v>
      </c>
      <c r="P19" s="847">
        <f>+P63</f>
        <v>0.74319999999999997</v>
      </c>
      <c r="Q19" s="776">
        <f>HLOOKUP(+$Q$17,$L$17:$P$25,+S19)</f>
        <v>0.78129999999999999</v>
      </c>
      <c r="R19" s="787">
        <v>0.15</v>
      </c>
      <c r="S19" s="786">
        <v>3</v>
      </c>
    </row>
    <row r="20" spans="1:21" ht="15.45" x14ac:dyDescent="0.4">
      <c r="A20" s="125"/>
      <c r="B20" s="125"/>
      <c r="C20" s="125"/>
      <c r="D20" s="125"/>
      <c r="I20" s="118" t="s">
        <v>1082</v>
      </c>
      <c r="J20" s="125"/>
      <c r="K20" s="118"/>
      <c r="L20" s="847">
        <f>+L64</f>
        <v>0.66490000000000005</v>
      </c>
      <c r="M20" s="847">
        <f>+M64</f>
        <v>0.62329999999999997</v>
      </c>
      <c r="N20" s="847">
        <f t="shared" ref="N20:P20" si="0">+N64</f>
        <v>0.52980000000000005</v>
      </c>
      <c r="O20" s="847">
        <f t="shared" si="0"/>
        <v>0.57130000000000003</v>
      </c>
      <c r="P20" s="847">
        <f t="shared" si="0"/>
        <v>0.57130000000000003</v>
      </c>
      <c r="Q20" s="776">
        <f t="shared" ref="Q20:Q25" si="1">HLOOKUP(+$Q$17,$L$17:$P$25,+S20)</f>
        <v>0.62329999999999997</v>
      </c>
      <c r="R20" s="787">
        <v>0.15</v>
      </c>
      <c r="S20" s="786">
        <f>+S19+1</f>
        <v>4</v>
      </c>
      <c r="T20" s="125"/>
      <c r="U20" s="125"/>
    </row>
    <row r="21" spans="1:21" ht="15.45" x14ac:dyDescent="0.4">
      <c r="A21" s="125"/>
      <c r="B21" s="125"/>
      <c r="C21" s="125"/>
      <c r="D21" s="125"/>
      <c r="E21" s="125"/>
      <c r="F21" s="125"/>
      <c r="G21" s="125"/>
      <c r="I21" s="118" t="s">
        <v>1084</v>
      </c>
      <c r="J21" s="125"/>
      <c r="K21" s="118"/>
      <c r="L21" s="847">
        <f>+L65</f>
        <v>0.47470000000000001</v>
      </c>
      <c r="M21" s="847">
        <f>+M65</f>
        <v>0.44500000000000001</v>
      </c>
      <c r="N21" s="847">
        <f t="shared" ref="N21:P21" si="2">+N65</f>
        <v>0.37830000000000003</v>
      </c>
      <c r="O21" s="847">
        <f t="shared" si="2"/>
        <v>0.40789999999999998</v>
      </c>
      <c r="P21" s="847">
        <f t="shared" si="2"/>
        <v>0.40250000000000002</v>
      </c>
      <c r="Q21" s="776">
        <f t="shared" si="1"/>
        <v>0.44500000000000001</v>
      </c>
      <c r="R21" s="787">
        <v>0.15</v>
      </c>
      <c r="S21" s="786">
        <f t="shared" ref="S21:S22" si="3">+S20+1</f>
        <v>5</v>
      </c>
      <c r="T21" s="125"/>
      <c r="U21" s="125"/>
    </row>
    <row r="22" spans="1:21" ht="15.9" thickBot="1" x14ac:dyDescent="0.45">
      <c r="A22" s="125"/>
      <c r="B22" s="125" t="s">
        <v>9</v>
      </c>
      <c r="C22" s="125" t="s">
        <v>1114</v>
      </c>
      <c r="D22" s="121">
        <v>26.5</v>
      </c>
      <c r="E22" s="125"/>
      <c r="F22" s="125"/>
      <c r="G22" s="125"/>
      <c r="H22" s="125"/>
      <c r="I22" s="118" t="s">
        <v>1085</v>
      </c>
      <c r="J22" s="125"/>
      <c r="K22" s="118"/>
      <c r="L22" s="847">
        <f>+L66</f>
        <v>0.1</v>
      </c>
      <c r="M22" s="847">
        <f t="shared" ref="M22:P22" si="4">+M66</f>
        <v>0.1</v>
      </c>
      <c r="N22" s="847">
        <f t="shared" si="4"/>
        <v>0.1</v>
      </c>
      <c r="O22" s="847">
        <f t="shared" si="4"/>
        <v>0.1</v>
      </c>
      <c r="P22" s="847">
        <f t="shared" si="4"/>
        <v>0.1</v>
      </c>
      <c r="Q22" s="776">
        <f t="shared" si="1"/>
        <v>0.1</v>
      </c>
      <c r="R22" s="787">
        <v>0.23</v>
      </c>
      <c r="S22" s="786">
        <f t="shared" si="3"/>
        <v>6</v>
      </c>
      <c r="T22" s="125"/>
      <c r="U22" s="125"/>
    </row>
    <row r="23" spans="1:21" s="784" customFormat="1" ht="15.9" thickBot="1" x14ac:dyDescent="0.45">
      <c r="A23" s="125"/>
      <c r="B23" s="125"/>
      <c r="C23" s="125" t="s">
        <v>1115</v>
      </c>
      <c r="D23" s="828">
        <f>+D22*(1+$B$6)</f>
        <v>30.633999999999997</v>
      </c>
      <c r="E23" s="125" t="s">
        <v>9</v>
      </c>
      <c r="F23" s="125"/>
      <c r="G23" s="125"/>
      <c r="H23" s="125"/>
      <c r="I23" s="125" t="s">
        <v>1133</v>
      </c>
      <c r="J23" s="125"/>
      <c r="K23" s="118"/>
      <c r="L23" s="787">
        <v>0.156</v>
      </c>
      <c r="M23" s="787">
        <f>+L23</f>
        <v>0.156</v>
      </c>
      <c r="N23" s="787">
        <f>+M23</f>
        <v>0.156</v>
      </c>
      <c r="O23" s="787">
        <f>+N23</f>
        <v>0.156</v>
      </c>
      <c r="P23" s="787">
        <f>+O23</f>
        <v>0.156</v>
      </c>
      <c r="Q23" s="776">
        <f t="shared" si="1"/>
        <v>0.156</v>
      </c>
      <c r="R23" s="803"/>
      <c r="S23" s="786">
        <f>+S22+1</f>
        <v>7</v>
      </c>
      <c r="T23" s="125"/>
      <c r="U23" s="125"/>
    </row>
    <row r="24" spans="1:21" s="784" customFormat="1" ht="15.45" x14ac:dyDescent="0.4">
      <c r="A24" s="125"/>
      <c r="B24" s="125"/>
      <c r="C24" s="125"/>
      <c r="D24" s="125" t="s">
        <v>9</v>
      </c>
      <c r="E24" s="125"/>
      <c r="F24" s="125"/>
      <c r="G24" s="125"/>
      <c r="H24" s="125"/>
      <c r="I24" s="125" t="s">
        <v>749</v>
      </c>
      <c r="J24" s="125"/>
      <c r="K24" s="125"/>
      <c r="L24" s="787">
        <v>5.3999999999999999E-2</v>
      </c>
      <c r="M24" s="787">
        <v>4.3999999999999997E-2</v>
      </c>
      <c r="N24" s="787">
        <v>0.16800000000000001</v>
      </c>
      <c r="O24" s="787">
        <v>0</v>
      </c>
      <c r="P24" s="787">
        <v>0.11</v>
      </c>
      <c r="Q24" s="776">
        <f t="shared" si="1"/>
        <v>4.3999999999999997E-2</v>
      </c>
      <c r="R24" s="803"/>
      <c r="S24" s="786">
        <f>+S23+1</f>
        <v>8</v>
      </c>
      <c r="T24" s="125"/>
      <c r="U24" s="125"/>
    </row>
    <row r="25" spans="1:21" ht="15.45" x14ac:dyDescent="0.4">
      <c r="I25" s="125" t="s">
        <v>745</v>
      </c>
      <c r="J25" s="125"/>
      <c r="K25" s="125"/>
      <c r="L25" s="787">
        <v>0.16</v>
      </c>
      <c r="M25" s="787">
        <v>0.16</v>
      </c>
      <c r="N25" s="787">
        <v>0.16</v>
      </c>
      <c r="O25" s="787">
        <v>0.16</v>
      </c>
      <c r="P25" s="787">
        <v>0.16</v>
      </c>
      <c r="Q25" s="776">
        <f t="shared" si="1"/>
        <v>0.16</v>
      </c>
      <c r="R25" s="803"/>
      <c r="S25" s="786">
        <f>+S24+1</f>
        <v>9</v>
      </c>
    </row>
    <row r="26" spans="1:21" s="272" customFormat="1" ht="15.45" x14ac:dyDescent="0.4">
      <c r="J26" s="118"/>
      <c r="K26" s="118"/>
    </row>
    <row r="27" spans="1:21" ht="15.45" x14ac:dyDescent="0.4">
      <c r="I27" s="118" t="s">
        <v>1081</v>
      </c>
      <c r="J27" s="125"/>
      <c r="K27" s="118"/>
      <c r="L27" s="787">
        <v>0.82589999999999997</v>
      </c>
      <c r="M27" s="787">
        <v>0.78129999999999999</v>
      </c>
      <c r="N27" s="787">
        <v>0.74509999999999998</v>
      </c>
      <c r="O27" s="787">
        <v>0.74319999999999997</v>
      </c>
      <c r="P27" s="787">
        <v>0.74319999999999997</v>
      </c>
      <c r="Q27" s="837"/>
      <c r="R27" s="787">
        <v>0.15</v>
      </c>
    </row>
    <row r="28" spans="1:21" ht="15.45" x14ac:dyDescent="0.4">
      <c r="A28" s="803"/>
      <c r="B28" s="803"/>
      <c r="C28" s="803"/>
      <c r="D28" s="803"/>
      <c r="E28" s="131" t="s">
        <v>9</v>
      </c>
      <c r="F28" s="803"/>
      <c r="G28" s="803"/>
      <c r="H28" s="803"/>
      <c r="I28" s="118" t="s">
        <v>1082</v>
      </c>
      <c r="J28" s="125"/>
      <c r="K28" s="118"/>
      <c r="L28" s="787">
        <v>0.66490000000000005</v>
      </c>
      <c r="M28" s="787">
        <v>0.62329999999999997</v>
      </c>
      <c r="N28" s="787">
        <v>0.52980000000000005</v>
      </c>
      <c r="O28" s="787">
        <v>0.57130000000000003</v>
      </c>
      <c r="P28" s="787">
        <v>0.57130000000000003</v>
      </c>
      <c r="Q28" s="837"/>
      <c r="R28" s="787">
        <v>0.15</v>
      </c>
    </row>
    <row r="29" spans="1:21" ht="15.45" x14ac:dyDescent="0.4">
      <c r="A29" s="803"/>
      <c r="B29" s="803"/>
      <c r="C29" s="803"/>
      <c r="D29" s="803"/>
      <c r="E29" s="803"/>
      <c r="F29" s="803"/>
      <c r="G29" s="803"/>
      <c r="H29" s="803"/>
      <c r="I29" s="118" t="s">
        <v>1084</v>
      </c>
      <c r="J29" s="125"/>
      <c r="K29" s="118"/>
      <c r="L29" s="787">
        <v>0.47470000000000001</v>
      </c>
      <c r="M29" s="787">
        <v>0.44500000000000001</v>
      </c>
      <c r="N29" s="787">
        <v>0.37830000000000003</v>
      </c>
      <c r="O29" s="787">
        <v>0.40789999999999998</v>
      </c>
      <c r="P29" s="787">
        <v>0.40250000000000002</v>
      </c>
      <c r="Q29" s="837"/>
      <c r="R29" s="787">
        <v>0.15</v>
      </c>
    </row>
    <row r="30" spans="1:21" ht="15.45" x14ac:dyDescent="0.4">
      <c r="A30" s="803"/>
      <c r="B30" s="803"/>
      <c r="C30" s="803"/>
      <c r="D30" s="803"/>
      <c r="E30" s="803"/>
      <c r="F30" s="803"/>
      <c r="G30" s="803"/>
      <c r="H30" s="803"/>
      <c r="I30" s="118" t="s">
        <v>1143</v>
      </c>
      <c r="J30" s="125"/>
      <c r="K30" s="118"/>
      <c r="L30" s="787">
        <v>0.1</v>
      </c>
      <c r="M30" s="787">
        <v>0.1</v>
      </c>
      <c r="N30" s="787">
        <v>0.1</v>
      </c>
      <c r="O30" s="787">
        <v>0.1</v>
      </c>
      <c r="P30" s="787">
        <v>0.1</v>
      </c>
      <c r="Q30" s="837"/>
      <c r="R30" s="787">
        <v>0.23</v>
      </c>
    </row>
    <row r="31" spans="1:21" x14ac:dyDescent="0.4">
      <c r="A31" s="803" t="s">
        <v>419</v>
      </c>
      <c r="B31" s="803"/>
      <c r="C31" s="803"/>
      <c r="D31" s="803"/>
      <c r="E31" s="803"/>
      <c r="F31" s="803"/>
      <c r="G31" s="803"/>
      <c r="H31" s="803"/>
      <c r="I31" s="803"/>
      <c r="Q31" s="837"/>
    </row>
    <row r="32" spans="1:21" ht="15.9" thickBot="1" x14ac:dyDescent="0.45">
      <c r="A32" s="803" t="s">
        <v>420</v>
      </c>
      <c r="B32" s="803"/>
      <c r="C32" s="803"/>
      <c r="D32" s="803"/>
      <c r="E32" s="803"/>
      <c r="F32" s="803"/>
      <c r="G32" s="803"/>
      <c r="H32" s="803"/>
      <c r="I32" s="125" t="s">
        <v>1130</v>
      </c>
      <c r="L32" s="787">
        <v>0</v>
      </c>
      <c r="M32" s="787">
        <f>+L32</f>
        <v>0</v>
      </c>
      <c r="N32" s="787">
        <f t="shared" ref="N32:P32" si="5">+M32</f>
        <v>0</v>
      </c>
      <c r="O32" s="787">
        <f t="shared" si="5"/>
        <v>0</v>
      </c>
      <c r="P32" s="787">
        <f t="shared" si="5"/>
        <v>0</v>
      </c>
      <c r="Q32" s="837"/>
    </row>
    <row r="33" spans="1:21" x14ac:dyDescent="0.4">
      <c r="A33" s="804" t="s">
        <v>952</v>
      </c>
      <c r="B33" s="805"/>
      <c r="C33" s="805"/>
      <c r="D33" s="805"/>
      <c r="E33" s="805"/>
      <c r="F33" s="805"/>
      <c r="G33" s="805"/>
      <c r="H33" s="806"/>
      <c r="I33" s="803"/>
    </row>
    <row r="34" spans="1:21" x14ac:dyDescent="0.4">
      <c r="A34" s="290"/>
      <c r="B34" s="292"/>
      <c r="C34" s="292" t="s">
        <v>966</v>
      </c>
      <c r="D34" s="292"/>
      <c r="E34" s="292"/>
      <c r="F34" s="292"/>
      <c r="G34" s="292"/>
      <c r="H34" s="294"/>
      <c r="I34" s="803"/>
    </row>
    <row r="35" spans="1:21" x14ac:dyDescent="0.4">
      <c r="A35" s="290"/>
      <c r="B35" s="292"/>
      <c r="C35" s="292" t="s">
        <v>967</v>
      </c>
      <c r="D35" s="854">
        <v>18</v>
      </c>
      <c r="E35" s="292"/>
      <c r="F35" s="292"/>
      <c r="G35" s="292"/>
      <c r="H35" s="294"/>
      <c r="I35" s="803"/>
    </row>
    <row r="36" spans="1:21" x14ac:dyDescent="0.4">
      <c r="A36" s="290"/>
      <c r="B36" s="688">
        <v>0.16</v>
      </c>
      <c r="C36" s="292" t="s">
        <v>968</v>
      </c>
      <c r="D36" s="690">
        <f>D35*B36</f>
        <v>2.88</v>
      </c>
      <c r="E36" s="292"/>
      <c r="F36" s="292"/>
      <c r="G36" s="292"/>
      <c r="H36" s="294"/>
      <c r="I36" s="803"/>
    </row>
    <row r="37" spans="1:21" x14ac:dyDescent="0.4">
      <c r="A37" s="290"/>
      <c r="B37" s="292"/>
      <c r="C37" s="292" t="s">
        <v>969</v>
      </c>
      <c r="D37" s="690">
        <f>SUM(D35:D36)</f>
        <v>20.88</v>
      </c>
      <c r="E37" s="292"/>
      <c r="F37" s="292"/>
      <c r="G37" s="292"/>
      <c r="H37" s="294"/>
      <c r="I37" s="803"/>
    </row>
    <row r="38" spans="1:21" x14ac:dyDescent="0.4">
      <c r="A38" s="290"/>
      <c r="B38" s="292"/>
      <c r="C38" s="292"/>
      <c r="D38" s="292"/>
      <c r="E38" s="292"/>
      <c r="F38" s="292"/>
      <c r="G38" s="292"/>
      <c r="H38" s="294"/>
      <c r="I38" s="803"/>
    </row>
    <row r="39" spans="1:21" ht="29.15" x14ac:dyDescent="0.4">
      <c r="A39" s="290"/>
      <c r="B39" s="292"/>
      <c r="C39" s="689" t="s">
        <v>982</v>
      </c>
      <c r="D39" s="689" t="s">
        <v>984</v>
      </c>
      <c r="E39" s="689" t="s">
        <v>970</v>
      </c>
      <c r="F39" s="689">
        <v>60</v>
      </c>
      <c r="G39" s="691" t="s">
        <v>985</v>
      </c>
      <c r="H39" s="294"/>
      <c r="I39" s="803"/>
    </row>
    <row r="40" spans="1:21" x14ac:dyDescent="0.4">
      <c r="A40" s="290"/>
      <c r="B40" s="292"/>
      <c r="C40" s="292" t="s">
        <v>947</v>
      </c>
      <c r="D40" s="855">
        <v>45</v>
      </c>
      <c r="E40" s="292">
        <f>D40/$F$39</f>
        <v>0.75</v>
      </c>
      <c r="F40" s="292"/>
      <c r="G40" s="855">
        <v>2</v>
      </c>
      <c r="H40" s="294"/>
      <c r="I40" s="803"/>
    </row>
    <row r="41" spans="1:21" x14ac:dyDescent="0.4">
      <c r="A41" s="290"/>
      <c r="B41" s="292"/>
      <c r="C41" s="292" t="s">
        <v>960</v>
      </c>
      <c r="D41" s="855">
        <v>45</v>
      </c>
      <c r="E41" s="292">
        <f>D41/$F$39</f>
        <v>0.75</v>
      </c>
      <c r="F41" s="292"/>
      <c r="G41" s="855">
        <v>1</v>
      </c>
      <c r="H41" s="294"/>
      <c r="I41" s="803"/>
    </row>
    <row r="42" spans="1:21" x14ac:dyDescent="0.4">
      <c r="A42" s="290"/>
      <c r="B42" s="292"/>
      <c r="C42" s="292" t="s">
        <v>983</v>
      </c>
      <c r="D42" s="855">
        <v>45</v>
      </c>
      <c r="E42" s="292">
        <f>D42/$F$39</f>
        <v>0.75</v>
      </c>
      <c r="F42" s="292"/>
      <c r="G42" s="855">
        <v>3</v>
      </c>
      <c r="H42" s="294"/>
      <c r="I42" s="803"/>
    </row>
    <row r="43" spans="1:21" x14ac:dyDescent="0.4">
      <c r="A43" s="290"/>
      <c r="B43" s="292"/>
      <c r="C43" s="240" t="s">
        <v>5</v>
      </c>
      <c r="D43" s="856">
        <v>45</v>
      </c>
      <c r="E43" s="292">
        <f>D43/$F$39</f>
        <v>0.75</v>
      </c>
      <c r="F43" s="292"/>
      <c r="G43" s="856">
        <v>2</v>
      </c>
      <c r="H43" s="294"/>
      <c r="I43" s="803"/>
    </row>
    <row r="44" spans="1:21" x14ac:dyDescent="0.4">
      <c r="A44" s="290"/>
      <c r="B44" s="292"/>
      <c r="C44" s="240" t="s">
        <v>986</v>
      </c>
      <c r="D44" s="856">
        <v>30</v>
      </c>
      <c r="E44" s="292">
        <f>D44/$F$39</f>
        <v>0.5</v>
      </c>
      <c r="F44" s="292"/>
      <c r="G44" s="856">
        <v>1</v>
      </c>
      <c r="H44" s="294"/>
      <c r="I44" s="803"/>
    </row>
    <row r="45" spans="1:21" x14ac:dyDescent="0.4">
      <c r="A45" s="290"/>
      <c r="B45" s="292"/>
      <c r="C45" s="240"/>
      <c r="D45" s="240"/>
      <c r="E45" s="292"/>
      <c r="F45" s="292"/>
      <c r="G45" s="292"/>
      <c r="H45" s="294"/>
      <c r="I45" s="803"/>
    </row>
    <row r="46" spans="1:21" x14ac:dyDescent="0.4">
      <c r="A46" s="290"/>
      <c r="B46" s="292"/>
      <c r="C46" s="689" t="s">
        <v>1053</v>
      </c>
      <c r="D46" s="689" t="s">
        <v>984</v>
      </c>
      <c r="E46" s="689" t="s">
        <v>970</v>
      </c>
      <c r="F46" s="689">
        <v>60</v>
      </c>
      <c r="G46" s="292"/>
      <c r="H46" s="294"/>
      <c r="I46" s="803"/>
    </row>
    <row r="47" spans="1:21" ht="15" thickBot="1" x14ac:dyDescent="0.45">
      <c r="A47" s="302"/>
      <c r="B47" s="339"/>
      <c r="C47" s="339" t="s">
        <v>986</v>
      </c>
      <c r="D47" s="857">
        <v>25</v>
      </c>
      <c r="E47" s="339">
        <f>D47/$F$39</f>
        <v>0.41666666666666669</v>
      </c>
      <c r="F47" s="339"/>
      <c r="G47" s="857">
        <v>1</v>
      </c>
      <c r="H47" s="320"/>
      <c r="I47" s="803"/>
    </row>
    <row r="48" spans="1:21" ht="15.45" x14ac:dyDescent="0.4">
      <c r="A48" s="803"/>
      <c r="B48" s="803"/>
      <c r="C48" s="803"/>
      <c r="D48" s="803"/>
      <c r="E48" s="803"/>
      <c r="F48" s="803"/>
      <c r="G48" s="803"/>
      <c r="H48" s="803"/>
      <c r="I48" s="803"/>
      <c r="J48" s="18" t="s">
        <v>1134</v>
      </c>
      <c r="R48" s="838"/>
      <c r="S48" s="838"/>
      <c r="T48" s="838"/>
      <c r="U48" s="838"/>
    </row>
    <row r="49" spans="1:21" ht="15.45" x14ac:dyDescent="0.4">
      <c r="A49" s="803"/>
      <c r="B49" s="803"/>
      <c r="C49" s="803"/>
      <c r="D49" s="803"/>
      <c r="E49" s="803"/>
      <c r="F49" s="803"/>
      <c r="G49" s="803"/>
      <c r="H49" s="803"/>
      <c r="I49" s="803"/>
      <c r="K49" s="118"/>
      <c r="L49" s="838"/>
      <c r="M49" s="838"/>
      <c r="N49" s="20" t="s">
        <v>1068</v>
      </c>
      <c r="O49" s="20"/>
      <c r="P49" s="838"/>
      <c r="Q49" s="20" t="s">
        <v>1075</v>
      </c>
      <c r="R49" s="118"/>
      <c r="S49" s="838"/>
      <c r="T49" s="838"/>
      <c r="U49" s="838"/>
    </row>
    <row r="50" spans="1:21" ht="15.45" x14ac:dyDescent="0.4">
      <c r="L50" s="839"/>
      <c r="M50" s="20" t="s">
        <v>1066</v>
      </c>
      <c r="N50" s="20" t="s">
        <v>1069</v>
      </c>
      <c r="O50" s="20" t="s">
        <v>1079</v>
      </c>
      <c r="P50" s="20" t="s">
        <v>446</v>
      </c>
      <c r="Q50" s="20" t="s">
        <v>1070</v>
      </c>
      <c r="R50" s="20" t="s">
        <v>1086</v>
      </c>
      <c r="S50" s="838"/>
      <c r="T50" s="838"/>
      <c r="U50" s="838"/>
    </row>
    <row r="51" spans="1:21" ht="15.45" x14ac:dyDescent="0.4">
      <c r="L51" s="775" t="s">
        <v>1065</v>
      </c>
      <c r="M51" s="775" t="s">
        <v>1067</v>
      </c>
      <c r="N51" s="775" t="s">
        <v>1067</v>
      </c>
      <c r="O51" s="775" t="s">
        <v>952</v>
      </c>
      <c r="P51" s="775" t="s">
        <v>1079</v>
      </c>
      <c r="Q51" s="775" t="s">
        <v>997</v>
      </c>
      <c r="R51" s="775" t="s">
        <v>1087</v>
      </c>
      <c r="S51" s="838"/>
      <c r="T51" s="838"/>
      <c r="U51" s="838"/>
    </row>
    <row r="52" spans="1:21" ht="15.45" x14ac:dyDescent="0.4">
      <c r="J52" s="118"/>
      <c r="K52" s="118"/>
      <c r="L52" s="780">
        <v>1</v>
      </c>
      <c r="M52" s="780">
        <v>2</v>
      </c>
      <c r="N52" s="780">
        <v>3</v>
      </c>
      <c r="O52" s="780">
        <v>4</v>
      </c>
      <c r="P52" s="780">
        <v>5</v>
      </c>
      <c r="Q52" s="782">
        <f>+'Estimate Total'!C68</f>
        <v>0</v>
      </c>
      <c r="R52" s="118"/>
      <c r="S52" s="838"/>
      <c r="T52" s="838"/>
      <c r="U52" s="838"/>
    </row>
    <row r="53" spans="1:21" ht="15.45" x14ac:dyDescent="0.4">
      <c r="J53" s="118" t="s">
        <v>1146</v>
      </c>
      <c r="K53" s="849">
        <f>IF('Estimate Total'!C35=0,0,'Work Area'!K54)</f>
        <v>0</v>
      </c>
      <c r="L53" s="838"/>
      <c r="S53" s="838"/>
      <c r="T53" s="838"/>
      <c r="U53" s="838"/>
    </row>
    <row r="54" spans="1:21" ht="15.45" x14ac:dyDescent="0.4">
      <c r="J54" s="118" t="s">
        <v>1147</v>
      </c>
      <c r="K54" s="859">
        <v>0.33</v>
      </c>
      <c r="S54" s="838"/>
      <c r="T54" s="838"/>
      <c r="U54" s="838"/>
    </row>
    <row r="55" spans="1:21" ht="15.45" x14ac:dyDescent="0.4">
      <c r="J55" s="118" t="s">
        <v>1137</v>
      </c>
      <c r="K55" s="252">
        <f>1-K53</f>
        <v>1</v>
      </c>
      <c r="S55" s="838"/>
      <c r="T55" s="838"/>
      <c r="U55" s="838"/>
    </row>
    <row r="56" spans="1:21" ht="15.45" x14ac:dyDescent="0.4">
      <c r="J56" s="118" t="s">
        <v>1135</v>
      </c>
      <c r="K56" s="848">
        <v>0.04</v>
      </c>
      <c r="L56" s="118"/>
      <c r="M56" s="118"/>
      <c r="N56" s="118"/>
      <c r="Q56" s="838"/>
      <c r="R56" s="838"/>
      <c r="S56" s="838"/>
      <c r="T56" s="838"/>
      <c r="U56" s="838"/>
    </row>
    <row r="57" spans="1:21" ht="15.45" x14ac:dyDescent="0.4">
      <c r="J57" s="118"/>
      <c r="K57" s="124"/>
      <c r="L57" s="118"/>
      <c r="M57" s="118"/>
      <c r="N57" s="118"/>
      <c r="Q57" s="838"/>
      <c r="R57" s="838"/>
      <c r="S57" s="838"/>
      <c r="T57" s="838"/>
      <c r="U57" s="838"/>
    </row>
    <row r="58" spans="1:21" s="742" customFormat="1" ht="15.45" x14ac:dyDescent="0.4">
      <c r="J58" s="118" t="s">
        <v>1136</v>
      </c>
      <c r="K58" s="848">
        <v>0.3</v>
      </c>
      <c r="M58" s="118"/>
      <c r="N58" s="118"/>
      <c r="O58" s="98"/>
      <c r="P58" s="98"/>
      <c r="Q58" s="838"/>
      <c r="R58" s="838"/>
      <c r="S58" s="838"/>
      <c r="T58" s="838"/>
      <c r="U58" s="838"/>
    </row>
    <row r="59" spans="1:21" s="742" customFormat="1" ht="15.45" x14ac:dyDescent="0.4">
      <c r="J59" s="118" t="s">
        <v>1140</v>
      </c>
      <c r="K59" s="252">
        <f>+K58*K53</f>
        <v>0</v>
      </c>
      <c r="L59" s="252" t="s">
        <v>9</v>
      </c>
      <c r="M59" s="118"/>
      <c r="N59" s="118"/>
      <c r="O59" s="98"/>
      <c r="P59" s="98"/>
      <c r="Q59" s="838"/>
      <c r="R59" s="838"/>
      <c r="S59" s="838"/>
      <c r="T59" s="838"/>
      <c r="U59" s="838"/>
    </row>
    <row r="60" spans="1:21" s="742" customFormat="1" x14ac:dyDescent="0.4">
      <c r="L60" s="850" t="s">
        <v>9</v>
      </c>
      <c r="Q60" s="838"/>
      <c r="R60" s="838"/>
      <c r="S60" s="838"/>
      <c r="T60" s="838"/>
      <c r="U60" s="838"/>
    </row>
    <row r="61" spans="1:21" s="742" customFormat="1" x14ac:dyDescent="0.4">
      <c r="S61" s="838"/>
      <c r="T61" s="838"/>
      <c r="U61" s="838"/>
    </row>
    <row r="62" spans="1:21" ht="15.45" x14ac:dyDescent="0.4">
      <c r="J62" s="851" t="s">
        <v>1141</v>
      </c>
    </row>
    <row r="63" spans="1:21" ht="15.45" x14ac:dyDescent="0.4">
      <c r="J63" s="118" t="s">
        <v>1081</v>
      </c>
      <c r="K63" s="125"/>
      <c r="L63" s="252">
        <f t="shared" ref="L63:P66" si="6">+$K$55*L27+$K$59</f>
        <v>0.82589999999999997</v>
      </c>
      <c r="M63" s="252">
        <f t="shared" si="6"/>
        <v>0.78129999999999999</v>
      </c>
      <c r="N63" s="252">
        <f t="shared" si="6"/>
        <v>0.74509999999999998</v>
      </c>
      <c r="O63" s="252">
        <f t="shared" si="6"/>
        <v>0.74319999999999997</v>
      </c>
      <c r="P63" s="252">
        <f t="shared" si="6"/>
        <v>0.74319999999999997</v>
      </c>
    </row>
    <row r="64" spans="1:21" ht="15.45" x14ac:dyDescent="0.4">
      <c r="J64" s="118" t="s">
        <v>1082</v>
      </c>
      <c r="K64" s="125"/>
      <c r="L64" s="252">
        <f t="shared" si="6"/>
        <v>0.66490000000000005</v>
      </c>
      <c r="M64" s="252">
        <f t="shared" si="6"/>
        <v>0.62329999999999997</v>
      </c>
      <c r="N64" s="252">
        <f t="shared" si="6"/>
        <v>0.52980000000000005</v>
      </c>
      <c r="O64" s="252">
        <f t="shared" si="6"/>
        <v>0.57130000000000003</v>
      </c>
      <c r="P64" s="252">
        <f t="shared" si="6"/>
        <v>0.57130000000000003</v>
      </c>
    </row>
    <row r="65" spans="1:18" ht="15.45" x14ac:dyDescent="0.4">
      <c r="J65" s="118" t="s">
        <v>1084</v>
      </c>
      <c r="K65" s="125"/>
      <c r="L65" s="252">
        <f t="shared" si="6"/>
        <v>0.47470000000000001</v>
      </c>
      <c r="M65" s="252">
        <f t="shared" si="6"/>
        <v>0.44500000000000001</v>
      </c>
      <c r="N65" s="252">
        <f t="shared" si="6"/>
        <v>0.37830000000000003</v>
      </c>
      <c r="O65" s="252">
        <f t="shared" si="6"/>
        <v>0.40789999999999998</v>
      </c>
      <c r="P65" s="252">
        <f t="shared" si="6"/>
        <v>0.40250000000000002</v>
      </c>
    </row>
    <row r="66" spans="1:18" ht="15.45" x14ac:dyDescent="0.4">
      <c r="J66" s="118" t="s">
        <v>1085</v>
      </c>
      <c r="K66" s="125"/>
      <c r="L66" s="252">
        <f t="shared" si="6"/>
        <v>0.1</v>
      </c>
      <c r="M66" s="252">
        <f t="shared" si="6"/>
        <v>0.1</v>
      </c>
      <c r="N66" s="252">
        <f t="shared" si="6"/>
        <v>0.1</v>
      </c>
      <c r="O66" s="252">
        <f t="shared" si="6"/>
        <v>0.1</v>
      </c>
      <c r="P66" s="252">
        <f t="shared" si="6"/>
        <v>0.1</v>
      </c>
      <c r="Q66" s="838"/>
      <c r="R66" s="838"/>
    </row>
    <row r="67" spans="1:18" x14ac:dyDescent="0.4">
      <c r="Q67" s="838"/>
      <c r="R67" s="838"/>
    </row>
    <row r="68" spans="1:18" ht="15.45" x14ac:dyDescent="0.4">
      <c r="A68" s="803"/>
      <c r="B68" s="803"/>
      <c r="C68" s="803"/>
      <c r="D68" s="803"/>
      <c r="E68" s="803"/>
      <c r="F68" s="803"/>
      <c r="G68" s="803"/>
      <c r="H68" s="803"/>
      <c r="I68" s="803"/>
      <c r="J68" s="118" t="s">
        <v>1138</v>
      </c>
      <c r="K68" s="122">
        <f>+'Estimate Total'!T9</f>
        <v>0</v>
      </c>
      <c r="L68" s="122" t="str">
        <f>+'Estimate Total'!U9</f>
        <v xml:space="preserve"> </v>
      </c>
      <c r="M68" s="742"/>
      <c r="N68" s="742"/>
      <c r="O68" s="742"/>
      <c r="P68" s="742"/>
      <c r="Q68" s="838"/>
      <c r="R68" s="838"/>
    </row>
    <row r="69" spans="1:18" ht="15.45" x14ac:dyDescent="0.4">
      <c r="A69" s="803"/>
      <c r="B69" s="803"/>
      <c r="C69" s="803"/>
      <c r="D69" s="803"/>
      <c r="E69" s="803"/>
      <c r="F69" s="803"/>
      <c r="G69" s="803"/>
      <c r="H69" s="803"/>
      <c r="I69" s="803"/>
      <c r="J69" s="118" t="s">
        <v>1139</v>
      </c>
      <c r="K69" s="122">
        <f>+'Estimate Total'!T16</f>
        <v>0</v>
      </c>
      <c r="L69" s="118"/>
      <c r="M69" s="742"/>
      <c r="N69" s="742"/>
      <c r="O69" s="742"/>
      <c r="P69" s="742"/>
    </row>
    <row r="70" spans="1:18" ht="15.45" x14ac:dyDescent="0.4">
      <c r="A70" s="803"/>
      <c r="B70" s="803"/>
      <c r="C70" s="803"/>
      <c r="D70" s="803"/>
      <c r="E70" s="803"/>
      <c r="F70" s="803"/>
      <c r="G70" s="803"/>
      <c r="H70" s="803"/>
      <c r="I70" s="803"/>
      <c r="J70" s="838"/>
      <c r="K70" s="853" t="s">
        <v>9</v>
      </c>
      <c r="L70" s="118"/>
      <c r="M70" s="118"/>
      <c r="N70" s="118"/>
      <c r="O70" s="118"/>
      <c r="P70" s="742"/>
    </row>
    <row r="71" spans="1:18" x14ac:dyDescent="0.4">
      <c r="A71" s="803"/>
      <c r="B71" s="803"/>
      <c r="C71" s="803"/>
      <c r="D71" s="803"/>
      <c r="E71" s="803"/>
      <c r="F71" s="803"/>
      <c r="G71" s="803"/>
      <c r="H71" s="803"/>
      <c r="I71" s="803"/>
    </row>
    <row r="72" spans="1:18" ht="15.45" x14ac:dyDescent="0.4">
      <c r="A72" s="803"/>
      <c r="B72" s="803"/>
      <c r="C72" s="803"/>
      <c r="D72" s="803"/>
      <c r="E72" s="803"/>
      <c r="F72" s="803"/>
      <c r="G72" s="803"/>
      <c r="H72" s="803"/>
      <c r="I72" s="803"/>
      <c r="J72" s="851" t="s">
        <v>1142</v>
      </c>
      <c r="Q72" s="130" t="s">
        <v>1104</v>
      </c>
    </row>
    <row r="73" spans="1:18" ht="15.9" thickBot="1" x14ac:dyDescent="0.45">
      <c r="E73" s="135">
        <v>0.224</v>
      </c>
      <c r="F73" s="125" t="s">
        <v>772</v>
      </c>
      <c r="G73" s="125"/>
      <c r="J73" s="118" t="s">
        <v>1081</v>
      </c>
      <c r="L73" s="252">
        <f t="shared" ref="L73:P76" si="7">+L27-L63</f>
        <v>0</v>
      </c>
      <c r="M73" s="252">
        <f t="shared" si="7"/>
        <v>0</v>
      </c>
      <c r="N73" s="252">
        <f t="shared" si="7"/>
        <v>0</v>
      </c>
      <c r="O73" s="252">
        <f t="shared" si="7"/>
        <v>0</v>
      </c>
      <c r="P73" s="252">
        <f t="shared" si="7"/>
        <v>0</v>
      </c>
      <c r="Q73" s="252">
        <f>AVERAGE(L73:P73)</f>
        <v>0</v>
      </c>
    </row>
    <row r="74" spans="1:18" ht="15.45" x14ac:dyDescent="0.4">
      <c r="A74" s="1163" t="s">
        <v>1108</v>
      </c>
      <c r="B74" s="1164"/>
      <c r="C74" s="1164"/>
      <c r="D74" s="1164"/>
      <c r="E74" s="1164"/>
      <c r="F74" s="1164"/>
      <c r="G74" s="1164"/>
      <c r="H74" s="1164"/>
      <c r="I74" s="1165"/>
      <c r="J74" s="118" t="s">
        <v>1082</v>
      </c>
      <c r="L74" s="252">
        <f t="shared" si="7"/>
        <v>0</v>
      </c>
      <c r="M74" s="252">
        <f t="shared" si="7"/>
        <v>0</v>
      </c>
      <c r="N74" s="252">
        <f t="shared" si="7"/>
        <v>0</v>
      </c>
      <c r="O74" s="252">
        <f t="shared" si="7"/>
        <v>0</v>
      </c>
      <c r="P74" s="252">
        <f t="shared" si="7"/>
        <v>0</v>
      </c>
      <c r="Q74" s="252">
        <f t="shared" ref="Q74:Q76" si="8">AVERAGE(L74:P74)</f>
        <v>0</v>
      </c>
    </row>
    <row r="75" spans="1:18" ht="15.45" x14ac:dyDescent="0.4">
      <c r="A75" s="290"/>
      <c r="B75" s="291" t="s">
        <v>771</v>
      </c>
      <c r="C75" s="292"/>
      <c r="D75" s="292"/>
      <c r="E75" s="293"/>
      <c r="F75" s="293" t="s">
        <v>9</v>
      </c>
      <c r="G75" s="292"/>
      <c r="H75" s="292"/>
      <c r="I75" s="294"/>
      <c r="J75" s="118" t="s">
        <v>1084</v>
      </c>
      <c r="L75" s="252">
        <f t="shared" si="7"/>
        <v>0</v>
      </c>
      <c r="M75" s="252">
        <f t="shared" si="7"/>
        <v>0</v>
      </c>
      <c r="N75" s="252">
        <f t="shared" si="7"/>
        <v>0</v>
      </c>
      <c r="O75" s="252">
        <f t="shared" si="7"/>
        <v>0</v>
      </c>
      <c r="P75" s="252">
        <f t="shared" si="7"/>
        <v>0</v>
      </c>
      <c r="Q75" s="252">
        <f t="shared" si="8"/>
        <v>0</v>
      </c>
    </row>
    <row r="76" spans="1:18" ht="19.5" customHeight="1" x14ac:dyDescent="0.4">
      <c r="A76" s="290"/>
      <c r="B76" s="133" t="s">
        <v>770</v>
      </c>
      <c r="C76" s="133" t="s">
        <v>769</v>
      </c>
      <c r="D76" s="134" t="s">
        <v>1106</v>
      </c>
      <c r="E76" s="133" t="s">
        <v>768</v>
      </c>
      <c r="F76" s="132" t="s">
        <v>767</v>
      </c>
      <c r="G76" s="132" t="s">
        <v>766</v>
      </c>
      <c r="H76" s="132" t="s">
        <v>765</v>
      </c>
      <c r="I76" s="295" t="s">
        <v>764</v>
      </c>
      <c r="J76" s="118" t="s">
        <v>1085</v>
      </c>
      <c r="L76" s="252">
        <f t="shared" si="7"/>
        <v>0</v>
      </c>
      <c r="M76" s="252">
        <f t="shared" si="7"/>
        <v>0</v>
      </c>
      <c r="N76" s="252">
        <f t="shared" si="7"/>
        <v>0</v>
      </c>
      <c r="O76" s="252">
        <f t="shared" si="7"/>
        <v>0</v>
      </c>
      <c r="P76" s="252">
        <f t="shared" si="7"/>
        <v>0</v>
      </c>
      <c r="Q76" s="252">
        <f t="shared" si="8"/>
        <v>0</v>
      </c>
    </row>
    <row r="77" spans="1:18" ht="15.45" x14ac:dyDescent="0.4">
      <c r="A77" s="290"/>
      <c r="B77" s="296">
        <v>0</v>
      </c>
      <c r="C77" s="296">
        <v>1</v>
      </c>
      <c r="D77" s="292"/>
      <c r="E77" s="297">
        <v>1200</v>
      </c>
      <c r="F77" s="296">
        <f t="shared" ref="F77:F88" si="9">+(C77+B77)/2*1000</f>
        <v>500</v>
      </c>
      <c r="G77" s="296">
        <v>0</v>
      </c>
      <c r="H77" s="298">
        <f>+H78</f>
        <v>0.42857142857142855</v>
      </c>
      <c r="I77" s="299">
        <f t="shared" ref="I77:I88" si="10">+E77</f>
        <v>1200</v>
      </c>
      <c r="K77" s="838"/>
      <c r="L77" s="838"/>
      <c r="M77" s="838"/>
      <c r="N77" s="838"/>
      <c r="O77" s="838"/>
      <c r="P77" s="838"/>
    </row>
    <row r="78" spans="1:18" ht="15.45" x14ac:dyDescent="0.4">
      <c r="A78" s="290"/>
      <c r="B78" s="296">
        <v>0</v>
      </c>
      <c r="C78" s="296">
        <v>25</v>
      </c>
      <c r="D78" s="296" t="s">
        <v>763</v>
      </c>
      <c r="E78" s="300">
        <v>1200</v>
      </c>
      <c r="F78" s="296">
        <f t="shared" si="9"/>
        <v>12500</v>
      </c>
      <c r="G78" s="296">
        <f t="shared" ref="G78:G88" si="11">+F78*$E$73</f>
        <v>2800</v>
      </c>
      <c r="H78" s="298">
        <f t="shared" ref="H78:H88" si="12">+E78/G78</f>
        <v>0.42857142857142855</v>
      </c>
      <c r="I78" s="299">
        <f t="shared" si="10"/>
        <v>1200</v>
      </c>
      <c r="J78" s="838"/>
      <c r="K78" s="838"/>
      <c r="L78" s="838"/>
      <c r="M78" s="838"/>
      <c r="N78" s="838"/>
      <c r="O78" s="838"/>
      <c r="P78" s="838"/>
    </row>
    <row r="79" spans="1:18" ht="15.45" x14ac:dyDescent="0.4">
      <c r="A79" s="290"/>
      <c r="B79" s="296">
        <v>26</v>
      </c>
      <c r="C79" s="296">
        <v>75</v>
      </c>
      <c r="D79" s="296" t="s">
        <v>762</v>
      </c>
      <c r="E79" s="300">
        <v>2200</v>
      </c>
      <c r="F79" s="296">
        <f t="shared" si="9"/>
        <v>50500</v>
      </c>
      <c r="G79" s="296">
        <f t="shared" si="11"/>
        <v>11312</v>
      </c>
      <c r="H79" s="298">
        <f t="shared" si="12"/>
        <v>0.19448373408769448</v>
      </c>
      <c r="I79" s="301">
        <f t="shared" si="10"/>
        <v>2200</v>
      </c>
      <c r="J79" s="838"/>
      <c r="K79" s="838"/>
      <c r="L79" s="838"/>
      <c r="M79" s="838"/>
      <c r="N79" s="838"/>
      <c r="O79" s="838"/>
      <c r="P79" s="838"/>
    </row>
    <row r="80" spans="1:18" ht="15.45" x14ac:dyDescent="0.4">
      <c r="A80" s="290"/>
      <c r="B80" s="296">
        <v>76</v>
      </c>
      <c r="C80" s="296">
        <v>100</v>
      </c>
      <c r="D80" s="296" t="s">
        <v>761</v>
      </c>
      <c r="E80" s="300">
        <v>2500</v>
      </c>
      <c r="F80" s="296">
        <f t="shared" si="9"/>
        <v>88000</v>
      </c>
      <c r="G80" s="296">
        <f t="shared" si="11"/>
        <v>19712</v>
      </c>
      <c r="H80" s="298">
        <f t="shared" si="12"/>
        <v>0.12682629870129869</v>
      </c>
      <c r="I80" s="301">
        <f t="shared" si="10"/>
        <v>2500</v>
      </c>
      <c r="J80" s="838"/>
      <c r="K80" s="838"/>
      <c r="L80" s="838"/>
      <c r="M80" s="838"/>
      <c r="N80" s="838"/>
      <c r="O80" s="838"/>
      <c r="P80" s="838"/>
    </row>
    <row r="81" spans="1:16" ht="15.45" x14ac:dyDescent="0.4">
      <c r="A81" s="290"/>
      <c r="B81" s="296">
        <v>100</v>
      </c>
      <c r="C81" s="296">
        <v>150</v>
      </c>
      <c r="D81" s="296" t="s">
        <v>760</v>
      </c>
      <c r="E81" s="300">
        <v>3000</v>
      </c>
      <c r="F81" s="296">
        <f t="shared" si="9"/>
        <v>125000</v>
      </c>
      <c r="G81" s="296">
        <f t="shared" si="11"/>
        <v>28000</v>
      </c>
      <c r="H81" s="298">
        <f t="shared" si="12"/>
        <v>0.10714285714285714</v>
      </c>
      <c r="I81" s="301">
        <f t="shared" si="10"/>
        <v>3000</v>
      </c>
      <c r="J81" s="838"/>
      <c r="K81" s="838"/>
      <c r="L81" s="838"/>
      <c r="M81" s="838"/>
      <c r="N81" s="838"/>
      <c r="O81" s="838"/>
      <c r="P81" s="838"/>
    </row>
    <row r="82" spans="1:16" ht="15.45" x14ac:dyDescent="0.4">
      <c r="A82" s="290"/>
      <c r="B82" s="296">
        <v>151</v>
      </c>
      <c r="C82" s="296">
        <v>200</v>
      </c>
      <c r="D82" s="296" t="s">
        <v>759</v>
      </c>
      <c r="E82" s="300">
        <v>3500</v>
      </c>
      <c r="F82" s="296">
        <f t="shared" si="9"/>
        <v>175500</v>
      </c>
      <c r="G82" s="296">
        <f t="shared" si="11"/>
        <v>39312</v>
      </c>
      <c r="H82" s="298">
        <f t="shared" si="12"/>
        <v>8.903133903133903E-2</v>
      </c>
      <c r="I82" s="301">
        <f t="shared" si="10"/>
        <v>3500</v>
      </c>
      <c r="J82" s="838"/>
      <c r="K82" s="838"/>
      <c r="L82" s="838"/>
      <c r="M82" s="838"/>
      <c r="N82" s="838"/>
      <c r="O82" s="838"/>
      <c r="P82" s="838"/>
    </row>
    <row r="83" spans="1:16" ht="15.45" x14ac:dyDescent="0.4">
      <c r="A83" s="290"/>
      <c r="B83" s="296">
        <v>201</v>
      </c>
      <c r="C83" s="296">
        <v>250</v>
      </c>
      <c r="D83" s="296" t="s">
        <v>758</v>
      </c>
      <c r="E83" s="300">
        <v>3700</v>
      </c>
      <c r="F83" s="296">
        <f t="shared" si="9"/>
        <v>225500</v>
      </c>
      <c r="G83" s="296">
        <f t="shared" si="11"/>
        <v>50512</v>
      </c>
      <c r="H83" s="298">
        <f t="shared" si="12"/>
        <v>7.3249920810896416E-2</v>
      </c>
      <c r="I83" s="301">
        <f t="shared" si="10"/>
        <v>3700</v>
      </c>
      <c r="J83" s="838"/>
      <c r="K83" s="838"/>
      <c r="L83" s="838"/>
      <c r="M83" s="838"/>
      <c r="N83" s="838"/>
      <c r="O83" s="838"/>
      <c r="P83" s="838"/>
    </row>
    <row r="84" spans="1:16" ht="15.45" x14ac:dyDescent="0.4">
      <c r="A84" s="290"/>
      <c r="B84" s="296">
        <v>251</v>
      </c>
      <c r="C84" s="296">
        <v>300</v>
      </c>
      <c r="D84" s="296" t="s">
        <v>757</v>
      </c>
      <c r="E84" s="300">
        <v>3900</v>
      </c>
      <c r="F84" s="296">
        <f t="shared" si="9"/>
        <v>275500</v>
      </c>
      <c r="G84" s="296">
        <f t="shared" si="11"/>
        <v>61712</v>
      </c>
      <c r="H84" s="298">
        <f t="shared" si="12"/>
        <v>6.3196785066113564E-2</v>
      </c>
      <c r="I84" s="301">
        <f t="shared" si="10"/>
        <v>3900</v>
      </c>
      <c r="J84" s="838"/>
      <c r="K84" s="838"/>
      <c r="L84" s="838"/>
      <c r="M84" s="838"/>
      <c r="N84" s="838"/>
      <c r="O84" s="838"/>
      <c r="P84" s="838"/>
    </row>
    <row r="85" spans="1:16" ht="15.45" x14ac:dyDescent="0.4">
      <c r="A85" s="290"/>
      <c r="B85" s="296">
        <v>301</v>
      </c>
      <c r="C85" s="296">
        <v>400</v>
      </c>
      <c r="D85" s="296" t="s">
        <v>756</v>
      </c>
      <c r="E85" s="300">
        <v>4200</v>
      </c>
      <c r="F85" s="296">
        <f t="shared" si="9"/>
        <v>350500</v>
      </c>
      <c r="G85" s="296">
        <f t="shared" si="11"/>
        <v>78512</v>
      </c>
      <c r="H85" s="298">
        <f t="shared" si="12"/>
        <v>5.3495007132667617E-2</v>
      </c>
      <c r="I85" s="301">
        <f t="shared" si="10"/>
        <v>4200</v>
      </c>
      <c r="J85" s="838"/>
      <c r="K85" s="838"/>
      <c r="L85" s="838"/>
      <c r="M85" s="838"/>
      <c r="N85" s="838"/>
      <c r="O85" s="838"/>
      <c r="P85" s="838"/>
    </row>
    <row r="86" spans="1:16" ht="15.45" x14ac:dyDescent="0.4">
      <c r="A86" s="290"/>
      <c r="B86" s="296">
        <v>401</v>
      </c>
      <c r="C86" s="296">
        <v>500</v>
      </c>
      <c r="D86" s="296" t="s">
        <v>755</v>
      </c>
      <c r="E86" s="300">
        <v>4500</v>
      </c>
      <c r="F86" s="296">
        <f t="shared" si="9"/>
        <v>450500</v>
      </c>
      <c r="G86" s="296">
        <f t="shared" si="11"/>
        <v>100912</v>
      </c>
      <c r="H86" s="298">
        <f t="shared" si="12"/>
        <v>4.45933090217219E-2</v>
      </c>
      <c r="I86" s="301">
        <f t="shared" si="10"/>
        <v>4500</v>
      </c>
      <c r="J86" s="838"/>
      <c r="K86" s="838"/>
      <c r="L86" s="838"/>
      <c r="M86" s="838"/>
      <c r="N86" s="838"/>
      <c r="O86" s="838"/>
      <c r="P86" s="838"/>
    </row>
    <row r="87" spans="1:16" ht="15.45" x14ac:dyDescent="0.4">
      <c r="A87" s="290"/>
      <c r="B87" s="296">
        <v>501</v>
      </c>
      <c r="C87" s="296">
        <v>600</v>
      </c>
      <c r="D87" s="296" t="s">
        <v>754</v>
      </c>
      <c r="E87" s="300">
        <v>5000</v>
      </c>
      <c r="F87" s="296">
        <f t="shared" si="9"/>
        <v>550500</v>
      </c>
      <c r="G87" s="296">
        <f t="shared" si="11"/>
        <v>123312</v>
      </c>
      <c r="H87" s="298">
        <f t="shared" si="12"/>
        <v>4.0547554171532371E-2</v>
      </c>
      <c r="I87" s="301">
        <f t="shared" si="10"/>
        <v>5000</v>
      </c>
      <c r="J87" s="838"/>
      <c r="K87" s="838"/>
      <c r="L87" s="838"/>
      <c r="M87" s="838"/>
      <c r="N87" s="838"/>
      <c r="O87" s="838"/>
      <c r="P87" s="838"/>
    </row>
    <row r="88" spans="1:16" ht="15.9" thickBot="1" x14ac:dyDescent="0.45">
      <c r="A88" s="302"/>
      <c r="B88" s="303">
        <v>601</v>
      </c>
      <c r="C88" s="303">
        <v>601</v>
      </c>
      <c r="D88" s="303" t="s">
        <v>753</v>
      </c>
      <c r="E88" s="304">
        <v>6000</v>
      </c>
      <c r="F88" s="303">
        <f t="shared" si="9"/>
        <v>601000</v>
      </c>
      <c r="G88" s="303">
        <f t="shared" si="11"/>
        <v>134624</v>
      </c>
      <c r="H88" s="305">
        <f t="shared" si="12"/>
        <v>4.4568576182552888E-2</v>
      </c>
      <c r="I88" s="306">
        <f t="shared" si="10"/>
        <v>6000</v>
      </c>
      <c r="J88" s="838"/>
      <c r="K88" s="838"/>
      <c r="L88" s="838"/>
      <c r="M88" s="838"/>
      <c r="N88" s="838"/>
      <c r="O88" s="838"/>
      <c r="P88" s="838"/>
    </row>
    <row r="89" spans="1:16" x14ac:dyDescent="0.4">
      <c r="A89" s="803"/>
      <c r="B89" s="803"/>
      <c r="C89" s="803"/>
      <c r="D89" s="803"/>
      <c r="E89" s="803"/>
      <c r="F89" s="803"/>
      <c r="G89" s="803"/>
      <c r="H89" s="803"/>
      <c r="I89" s="803"/>
      <c r="J89" s="838"/>
      <c r="K89" s="838"/>
      <c r="L89" s="838"/>
      <c r="M89" s="838"/>
      <c r="N89" s="838"/>
      <c r="O89" s="838"/>
      <c r="P89" s="838"/>
    </row>
    <row r="90" spans="1:16" x14ac:dyDescent="0.4">
      <c r="J90" s="838"/>
      <c r="K90" s="838"/>
      <c r="L90" s="838"/>
      <c r="M90" s="838"/>
      <c r="N90" s="838"/>
      <c r="O90" s="838"/>
      <c r="P90" s="838"/>
    </row>
    <row r="91" spans="1:16" x14ac:dyDescent="0.4">
      <c r="J91" s="838"/>
      <c r="K91" s="838"/>
      <c r="L91" s="838"/>
      <c r="M91" s="838"/>
      <c r="N91" s="838"/>
      <c r="O91" s="838"/>
      <c r="P91" s="838"/>
    </row>
    <row r="92" spans="1:16" x14ac:dyDescent="0.4">
      <c r="J92" s="838"/>
      <c r="K92" s="838"/>
      <c r="L92" s="838"/>
      <c r="M92" s="838"/>
      <c r="N92" s="838"/>
      <c r="O92" s="838"/>
      <c r="P92" s="838"/>
    </row>
  </sheetData>
  <mergeCells count="1">
    <mergeCell ref="A74:I74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1A7B9-5087-4C13-B7C2-7966507D2DAB}">
  <dimension ref="A1:T66"/>
  <sheetViews>
    <sheetView workbookViewId="0">
      <selection activeCell="H24" sqref="H24"/>
    </sheetView>
  </sheetViews>
  <sheetFormatPr defaultRowHeight="14.6" x14ac:dyDescent="0.4"/>
  <cols>
    <col min="1" max="1" width="32.3046875" bestFit="1" customWidth="1"/>
    <col min="6" max="17" width="9.3046875" bestFit="1" customWidth="1"/>
  </cols>
  <sheetData>
    <row r="1" spans="1:20" ht="18.45" x14ac:dyDescent="0.5">
      <c r="A1" s="216" t="s">
        <v>817</v>
      </c>
      <c r="B1" s="211" t="s">
        <v>818</v>
      </c>
      <c r="C1" s="211" t="s">
        <v>819</v>
      </c>
      <c r="D1" s="211" t="s">
        <v>841</v>
      </c>
      <c r="F1" s="211" t="s">
        <v>828</v>
      </c>
      <c r="G1" s="211" t="s">
        <v>829</v>
      </c>
      <c r="H1" s="211" t="s">
        <v>830</v>
      </c>
      <c r="I1" s="211" t="s">
        <v>831</v>
      </c>
      <c r="J1" s="211" t="s">
        <v>832</v>
      </c>
      <c r="K1" s="211" t="s">
        <v>833</v>
      </c>
      <c r="L1" s="211" t="s">
        <v>834</v>
      </c>
      <c r="M1" s="211" t="s">
        <v>835</v>
      </c>
      <c r="N1" s="211" t="s">
        <v>836</v>
      </c>
      <c r="O1" s="211" t="s">
        <v>837</v>
      </c>
      <c r="P1" s="211" t="s">
        <v>838</v>
      </c>
      <c r="Q1" s="211" t="s">
        <v>839</v>
      </c>
      <c r="R1" s="211"/>
      <c r="S1" s="211"/>
      <c r="T1" s="211"/>
    </row>
    <row r="2" spans="1:20" s="98" customFormat="1" ht="18.45" x14ac:dyDescent="0.5">
      <c r="A2" s="216" t="s">
        <v>840</v>
      </c>
      <c r="B2" s="214">
        <v>0</v>
      </c>
      <c r="C2" s="214">
        <v>0</v>
      </c>
      <c r="D2" s="217">
        <f>B2+C2</f>
        <v>0</v>
      </c>
      <c r="F2" s="214">
        <v>0</v>
      </c>
      <c r="G2" s="214">
        <v>0</v>
      </c>
      <c r="H2" s="214">
        <v>0</v>
      </c>
      <c r="I2" s="214">
        <v>0</v>
      </c>
      <c r="J2" s="214">
        <v>0</v>
      </c>
      <c r="K2" s="214">
        <v>0</v>
      </c>
      <c r="L2" s="214">
        <v>0</v>
      </c>
      <c r="M2" s="214">
        <v>0</v>
      </c>
      <c r="N2" s="214">
        <v>0</v>
      </c>
      <c r="O2" s="214">
        <v>0</v>
      </c>
      <c r="P2" s="214">
        <v>0</v>
      </c>
      <c r="Q2" s="214">
        <v>0</v>
      </c>
      <c r="R2" s="211"/>
      <c r="S2" s="211"/>
      <c r="T2" s="211"/>
    </row>
    <row r="3" spans="1:20" ht="18.45" x14ac:dyDescent="0.5">
      <c r="A3" s="216" t="s">
        <v>852</v>
      </c>
      <c r="B3" s="214">
        <f t="shared" ref="B3:B8" si="0">AVERAGE(F3:Q3)</f>
        <v>96</v>
      </c>
      <c r="C3" s="214">
        <v>55</v>
      </c>
      <c r="D3" s="217">
        <f t="shared" ref="D3:D16" si="1">B3+C3</f>
        <v>151</v>
      </c>
      <c r="F3" s="215">
        <v>96</v>
      </c>
      <c r="G3" s="215">
        <v>96</v>
      </c>
      <c r="H3" s="215">
        <v>96</v>
      </c>
      <c r="I3" s="215">
        <v>96</v>
      </c>
      <c r="J3" s="215">
        <v>96</v>
      </c>
      <c r="K3" s="215">
        <v>96</v>
      </c>
      <c r="L3" s="215">
        <v>96</v>
      </c>
      <c r="M3" s="215">
        <v>96</v>
      </c>
      <c r="N3" s="215">
        <v>96</v>
      </c>
      <c r="O3" s="215">
        <v>96</v>
      </c>
      <c r="P3" s="215">
        <v>96</v>
      </c>
      <c r="Q3" s="215">
        <v>96</v>
      </c>
    </row>
    <row r="4" spans="1:20" ht="18.45" x14ac:dyDescent="0.5">
      <c r="A4" s="216" t="s">
        <v>813</v>
      </c>
      <c r="B4" s="214">
        <f t="shared" si="0"/>
        <v>126.5</v>
      </c>
      <c r="C4" s="214">
        <v>61</v>
      </c>
      <c r="D4" s="217">
        <f t="shared" si="1"/>
        <v>187.5</v>
      </c>
      <c r="F4" s="215">
        <v>115</v>
      </c>
      <c r="G4" s="215">
        <v>115</v>
      </c>
      <c r="H4" s="215">
        <v>115</v>
      </c>
      <c r="I4" s="215">
        <v>115</v>
      </c>
      <c r="J4" s="215">
        <v>115</v>
      </c>
      <c r="K4" s="215">
        <v>115</v>
      </c>
      <c r="L4" s="215">
        <v>115</v>
      </c>
      <c r="M4" s="215">
        <v>115</v>
      </c>
      <c r="N4" s="215">
        <v>161</v>
      </c>
      <c r="O4" s="215">
        <v>161</v>
      </c>
      <c r="P4" s="215">
        <v>161</v>
      </c>
      <c r="Q4" s="215">
        <v>115</v>
      </c>
    </row>
    <row r="5" spans="1:20" ht="18.45" x14ac:dyDescent="0.5">
      <c r="A5" s="216" t="s">
        <v>814</v>
      </c>
      <c r="B5" s="214">
        <f t="shared" si="0"/>
        <v>109</v>
      </c>
      <c r="C5" s="214">
        <v>61</v>
      </c>
      <c r="D5" s="217">
        <f t="shared" si="1"/>
        <v>170</v>
      </c>
      <c r="F5" s="215">
        <v>109</v>
      </c>
      <c r="G5" s="215">
        <v>109</v>
      </c>
      <c r="H5" s="215">
        <v>109</v>
      </c>
      <c r="I5" s="215">
        <v>109</v>
      </c>
      <c r="J5" s="215">
        <v>109</v>
      </c>
      <c r="K5" s="215">
        <v>109</v>
      </c>
      <c r="L5" s="215">
        <v>109</v>
      </c>
      <c r="M5" s="215">
        <v>109</v>
      </c>
      <c r="N5" s="215">
        <v>109</v>
      </c>
      <c r="O5" s="215">
        <v>109</v>
      </c>
      <c r="P5" s="215">
        <v>109</v>
      </c>
      <c r="Q5" s="215">
        <v>109</v>
      </c>
    </row>
    <row r="6" spans="1:20" ht="18.45" x14ac:dyDescent="0.5">
      <c r="A6" s="216" t="s">
        <v>815</v>
      </c>
      <c r="B6" s="214">
        <f t="shared" si="0"/>
        <v>121.66666666666667</v>
      </c>
      <c r="C6" s="214">
        <v>66</v>
      </c>
      <c r="D6" s="217">
        <f t="shared" si="1"/>
        <v>187.66666666666669</v>
      </c>
      <c r="F6" s="215">
        <v>114</v>
      </c>
      <c r="G6" s="215">
        <v>114</v>
      </c>
      <c r="H6" s="215">
        <v>114</v>
      </c>
      <c r="I6" s="215">
        <v>114</v>
      </c>
      <c r="J6" s="215">
        <v>114</v>
      </c>
      <c r="K6" s="215">
        <v>114</v>
      </c>
      <c r="L6" s="215">
        <v>114</v>
      </c>
      <c r="M6" s="215">
        <v>114</v>
      </c>
      <c r="N6" s="215">
        <v>114</v>
      </c>
      <c r="O6" s="215">
        <v>160</v>
      </c>
      <c r="P6" s="215">
        <v>160</v>
      </c>
      <c r="Q6" s="215">
        <v>114</v>
      </c>
    </row>
    <row r="7" spans="1:20" ht="18.45" x14ac:dyDescent="0.5">
      <c r="A7" s="216" t="s">
        <v>816</v>
      </c>
      <c r="B7" s="214">
        <f t="shared" si="0"/>
        <v>124.5</v>
      </c>
      <c r="C7" s="214">
        <v>71</v>
      </c>
      <c r="D7" s="217">
        <f t="shared" si="1"/>
        <v>195.5</v>
      </c>
      <c r="F7" s="215">
        <v>112</v>
      </c>
      <c r="G7" s="215">
        <v>112</v>
      </c>
      <c r="H7" s="215">
        <v>112</v>
      </c>
      <c r="I7" s="215">
        <v>112</v>
      </c>
      <c r="J7" s="215">
        <v>112</v>
      </c>
      <c r="K7" s="215">
        <v>112</v>
      </c>
      <c r="L7" s="215">
        <v>112</v>
      </c>
      <c r="M7" s="215">
        <v>112</v>
      </c>
      <c r="N7" s="215">
        <v>112</v>
      </c>
      <c r="O7" s="215">
        <v>187</v>
      </c>
      <c r="P7" s="215">
        <v>187</v>
      </c>
      <c r="Q7" s="215">
        <v>112</v>
      </c>
    </row>
    <row r="8" spans="1:20" ht="18.45" x14ac:dyDescent="0.5">
      <c r="A8" s="216" t="s">
        <v>853</v>
      </c>
      <c r="B8" s="214">
        <f t="shared" si="0"/>
        <v>96</v>
      </c>
      <c r="C8" s="214">
        <v>55</v>
      </c>
      <c r="D8" s="217">
        <f t="shared" si="1"/>
        <v>151</v>
      </c>
      <c r="F8" s="215">
        <v>96</v>
      </c>
      <c r="G8" s="215">
        <v>96</v>
      </c>
      <c r="H8" s="215">
        <v>96</v>
      </c>
      <c r="I8" s="215">
        <v>96</v>
      </c>
      <c r="J8" s="215">
        <v>96</v>
      </c>
      <c r="K8" s="215">
        <v>96</v>
      </c>
      <c r="L8" s="215">
        <v>96</v>
      </c>
      <c r="M8" s="215">
        <v>96</v>
      </c>
      <c r="N8" s="215">
        <v>96</v>
      </c>
      <c r="O8" s="215">
        <v>96</v>
      </c>
      <c r="P8" s="215">
        <v>96</v>
      </c>
      <c r="Q8" s="215">
        <v>96</v>
      </c>
    </row>
    <row r="9" spans="1:20" ht="18.45" x14ac:dyDescent="0.5">
      <c r="A9" s="216" t="s">
        <v>820</v>
      </c>
      <c r="B9" s="214">
        <f t="shared" ref="B9:B16" si="2">AVERAGE(F9:Q9)</f>
        <v>121.5</v>
      </c>
      <c r="C9" s="214">
        <v>66</v>
      </c>
      <c r="D9" s="217">
        <f t="shared" si="1"/>
        <v>187.5</v>
      </c>
      <c r="F9" s="215">
        <v>115</v>
      </c>
      <c r="G9" s="215">
        <v>115</v>
      </c>
      <c r="H9" s="215">
        <v>115</v>
      </c>
      <c r="I9" s="215">
        <v>115</v>
      </c>
      <c r="J9" s="215">
        <v>115</v>
      </c>
      <c r="K9" s="215">
        <v>115</v>
      </c>
      <c r="L9" s="215">
        <v>115</v>
      </c>
      <c r="M9" s="215">
        <v>115</v>
      </c>
      <c r="N9" s="215">
        <v>141</v>
      </c>
      <c r="O9" s="215">
        <v>141</v>
      </c>
      <c r="P9" s="215">
        <v>141</v>
      </c>
      <c r="Q9" s="215">
        <v>115</v>
      </c>
    </row>
    <row r="10" spans="1:20" ht="18.45" x14ac:dyDescent="0.5">
      <c r="A10" s="216" t="s">
        <v>821</v>
      </c>
      <c r="B10" s="214">
        <f t="shared" si="2"/>
        <v>106.5</v>
      </c>
      <c r="C10" s="214">
        <v>66</v>
      </c>
      <c r="D10" s="217">
        <f t="shared" si="1"/>
        <v>172.5</v>
      </c>
      <c r="F10" s="215">
        <v>101</v>
      </c>
      <c r="G10" s="215">
        <v>101</v>
      </c>
      <c r="H10" s="215">
        <v>101</v>
      </c>
      <c r="I10" s="215">
        <v>101</v>
      </c>
      <c r="J10" s="215">
        <v>101</v>
      </c>
      <c r="K10" s="215">
        <v>101</v>
      </c>
      <c r="L10" s="215">
        <v>101</v>
      </c>
      <c r="M10" s="215">
        <v>101</v>
      </c>
      <c r="N10" s="215">
        <v>101</v>
      </c>
      <c r="O10" s="215">
        <v>134</v>
      </c>
      <c r="P10" s="215">
        <v>134</v>
      </c>
      <c r="Q10" s="215">
        <v>101</v>
      </c>
    </row>
    <row r="11" spans="1:20" ht="18.45" x14ac:dyDescent="0.5">
      <c r="A11" s="216" t="s">
        <v>822</v>
      </c>
      <c r="B11" s="214">
        <f t="shared" si="2"/>
        <v>126.66666666666667</v>
      </c>
      <c r="C11" s="214">
        <v>66</v>
      </c>
      <c r="D11" s="217">
        <f t="shared" si="1"/>
        <v>192.66666666666669</v>
      </c>
      <c r="F11" s="215">
        <v>110</v>
      </c>
      <c r="G11" s="215">
        <v>130</v>
      </c>
      <c r="H11" s="215">
        <v>130</v>
      </c>
      <c r="I11" s="215">
        <v>130</v>
      </c>
      <c r="J11" s="215">
        <v>130</v>
      </c>
      <c r="K11" s="215">
        <v>130</v>
      </c>
      <c r="L11" s="215">
        <v>130</v>
      </c>
      <c r="M11" s="215">
        <v>130</v>
      </c>
      <c r="N11" s="215">
        <v>130</v>
      </c>
      <c r="O11" s="215">
        <v>130</v>
      </c>
      <c r="P11" s="215">
        <v>130</v>
      </c>
      <c r="Q11" s="215">
        <v>110</v>
      </c>
    </row>
    <row r="12" spans="1:20" ht="18.45" x14ac:dyDescent="0.5">
      <c r="A12" s="216" t="s">
        <v>823</v>
      </c>
      <c r="B12" s="214">
        <f t="shared" si="2"/>
        <v>117.33333333333333</v>
      </c>
      <c r="C12" s="214">
        <v>76</v>
      </c>
      <c r="D12" s="217">
        <f t="shared" si="1"/>
        <v>193.33333333333331</v>
      </c>
      <c r="F12" s="215">
        <v>108</v>
      </c>
      <c r="G12" s="215">
        <v>108</v>
      </c>
      <c r="H12" s="215">
        <v>108</v>
      </c>
      <c r="I12" s="215">
        <v>108</v>
      </c>
      <c r="J12" s="215">
        <v>108</v>
      </c>
      <c r="K12" s="215">
        <v>108</v>
      </c>
      <c r="L12" s="215">
        <v>108</v>
      </c>
      <c r="M12" s="215">
        <v>108</v>
      </c>
      <c r="N12" s="215">
        <v>108</v>
      </c>
      <c r="O12" s="215">
        <v>164</v>
      </c>
      <c r="P12" s="215">
        <v>164</v>
      </c>
      <c r="Q12" s="215">
        <v>108</v>
      </c>
      <c r="T12" s="213"/>
    </row>
    <row r="13" spans="1:20" ht="18.45" x14ac:dyDescent="0.5">
      <c r="A13" s="216" t="s">
        <v>824</v>
      </c>
      <c r="B13" s="214">
        <f t="shared" si="2"/>
        <v>100</v>
      </c>
      <c r="C13" s="214">
        <v>66</v>
      </c>
      <c r="D13" s="217">
        <f t="shared" si="1"/>
        <v>166</v>
      </c>
      <c r="F13" s="215">
        <v>100</v>
      </c>
      <c r="G13" s="215">
        <v>100</v>
      </c>
      <c r="H13" s="215">
        <v>100</v>
      </c>
      <c r="I13" s="215">
        <v>100</v>
      </c>
      <c r="J13" s="215">
        <v>100</v>
      </c>
      <c r="K13" s="215">
        <v>100</v>
      </c>
      <c r="L13" s="215">
        <v>100</v>
      </c>
      <c r="M13" s="215">
        <v>100</v>
      </c>
      <c r="N13" s="215">
        <v>100</v>
      </c>
      <c r="O13" s="215">
        <v>100</v>
      </c>
      <c r="P13" s="215">
        <v>100</v>
      </c>
      <c r="Q13" s="215">
        <v>100</v>
      </c>
    </row>
    <row r="14" spans="1:20" ht="18.45" x14ac:dyDescent="0.5">
      <c r="A14" s="216" t="s">
        <v>825</v>
      </c>
      <c r="B14" s="214">
        <f t="shared" si="2"/>
        <v>214.41666666666666</v>
      </c>
      <c r="C14" s="214">
        <v>76</v>
      </c>
      <c r="D14" s="217">
        <f t="shared" si="1"/>
        <v>290.41666666666663</v>
      </c>
      <c r="F14" s="215">
        <v>184</v>
      </c>
      <c r="G14" s="215">
        <v>184</v>
      </c>
      <c r="H14" s="215">
        <v>184</v>
      </c>
      <c r="I14" s="215">
        <v>184</v>
      </c>
      <c r="J14" s="215">
        <v>184</v>
      </c>
      <c r="K14" s="215">
        <v>184</v>
      </c>
      <c r="L14" s="215">
        <v>184</v>
      </c>
      <c r="M14" s="215">
        <v>257</v>
      </c>
      <c r="N14" s="215">
        <v>257</v>
      </c>
      <c r="O14" s="215">
        <v>257</v>
      </c>
      <c r="P14" s="215">
        <v>257</v>
      </c>
      <c r="Q14" s="215">
        <v>257</v>
      </c>
    </row>
    <row r="15" spans="1:20" ht="18.45" x14ac:dyDescent="0.5">
      <c r="A15" s="216" t="s">
        <v>826</v>
      </c>
      <c r="B15" s="214">
        <f t="shared" si="2"/>
        <v>108</v>
      </c>
      <c r="C15" s="214">
        <v>61</v>
      </c>
      <c r="D15" s="217">
        <f t="shared" si="1"/>
        <v>169</v>
      </c>
      <c r="F15" s="215">
        <v>108</v>
      </c>
      <c r="G15" s="215">
        <v>108</v>
      </c>
      <c r="H15" s="215">
        <v>108</v>
      </c>
      <c r="I15" s="215">
        <v>108</v>
      </c>
      <c r="J15" s="215">
        <v>108</v>
      </c>
      <c r="K15" s="215">
        <v>108</v>
      </c>
      <c r="L15" s="215">
        <v>108</v>
      </c>
      <c r="M15" s="215">
        <v>108</v>
      </c>
      <c r="N15" s="215">
        <v>108</v>
      </c>
      <c r="O15" s="215">
        <v>108</v>
      </c>
      <c r="P15" s="215">
        <v>108</v>
      </c>
      <c r="Q15" s="215">
        <v>108</v>
      </c>
    </row>
    <row r="16" spans="1:20" ht="18.45" x14ac:dyDescent="0.5">
      <c r="A16" s="216" t="s">
        <v>827</v>
      </c>
      <c r="B16" s="214">
        <f t="shared" si="2"/>
        <v>124</v>
      </c>
      <c r="C16" s="214">
        <v>71</v>
      </c>
      <c r="D16" s="217">
        <f t="shared" si="1"/>
        <v>195</v>
      </c>
      <c r="F16" s="215">
        <v>124</v>
      </c>
      <c r="G16" s="215">
        <v>124</v>
      </c>
      <c r="H16" s="215">
        <v>124</v>
      </c>
      <c r="I16" s="215">
        <v>124</v>
      </c>
      <c r="J16" s="215">
        <v>124</v>
      </c>
      <c r="K16" s="215">
        <v>124</v>
      </c>
      <c r="L16" s="215">
        <v>124</v>
      </c>
      <c r="M16" s="215">
        <v>124</v>
      </c>
      <c r="N16" s="215">
        <v>124</v>
      </c>
      <c r="O16" s="215">
        <v>124</v>
      </c>
      <c r="P16" s="215">
        <v>124</v>
      </c>
      <c r="Q16" s="215">
        <v>124</v>
      </c>
    </row>
    <row r="17" spans="1:12" x14ac:dyDescent="0.4">
      <c r="A17" s="211"/>
      <c r="B17" s="211"/>
      <c r="C17" s="211"/>
      <c r="D17" s="211"/>
    </row>
    <row r="18" spans="1:12" x14ac:dyDescent="0.4">
      <c r="A18" s="220" t="s">
        <v>854</v>
      </c>
      <c r="B18" s="211"/>
      <c r="C18" s="211"/>
      <c r="D18" s="211"/>
    </row>
    <row r="19" spans="1:12" x14ac:dyDescent="0.4">
      <c r="A19" s="211"/>
      <c r="B19" s="211"/>
      <c r="C19" s="211"/>
      <c r="D19" s="211"/>
    </row>
    <row r="20" spans="1:12" x14ac:dyDescent="0.4">
      <c r="A20" s="211"/>
      <c r="B20" s="211"/>
      <c r="C20" s="211"/>
      <c r="D20" s="211"/>
    </row>
    <row r="21" spans="1:12" x14ac:dyDescent="0.4">
      <c r="A21" s="211"/>
      <c r="B21" s="211"/>
      <c r="C21" s="211"/>
      <c r="D21" s="211"/>
    </row>
    <row r="22" spans="1:12" x14ac:dyDescent="0.4">
      <c r="B22" s="211"/>
      <c r="C22" s="211"/>
      <c r="D22" s="211"/>
    </row>
    <row r="23" spans="1:12" x14ac:dyDescent="0.4">
      <c r="B23" s="211"/>
      <c r="C23" s="211"/>
      <c r="D23" s="211"/>
      <c r="K23" s="212"/>
      <c r="L23" s="212"/>
    </row>
    <row r="24" spans="1:12" x14ac:dyDescent="0.4">
      <c r="A24" s="211"/>
      <c r="B24" s="211"/>
      <c r="C24" s="211"/>
      <c r="D24" s="211"/>
      <c r="K24" s="212"/>
      <c r="L24" s="212"/>
    </row>
    <row r="25" spans="1:12" x14ac:dyDescent="0.4">
      <c r="A25" s="211"/>
      <c r="B25" s="211"/>
      <c r="C25" s="211"/>
      <c r="D25" s="211"/>
      <c r="K25" s="212"/>
      <c r="L25" s="212"/>
    </row>
    <row r="26" spans="1:12" x14ac:dyDescent="0.4">
      <c r="A26" s="211"/>
      <c r="B26" s="211"/>
      <c r="C26" s="211"/>
      <c r="D26" s="211"/>
      <c r="K26" s="212"/>
      <c r="L26" s="212"/>
    </row>
    <row r="27" spans="1:12" x14ac:dyDescent="0.4">
      <c r="A27" s="211"/>
      <c r="B27" s="211"/>
      <c r="C27" s="211"/>
      <c r="D27" s="211"/>
      <c r="K27" s="212"/>
      <c r="L27" s="212"/>
    </row>
    <row r="28" spans="1:12" x14ac:dyDescent="0.4">
      <c r="A28" s="211"/>
      <c r="B28" s="211"/>
      <c r="C28" s="211"/>
      <c r="D28" s="211"/>
    </row>
    <row r="29" spans="1:12" x14ac:dyDescent="0.4">
      <c r="A29" s="211"/>
      <c r="B29" s="211"/>
      <c r="C29" s="211"/>
      <c r="D29" s="211"/>
      <c r="F29" s="212"/>
      <c r="G29" s="212"/>
    </row>
    <row r="30" spans="1:12" x14ac:dyDescent="0.4">
      <c r="A30" s="211"/>
      <c r="B30" s="211"/>
      <c r="C30" s="211"/>
      <c r="D30" s="211"/>
      <c r="F30" s="212"/>
      <c r="G30" s="212"/>
    </row>
    <row r="31" spans="1:12" x14ac:dyDescent="0.4">
      <c r="A31" s="211"/>
      <c r="B31" s="211"/>
      <c r="C31" s="211"/>
      <c r="D31" s="211"/>
      <c r="F31" s="212"/>
      <c r="G31" s="212"/>
    </row>
    <row r="32" spans="1:12" x14ac:dyDescent="0.4">
      <c r="A32" s="211"/>
      <c r="B32" s="211"/>
      <c r="C32" s="211"/>
      <c r="D32" s="211"/>
      <c r="F32" s="212"/>
      <c r="G32" s="212"/>
    </row>
    <row r="33" spans="1:7" x14ac:dyDescent="0.4">
      <c r="A33" s="211"/>
      <c r="B33" s="211"/>
      <c r="C33" s="211"/>
      <c r="D33" s="211"/>
      <c r="F33" s="212"/>
      <c r="G33" s="212"/>
    </row>
    <row r="34" spans="1:7" x14ac:dyDescent="0.4">
      <c r="A34" s="211"/>
      <c r="B34" s="211"/>
      <c r="C34" s="211"/>
      <c r="D34" s="211"/>
      <c r="F34" s="212"/>
      <c r="G34" s="212"/>
    </row>
    <row r="35" spans="1:7" x14ac:dyDescent="0.4">
      <c r="A35" s="211"/>
      <c r="B35" s="211"/>
      <c r="C35" s="211"/>
      <c r="D35" s="211"/>
      <c r="F35" s="212"/>
      <c r="G35" s="212"/>
    </row>
    <row r="36" spans="1:7" x14ac:dyDescent="0.4">
      <c r="A36" s="211"/>
      <c r="B36" s="211"/>
      <c r="C36" s="211"/>
      <c r="D36" s="211"/>
    </row>
    <row r="65" spans="1:1" x14ac:dyDescent="0.4">
      <c r="A65" s="211"/>
    </row>
    <row r="66" spans="1:1" x14ac:dyDescent="0.4">
      <c r="A66" s="211"/>
    </row>
  </sheetData>
  <sheetProtection selectLockedCells="1"/>
  <phoneticPr fontId="32" type="noConversion"/>
  <hyperlinks>
    <hyperlink ref="A18" r:id="rId1" xr:uid="{45167863-F0E6-4AF6-A6DF-A02C56E34CC2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FDCA8F8-AE03-498B-A7E7-38ACBBE479D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6</vt:i4>
      </vt:variant>
    </vt:vector>
  </HeadingPairs>
  <TitlesOfParts>
    <vt:vector size="21" baseType="lpstr">
      <vt:lpstr>Estimate Total</vt:lpstr>
      <vt:lpstr>Project Materials</vt:lpstr>
      <vt:lpstr>Area A</vt:lpstr>
      <vt:lpstr>Area B</vt:lpstr>
      <vt:lpstr>Area C</vt:lpstr>
      <vt:lpstr>Area D</vt:lpstr>
      <vt:lpstr>Grab Rail</vt:lpstr>
      <vt:lpstr>Project Labor</vt:lpstr>
      <vt:lpstr>Take Off</vt:lpstr>
      <vt:lpstr>Item List</vt:lpstr>
      <vt:lpstr>Grab Rail Item List</vt:lpstr>
      <vt:lpstr>Write up</vt:lpstr>
      <vt:lpstr>Rail Run Calculations</vt:lpstr>
      <vt:lpstr>Work Area</vt:lpstr>
      <vt:lpstr>Per Diem</vt:lpstr>
      <vt:lpstr>'Area A'!_AreaA</vt:lpstr>
      <vt:lpstr>'Area B'!Print_Area</vt:lpstr>
      <vt:lpstr>'Area C'!Print_Area</vt:lpstr>
      <vt:lpstr>'Area D'!Print_Area</vt:lpstr>
      <vt:lpstr>'Estimate Total'!Print_Area</vt:lpstr>
      <vt:lpstr>'Project Materials'!Print_Area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Richard Monnie</dc:creator>
  <cp:lastModifiedBy>Owner</cp:lastModifiedBy>
  <cp:lastPrinted>2020-12-02T02:17:02Z</cp:lastPrinted>
  <dcterms:created xsi:type="dcterms:W3CDTF">2017-09-11T15:48:22Z</dcterms:created>
  <dcterms:modified xsi:type="dcterms:W3CDTF">2021-03-23T17:39:17Z</dcterms:modified>
</cp:coreProperties>
</file>