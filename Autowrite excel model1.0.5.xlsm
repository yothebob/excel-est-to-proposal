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54CE73BB-5A96-4D09-A997-1393ED8FEC92}" xr6:coauthVersionLast="46" xr6:coauthVersionMax="46" xr10:uidLastSave="{00000000-0000-0000-0000-000000000000}"/>
  <bookViews>
    <workbookView xWindow="45972" yWindow="-108" windowWidth="30936" windowHeight="16896" activeTab="11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D2" i="18" l="1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0" i="4"/>
  <c r="N190" i="4"/>
  <c r="U190" i="4"/>
  <c r="AB190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AK171" i="4"/>
  <c r="AK170" i="4"/>
  <c r="AK169" i="4"/>
  <c r="AK168" i="4"/>
  <c r="AK172" i="4"/>
  <c r="AJ172" i="4"/>
  <c r="AI172" i="4"/>
  <c r="AH172" i="4"/>
  <c r="AJ171" i="4"/>
  <c r="AJ170" i="4"/>
  <c r="AJ169" i="4"/>
  <c r="AJ168" i="4"/>
  <c r="AI171" i="4"/>
  <c r="AI170" i="4"/>
  <c r="AI169" i="4"/>
  <c r="AI168" i="4"/>
  <c r="AH171" i="4"/>
  <c r="AH170" i="4"/>
  <c r="AH169" i="4"/>
  <c r="AH168" i="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J46" i="35" s="1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I51" i="35" l="1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3" i="4" s="1"/>
  <c r="D5" i="32"/>
  <c r="AK312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1" i="4"/>
  <c r="AK281" i="4"/>
  <c r="AK285" i="4"/>
  <c r="AK304" i="4"/>
  <c r="AK282" i="4"/>
  <c r="AK286" i="4"/>
  <c r="I71" i="5"/>
  <c r="AK283" i="4"/>
  <c r="AK287" i="4"/>
  <c r="AK280" i="4"/>
  <c r="AK284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89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2" i="4"/>
  <c r="AJ311" i="4"/>
  <c r="G7" i="31"/>
  <c r="J7" i="31" s="1"/>
  <c r="AJ282" i="4"/>
  <c r="AJ286" i="4"/>
  <c r="AJ283" i="4"/>
  <c r="AJ281" i="4"/>
  <c r="AJ285" i="4"/>
  <c r="AJ287" i="4"/>
  <c r="AJ284" i="4"/>
  <c r="AJ280" i="4"/>
  <c r="AJ62" i="4"/>
  <c r="AJ303" i="4"/>
  <c r="AJ304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1" i="4"/>
  <c r="AH282" i="4"/>
  <c r="AH283" i="4"/>
  <c r="AH284" i="4"/>
  <c r="AH285" i="4"/>
  <c r="AH286" i="4"/>
  <c r="AH287" i="4"/>
  <c r="AH280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1" i="4" l="1"/>
  <c r="AI285" i="4"/>
  <c r="AI280" i="4"/>
  <c r="AI284" i="4"/>
  <c r="AI282" i="4"/>
  <c r="AI286" i="4"/>
  <c r="AI283" i="4"/>
  <c r="AI287" i="4"/>
  <c r="AI303" i="4"/>
  <c r="AI304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2" i="4" l="1"/>
  <c r="E157" i="31"/>
  <c r="I157" i="31" s="1"/>
  <c r="F157" i="31"/>
  <c r="C157" i="31"/>
  <c r="AI311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1" i="4"/>
  <c r="AI201" i="4"/>
  <c r="AJ201" i="4"/>
  <c r="AK201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7" i="4"/>
  <c r="AK319" i="4"/>
  <c r="AK320" i="4"/>
  <c r="AK321" i="4"/>
  <c r="AK322" i="4"/>
  <c r="E229" i="32" s="1"/>
  <c r="AK323" i="4"/>
  <c r="AK324" i="4"/>
  <c r="AK325" i="4"/>
  <c r="AK326" i="4"/>
  <c r="AK316" i="4"/>
  <c r="E228" i="32" s="1"/>
  <c r="AJ317" i="4"/>
  <c r="AJ319" i="4"/>
  <c r="AJ320" i="4"/>
  <c r="AJ321" i="4"/>
  <c r="AJ322" i="4"/>
  <c r="E229" i="31" s="1"/>
  <c r="AJ323" i="4"/>
  <c r="AJ324" i="4"/>
  <c r="AJ325" i="4"/>
  <c r="AJ326" i="4"/>
  <c r="AJ316" i="4"/>
  <c r="E228" i="31" s="1"/>
  <c r="AI317" i="4"/>
  <c r="AI319" i="4"/>
  <c r="AI320" i="4"/>
  <c r="AI321" i="4"/>
  <c r="AI322" i="4"/>
  <c r="E229" i="30" s="1"/>
  <c r="AI323" i="4"/>
  <c r="AI324" i="4"/>
  <c r="AI325" i="4"/>
  <c r="AI326" i="4"/>
  <c r="AI316" i="4"/>
  <c r="E228" i="30" s="1"/>
  <c r="AH317" i="4"/>
  <c r="AH319" i="4"/>
  <c r="AH320" i="4"/>
  <c r="AH321" i="4"/>
  <c r="AH322" i="4"/>
  <c r="AH323" i="4"/>
  <c r="AH324" i="4"/>
  <c r="AH325" i="4"/>
  <c r="AH326" i="4"/>
  <c r="AH316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7" i="4"/>
  <c r="AK307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6" i="4"/>
  <c r="AK297" i="4"/>
  <c r="AK298" i="4"/>
  <c r="AK299" i="4"/>
  <c r="AK300" i="4"/>
  <c r="AK301" i="4"/>
  <c r="AK302" i="4"/>
  <c r="AK295" i="4"/>
  <c r="E211" i="32" s="1"/>
  <c r="AK273" i="4"/>
  <c r="AK274" i="4"/>
  <c r="AK275" i="4"/>
  <c r="AK272" i="4"/>
  <c r="AK258" i="4"/>
  <c r="E199" i="32" s="1"/>
  <c r="AH258" i="4"/>
  <c r="AI258" i="4"/>
  <c r="AK255" i="4"/>
  <c r="AK256" i="4"/>
  <c r="AK257" i="4"/>
  <c r="AK254" i="4"/>
  <c r="AK243" i="4"/>
  <c r="AK207" i="4"/>
  <c r="AK206" i="4"/>
  <c r="AK193" i="4"/>
  <c r="AK194" i="4"/>
  <c r="AK195" i="4"/>
  <c r="AK196" i="4"/>
  <c r="AK197" i="4"/>
  <c r="AK198" i="4"/>
  <c r="AK199" i="4"/>
  <c r="AK200" i="4"/>
  <c r="AK202" i="4"/>
  <c r="AK203" i="4"/>
  <c r="AK204" i="4"/>
  <c r="AK192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89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0" i="4" s="1"/>
  <c r="AK186" i="4"/>
  <c r="AK210" i="4"/>
  <c r="AK187" i="4"/>
  <c r="B50" i="7"/>
  <c r="E50" i="7" s="1"/>
  <c r="B49" i="7"/>
  <c r="E49" i="7" s="1"/>
  <c r="I100" i="32" l="1"/>
  <c r="G26" i="32"/>
  <c r="K74" i="5" s="1"/>
  <c r="P13" i="5"/>
  <c r="AK279" i="4" s="1"/>
  <c r="E204" i="32" s="1"/>
  <c r="AK205" i="4"/>
  <c r="AK240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4" i="4"/>
  <c r="AK306" i="4"/>
  <c r="E227" i="32" s="1"/>
  <c r="AK276" i="4"/>
  <c r="I128" i="32"/>
  <c r="G128" i="32"/>
  <c r="G44" i="32"/>
  <c r="K76" i="5" s="1"/>
  <c r="J40" i="32"/>
  <c r="J98" i="32"/>
  <c r="J99" i="32"/>
  <c r="J100" i="32"/>
  <c r="R28" i="5"/>
  <c r="P11" i="5" s="1"/>
  <c r="AK305" i="4"/>
  <c r="AK266" i="4"/>
  <c r="AK267" i="4"/>
  <c r="AK268" i="4"/>
  <c r="AK269" i="4"/>
  <c r="B135" i="7"/>
  <c r="E135" i="7" s="1"/>
  <c r="B137" i="7"/>
  <c r="E137" i="7" s="1"/>
  <c r="AK293" i="4"/>
  <c r="AK237" i="4"/>
  <c r="AK219" i="4"/>
  <c r="AK235" i="4"/>
  <c r="AK224" i="4"/>
  <c r="AK249" i="4"/>
  <c r="AK163" i="4"/>
  <c r="AK290" i="4"/>
  <c r="AK220" i="4"/>
  <c r="AK291" i="4"/>
  <c r="AK248" i="4"/>
  <c r="AK242" i="4"/>
  <c r="AK234" i="4"/>
  <c r="AK212" i="4"/>
  <c r="AK216" i="4"/>
  <c r="AK221" i="4"/>
  <c r="AK225" i="4"/>
  <c r="AK211" i="4"/>
  <c r="AK250" i="4"/>
  <c r="AK165" i="4"/>
  <c r="AK159" i="4"/>
  <c r="AK160" i="4"/>
  <c r="AK156" i="4"/>
  <c r="AK278" i="4"/>
  <c r="AK271" i="4"/>
  <c r="AK246" i="4"/>
  <c r="AK232" i="4"/>
  <c r="AK218" i="4"/>
  <c r="AK227" i="4"/>
  <c r="AK247" i="4"/>
  <c r="AK229" i="4"/>
  <c r="E148" i="32" s="1"/>
  <c r="AK252" i="4"/>
  <c r="AK292" i="4"/>
  <c r="E203" i="32" s="1"/>
  <c r="AK253" i="4"/>
  <c r="AK236" i="4"/>
  <c r="AK231" i="4"/>
  <c r="AK213" i="4"/>
  <c r="AK217" i="4"/>
  <c r="AK222" i="4"/>
  <c r="AK226" i="4"/>
  <c r="AK166" i="4"/>
  <c r="AK251" i="4"/>
  <c r="AK157" i="4"/>
  <c r="AK162" i="4"/>
  <c r="AK161" i="4"/>
  <c r="AK233" i="4"/>
  <c r="AK214" i="4"/>
  <c r="AK223" i="4"/>
  <c r="AK167" i="4"/>
  <c r="AK158" i="4"/>
  <c r="AK277" i="4"/>
  <c r="AK215" i="4"/>
  <c r="AK228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D5" i="18" s="1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3" i="4"/>
  <c r="AJ274" i="4"/>
  <c r="AJ275" i="4"/>
  <c r="AJ272" i="4"/>
  <c r="AI273" i="4"/>
  <c r="AI274" i="4"/>
  <c r="AI275" i="4"/>
  <c r="AI272" i="4"/>
  <c r="AH273" i="4"/>
  <c r="AH274" i="4"/>
  <c r="AH275" i="4"/>
  <c r="AH272" i="4"/>
  <c r="E8" i="7"/>
  <c r="AJ255" i="4"/>
  <c r="AJ256" i="4"/>
  <c r="AJ257" i="4"/>
  <c r="AJ254" i="4"/>
  <c r="AI255" i="4"/>
  <c r="AI256" i="4"/>
  <c r="AI257" i="4"/>
  <c r="AI254" i="4"/>
  <c r="AH255" i="4"/>
  <c r="AH256" i="4"/>
  <c r="AH257" i="4"/>
  <c r="AH254" i="4"/>
  <c r="O15" i="24" l="1"/>
  <c r="T10" i="24"/>
  <c r="H10" i="24" s="1"/>
  <c r="AA10" i="24"/>
  <c r="I10" i="24" s="1"/>
  <c r="E29" i="7"/>
  <c r="C10" i="24" l="1"/>
  <c r="AI296" i="4"/>
  <c r="AJ296" i="4"/>
  <c r="AI297" i="4"/>
  <c r="AJ297" i="4"/>
  <c r="AI298" i="4"/>
  <c r="AJ298" i="4"/>
  <c r="AI299" i="4"/>
  <c r="E212" i="30" s="1"/>
  <c r="I212" i="30" s="1"/>
  <c r="AJ299" i="4"/>
  <c r="AI300" i="4"/>
  <c r="AJ300" i="4"/>
  <c r="AI301" i="4"/>
  <c r="AJ301" i="4"/>
  <c r="AI302" i="4"/>
  <c r="AJ302" i="4"/>
  <c r="AJ295" i="4"/>
  <c r="E211" i="31" s="1"/>
  <c r="AI295" i="4"/>
  <c r="E211" i="30" s="1"/>
  <c r="I211" i="30" s="1"/>
  <c r="AH296" i="4"/>
  <c r="AH297" i="4"/>
  <c r="AH298" i="4"/>
  <c r="AH299" i="4"/>
  <c r="AH300" i="4"/>
  <c r="AH301" i="4"/>
  <c r="AH302" i="4"/>
  <c r="AH295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4" i="4"/>
  <c r="AH303" i="4"/>
  <c r="E7" i="7"/>
  <c r="AJ258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4" i="4"/>
  <c r="AI204" i="4"/>
  <c r="AH204" i="4"/>
  <c r="AJ197" i="4"/>
  <c r="AI197" i="4"/>
  <c r="AH197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7" i="4"/>
  <c r="AI207" i="4"/>
  <c r="AH207" i="4"/>
  <c r="AJ206" i="4"/>
  <c r="AI206" i="4"/>
  <c r="AH206" i="4"/>
  <c r="AJ203" i="4"/>
  <c r="AI203" i="4"/>
  <c r="AH203" i="4"/>
  <c r="AJ202" i="4"/>
  <c r="AI202" i="4"/>
  <c r="AH202" i="4"/>
  <c r="AJ200" i="4"/>
  <c r="AI200" i="4"/>
  <c r="AH200" i="4"/>
  <c r="AJ199" i="4"/>
  <c r="AI199" i="4"/>
  <c r="AH199" i="4"/>
  <c r="AJ198" i="4"/>
  <c r="AI198" i="4"/>
  <c r="AH198" i="4"/>
  <c r="AJ196" i="4"/>
  <c r="AI196" i="4"/>
  <c r="AH196" i="4"/>
  <c r="AJ195" i="4"/>
  <c r="AI195" i="4"/>
  <c r="AH195" i="4"/>
  <c r="AJ194" i="4"/>
  <c r="AI194" i="4"/>
  <c r="AH194" i="4"/>
  <c r="AJ193" i="4"/>
  <c r="AI193" i="4"/>
  <c r="AH193" i="4"/>
  <c r="AI307" i="4"/>
  <c r="D14" i="5"/>
  <c r="I35" i="7" l="1"/>
  <c r="G35" i="7"/>
  <c r="AH307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3" i="4"/>
  <c r="AI313" i="4"/>
  <c r="AJ313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6" i="4"/>
  <c r="AI188" i="4" l="1"/>
  <c r="AI189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0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0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3" i="4"/>
  <c r="AI243" i="4"/>
  <c r="AH243" i="4"/>
  <c r="AJ192" i="4"/>
  <c r="AI192" i="4"/>
  <c r="AH192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2" i="4"/>
  <c r="AI276" i="4"/>
  <c r="AI294" i="4"/>
  <c r="AH311" i="4"/>
  <c r="I40" i="31"/>
  <c r="E128" i="31"/>
  <c r="G40" i="31"/>
  <c r="AI279" i="4"/>
  <c r="E204" i="30" s="1"/>
  <c r="AI205" i="4"/>
  <c r="AI240" i="4" s="1"/>
  <c r="R26" i="5"/>
  <c r="H11" i="5" s="1"/>
  <c r="D32" i="30" s="1"/>
  <c r="H32" i="30" s="1"/>
  <c r="AI305" i="4"/>
  <c r="AI267" i="4"/>
  <c r="AI268" i="4"/>
  <c r="AI269" i="4"/>
  <c r="AI266" i="4"/>
  <c r="AI248" i="4"/>
  <c r="AI246" i="4"/>
  <c r="AI247" i="4"/>
  <c r="AI253" i="4"/>
  <c r="AI291" i="4"/>
  <c r="AI293" i="4"/>
  <c r="AI292" i="4"/>
  <c r="AI290" i="4"/>
  <c r="E199" i="30" s="1"/>
  <c r="AI167" i="4"/>
  <c r="AI166" i="4"/>
  <c r="AI229" i="4"/>
  <c r="E144" i="30" s="1"/>
  <c r="AI232" i="4"/>
  <c r="AI234" i="4"/>
  <c r="AI231" i="4"/>
  <c r="AI224" i="4"/>
  <c r="AI236" i="4"/>
  <c r="AI278" i="4"/>
  <c r="AI237" i="4"/>
  <c r="AI277" i="4"/>
  <c r="AI235" i="4"/>
  <c r="AI306" i="4"/>
  <c r="J214" i="7"/>
  <c r="J213" i="7"/>
  <c r="J221" i="7"/>
  <c r="H6" i="7"/>
  <c r="G7" i="7"/>
  <c r="H7" i="7"/>
  <c r="I7" i="7" s="1"/>
  <c r="G8" i="7"/>
  <c r="H8" i="7"/>
  <c r="I8" i="7" s="1"/>
  <c r="I32" i="5"/>
  <c r="AI271" i="4"/>
  <c r="AI228" i="4"/>
  <c r="AI242" i="4"/>
  <c r="AI225" i="4"/>
  <c r="AI226" i="4"/>
  <c r="AI227" i="4"/>
  <c r="I33" i="5"/>
  <c r="AI159" i="4"/>
  <c r="AI222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7" i="4"/>
  <c r="AI211" i="4"/>
  <c r="AI218" i="4"/>
  <c r="AI216" i="4"/>
  <c r="AI214" i="4"/>
  <c r="AI212" i="4"/>
  <c r="AI215" i="4"/>
  <c r="AI213" i="4"/>
  <c r="AI250" i="4"/>
  <c r="AI251" i="4"/>
  <c r="AI160" i="4"/>
  <c r="AI221" i="4"/>
  <c r="AI252" i="4"/>
  <c r="AI220" i="4"/>
  <c r="AI233" i="4"/>
  <c r="AI157" i="4"/>
  <c r="AI165" i="4"/>
  <c r="AI161" i="4"/>
  <c r="AI163" i="4"/>
  <c r="AI223" i="4"/>
  <c r="AI219" i="4"/>
  <c r="AI156" i="4"/>
  <c r="AI162" i="4"/>
  <c r="AI249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5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4" i="4"/>
  <c r="N273" i="4"/>
  <c r="N43" i="4"/>
  <c r="N12" i="4"/>
  <c r="N272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89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3" i="4"/>
  <c r="AJ187" i="4"/>
  <c r="AH187" i="4"/>
  <c r="AJ210" i="4"/>
  <c r="AH210" i="4"/>
  <c r="AJ186" i="4"/>
  <c r="AI186" i="4"/>
  <c r="E22" i="7"/>
  <c r="E96" i="7" s="1"/>
  <c r="AH186" i="4"/>
  <c r="Q25" i="5"/>
  <c r="AH190" i="4" s="1"/>
  <c r="Q27" i="5"/>
  <c r="AJ190" i="4" s="1"/>
  <c r="D32" i="32" l="1"/>
  <c r="G32" i="32" s="1"/>
  <c r="L13" i="5"/>
  <c r="D13" i="5"/>
  <c r="AH279" i="4" s="1"/>
  <c r="E204" i="7" s="1"/>
  <c r="J41" i="30"/>
  <c r="J41" i="31"/>
  <c r="J44" i="31" s="1"/>
  <c r="O63" i="5" s="1"/>
  <c r="G44" i="31"/>
  <c r="I129" i="31"/>
  <c r="G129" i="31"/>
  <c r="I129" i="30"/>
  <c r="G129" i="30"/>
  <c r="AJ276" i="4"/>
  <c r="AJ294" i="4"/>
  <c r="AH276" i="4"/>
  <c r="AH294" i="4"/>
  <c r="I40" i="7"/>
  <c r="M37" i="5" s="1"/>
  <c r="I37" i="5"/>
  <c r="G40" i="7"/>
  <c r="I50" i="5"/>
  <c r="G40" i="30"/>
  <c r="E128" i="30"/>
  <c r="I128" i="30" s="1"/>
  <c r="M50" i="5"/>
  <c r="AJ205" i="4"/>
  <c r="AJ240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5" i="4"/>
  <c r="AH240" i="4" s="1"/>
  <c r="AH305" i="4"/>
  <c r="AH267" i="4"/>
  <c r="AH268" i="4"/>
  <c r="AH266" i="4"/>
  <c r="AH269" i="4"/>
  <c r="AH271" i="4"/>
  <c r="AJ305" i="4"/>
  <c r="AJ266" i="4"/>
  <c r="AJ267" i="4"/>
  <c r="AJ268" i="4"/>
  <c r="AJ269" i="4"/>
  <c r="AJ247" i="4"/>
  <c r="AJ248" i="4"/>
  <c r="AJ246" i="4"/>
  <c r="AJ253" i="4"/>
  <c r="AH246" i="4"/>
  <c r="AH247" i="4"/>
  <c r="AH248" i="4"/>
  <c r="AH253" i="4"/>
  <c r="AJ291" i="4"/>
  <c r="AJ293" i="4"/>
  <c r="AJ292" i="4"/>
  <c r="E203" i="31" s="1"/>
  <c r="AJ290" i="4"/>
  <c r="E199" i="31" s="1"/>
  <c r="AH291" i="4"/>
  <c r="AH292" i="4"/>
  <c r="AH290" i="4"/>
  <c r="E199" i="7" s="1"/>
  <c r="AH293" i="4"/>
  <c r="AH156" i="4"/>
  <c r="AH167" i="4"/>
  <c r="AH166" i="4"/>
  <c r="AJ166" i="4"/>
  <c r="AJ167" i="4"/>
  <c r="AJ231" i="4"/>
  <c r="AJ229" i="4"/>
  <c r="AJ232" i="4"/>
  <c r="AJ234" i="4"/>
  <c r="AH232" i="4"/>
  <c r="AH229" i="4"/>
  <c r="E144" i="7" s="1"/>
  <c r="AH234" i="4"/>
  <c r="AH231" i="4"/>
  <c r="AJ235" i="4"/>
  <c r="AJ237" i="4"/>
  <c r="AJ278" i="4"/>
  <c r="AJ236" i="4"/>
  <c r="AJ277" i="4"/>
  <c r="AJ306" i="4"/>
  <c r="E227" i="31" s="1"/>
  <c r="AH235" i="4"/>
  <c r="AH237" i="4"/>
  <c r="AH236" i="4"/>
  <c r="AH277" i="4"/>
  <c r="AH278" i="4"/>
  <c r="AH306" i="4"/>
  <c r="AJ224" i="4"/>
  <c r="AH224" i="4"/>
  <c r="I34" i="5"/>
  <c r="H12" i="7"/>
  <c r="G230" i="7"/>
  <c r="I230" i="7"/>
  <c r="AJ228" i="4"/>
  <c r="AJ225" i="4"/>
  <c r="AJ226" i="4"/>
  <c r="AJ227" i="4"/>
  <c r="AJ242" i="4"/>
  <c r="AH227" i="4"/>
  <c r="AH228" i="4"/>
  <c r="AH242" i="4"/>
  <c r="AH225" i="4"/>
  <c r="AH226" i="4"/>
  <c r="AJ271" i="4"/>
  <c r="AJ218" i="4"/>
  <c r="AJ216" i="4"/>
  <c r="AJ214" i="4"/>
  <c r="AJ212" i="4"/>
  <c r="AJ217" i="4"/>
  <c r="AJ215" i="4"/>
  <c r="AJ213" i="4"/>
  <c r="AJ211" i="4"/>
  <c r="AH216" i="4"/>
  <c r="AH212" i="4"/>
  <c r="AH217" i="4"/>
  <c r="AH213" i="4"/>
  <c r="AH218" i="4"/>
  <c r="AH214" i="4"/>
  <c r="AH215" i="4"/>
  <c r="AH211" i="4"/>
  <c r="AH158" i="4"/>
  <c r="AH252" i="4"/>
  <c r="AH249" i="4"/>
  <c r="AH161" i="4"/>
  <c r="AH162" i="4"/>
  <c r="AH157" i="4"/>
  <c r="AH165" i="4"/>
  <c r="AH250" i="4"/>
  <c r="AH160" i="4"/>
  <c r="AH159" i="4"/>
  <c r="AH251" i="4"/>
  <c r="AH163" i="4"/>
  <c r="AJ158" i="4"/>
  <c r="AJ251" i="4"/>
  <c r="AJ165" i="4"/>
  <c r="AJ161" i="4"/>
  <c r="AJ162" i="4"/>
  <c r="AJ157" i="4"/>
  <c r="AJ160" i="4"/>
  <c r="AJ159" i="4"/>
  <c r="AJ156" i="4"/>
  <c r="AJ252" i="4"/>
  <c r="AJ249" i="4"/>
  <c r="AJ163" i="4"/>
  <c r="AJ250" i="4"/>
  <c r="AJ220" i="4"/>
  <c r="AJ221" i="4"/>
  <c r="AJ223" i="4"/>
  <c r="AJ219" i="4"/>
  <c r="AJ233" i="4"/>
  <c r="AJ222" i="4"/>
  <c r="AH222" i="4"/>
  <c r="AH219" i="4"/>
  <c r="AH220" i="4"/>
  <c r="AH233" i="4"/>
  <c r="AH221" i="4"/>
  <c r="AH223" i="4"/>
  <c r="AJ279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4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5" i="4"/>
  <c r="U33" i="4"/>
  <c r="U15" i="4"/>
  <c r="U13" i="4"/>
  <c r="U12" i="4"/>
  <c r="U14" i="4"/>
  <c r="U31" i="4"/>
  <c r="U43" i="4"/>
  <c r="U36" i="4"/>
  <c r="U34" i="4"/>
  <c r="U274" i="4"/>
  <c r="U42" i="4"/>
  <c r="U32" i="4"/>
  <c r="U273" i="4"/>
  <c r="U41" i="4"/>
  <c r="U272" i="4"/>
  <c r="C200" i="31"/>
  <c r="F200" i="31"/>
  <c r="G200" i="31" s="1"/>
  <c r="G40" i="4"/>
  <c r="G41" i="4"/>
  <c r="G273" i="4"/>
  <c r="G32" i="4"/>
  <c r="G12" i="4"/>
  <c r="G14" i="4"/>
  <c r="G31" i="4"/>
  <c r="G13" i="4"/>
  <c r="G39" i="4"/>
  <c r="G43" i="4"/>
  <c r="G15" i="4"/>
  <c r="G272" i="4"/>
  <c r="G275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3" i="4"/>
  <c r="AB275" i="4"/>
  <c r="AB40" i="4"/>
  <c r="AB14" i="4"/>
  <c r="AB32" i="4"/>
  <c r="AB34" i="4"/>
  <c r="AB42" i="4"/>
  <c r="AB36" i="4"/>
  <c r="AB39" i="4"/>
  <c r="AB33" i="4"/>
  <c r="AB274" i="4"/>
  <c r="AB272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/>
  <c r="T14" i="24" l="1"/>
  <c r="H14" i="24" s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<sst xmlns="http://schemas.openxmlformats.org/spreadsheetml/2006/main" count="12006" uniqueCount="1181">
  <si>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</si>
  <si>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</si>
  <si>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</si>
  <si>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</si>
  <si>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</si>
  <si>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</si>
  <si>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</si>
  <si>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</si>
  <si>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</si>
  <si>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</si>
  <si>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</si>
  <si>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</si>
  <si>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</si>
  <si>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</si>
  <si>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</si>
  <si>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</si>
  <si>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</si>
  <si>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</si>
  <si>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</si>
  <si>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</si>
  <si>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</si>
  <si>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</si>
  <si>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</si>
  <si>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</si>
  <si>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</si>
  <si>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</si>
  <si>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</si>
  <si>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</si>
  <si>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</si>
  <si>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</si>
  <si>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</si>
  <si>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</si>
  <si>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</si>
  <si>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</si>
  <si>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</si>
  <si>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</si>
  <si>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</si>
  <si>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</si>
  <si>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</si>
  <si>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</si>
  <si>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</si>
  <si>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</si>
  <si>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</si>
  <si>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</si>
  <si>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</si>
  <si>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</si>
  <si>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</si>
  <si>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</si>
  <si>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</si>
  <si>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</si>
  <si>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</si>
  <si>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</si>
  <si>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</si>
  <si>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</si>
  <si>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</si>
  <si>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</si>
  <si>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</si>
  <si>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</si>
  <si>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</si>
  <si>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</si>
  <si>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</si>
  <si>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</si>
  <si>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</si>
  <si>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</si>
  <si>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</si>
  <si>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</si>
  <si>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</si>
  <si>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</si>
  <si>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</si>
  <si>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</si>
  <si>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</si>
  <si>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</si>
  <si>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</si>
  <si>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</si>
  <si>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</si>
  <si>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</si>
  <si>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</si>
  <si>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</si>
  <si>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</si>
  <si>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</si>
  <si>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</si>
  <si>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</si>
  <si>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</si>
  <si>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</si>
  <si>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</si>
  <si>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</si>
  <si>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</si>
  <si>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</si>
  <si>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</si>
  <si>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</si>
  <si>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</si>
  <si>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</si>
  <si>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</si>
  <si>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</si>
  <si>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</si>
  <si>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</si>
  <si>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</si>
  <si>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</si>
  <si>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</si>
  <si>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</si>
  <si>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</si>
  <si>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</si>
  <si>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</si>
  <si>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</si>
  <si>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</si>
  <si>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</si>
  <si>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</si>
  <si>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</si>
  <si>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</si>
  <si>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</si>
  <si>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</si>
  <si>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</si>
  <si>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</si>
  <si>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</si>
  <si>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</si>
  <si>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</si>
  <si>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</si>
  <si>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</si>
  <si>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</si>
  <si>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</si>
  <si>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</si>
  <si>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</si>
  <si>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</si>
  <si>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</si>
  <si>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</si>
  <si>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</si>
  <si>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</si>
  <si>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</si>
  <si>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</si>
  <si>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</si>
  <si>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</si>
  <si>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</si>
  <si>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</si>
  <si>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</si>
  <si>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</si>
  <si>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</si>
  <si>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</si>
  <si>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</si>
  <si>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</si>
  <si>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</si>
  <si>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</si>
  <si>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</si>
  <si>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</si>
  <si>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</si>
  <si>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</si>
  <si>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</si>
  <si>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</si>
  <si>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</si>
  <si>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</si>
  <si>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</si>
  <si>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</si>
  <si>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</si>
  <si>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</si>
  <si>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</si>
  <si>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</si>
  <si>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</si>
  <si>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</si>
  <si>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</si>
  <si>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</si>
  <si>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</si>
  <si>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</si>
  <si>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</si>
  <si>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</si>
  <si>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</si>
  <si>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</si>
  <si>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</si>
  <si>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</si>
  <si>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</si>
  <si>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</si>
  <si>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</si>
  <si>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</si>
  <si>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</si>
  <si>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</si>
  <si>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</si>
  <si>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</si>
  <si>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</si>
  <si>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</si>
  <si>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</si>
  <si>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</si>
  <si>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</si>
  <si>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</si>
  <si>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</si>
  <si>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</si>
  <si>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</si>
  <si>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</si>
  <si>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</si>
  <si>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</si>
  <si>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</si>
  <si>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</si>
  <si>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</si>
  <si>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</si>
  <si>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</si>
  <si>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</si>
  <si>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</si>
  <si>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</si>
  <si>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</si>
  <si>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</si>
  <si>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</si>
  <si>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</si>
  <si>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</si>
  <si>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</si>
  <si>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</si>
  <si>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</si>
  <si>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</si>
  <si>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</si>
  <si>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</si>
  <si>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</si>
  <si>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</si>
  <si>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</si>
  <si>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</si>
  <si>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</si>
  <si>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</si>
  <si>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</si>
  <si>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</si>
  <si>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</si>
  <si>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</si>
  <si>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</si>
  <si>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</si>
  <si>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</si>
  <si>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</si>
  <si>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</si>
  <si>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</si>
  <si>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</si>
  <si>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</si>
  <si>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</si>
  <si>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</si>
  <si>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</si>
  <si>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</si>
  <si>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</si>
  <si>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</si>
  <si>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</si>
  <si>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</si>
  <si>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</si>
  <si>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</si>
  <si>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</si>
  <si>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</si>
  <si>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</si>
  <si>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</si>
  <si>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</si>
  <si>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</si>
  <si>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</si>
  <si>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</si>
  <si>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</si>
  <si>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</si>
  <si>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</si>
  <si>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</si>
  <si>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</si>
  <si>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</si>
  <si>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</si>
  <si>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</si>
  <si>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</si>
  <si>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</si>
  <si>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</si>
  <si>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</si>
  <si>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</si>
  <si>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</si>
  <si>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</si>
  <si>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</si>
  <si>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</si>
  <si>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</si>
  <si>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</si>
  <si>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</si>
  <si>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</si>
  <si>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</si>
  <si>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</si>
  <si>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</si>
  <si>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</si>
  <si>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</si>
  <si>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</si>
  <si>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</si>
  <si>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</si>
  <si>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</si>
  <si>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</si>
  <si>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</si>
  <si>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</si>
  <si>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</si>
  <si>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</si>
  <si>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</si>
  <si>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</si>
  <si>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</si>
  <si>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</si>
  <si>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</si>
  <si>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</si>
  <si>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</si>
  <si>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</si>
  <si>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</si>
  <si>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</si>
  <si>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</si>
  <si>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</si>
  <si>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</si>
  <si>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</si>
  <si>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</si>
  <si>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</si>
  <si>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</si>
  <si>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</si>
  <si>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</si>
  <si>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</si>
  <si>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</si>
  <si>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</si>
  <si>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</si>
  <si>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</si>
  <si>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</si>
  <si>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</si>
  <si>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</si>
  <si>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</si>
  <si>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</si>
  <si>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</si>
  <si>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</si>
  <si>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</si>
  <si>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</si>
  <si>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</si>
  <si>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</si>
  <si>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</si>
  <si>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</si>
  <si>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</si>
  <si>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</si>
  <si>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</si>
  <si>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</si>
  <si>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</si>
  <si>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</si>
  <si>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</si>
  <si>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</si>
  <si>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</si>
  <si>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</si>
  <si>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</si>
  <si>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</si>
  <si>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</si>
  <si>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</si>
  <si>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</si>
  <si>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</si>
  <si>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</si>
  <si>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</si>
  <si>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</si>
  <si>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</si>
  <si>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</si>
  <si>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</si>
  <si>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</si>
  <si>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</si>
  <si>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</si>
  <si>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</si>
  <si>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</si>
  <si>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</si>
  <si>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</si>
  <si>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</si>
  <si>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</si>
  <si>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</si>
  <si>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</si>
  <si>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</si>
  <si>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</si>
  <si>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</si>
  <si>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</si>
  <si>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</si>
  <si>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</si>
  <si>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</si>
  <si>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</si>
  <si>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</si>
  <si>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</si>
  <si>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</si>
  <si>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</si>
  <si>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</si>
  <si>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</si>
  <si>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</si>
  <si>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</si>
  <si>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</si>
  <si>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</si>
  <si>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</si>
  <si>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</si>
  <si>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</si>
  <si>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</si>
  <si>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</si>
  <si>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</si>
  <si>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</si>
  <si>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</si>
  <si>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</si>
  <si>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</si>
  <si>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</si>
  <si>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</si>
  <si>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</si>
  <si>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</si>
  <si>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</si>
  <si>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</si>
  <si>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</si>
  <si>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</si>
  <si>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</si>
  <si>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</si>
  <si>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</si>
  <si>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</si>
  <si>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</si>
  <si>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</si>
  <si>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</si>
  <si>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</si>
  <si>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</si>
  <si>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</si>
  <si>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</si>
  <si>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</si>
  <si>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</si>
  <si>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</si>
  <si>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</si>
  <si>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</si>
  <si>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</si>
  <si>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</si>
  <si>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</si>
  <si>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</si>
  <si>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</si>
  <si>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</si>
  <si>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</si>
  <si>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</si>
  <si>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</si>
  <si>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</si>
  <si>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</si>
  <si>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</si>
  <si>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</si>
  <si>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</si>
  <si>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</si>
  <si>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</si>
  <si>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</si>
  <si>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</si>
  <si>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</si>
  <si>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</si>
  <si>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</si>
  <si>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</si>
  <si>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</si>
  <si>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</si>
  <si>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</si>
  <si>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</si>
  <si>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</si>
  <si>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</si>
  <si>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</si>
  <si>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</si>
  <si>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</si>
  <si>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</si>
  <si>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</si>
  <si>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</si>
  <si>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</si>
  <si>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</si>
  <si>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</si>
  <si>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</si>
  <si>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</si>
  <si>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</si>
  <si>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</si>
  <si>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</si>
  <si>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</si>
  <si>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</si>
  <si>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</si>
  <si>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</si>
  <si>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</si>
  <si>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</si>
  <si>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</si>
  <si>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</si>
  <si>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</si>
  <si>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</si>
  <si>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</si>
  <si>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</si>
  <si>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</si>
  <si>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</si>
  <si>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</si>
  <si>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</si>
  <si>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</si>
  <si>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</si>
  <si>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</si>
  <si>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</si>
  <si>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</si>
  <si>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</si>
  <si>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</si>
  <si>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</si>
  <si>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</si>
  <si>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</si>
  <si>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</si>
  <si>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</si>
  <si>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</si>
  <si>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</si>
  <si>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</si>
  <si>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</si>
  <si>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</si>
  <si>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</si>
  <si>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</si>
  <si>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</si>
  <si>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</si>
  <si>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</si>
  <si>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</si>
  <si>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</si>
  <si>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</si>
  <si>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</si>
  <si>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</si>
  <si>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</si>
  <si>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</si>
  <si>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</si>
  <si>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</si>
  <si>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</si>
  <si>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</si>
  <si>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</si>
  <si>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</si>
  <si>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</si>
  <si>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</si>
  <si>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</si>
  <si>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</si>
  <si>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</si>
  <si>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</si>
  <si>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</si>
  <si>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</si>
  <si>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</si>
  <si>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</si>
  <si>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</si>
  <si>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</si>
  <si>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</si>
  <si>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</si>
  <si>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</si>
  <si>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</si>
  <si>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</si>
  <si>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</si>
  <si>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</si>
  <si>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</si>
  <si>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</si>
  <si>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</si>
  <si>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</si>
  <si>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</si>
  <si>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</si>
  <si>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</si>
  <si>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</si>
  <si>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</si>
  <si>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</si>
  <si>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</si>
  <si>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</si>
  <si>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</si>
  <si>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</si>
  <si>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</si>
  <si>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</si>
  <si>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</si>
  <si>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</si>
  <si>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</si>
  <si>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</si>
  <si>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</si>
  <si>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</si>
  <si>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</si>
  <si>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</si>
  <si>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</si>
  <si>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</si>
  <si>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</si>
  <si>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</si>
  <si>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</si>
  <si>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</si>
  <si>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</si>
  <si>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</si>
  <si>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</si>
  <si>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</si>
  <si>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</si>
  <si>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</si>
  <si>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</si>
  <si>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</si>
  <si>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</si>
  <si>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</si>
  <si>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</si>
  <si>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</si>
  <si>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</si>
  <si>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</si>
  <si>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</si>
  <si>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</si>
  <si>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</si>
  <si>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</si>
  <si>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</si>
  <si>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</si>
  <si>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</si>
  <si>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</si>
  <si>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</si>
  <si>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</si>
  <si>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</si>
  <si>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</si>
  <si>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</si>
  <si>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</si>
  <si>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</si>
  <si>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</si>
  <si>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</si>
  <si>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</si>
  <si>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</si>
  <si>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</si>
  <si>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</si>
  <si>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</si>
  <si>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</si>
  <si>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</si>
  <si>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</si>
  <si>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</si>
  <si>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</si>
  <si>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</si>
  <si>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</si>
  <si>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</si>
  <si>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</si>
  <si>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</si>
  <si>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</si>
  <si>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</si>
  <si>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</si>
  <si>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</si>
  <si>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</si>
  <si>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</si>
  <si>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</si>
  <si>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</si>
  <si>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</si>
  <si>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</si>
  <si>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</si>
  <si>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</si>
  <si>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</si>
  <si>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</si>
  <si>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</si>
  <si>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</si>
  <si>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</si>
  <si>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</si>
  <si>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</si>
  <si>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</si>
  <si>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</si>
  <si>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</si>
  <si>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</si>
  <si>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</si>
  <si>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</si>
  <si>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</si>
  <si>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</si>
  <si>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</si>
  <si>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</si>
  <si>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</si>
  <si>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</si>
  <si>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</si>
  <si>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</si>
  <si>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</si>
  <si>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</si>
  <si>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</si>
  <si>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</si>
  <si>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</si>
  <si>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</si>
  <si>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</si>
  <si>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</si>
  <si>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</si>
  <si>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</si>
  <si>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</si>
  <si>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</si>
  <si>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</si>
  <si>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</si>
  <si>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</si>
  <si>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</si>
  <si>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</si>
  <si>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</si>
  <si>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</si>
  <si>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</si>
  <si>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</si>
  <si>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</si>
  <si>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</si>
  <si>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</si>
  <si>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</si>
  <si>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</si>
  <si>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</si>
  <si>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</si>
  <si>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</si>
  <si>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</si>
  <si>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</si>
  <si>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</si>
  <si>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</si>
  <si>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</si>
  <si>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</si>
  <si>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</si>
  <si>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</si>
  <si>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</si>
  <si>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</si>
  <si>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</si>
  <si>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</si>
  <si>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</si>
  <si>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</si>
  <si>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</si>
  <si>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</si>
  <si>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</si>
  <si>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</si>
  <si>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</si>
  <si>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</si>
  <si>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</si>
  <si>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</si>
  <si>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</si>
  <si>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</si>
  <si>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</si>
  <si>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</si>
  <si>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</si>
  <si>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</si>
  <si>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</si>
  <si>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</si>
  <si>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</si>
  <si>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</si>
  <si>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</si>
  <si>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</si>
  <si>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</si>
  <si>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</si>
  <si>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</si>
  <si>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</si>
  <si>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</si>
  <si>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</si>
  <si>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</si>
  <si>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</si>
  <si>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</si>
  <si>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</si>
  <si>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</si>
  <si>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</si>
  <si>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</si>
  <si>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</si>
  <si>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</si>
  <si>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</si>
  <si>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</si>
  <si>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</si>
  <si>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</si>
  <si>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</si>
  <si>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</si>
  <si>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</si>
  <si>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</si>
  <si>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</si>
  <si>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</si>
  <si>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</si>
  <si>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</si>
  <si>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</si>
  <si>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</si>
  <si>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</si>
  <si>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</si>
  <si>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</si>
  <si>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</si>
  <si>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</si>
  <si>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</si>
  <si>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</si>
  <si>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</si>
  <si>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</si>
  <si>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</si>
  <si>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</si>
  <si>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</si>
  <si>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</si>
  <si>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</si>
  <si>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</si>
  <si>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</si>
  <si>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</si>
  <si>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</si>
  <si>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</si>
  <si>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</si>
  <si>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</si>
  <si>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</si>
  <si>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</si>
  <si>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</si>
  <si>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</si>
  <si>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</si>
  <si>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</si>
  <si>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</si>
  <si>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</si>
  <si>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</si>
  <si>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</si>
  <si>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</si>
  <si>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</si>
  <si>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</si>
  <si>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</si>
  <si>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</si>
  <si>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</si>
  <si>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</si>
  <si>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</si>
  <si>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</si>
  <si>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</si>
  <si>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</si>
  <si>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</si>
  <si>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</si>
  <si>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</si>
  <si>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</si>
  <si>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</si>
  <si>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</si>
  <si>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</si>
  <si>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</si>
  <si>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</si>
  <si>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</si>
  <si>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</si>
  <si>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</si>
  <si>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</si>
  <si>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</si>
  <si>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</si>
  <si>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</si>
  <si>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</si>
  <si>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</si>
  <si>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</si>
  <si>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</si>
  <si>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</si>
  <si>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</si>
  <si>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</si>
  <si>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</si>
  <si>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</si>
  <si>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</si>
  <si>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</si>
  <si>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</si>
  <si>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</si>
  <si>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</si>
  <si>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</si>
  <si>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</si>
  <si>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</si>
  <si>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</si>
  <si>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</si>
  <si>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</si>
  <si>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</si>
  <si>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</si>
  <si>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</si>
  <si>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</si>
  <si>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</si>
  <si>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</si>
  <si>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</si>
  <si>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</si>
  <si>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</si>
  <si>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</si>
  <si>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</si>
  <si>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</si>
  <si>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</si>
  <si>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</si>
  <si>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</si>
  <si>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</si>
  <si>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</si>
  <si>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</si>
  <si>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</si>
  <si>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</si>
  <si>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</si>
  <si>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</si>
  <si>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</si>
  <si>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</si>
  <si>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</si>
  <si>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</si>
  <si>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</si>
  <si>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</si>
  <si>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</si>
  <si>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</si>
  <si>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</si>
  <si>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</si>
  <si>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</si>
  <si>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</si>
  <si>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</si>
  <si>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</si>
  <si>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</si>
  <si>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</si>
  <si>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</si>
  <si>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</si>
  <si>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</si>
  <si>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</si>
  <si>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</si>
  <si>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</si>
  <si>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</si>
  <si>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</si>
  <si>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</si>
  <si>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</si>
  <si>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</si>
  <si>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</si>
  <si>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</si>
  <si>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</si>
  <si>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</si>
  <si>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</si>
  <si>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</si>
  <si>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</si>
  <si>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</si>
  <si>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</si>
  <si>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</si>
  <si>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</si>
  <si>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</si>
  <si>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</si>
  <si>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</si>
  <si>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</si>
  <si>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</si>
  <si>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</si>
  <si>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</si>
  <si>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</si>
  <si>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</si>
  <si>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</si>
  <si>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</si>
  <si>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</si>
  <si>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</si>
  <si>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</si>
  <si>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</si>
  <si>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</si>
  <si>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</si>
  <si>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</si>
  <si>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</si>
  <si>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</si>
  <si>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</si>
  <si>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</si>
  <si>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</si>
  <si>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</si>
  <si>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</si>
  <si>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</si>
  <si>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</si>
  <si>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</si>
  <si>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</si>
  <si>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</si>
  <si>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</si>
  <si>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</si>
  <si>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</si>
  <si>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</si>
  <si>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</si>
  <si>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</si>
  <si>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</si>
  <si>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</si>
  <si>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</si>
  <si>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</si>
  <si>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</si>
  <si>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</si>
  <si>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</si>
  <si>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</si>
  <si>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</si>
  <si>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</si>
  <si>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</si>
  <si>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</si>
  <si>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</si>
  <si>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</si>
  <si>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</si>
  <si>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</si>
  <si>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</si>
  <si>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</si>
  <si>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</si>
  <si>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</si>
  <si>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</si>
  <si>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</si>
  <si>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</si>
  <si>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</si>
  <si>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</si>
  <si>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</si>
  <si>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</si>
  <si>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</si>
  <si>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</si>
  <si>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</si>
  <si>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</si>
  <si>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</si>
  <si>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</si>
  <si>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</si>
  <si>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</si>
  <si>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</si>
  <si>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</si>
  <si>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</si>
  <si>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</si>
  <si>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</si>
  <si>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</si>
  <si>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</si>
  <si>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</si>
  <si>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</si>
  <si>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</si>
  <si>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</si>
  <si>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</si>
  <si>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</si>
  <si>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</si>
  <si>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</si>
  <si>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</si>
  <si>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</si>
  <si>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</si>
  <si>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</si>
  <si>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</si>
  <si>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</si>
  <si>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</si>
  <si>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</si>
  <si>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</si>
  <si>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</si>
  <si>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</si>
  <si>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</si>
  <si>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</si>
  <si>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</si>
  <si>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</si>
  <si>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</si>
  <si>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</si>
  <si>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</si>
  <si>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</si>
  <si>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</si>
  <si>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</si>
  <si>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</si>
  <si>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</si>
  <si>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</si>
  <si>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</si>
  <si>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</si>
  <si>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</si>
  <si>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</si>
  <si>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</si>
  <si>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</si>
  <si>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</si>
  <si>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</si>
  <si>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</si>
  <si>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</si>
  <si>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</si>
  <si>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</si>
  <si>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</si>
  <si>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</si>
  <si>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</si>
  <si>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</si>
  <si>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</si>
  <si>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</si>
  <si>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</si>
  <si>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</si>
  <si>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</si>
  <si>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</si>
  <si>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</si>
  <si>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</si>
  <si>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</si>
  <si>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</si>
  <si>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</si>
  <si>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</si>
  <si>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</si>
  <si>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</si>
  <si>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</si>
  <si>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</si>
  <si>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</si>
  <si>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</si>
  <si>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</si>
  <si>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</si>
  <si>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</si>
  <si>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</si>
  <si>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</si>
  <si>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</si>
  <si>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</si>
  <si>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</si>
  <si>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</si>
  <si>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</si>
  <si>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</si>
  <si>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</si>
  <si>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</si>
  <si>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</si>
  <si>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</si>
  <si>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</si>
  <si>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</si>
  <si>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</si>
  <si>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</si>
  <si>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</si>
  <si>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</si>
  <si>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</si>
  <si>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</si>
  <si>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</si>
  <si>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</si>
  <si>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</si>
  <si>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</si>
  <si>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</si>
  <si>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</si>
  <si>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</si>
  <si>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</si>
  <si>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</si>
  <si>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</si>
  <si>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</si>
  <si>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</si>
  <si>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</si>
  <si>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</si>
  <si>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</si>
  <si>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</si>
  <si>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</si>
  <si>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</si>
  <si>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</si>
  <si>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</si>
  <si>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</si>
  <si>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</si>
  <si>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</si>
  <si>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</si>
  <si>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</si>
  <si>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</si>
  <si>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</si>
  <si>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</si>
  <si>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</si>
  <si>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</si>
  <si>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</si>
  <si>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</si>
  <si>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</si>
  <si>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</si>
  <si>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</si>
  <si>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</si>
  <si>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</si>
  <si>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</si>
  <si>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</si>
  <si>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</si>
  <si>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</si>
  <si>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</si>
  <si>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</si>
  <si>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</si>
  <si>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</si>
  <si>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</si>
  <si>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</si>
  <si>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</si>
  <si>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</si>
  <si>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</si>
  <si>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</si>
  <si>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</si>
  <si>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</si>
  <si>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</si>
  <si>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</si>
  <si>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</si>
  <si>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</si>
  <si>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</si>
  <si>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</si>
  <si>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</si>
  <si>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</si>
  <si>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</si>
  <si>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</si>
  <si>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</si>
  <si>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</si>
  <si>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</si>
  <si>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</si>
  <si>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</si>
  <si>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</si>
  <si>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</si>
  <si>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</si>
  <si>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</si>
  <si>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</si>
  <si>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</si>
  <si>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</si>
  <si>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</si>
  <si>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</si>
  <si>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</si>
  <si>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</si>
  <si>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</si>
  <si>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</si>
  <si>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</si>
  <si>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</si>
  <si>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</si>
  <si>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</si>
  <si>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</si>
  <si>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</si>
  <si>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</si>
  <si>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</si>
  <si>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</si>
  <si>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</si>
  <si>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</si>
  <si>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</si>
  <si>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</si>
  <si>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</si>
  <si>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</si>
  <si>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</si>
  <si>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</si>
  <si>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</si>
  <si>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</si>
  <si>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</si>
  <si>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</si>
  <si>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</si>
  <si>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</si>
  <si>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</si>
  <si>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</si>
  <si>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</si>
  <si>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</si>
  <si>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</si>
  <si>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</si>
  <si>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</si>
  <si>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</si>
  <si>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</si>
  <si>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</si>
  <si>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</si>
  <si>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</si>
  <si>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</si>
  <si>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</si>
  <si>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</si>
  <si>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</si>
  <si>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</si>
  <si>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</si>
  <si>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</si>
  <si>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</si>
  <si>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</si>
  <si>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</si>
  <si>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</si>
  <si>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</si>
  <si>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</si>
  <si>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</si>
  <si>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</si>
  <si>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</si>
  <si>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</si>
  <si>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</si>
  <si>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</si>
  <si>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</si>
  <si>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</si>
  <si>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</si>
  <si>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</si>
  <si>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</si>
  <si>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</si>
  <si>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</si>
  <si>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</si>
  <si>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</si>
  <si>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0 = NA|| 1 = 2' ||2= 3' ||3 = 4' ||4 = 5' ||5 = 6' ||6 = custom</t>
  </si>
  <si>
    <t xml:space="preserve">0 = Facia w bracket || 1 = steel angle || 2 = fascia direct || 3 = surface 5x5 || 4 = knife plate || 5 = angle brackets || 6 = 1line || 7 = 2line || 8 = 3line || 9 = custom 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</si>
  <si>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</si>
  <si>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</si>
  <si>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</si>
  <si>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</si>
  <si>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</si>
  <si>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</si>
  <si>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</si>
  <si>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</si>
  <si>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</si>
  <si>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</si>
  <si>
    <t>0 = BR200 || 1 = CRL Clad || 2 = BR100 || 3 = BR500 || 4 = NO BR || 5 = Wall mount GR || 6 = post mount GR || 7 = core hole GR || 8 = surface GR || 9 = custom</t>
  </si>
  <si>
    <t>0 = TR200 || 1 = TR375 || 2 = TR400 || 3 = CRL SS TR || 4 = NO TR || 5 = Coremount GR || 6 = post mount GR || 7 = Wall mount GR || 8  = custom</t>
  </si>
  <si>
    <t>area 1</t>
  </si>
  <si>
    <t>area 2</t>
  </si>
  <si>
    <t>area 3</t>
  </si>
  <si>
    <t>Area Names</t>
  </si>
  <si>
    <t>Detail options</t>
  </si>
  <si>
    <t>PLEASE DO NOT MESS WITH SHEET LAYOUT!!!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</si>
</sst>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  <font>
      <sz val="16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5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0" borderId="0" xfId="0"/>
    <xf numFmtId="0" fontId="27" fillId="0" borderId="0" xfId="0" applyFont="1" applyFill="1"/>
    <xf numFmtId="0" fontId="65" fillId="5" borderId="0" xfId="0" applyFont="1" applyFill="1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4" fontId="18" fillId="8" borderId="0" xfId="0" applyNumberFormat="1" applyFont="1" applyFill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0" fontId="18" fillId="9" borderId="0" xfId="0" applyFont="1" applyFill="1" applyAlignment="1">
      <alignment horizontal="left"/>
    </xf>
    <xf numFmtId="9" fontId="18" fillId="8" borderId="22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44" fontId="18" fillId="8" borderId="0" xfId="0" applyNumberFormat="1" applyFont="1" applyFill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0" fontId="18" fillId="3" borderId="4" xfId="0" applyFont="1" applyFill="1" applyBorder="1" applyAlignment="1">
      <alignment horizontal="left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44" fontId="18" fillId="29" borderId="0" xfId="0" applyNumberFormat="1" applyFont="1" applyFill="1" applyAlignment="1">
      <alignment horizontal="left"/>
    </xf>
    <xf numFmtId="0" fontId="18" fillId="29" borderId="0" xfId="0" applyFont="1" applyFill="1" applyAlignment="1">
      <alignment horizontal="left"/>
    </xf>
    <xf numFmtId="0" fontId="18" fillId="29" borderId="0" xfId="0" applyFont="1" applyFill="1" applyAlignment="1">
      <alignment horizontal="left" wrapText="1"/>
    </xf>
    <xf numFmtId="4" fontId="18" fillId="29" borderId="0" xfId="0" applyNumberFormat="1" applyFont="1" applyFill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44" fontId="4" fillId="29" borderId="0" xfId="0" applyNumberFormat="1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171" fontId="14" fillId="2" borderId="4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0" fontId="3" fillId="3" borderId="4" xfId="0" applyFont="1" applyFill="1" applyBorder="1" applyAlignment="1">
      <alignment horizontal="left"/>
    </xf>
    <xf numFmtId="44" fontId="18" fillId="4" borderId="0" xfId="0" applyNumberFormat="1" applyFont="1" applyFill="1" applyAlignment="1">
      <alignment horizontal="left"/>
    </xf>
    <xf numFmtId="44" fontId="18" fillId="4" borderId="0" xfId="2" applyFont="1" applyFill="1" applyAlignment="1">
      <alignment horizontal="left"/>
    </xf>
    <xf numFmtId="44" fontId="18" fillId="4" borderId="18" xfId="2" applyFont="1" applyFill="1" applyBorder="1" applyAlignment="1">
      <alignment horizontal="left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2" fontId="14" fillId="2" borderId="1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20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71" fontId="14" fillId="2" borderId="20" xfId="0" applyNumberFormat="1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44" fontId="4" fillId="9" borderId="0" xfId="0" applyNumberFormat="1" applyFont="1" applyFill="1" applyAlignment="1">
      <alignment horizontal="left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43" fontId="14" fillId="2" borderId="7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44" fontId="14" fillId="6" borderId="6" xfId="2" applyFont="1" applyFill="1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9" fontId="4" fillId="6" borderId="0" xfId="4" applyFont="1" applyFill="1" applyAlignment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4" fontId="18" fillId="9" borderId="0" xfId="0" applyNumberFormat="1" applyFont="1" applyFill="1" applyAlignment="1">
      <alignment horizontal="left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19" fillId="6" borderId="18" xfId="0" applyNumberFormat="1" applyFont="1" applyFill="1" applyBorder="1" applyAlignment="1">
      <alignment horizontal="center"/>
    </xf>
    <xf numFmtId="44" fontId="18" fillId="8" borderId="18" xfId="2" applyFont="1" applyFill="1" applyBorder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8" borderId="29" xfId="2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0" fontId="18" fillId="8" borderId="18" xfId="0" applyFont="1" applyFill="1" applyBorder="1" applyAlignment="1">
      <alignment horizontal="left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9" fillId="6" borderId="0" xfId="0" applyNumberFormat="1" applyFont="1" applyFill="1" applyAlignment="1">
      <alignment horizontal="right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43" fontId="14" fillId="2" borderId="4" xfId="0" applyNumberFormat="1" applyFont="1" applyFill="1" applyBorder="1" applyAlignment="1" applyProtection="1">
      <alignment horizontal="center" vertical="center"/>
    </xf>
    <xf numFmtId="2" fontId="14" fillId="2" borderId="3" xfId="0" applyNumberFormat="1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9" borderId="6" xfId="0" applyNumberFormat="1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18" fillId="4" borderId="18" xfId="0" applyFont="1" applyFill="1" applyBorder="1" applyAlignment="1">
      <alignment horizontal="left"/>
    </xf>
    <xf numFmtId="0" fontId="20" fillId="6" borderId="0" xfId="0" applyFont="1" applyFill="1" applyBorder="1" applyAlignment="1">
      <alignment horizontal="left" wrapText="1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 wrapText="1"/>
    </xf>
    <xf numFmtId="9" fontId="21" fillId="4" borderId="29" xfId="0" applyNumberFormat="1" applyFont="1" applyFill="1" applyBorder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0" fontId="1" fillId="21" borderId="0" xfId="11" applyAlignment="1" applyProtection="1">
      <alignment horizontal="center" vertical="center" wrapText="1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1" fillId="22" borderId="0" xfId="12" applyAlignment="1" applyProtection="1">
      <alignment horizontal="center" vertical="center" wrapText="1"/>
    </xf>
    <xf numFmtId="0" fontId="4" fillId="0" borderId="0" xfId="0" applyFont="1" applyAlignment="1" applyProtection="1">
      <alignment horizontal="center"/>
    </xf>
    <xf numFmtId="0" fontId="3" fillId="11" borderId="17" xfId="0" applyFont="1" applyFill="1" applyBorder="1" applyAlignment="1" applyProtection="1">
      <alignment horizontal="center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69" t="str">
        <f>IF('Project Materials'!D2="","",'Project Materials'!D2)</f>
        <v/>
      </c>
      <c r="D1" s="869"/>
      <c r="E1" s="869"/>
      <c r="F1" s="870" t="s">
        <v>490</v>
      </c>
      <c r="G1" s="870"/>
      <c r="H1" s="870"/>
      <c r="I1" s="870"/>
      <c r="J1" s="870"/>
      <c r="K1" s="870"/>
      <c r="L1" s="794"/>
      <c r="M1" s="869" t="str">
        <f>IF('Project Materials'!I2="","",'Project Materials'!I2)</f>
        <v/>
      </c>
      <c r="N1" s="869"/>
      <c r="O1" s="869"/>
      <c r="P1" s="871" t="s">
        <v>492</v>
      </c>
      <c r="Q1" s="871"/>
      <c r="R1" s="872" t="str">
        <f>IF('Project Materials'!N2="","",'Project Materials'!N2)</f>
        <v/>
      </c>
      <c r="S1" s="872"/>
      <c r="T1" s="872"/>
      <c r="U1" s="872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8" t="s">
        <v>1090</v>
      </c>
      <c r="P3" s="868"/>
      <c r="Q3" s="868"/>
      <c r="R3" s="868"/>
      <c r="S3" s="868"/>
      <c r="T3" s="868"/>
      <c r="U3" s="326"/>
      <c r="V3" s="867" t="s">
        <v>1083</v>
      </c>
      <c r="W3" s="867"/>
      <c r="X3" s="867"/>
      <c r="Y3" s="867"/>
      <c r="Z3" s="867"/>
      <c r="AA3" s="867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0</v>
      </c>
      <c r="I5" s="814">
        <f>+AA5</f>
        <v>0</v>
      </c>
      <c r="J5" s="815">
        <f>+T27</f>
        <v>0</v>
      </c>
      <c r="K5" s="816">
        <f>+AA27</f>
        <v>0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0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0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0</v>
      </c>
      <c r="D6" s="128">
        <f>+C6</f>
        <v>0</v>
      </c>
      <c r="E6" s="128">
        <f t="shared" ref="E6:G6" si="0">+D6</f>
        <v>0</v>
      </c>
      <c r="F6" s="128">
        <f t="shared" si="0"/>
        <v>0</v>
      </c>
      <c r="G6" s="128">
        <f t="shared" si="0"/>
        <v>0</v>
      </c>
      <c r="H6" s="128">
        <f>+C6</f>
        <v>0</v>
      </c>
      <c r="I6" s="128">
        <f>+H6</f>
        <v>0</v>
      </c>
      <c r="J6" s="128">
        <f t="shared" ref="J6:K6" si="1">+I6</f>
        <v>0</v>
      </c>
      <c r="K6" s="128">
        <f t="shared" si="1"/>
        <v>0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0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0</v>
      </c>
      <c r="E7" s="250">
        <f>+AA7</f>
        <v>0</v>
      </c>
      <c r="F7" s="250">
        <f>+T29</f>
        <v>0</v>
      </c>
      <c r="G7" s="250">
        <f>+AA29</f>
        <v>0</v>
      </c>
      <c r="H7" s="250">
        <f>+D7</f>
        <v>0</v>
      </c>
      <c r="I7" s="250">
        <f t="shared" ref="I7:K7" si="3">+E7</f>
        <v>0</v>
      </c>
      <c r="J7" s="250">
        <f t="shared" si="3"/>
        <v>0</v>
      </c>
      <c r="K7" s="250">
        <f t="shared" si="3"/>
        <v>0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0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0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0</v>
      </c>
      <c r="D9" s="252">
        <f>IF($T$5=0,0,+T9/$T$5)</f>
        <v>0</v>
      </c>
      <c r="E9" s="252">
        <f t="shared" ref="E9:E16" si="7">IF($AA$5=0,0,+AA9/$AA$5)</f>
        <v>0</v>
      </c>
      <c r="F9" s="252">
        <f t="shared" ref="F9:F16" si="8">IF($T$27=0,0,+T32/$T$27)</f>
        <v>0</v>
      </c>
      <c r="G9" s="252">
        <f t="shared" ref="G9:G16" si="9">IF($AA$27=0,0,+AA32/$AA$27)</f>
        <v>0</v>
      </c>
      <c r="H9" s="796">
        <f>+T9</f>
        <v>0</v>
      </c>
      <c r="I9" s="796">
        <f>+AA9</f>
        <v>0</v>
      </c>
      <c r="J9" s="796">
        <f>+T32</f>
        <v>0</v>
      </c>
      <c r="K9" s="122">
        <f>+AA32</f>
        <v>0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0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0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0</v>
      </c>
      <c r="D11" s="252">
        <f t="shared" si="10"/>
        <v>0</v>
      </c>
      <c r="E11" s="252">
        <f t="shared" si="7"/>
        <v>0</v>
      </c>
      <c r="F11" s="252">
        <f t="shared" si="8"/>
        <v>0</v>
      </c>
      <c r="G11" s="252">
        <f t="shared" si="9"/>
        <v>0</v>
      </c>
      <c r="H11" s="796">
        <f t="shared" si="11"/>
        <v>0</v>
      </c>
      <c r="I11" s="796">
        <f t="shared" si="12"/>
        <v>0</v>
      </c>
      <c r="J11" s="796">
        <f t="shared" si="13"/>
        <v>0</v>
      </c>
      <c r="K11" s="122">
        <f t="shared" si="14"/>
        <v>0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Rail'!J54</f>
        <v>0</v>
      </c>
      <c r="T11" s="296">
        <f t="shared" si="15"/>
        <v>0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Rail'!J54</f>
        <v>0</v>
      </c>
      <c r="AA11" s="296">
        <f t="shared" si="2"/>
        <v>0</v>
      </c>
      <c r="AB11" s="790"/>
    </row>
    <row r="12" spans="1:52" ht="15.45" x14ac:dyDescent="0.4">
      <c r="A12" s="118"/>
      <c r="B12" s="125" t="s">
        <v>749</v>
      </c>
      <c r="C12" s="251">
        <f t="shared" si="6"/>
        <v>0</v>
      </c>
      <c r="D12" s="252">
        <f t="shared" si="10"/>
        <v>0</v>
      </c>
      <c r="E12" s="252">
        <f t="shared" si="7"/>
        <v>0</v>
      </c>
      <c r="F12" s="252">
        <f t="shared" si="8"/>
        <v>0</v>
      </c>
      <c r="G12" s="252">
        <f t="shared" si="9"/>
        <v>0</v>
      </c>
      <c r="H12" s="796">
        <f t="shared" si="11"/>
        <v>0</v>
      </c>
      <c r="I12" s="796">
        <f t="shared" si="12"/>
        <v>0</v>
      </c>
      <c r="J12" s="796">
        <f t="shared" si="13"/>
        <v>0</v>
      </c>
      <c r="K12" s="122">
        <f t="shared" si="14"/>
        <v>0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0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0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0</v>
      </c>
      <c r="D14" s="252">
        <f t="shared" si="10"/>
        <v>0</v>
      </c>
      <c r="E14" s="252">
        <f t="shared" si="7"/>
        <v>0</v>
      </c>
      <c r="F14" s="252">
        <f t="shared" si="8"/>
        <v>0</v>
      </c>
      <c r="G14" s="252">
        <f t="shared" si="9"/>
        <v>0</v>
      </c>
      <c r="H14" s="796">
        <f t="shared" si="11"/>
        <v>0</v>
      </c>
      <c r="I14" s="796">
        <f t="shared" si="12"/>
        <v>0</v>
      </c>
      <c r="J14" s="796">
        <f t="shared" si="13"/>
        <v>0</v>
      </c>
      <c r="K14" s="122">
        <f t="shared" si="14"/>
        <v>0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0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0</v>
      </c>
      <c r="AB14" s="790"/>
    </row>
    <row r="15" spans="1:52" ht="15.45" x14ac:dyDescent="0.4">
      <c r="A15" s="118"/>
      <c r="B15" s="125" t="s">
        <v>745</v>
      </c>
      <c r="C15" s="142">
        <f t="shared" si="6"/>
        <v>0</v>
      </c>
      <c r="D15" s="253">
        <f t="shared" si="10"/>
        <v>0</v>
      </c>
      <c r="E15" s="253">
        <f t="shared" si="7"/>
        <v>0</v>
      </c>
      <c r="F15" s="253">
        <f t="shared" si="8"/>
        <v>0</v>
      </c>
      <c r="G15" s="253">
        <f t="shared" si="9"/>
        <v>0</v>
      </c>
      <c r="H15" s="798">
        <f t="shared" si="11"/>
        <v>0</v>
      </c>
      <c r="I15" s="798">
        <f t="shared" si="12"/>
        <v>0</v>
      </c>
      <c r="J15" s="798">
        <f t="shared" si="13"/>
        <v>0</v>
      </c>
      <c r="K15" s="133">
        <f t="shared" si="14"/>
        <v>0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0</v>
      </c>
      <c r="U15" s="292"/>
      <c r="V15" s="129">
        <f>+$M15*V9</f>
        <v>0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0</v>
      </c>
      <c r="AB15" s="790"/>
    </row>
    <row r="16" spans="1:52" ht="15.45" x14ac:dyDescent="0.4">
      <c r="A16" s="118"/>
      <c r="B16" s="127" t="s">
        <v>744</v>
      </c>
      <c r="C16" s="250">
        <f t="shared" si="6"/>
        <v>0</v>
      </c>
      <c r="D16" s="252">
        <f t="shared" si="10"/>
        <v>0</v>
      </c>
      <c r="E16" s="252">
        <f t="shared" si="7"/>
        <v>0</v>
      </c>
      <c r="F16" s="252">
        <f t="shared" si="8"/>
        <v>0</v>
      </c>
      <c r="G16" s="252">
        <f t="shared" si="9"/>
        <v>0</v>
      </c>
      <c r="H16" s="797">
        <f>SUM(H9:H15)</f>
        <v>0</v>
      </c>
      <c r="I16" s="797">
        <f t="shared" ref="I16:K16" si="21">SUM(I9:I15)</f>
        <v>0</v>
      </c>
      <c r="J16" s="797">
        <f t="shared" si="21"/>
        <v>0</v>
      </c>
      <c r="K16" s="797">
        <f t="shared" si="21"/>
        <v>0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0</v>
      </c>
      <c r="U16" s="292"/>
      <c r="V16" s="329">
        <f>SUM(V9:V15)</f>
        <v>0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0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0</v>
      </c>
      <c r="D18" s="252">
        <f>IF($T$5=0,0,+T18/$T$5)</f>
        <v>0</v>
      </c>
      <c r="E18" s="252">
        <f>IF($AA$5=0,0,+AA18/$AA$5)</f>
        <v>0</v>
      </c>
      <c r="F18" s="252">
        <f>IF($T$27=0,0,+T41/$T$27)</f>
        <v>0</v>
      </c>
      <c r="G18" s="252">
        <f>IF($AA$27=0,0,+AA41/$AA$27)</f>
        <v>0</v>
      </c>
      <c r="H18" s="795">
        <f>+T18</f>
        <v>0</v>
      </c>
      <c r="I18" s="795">
        <f>+AA18</f>
        <v>0</v>
      </c>
      <c r="J18" s="795">
        <f>+T41</f>
        <v>0</v>
      </c>
      <c r="K18" s="795">
        <f>+AA41</f>
        <v>0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0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0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0</v>
      </c>
      <c r="D20" s="252">
        <f>IF($T$5=0,0,+T20/$T$5)</f>
        <v>0</v>
      </c>
      <c r="E20" s="252">
        <f>IF($AA$5=0,0,+AA20/$AA$5)</f>
        <v>0</v>
      </c>
      <c r="F20" s="252">
        <f>IF($T$27=0,0,+T43/$T$27)</f>
        <v>0</v>
      </c>
      <c r="G20" s="252">
        <f>IF($AA$27=0,0,+AA43/$AA$27)</f>
        <v>0</v>
      </c>
      <c r="H20" s="799">
        <f>+H16+H18</f>
        <v>0</v>
      </c>
      <c r="I20" s="799">
        <f t="shared" ref="I20:K20" si="23">+I16+I18</f>
        <v>0</v>
      </c>
      <c r="J20" s="799">
        <f t="shared" si="23"/>
        <v>0</v>
      </c>
      <c r="K20" s="799">
        <f t="shared" si="23"/>
        <v>0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0</v>
      </c>
      <c r="U20" s="292"/>
      <c r="V20" s="329">
        <f>+V18+V16</f>
        <v>0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0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0</v>
      </c>
      <c r="I21" s="795">
        <f t="shared" ref="I21:K21" si="24">+I5-I20</f>
        <v>0</v>
      </c>
      <c r="J21" s="795">
        <f t="shared" si="24"/>
        <v>0</v>
      </c>
      <c r="K21" s="795">
        <f t="shared" si="24"/>
        <v>0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0</v>
      </c>
      <c r="U21" s="292"/>
      <c r="V21" s="329">
        <f>+V5-V20</f>
        <v>0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0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</v>
      </c>
      <c r="I22" s="800">
        <f t="shared" ref="I22:K22" si="25">IF(I5=0,0,+I21/I5)</f>
        <v>0</v>
      </c>
      <c r="J22" s="800">
        <f t="shared" si="25"/>
        <v>0</v>
      </c>
      <c r="K22" s="800">
        <f t="shared" si="25"/>
        <v>0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1</v>
      </c>
      <c r="E23" s="800">
        <f>100%-E16</f>
        <v>1</v>
      </c>
      <c r="F23" s="800">
        <f>100%-F16</f>
        <v>1</v>
      </c>
      <c r="G23" s="800">
        <f>100%-G16</f>
        <v>1</v>
      </c>
      <c r="H23" s="800">
        <f>+D23</f>
        <v>1</v>
      </c>
      <c r="I23" s="800">
        <f t="shared" ref="I23:K23" si="26">+E23</f>
        <v>1</v>
      </c>
      <c r="J23" s="800">
        <f t="shared" si="26"/>
        <v>1</v>
      </c>
      <c r="K23" s="800">
        <f t="shared" si="26"/>
        <v>1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6" t="s">
        <v>1088</v>
      </c>
      <c r="P25" s="866"/>
      <c r="Q25" s="866"/>
      <c r="R25" s="866"/>
      <c r="S25" s="866"/>
      <c r="T25" s="866"/>
      <c r="U25" s="125"/>
      <c r="V25" s="873" t="s">
        <v>1145</v>
      </c>
      <c r="W25" s="873"/>
      <c r="X25" s="873"/>
      <c r="Y25" s="873"/>
      <c r="Z25" s="873"/>
      <c r="AA25" s="873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0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0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0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0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0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0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0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Rail'!J54</f>
        <v>0</v>
      </c>
      <c r="T34" s="296">
        <f t="shared" si="31"/>
        <v>0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Rail'!J54</f>
        <v>0</v>
      </c>
      <c r="AA34" s="296">
        <f t="shared" si="32"/>
        <v>0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0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0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0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0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0</v>
      </c>
      <c r="U38" s="240"/>
      <c r="V38" s="129">
        <f>+$M15*V32</f>
        <v>0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0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0</v>
      </c>
      <c r="U39" s="240"/>
      <c r="V39" s="329">
        <f>SUM(V32:V38)</f>
        <v>0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0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0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0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0</v>
      </c>
      <c r="U43" s="240"/>
      <c r="V43" s="329">
        <f>+V41+V39</f>
        <v>0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0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0</v>
      </c>
      <c r="U44" s="240"/>
      <c r="V44" s="329">
        <f>+V27-V43</f>
        <v>0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0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O28" sqref="O28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1" t="s">
        <v>491</v>
      </c>
      <c r="C2" s="871"/>
      <c r="D2" s="931"/>
      <c r="E2" s="955"/>
      <c r="F2" s="932"/>
      <c r="G2" s="870" t="s">
        <v>490</v>
      </c>
      <c r="H2" s="870"/>
      <c r="I2" s="931"/>
      <c r="J2" s="955"/>
      <c r="K2" s="932"/>
      <c r="L2" s="871" t="s">
        <v>492</v>
      </c>
      <c r="M2" s="871"/>
      <c r="N2" s="946"/>
      <c r="O2" s="947"/>
      <c r="P2" s="948"/>
      <c r="Q2" s="871" t="s">
        <v>714</v>
      </c>
      <c r="R2" s="871"/>
      <c r="S2" s="974"/>
      <c r="T2" s="975"/>
      <c r="U2" s="976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966" t="str">
        <f>IF(C25="","Area A",C25)</f>
        <v>Area A</v>
      </c>
      <c r="C3" s="967"/>
      <c r="D3" s="968"/>
      <c r="E3" s="969"/>
      <c r="F3" s="963" t="str">
        <f>IF(C26="","Area B",C26)</f>
        <v>Area B</v>
      </c>
      <c r="G3" s="964"/>
      <c r="H3" s="964"/>
      <c r="I3" s="965"/>
      <c r="J3" s="958" t="str">
        <f>IF(C27="","Area C",C27)</f>
        <v>Area C</v>
      </c>
      <c r="K3" s="959"/>
      <c r="L3" s="960"/>
      <c r="M3" s="960"/>
      <c r="N3" s="983" t="str">
        <f>IF(C28="","Area D",C28)</f>
        <v>Area D</v>
      </c>
      <c r="O3" s="984"/>
      <c r="P3" s="984"/>
      <c r="Q3" s="985"/>
      <c r="R3" s="978" t="s">
        <v>468</v>
      </c>
      <c r="S3" s="979"/>
      <c r="T3" s="979"/>
      <c r="U3" s="979"/>
      <c r="V3" s="980"/>
      <c r="W3" s="980"/>
      <c r="X3" s="980"/>
      <c r="Y3" s="981"/>
      <c r="Z3" s="510">
        <f ca="1">TODAY()</f>
        <v>44264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970" t="s">
        <v>463</v>
      </c>
      <c r="C4" s="971"/>
      <c r="D4" s="972" t="s">
        <v>420</v>
      </c>
      <c r="E4" s="962"/>
      <c r="F4" s="970" t="s">
        <v>463</v>
      </c>
      <c r="G4" s="971"/>
      <c r="H4" s="961" t="s">
        <v>420</v>
      </c>
      <c r="I4" s="962"/>
      <c r="J4" s="970" t="s">
        <v>463</v>
      </c>
      <c r="K4" s="971"/>
      <c r="L4" s="961" t="s">
        <v>420</v>
      </c>
      <c r="M4" s="962"/>
      <c r="N4" s="970" t="s">
        <v>463</v>
      </c>
      <c r="O4" s="971"/>
      <c r="P4" s="972" t="s">
        <v>420</v>
      </c>
      <c r="Q4" s="962"/>
      <c r="R4" s="1079"/>
      <c r="S4" s="1079"/>
      <c r="T4" s="1079"/>
      <c r="U4" s="1079"/>
      <c r="V4" s="1079"/>
      <c r="W4" s="1079"/>
      <c r="X4" s="1079"/>
      <c r="Y4" s="1080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17" t="s">
        <v>483</v>
      </c>
      <c r="C5" s="918"/>
      <c r="D5" s="973">
        <f>IF('Area A'!B29&lt;&gt;"none",14.16,8.25)</f>
        <v>14.16</v>
      </c>
      <c r="E5" s="957"/>
      <c r="F5" s="917" t="s">
        <v>483</v>
      </c>
      <c r="G5" s="918"/>
      <c r="H5" s="956">
        <f>IF('Area B'!B29&lt;&gt;"none",14.16,8.25)</f>
        <v>8.25</v>
      </c>
      <c r="I5" s="957"/>
      <c r="J5" s="917" t="s">
        <v>483</v>
      </c>
      <c r="K5" s="918"/>
      <c r="L5" s="956">
        <f>IF('Area C'!B29&lt;&gt;"none",14.16,8.25)</f>
        <v>8.25</v>
      </c>
      <c r="M5" s="957"/>
      <c r="N5" s="917" t="s">
        <v>483</v>
      </c>
      <c r="O5" s="918"/>
      <c r="P5" s="973">
        <f>IF('Area D'!B29&lt;&gt;"none",14.16,8.25)</f>
        <v>8.25</v>
      </c>
      <c r="Q5" s="957"/>
      <c r="R5" s="1081"/>
      <c r="S5" s="1081"/>
      <c r="T5" s="1081"/>
      <c r="U5" s="1081"/>
      <c r="V5" s="1081"/>
      <c r="W5" s="1081"/>
      <c r="X5" s="1081"/>
      <c r="Y5" s="1082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17" t="s">
        <v>804</v>
      </c>
      <c r="C6" s="918"/>
      <c r="D6" s="944" t="s">
        <v>446</v>
      </c>
      <c r="E6" s="945"/>
      <c r="F6" s="917" t="s">
        <v>712</v>
      </c>
      <c r="G6" s="918"/>
      <c r="H6" s="944" t="s">
        <v>446</v>
      </c>
      <c r="I6" s="945"/>
      <c r="J6" s="917" t="s">
        <v>712</v>
      </c>
      <c r="K6" s="918"/>
      <c r="L6" s="944" t="s">
        <v>446</v>
      </c>
      <c r="M6" s="945"/>
      <c r="N6" s="917" t="s">
        <v>712</v>
      </c>
      <c r="O6" s="918"/>
      <c r="P6" s="944" t="s">
        <v>446</v>
      </c>
      <c r="Q6" s="945"/>
      <c r="R6" s="1081"/>
      <c r="S6" s="1081"/>
      <c r="T6" s="1081"/>
      <c r="U6" s="1081"/>
      <c r="V6" s="1081"/>
      <c r="W6" s="1081"/>
      <c r="X6" s="1081"/>
      <c r="Y6" s="1082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1075" t="s">
        <v>913</v>
      </c>
      <c r="B7" s="917" t="s">
        <v>808</v>
      </c>
      <c r="C7" s="930"/>
      <c r="D7" s="1022"/>
      <c r="E7" s="932"/>
      <c r="F7" s="930" t="s">
        <v>808</v>
      </c>
      <c r="G7" s="930"/>
      <c r="H7" s="931"/>
      <c r="I7" s="932"/>
      <c r="J7" s="930" t="s">
        <v>808</v>
      </c>
      <c r="K7" s="930"/>
      <c r="L7" s="931"/>
      <c r="M7" s="932"/>
      <c r="N7" s="930" t="s">
        <v>808</v>
      </c>
      <c r="O7" s="930"/>
      <c r="P7" s="931"/>
      <c r="Q7" s="932"/>
      <c r="R7" s="1081"/>
      <c r="S7" s="1081"/>
      <c r="T7" s="1081"/>
      <c r="U7" s="1081"/>
      <c r="V7" s="1081"/>
      <c r="W7" s="1081"/>
      <c r="X7" s="1081"/>
      <c r="Y7" s="1082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1076"/>
      <c r="B8" s="917" t="s">
        <v>719</v>
      </c>
      <c r="C8" s="930"/>
      <c r="D8" s="931"/>
      <c r="E8" s="932"/>
      <c r="F8" s="930" t="s">
        <v>719</v>
      </c>
      <c r="G8" s="930"/>
      <c r="H8" s="931"/>
      <c r="I8" s="932"/>
      <c r="J8" s="930" t="s">
        <v>719</v>
      </c>
      <c r="K8" s="930"/>
      <c r="L8" s="931"/>
      <c r="M8" s="932"/>
      <c r="N8" s="930" t="s">
        <v>719</v>
      </c>
      <c r="O8" s="930"/>
      <c r="P8" s="931"/>
      <c r="Q8" s="932"/>
      <c r="R8" s="1081"/>
      <c r="S8" s="1081"/>
      <c r="T8" s="1081"/>
      <c r="U8" s="1081"/>
      <c r="V8" s="1081"/>
      <c r="W8" s="1081"/>
      <c r="X8" s="1081"/>
      <c r="Y8" s="1082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17" t="s">
        <v>694</v>
      </c>
      <c r="C9" s="918"/>
      <c r="D9" s="916" t="str">
        <f>IFERROR(ROUNDUP(O25/D7,0),"-")</f>
        <v>-</v>
      </c>
      <c r="E9" s="916"/>
      <c r="F9" s="917" t="s">
        <v>694</v>
      </c>
      <c r="G9" s="918"/>
      <c r="H9" s="916" t="str">
        <f>IFERROR(ROUNDUP(O26/H7,0),"-")</f>
        <v>-</v>
      </c>
      <c r="I9" s="916"/>
      <c r="J9" s="917" t="s">
        <v>694</v>
      </c>
      <c r="K9" s="918"/>
      <c r="L9" s="916" t="str">
        <f>IFERROR(ROUNDUP(O27/L7,0),"-")</f>
        <v>-</v>
      </c>
      <c r="M9" s="916"/>
      <c r="N9" s="917" t="s">
        <v>694</v>
      </c>
      <c r="O9" s="918"/>
      <c r="P9" s="919" t="str">
        <f>IFERROR(ROUNDUP(O28/P7,0),"-")</f>
        <v>-</v>
      </c>
      <c r="Q9" s="920"/>
      <c r="R9" s="1081"/>
      <c r="S9" s="1081"/>
      <c r="T9" s="1081"/>
      <c r="U9" s="1081"/>
      <c r="V9" s="1081"/>
      <c r="W9" s="1081"/>
      <c r="X9" s="1081"/>
      <c r="Y9" s="1082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17" t="s">
        <v>462</v>
      </c>
      <c r="C10" s="930"/>
      <c r="D10" s="931"/>
      <c r="E10" s="932"/>
      <c r="F10" s="930" t="s">
        <v>462</v>
      </c>
      <c r="G10" s="930"/>
      <c r="H10" s="931"/>
      <c r="I10" s="932"/>
      <c r="J10" s="930" t="s">
        <v>462</v>
      </c>
      <c r="K10" s="930"/>
      <c r="L10" s="931"/>
      <c r="M10" s="932"/>
      <c r="N10" s="930" t="s">
        <v>462</v>
      </c>
      <c r="O10" s="930"/>
      <c r="P10" s="931"/>
      <c r="Q10" s="932"/>
      <c r="R10" s="1081"/>
      <c r="S10" s="1081"/>
      <c r="T10" s="1081"/>
      <c r="U10" s="1081"/>
      <c r="V10" s="1081"/>
      <c r="W10" s="1081"/>
      <c r="X10" s="1081"/>
      <c r="Y10" s="1082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17" t="s">
        <v>461</v>
      </c>
      <c r="C11" s="918"/>
      <c r="D11" s="1028">
        <f>R25</f>
        <v>0</v>
      </c>
      <c r="E11" s="1029"/>
      <c r="F11" s="917" t="s">
        <v>461</v>
      </c>
      <c r="G11" s="918"/>
      <c r="H11" s="1026">
        <f>R26</f>
        <v>0</v>
      </c>
      <c r="I11" s="936"/>
      <c r="J11" s="933" t="s">
        <v>461</v>
      </c>
      <c r="K11" s="934"/>
      <c r="L11" s="1026">
        <f>R27</f>
        <v>0</v>
      </c>
      <c r="M11" s="936"/>
      <c r="N11" s="933" t="s">
        <v>461</v>
      </c>
      <c r="O11" s="934"/>
      <c r="P11" s="935">
        <f>R28</f>
        <v>0</v>
      </c>
      <c r="Q11" s="936"/>
      <c r="R11" s="1081"/>
      <c r="S11" s="1081"/>
      <c r="T11" s="1081"/>
      <c r="U11" s="1081"/>
      <c r="V11" s="1081"/>
      <c r="W11" s="1081"/>
      <c r="X11" s="1081"/>
      <c r="Y11" s="1082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37" t="s">
        <v>441</v>
      </c>
      <c r="C12" s="938"/>
      <c r="D12" s="939">
        <f>IFERROR(IF(Q25=0,((D11/D13)*D10)/144,(R25*D10)/144),0)</f>
        <v>0</v>
      </c>
      <c r="E12" s="940"/>
      <c r="F12" s="937" t="s">
        <v>441</v>
      </c>
      <c r="G12" s="938"/>
      <c r="H12" s="939">
        <f>IFERROR(IF(Q26=0,((H11/H13)*H10)/144,(R26*H10)/144),0)</f>
        <v>0</v>
      </c>
      <c r="I12" s="940"/>
      <c r="J12" s="937" t="s">
        <v>441</v>
      </c>
      <c r="K12" s="938"/>
      <c r="L12" s="1025">
        <f>IFERROR(IF(Q27=0,((L11/L13)*L10)/144,(R27*L10)/144),0)</f>
        <v>0</v>
      </c>
      <c r="M12" s="940"/>
      <c r="N12" s="937" t="s">
        <v>441</v>
      </c>
      <c r="O12" s="938"/>
      <c r="P12" s="939">
        <f>IFERROR(IF(Q28=0,((P11/P13)*P10)/144,(R28*P10)/144),0)</f>
        <v>0</v>
      </c>
      <c r="Q12" s="940"/>
      <c r="R12" s="1081"/>
      <c r="S12" s="1081"/>
      <c r="T12" s="1081"/>
      <c r="U12" s="1081"/>
      <c r="V12" s="1081"/>
      <c r="W12" s="1081"/>
      <c r="X12" s="1081"/>
      <c r="Y12" s="1082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37" t="s">
        <v>504</v>
      </c>
      <c r="C13" s="938"/>
      <c r="D13" s="943">
        <f>IF(Q25=0,ROUNDUP(O25/4,0)*P25,($N$25-1)*$P$25)</f>
        <v>0</v>
      </c>
      <c r="E13" s="915"/>
      <c r="F13" s="937" t="s">
        <v>504</v>
      </c>
      <c r="G13" s="938"/>
      <c r="H13" s="1016">
        <f>IF(Q26=0,ROUNDUP(O26/4,0)*P26,($N$26-1)*$P$26)</f>
        <v>0</v>
      </c>
      <c r="I13" s="1017"/>
      <c r="J13" s="937" t="s">
        <v>504</v>
      </c>
      <c r="K13" s="938"/>
      <c r="L13" s="914">
        <f>IF(Q27=0,ROUNDUP(O27/4,0)*P27,($N$27-1)*$P$27)</f>
        <v>0</v>
      </c>
      <c r="M13" s="915"/>
      <c r="N13" s="937" t="s">
        <v>504</v>
      </c>
      <c r="O13" s="938"/>
      <c r="P13" s="943">
        <f>IF(Q28=0,ROUNDUP(O28/4,0)*P28,($N$28-1)*$P$28)</f>
        <v>0</v>
      </c>
      <c r="Q13" s="915"/>
      <c r="R13" s="1081"/>
      <c r="S13" s="1081"/>
      <c r="T13" s="1081"/>
      <c r="U13" s="1081"/>
      <c r="V13" s="1081"/>
      <c r="W13" s="1081"/>
      <c r="X13" s="1081"/>
      <c r="Y13" s="1082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928" t="s">
        <v>424</v>
      </c>
      <c r="C14" s="929"/>
      <c r="D14" s="952">
        <f>O25*P25</f>
        <v>0</v>
      </c>
      <c r="E14" s="953"/>
      <c r="F14" s="928" t="s">
        <v>424</v>
      </c>
      <c r="G14" s="929"/>
      <c r="H14" s="1027">
        <f>O26*P26</f>
        <v>0</v>
      </c>
      <c r="I14" s="953"/>
      <c r="J14" s="928" t="s">
        <v>424</v>
      </c>
      <c r="K14" s="929"/>
      <c r="L14" s="1027">
        <f>O27*P27</f>
        <v>0</v>
      </c>
      <c r="M14" s="953"/>
      <c r="N14" s="928" t="s">
        <v>424</v>
      </c>
      <c r="O14" s="929"/>
      <c r="P14" s="952">
        <f>O28*P28</f>
        <v>0</v>
      </c>
      <c r="Q14" s="953"/>
      <c r="R14" s="1081"/>
      <c r="S14" s="1081"/>
      <c r="T14" s="1081"/>
      <c r="U14" s="1081"/>
      <c r="V14" s="1081"/>
      <c r="W14" s="1081"/>
      <c r="X14" s="1081"/>
      <c r="Y14" s="1082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928" t="s">
        <v>477</v>
      </c>
      <c r="C15" s="929"/>
      <c r="D15" s="921" t="str">
        <f>IFERROR(K43/D14,"")</f>
        <v/>
      </c>
      <c r="E15" s="922"/>
      <c r="F15" s="928" t="s">
        <v>477</v>
      </c>
      <c r="G15" s="929"/>
      <c r="H15" s="1033" t="str">
        <f>IFERROR(K56/H14,"")</f>
        <v/>
      </c>
      <c r="I15" s="1034"/>
      <c r="J15" s="928" t="s">
        <v>477</v>
      </c>
      <c r="K15" s="929"/>
      <c r="L15" s="954" t="str">
        <f>IFERROR(K69/L14,"")</f>
        <v/>
      </c>
      <c r="M15" s="922"/>
      <c r="N15" s="928" t="s">
        <v>477</v>
      </c>
      <c r="O15" s="929"/>
      <c r="P15" s="921" t="str">
        <f>IFERROR(O69/P14,"")</f>
        <v/>
      </c>
      <c r="Q15" s="922"/>
      <c r="R15" s="1081"/>
      <c r="S15" s="1081"/>
      <c r="T15" s="1081"/>
      <c r="U15" s="1081"/>
      <c r="V15" s="1081"/>
      <c r="W15" s="1081"/>
      <c r="X15" s="1081"/>
      <c r="Y15" s="1082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1077" t="s">
        <v>915</v>
      </c>
      <c r="B16" s="928" t="s">
        <v>651</v>
      </c>
      <c r="C16" s="923"/>
      <c r="D16" s="941"/>
      <c r="E16" s="942"/>
      <c r="F16" s="923" t="s">
        <v>651</v>
      </c>
      <c r="G16" s="923"/>
      <c r="H16" s="941"/>
      <c r="I16" s="942"/>
      <c r="J16" s="923" t="s">
        <v>651</v>
      </c>
      <c r="K16" s="923"/>
      <c r="L16" s="941"/>
      <c r="M16" s="942"/>
      <c r="N16" s="923" t="s">
        <v>651</v>
      </c>
      <c r="O16" s="923"/>
      <c r="P16" s="941"/>
      <c r="Q16" s="942"/>
      <c r="R16" s="1081"/>
      <c r="S16" s="1081"/>
      <c r="T16" s="1081"/>
      <c r="U16" s="1081"/>
      <c r="V16" s="1081"/>
      <c r="W16" s="1081"/>
      <c r="X16" s="1081"/>
      <c r="Y16" s="1082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1078"/>
      <c r="B17" s="928" t="s">
        <v>652</v>
      </c>
      <c r="C17" s="923"/>
      <c r="D17" s="941"/>
      <c r="E17" s="942"/>
      <c r="F17" s="923" t="s">
        <v>805</v>
      </c>
      <c r="G17" s="923"/>
      <c r="H17" s="941"/>
      <c r="I17" s="942"/>
      <c r="J17" s="923" t="s">
        <v>805</v>
      </c>
      <c r="K17" s="923"/>
      <c r="L17" s="941"/>
      <c r="M17" s="942"/>
      <c r="N17" s="923" t="s">
        <v>805</v>
      </c>
      <c r="O17" s="923"/>
      <c r="P17" s="941"/>
      <c r="Q17" s="942"/>
      <c r="R17" s="1081"/>
      <c r="S17" s="1081"/>
      <c r="T17" s="1081"/>
      <c r="U17" s="1081"/>
      <c r="V17" s="1081"/>
      <c r="W17" s="1081"/>
      <c r="X17" s="1081"/>
      <c r="Y17" s="1082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1078"/>
      <c r="B18" s="928" t="s">
        <v>493</v>
      </c>
      <c r="C18" s="923"/>
      <c r="D18" s="941"/>
      <c r="E18" s="942"/>
      <c r="F18" s="923" t="s">
        <v>493</v>
      </c>
      <c r="G18" s="923"/>
      <c r="H18" s="941"/>
      <c r="I18" s="942"/>
      <c r="J18" s="923" t="s">
        <v>493</v>
      </c>
      <c r="K18" s="923"/>
      <c r="L18" s="941"/>
      <c r="M18" s="942"/>
      <c r="N18" s="923" t="s">
        <v>493</v>
      </c>
      <c r="O18" s="923"/>
      <c r="P18" s="941"/>
      <c r="Q18" s="942"/>
      <c r="R18" s="1081"/>
      <c r="S18" s="1081"/>
      <c r="T18" s="1081"/>
      <c r="U18" s="1081"/>
      <c r="V18" s="1081"/>
      <c r="W18" s="1081"/>
      <c r="X18" s="1081"/>
      <c r="Y18" s="1082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1078"/>
      <c r="B19" s="928" t="s">
        <v>487</v>
      </c>
      <c r="C19" s="923"/>
      <c r="D19" s="941">
        <v>0.04</v>
      </c>
      <c r="E19" s="942"/>
      <c r="F19" s="1021" t="s">
        <v>487</v>
      </c>
      <c r="G19" s="1021"/>
      <c r="H19" s="941">
        <v>0.04</v>
      </c>
      <c r="I19" s="942"/>
      <c r="J19" s="923" t="s">
        <v>487</v>
      </c>
      <c r="K19" s="923"/>
      <c r="L19" s="941">
        <v>0.04</v>
      </c>
      <c r="M19" s="942"/>
      <c r="N19" s="923" t="s">
        <v>487</v>
      </c>
      <c r="O19" s="923"/>
      <c r="P19" s="941">
        <v>0.04</v>
      </c>
      <c r="Q19" s="942"/>
      <c r="R19" s="1083"/>
      <c r="S19" s="1083"/>
      <c r="T19" s="1083"/>
      <c r="U19" s="1083"/>
      <c r="V19" s="1083"/>
      <c r="W19" s="1083"/>
      <c r="X19" s="1083"/>
      <c r="Y19" s="1084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1087" t="s">
        <v>488</v>
      </c>
      <c r="C21" s="1088"/>
      <c r="D21" s="1023" t="str">
        <f ca="1">IFERROR(ROUNDUP((Z4-Z3)/30,0),"")</f>
        <v/>
      </c>
      <c r="E21" s="1024"/>
      <c r="F21" s="1087" t="s">
        <v>488</v>
      </c>
      <c r="G21" s="1088"/>
      <c r="H21" s="1023" t="str">
        <f ca="1">IFERROR(ROUNDUP((AA4-Z3)/30,0),"")</f>
        <v/>
      </c>
      <c r="I21" s="1024"/>
      <c r="J21" s="1087" t="s">
        <v>488</v>
      </c>
      <c r="K21" s="1088"/>
      <c r="L21" s="1023" t="str">
        <f ca="1">IFERROR(ROUNDUP((AB4-Z3)/30,0),"")</f>
        <v/>
      </c>
      <c r="M21" s="1024"/>
      <c r="N21" s="1070" t="s">
        <v>488</v>
      </c>
      <c r="O21" s="1071"/>
      <c r="P21" s="1089">
        <f>IFERROR(ROUNDUP((AF4-AD3)/30,0),"")</f>
        <v>0</v>
      </c>
      <c r="Q21" s="1090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1091" t="s">
        <v>799</v>
      </c>
      <c r="K23" s="1092"/>
      <c r="L23" s="1092"/>
      <c r="M23" s="1092"/>
      <c r="N23" s="1093"/>
      <c r="O23" s="1064" t="s">
        <v>427</v>
      </c>
      <c r="P23" s="1066" t="s">
        <v>428</v>
      </c>
      <c r="Q23" s="1068" t="s">
        <v>366</v>
      </c>
      <c r="R23" s="1062" t="s">
        <v>716</v>
      </c>
      <c r="S23" s="1061" t="s">
        <v>426</v>
      </c>
      <c r="T23" s="1061"/>
      <c r="U23" s="1061"/>
      <c r="V23" s="1062" t="s">
        <v>447</v>
      </c>
      <c r="W23" s="1062" t="s">
        <v>466</v>
      </c>
      <c r="X23" s="1085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1060" t="s">
        <v>800</v>
      </c>
      <c r="D24" s="1060"/>
      <c r="E24" s="1060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1065"/>
      <c r="P24" s="1067"/>
      <c r="Q24" s="1069"/>
      <c r="R24" s="1063"/>
      <c r="S24" s="534" t="s">
        <v>364</v>
      </c>
      <c r="T24" s="534" t="s">
        <v>365</v>
      </c>
      <c r="U24" s="534" t="s">
        <v>809</v>
      </c>
      <c r="V24" s="1063"/>
      <c r="W24" s="1063"/>
      <c r="X24" s="1086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1072" t="s">
        <v>916</v>
      </c>
      <c r="B25" s="675" t="s">
        <v>1</v>
      </c>
      <c r="C25" s="1094"/>
      <c r="D25" s="1095"/>
      <c r="E25" s="1096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/>
      <c r="P25" s="372"/>
      <c r="Q25" s="536">
        <f>+P25*N25</f>
        <v>0</v>
      </c>
      <c r="R25" s="537">
        <f>IF(Q25=0,O25*12,IF(O25=0,0,O25/(N25-1))*12)</f>
        <v>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1073"/>
      <c r="B26" s="676" t="s">
        <v>2</v>
      </c>
      <c r="C26" s="1097"/>
      <c r="D26" s="1098"/>
      <c r="E26" s="1099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/>
      <c r="P26" s="372"/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1073"/>
      <c r="B27" s="677" t="s">
        <v>3</v>
      </c>
      <c r="C27" s="1030"/>
      <c r="D27" s="1031"/>
      <c r="E27" s="1032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/>
      <c r="P27" s="372"/>
      <c r="Q27" s="541">
        <f>+P27*N27</f>
        <v>0</v>
      </c>
      <c r="R27" s="542">
        <f>IF(Q27=0,O27*12,IF(O27=0,0,O27/(N27-1))*12)</f>
        <v>0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0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1074"/>
      <c r="B28" s="678" t="s">
        <v>798</v>
      </c>
      <c r="C28" s="898"/>
      <c r="D28" s="899"/>
      <c r="E28" s="900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/>
      <c r="P28" s="372"/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1050" t="s">
        <v>416</v>
      </c>
      <c r="D30" s="1050"/>
      <c r="E30" s="1050" t="s">
        <v>475</v>
      </c>
      <c r="F30" s="1050"/>
      <c r="G30" s="1050"/>
      <c r="H30" s="165" t="s">
        <v>480</v>
      </c>
      <c r="I30" s="1012" t="s">
        <v>485</v>
      </c>
      <c r="J30" s="1012"/>
      <c r="K30" s="1011" t="s">
        <v>476</v>
      </c>
      <c r="L30" s="1011"/>
      <c r="M30" s="1012" t="s">
        <v>499</v>
      </c>
      <c r="N30" s="1012"/>
      <c r="O30" s="1042" t="s">
        <v>503</v>
      </c>
      <c r="P30" s="1042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24"/>
      <c r="L31" s="924"/>
      <c r="M31" s="924"/>
      <c r="N31" s="924"/>
      <c r="O31" s="924"/>
      <c r="P31" s="924"/>
      <c r="Q31" s="924"/>
      <c r="R31" s="924"/>
      <c r="S31" s="924"/>
      <c r="T31" s="924"/>
      <c r="U31" s="924"/>
      <c r="V31" s="924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1058" t="e">
        <f>#REF!</f>
        <v>#REF!</v>
      </c>
      <c r="C32" s="1019" t="s">
        <v>0</v>
      </c>
      <c r="D32" s="1019"/>
      <c r="E32" s="1019" t="str">
        <f>CONCATENATE(IF('Area A'!B5="None","",'Area A'!B5), "   ",,IF('Area A'!B7="None","",'Area A'!B7))</f>
        <v xml:space="preserve">TR200 Blk   </v>
      </c>
      <c r="F32" s="1019"/>
      <c r="G32" s="1019"/>
      <c r="H32" s="100" t="s">
        <v>481</v>
      </c>
      <c r="I32" s="884" t="str">
        <f>CONCATENATE(IF('Area A'!$B$5="None","",'Area A'!$D$5), "   ",,IF('Area A'!$B$7="None","",'Area A'!$D$7))</f>
        <v xml:space="preserve">0   </v>
      </c>
      <c r="J32" s="884"/>
      <c r="K32" s="925">
        <f>'Area A'!G5+'Area A'!G7</f>
        <v>0</v>
      </c>
      <c r="L32" s="925"/>
      <c r="M32" s="884" t="str">
        <f>CONCATENATE(IF('Area A'!$B$5="None","",'Area A'!$H$5), "   ",,IF('Area A'!$B$7="None","",'Area A'!$H$7))</f>
        <v xml:space="preserve">0   </v>
      </c>
      <c r="N32" s="884"/>
      <c r="O32" s="950">
        <f>'Area A'!J5+'Area A'!J7</f>
        <v>0</v>
      </c>
      <c r="P32" s="951"/>
      <c r="Q32" s="110">
        <f>IFERROR(O32/O43,0)</f>
        <v>0</v>
      </c>
      <c r="R32" s="977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1058"/>
      <c r="C33" s="1019" t="s">
        <v>413</v>
      </c>
      <c r="D33" s="1019"/>
      <c r="E33" s="1019" t="str">
        <f>CONCATENATE(IF('Area A'!B6="None","",'Area A'!B6), "    ",,IF('Area A'!B8="None","",'Area A'!B8))</f>
        <v xml:space="preserve">BR100- Blk    </v>
      </c>
      <c r="F33" s="1019"/>
      <c r="G33" s="1019"/>
      <c r="H33" s="100" t="s">
        <v>481</v>
      </c>
      <c r="I33" s="884" t="str">
        <f>CONCATENATE(IF('Area A'!$B$6="None","",'Area A'!$D$6), "   ",,IF('Area A'!$B$8="None","",'Area A'!$D$8))</f>
        <v xml:space="preserve">0   </v>
      </c>
      <c r="J33" s="884"/>
      <c r="K33" s="925">
        <f>'Area A'!G6+'Area A'!G8</f>
        <v>0</v>
      </c>
      <c r="L33" s="925"/>
      <c r="M33" s="884" t="str">
        <f>CONCATENATE(IF('Area A'!$B$6="None","",'Area A'!$H$6), "   ",,IF('Area A'!$B$8="None","",'Area A'!$H$8))</f>
        <v xml:space="preserve">0   </v>
      </c>
      <c r="N33" s="884"/>
      <c r="O33" s="1044">
        <f>'Area A'!J6+'Area A'!J8</f>
        <v>0</v>
      </c>
      <c r="P33" s="1045"/>
      <c r="Q33" s="110">
        <f>IFERROR(O33/O43,0)</f>
        <v>0</v>
      </c>
      <c r="R33" s="977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1058"/>
      <c r="C34" s="1019" t="s">
        <v>4</v>
      </c>
      <c r="D34" s="1019"/>
      <c r="E34" s="1054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1054"/>
      <c r="G34" s="1054"/>
      <c r="H34" s="100" t="s">
        <v>481</v>
      </c>
      <c r="I34" s="884" t="str">
        <f>CONCATENATE(IF('Area A'!B12="None","",'Area A'!D12)," ",IF('Area A'!B15="none","",'Area A'!E15))</f>
        <v xml:space="preserve"> 0</v>
      </c>
      <c r="J34" s="884"/>
      <c r="K34" s="925">
        <f>'Area A'!G19</f>
        <v>0</v>
      </c>
      <c r="L34" s="925"/>
      <c r="M34" s="884" t="str">
        <f>CONCATENATE(IF('Area A'!$B$12="None","",'Area A'!$H$12)," ",IF('Area A'!B15="None","",'Area A'!H15))</f>
        <v xml:space="preserve"> 0</v>
      </c>
      <c r="N34" s="884"/>
      <c r="O34" s="950">
        <f>'Area A'!J19</f>
        <v>0</v>
      </c>
      <c r="P34" s="951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1058"/>
      <c r="C35" s="1019" t="s">
        <v>6</v>
      </c>
      <c r="D35" s="1019"/>
      <c r="E35" s="1019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1019"/>
      <c r="G35" s="1019"/>
      <c r="H35" s="100" t="s">
        <v>482</v>
      </c>
      <c r="I35" s="884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884"/>
      <c r="K35" s="925">
        <f>'Area A'!G26</f>
        <v>0</v>
      </c>
      <c r="L35" s="925"/>
      <c r="M35" s="884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884"/>
      <c r="O35" s="950">
        <f>'Area A'!J26</f>
        <v>0</v>
      </c>
      <c r="P35" s="951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1058"/>
      <c r="C36" s="1019" t="s">
        <v>8</v>
      </c>
      <c r="D36" s="1019"/>
      <c r="E36" s="1019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1019"/>
      <c r="G36" s="1019"/>
      <c r="H36" s="100" t="s">
        <v>484</v>
      </c>
      <c r="I36" s="886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886"/>
      <c r="K36" s="925">
        <f>'Area A'!G37</f>
        <v>0</v>
      </c>
      <c r="L36" s="925"/>
      <c r="M36" s="886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886"/>
      <c r="O36" s="950">
        <f>'Area A'!J37</f>
        <v>0</v>
      </c>
      <c r="P36" s="951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1058"/>
      <c r="C37" s="1019" t="s">
        <v>363</v>
      </c>
      <c r="D37" s="1019"/>
      <c r="E37" s="1019" t="str">
        <f>CONCATENATE(IF('Area A'!B40="None","",'Area A'!B40),"    ",IF('Area A'!B41="none","",'Area A'!B41),"    ",IF('Area A'!B42="none","",'Area A'!B42),"    ",IF('Area A'!B43="None","",'Area A'!B43)," ")</f>
        <v xml:space="preserve">200EP POW Blk             </v>
      </c>
      <c r="F37" s="1019"/>
      <c r="G37" s="1019"/>
      <c r="H37" s="100" t="s">
        <v>482</v>
      </c>
      <c r="I37" s="884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884"/>
      <c r="K37" s="925">
        <f>'Area A'!G44</f>
        <v>0</v>
      </c>
      <c r="L37" s="925"/>
      <c r="M37" s="884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884"/>
      <c r="O37" s="950">
        <f>'Area A'!J44</f>
        <v>0</v>
      </c>
      <c r="P37" s="951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1058"/>
      <c r="C38" s="1019" t="s">
        <v>7</v>
      </c>
      <c r="D38" s="1019"/>
      <c r="E38" s="1019"/>
      <c r="F38" s="1019"/>
      <c r="G38" s="1019"/>
      <c r="H38" s="100"/>
      <c r="I38" s="884"/>
      <c r="J38" s="884"/>
      <c r="K38" s="925">
        <f>'Area A'!G196</f>
        <v>0</v>
      </c>
      <c r="L38" s="925"/>
      <c r="M38" s="101"/>
      <c r="N38" s="101"/>
      <c r="O38" s="950">
        <f>'Area A'!J196</f>
        <v>0</v>
      </c>
      <c r="P38" s="951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1058"/>
      <c r="C39" s="1019" t="s">
        <v>429</v>
      </c>
      <c r="D39" s="1019"/>
      <c r="E39" s="1019"/>
      <c r="F39" s="1019"/>
      <c r="G39" s="1019"/>
      <c r="H39" s="100"/>
      <c r="I39" s="884"/>
      <c r="J39" s="884"/>
      <c r="K39" s="925">
        <f>'Area A'!G266</f>
        <v>0</v>
      </c>
      <c r="L39" s="925"/>
      <c r="M39" s="101"/>
      <c r="N39" s="101"/>
      <c r="O39" s="950">
        <f>'Area A'!J266</f>
        <v>0</v>
      </c>
      <c r="P39" s="951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1058"/>
      <c r="C40" s="1019" t="s">
        <v>430</v>
      </c>
      <c r="D40" s="1019"/>
      <c r="E40" s="1019"/>
      <c r="F40" s="1019"/>
      <c r="G40" s="1019"/>
      <c r="H40" s="100"/>
      <c r="I40" s="884"/>
      <c r="J40" s="884"/>
      <c r="K40" s="926">
        <f>IF(D4="no",0,SUM(D14)*D5)</f>
        <v>0</v>
      </c>
      <c r="L40" s="926"/>
      <c r="M40" s="101"/>
      <c r="N40" s="101"/>
      <c r="O40" s="950">
        <f>K40</f>
        <v>0</v>
      </c>
      <c r="P40" s="951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1059"/>
      <c r="C41" s="1049" t="s">
        <v>431</v>
      </c>
      <c r="D41" s="1049"/>
      <c r="E41" s="1049"/>
      <c r="F41" s="1049"/>
      <c r="G41" s="1049"/>
      <c r="H41" s="102"/>
      <c r="I41" s="1018"/>
      <c r="J41" s="1018"/>
      <c r="K41" s="927">
        <f>SUM(K32:K40)</f>
        <v>0</v>
      </c>
      <c r="L41" s="927"/>
      <c r="M41" s="54"/>
      <c r="N41" s="54"/>
      <c r="O41" s="927">
        <f>SUM(O32:O40)</f>
        <v>0</v>
      </c>
      <c r="P41" s="927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1019" t="s">
        <v>494</v>
      </c>
      <c r="D42" s="1019"/>
      <c r="E42" s="1053">
        <f>D19</f>
        <v>0.04</v>
      </c>
      <c r="F42" s="1053"/>
      <c r="G42" s="1053"/>
      <c r="H42" s="100"/>
      <c r="I42" s="887"/>
      <c r="J42" s="887"/>
      <c r="K42" s="1000">
        <f>SUM(K41*$E$42)</f>
        <v>0</v>
      </c>
      <c r="L42" s="1000"/>
      <c r="M42" s="55"/>
      <c r="N42" s="55"/>
      <c r="O42" s="1000">
        <f>SUM(O41*$E$42)</f>
        <v>0</v>
      </c>
      <c r="P42" s="1000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1035" t="s">
        <v>367</v>
      </c>
      <c r="D43" s="1035"/>
      <c r="E43" s="1055"/>
      <c r="F43" s="1055"/>
      <c r="G43" s="1055"/>
      <c r="H43" s="190"/>
      <c r="I43" s="875"/>
      <c r="J43" s="875"/>
      <c r="K43" s="1001">
        <f>SUM(K41:L42)</f>
        <v>0</v>
      </c>
      <c r="L43" s="1001"/>
      <c r="M43" s="191"/>
      <c r="N43" s="191"/>
      <c r="O43" s="1001">
        <f>SUM(O41:P42)</f>
        <v>0</v>
      </c>
      <c r="P43" s="1001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889"/>
      <c r="D44" s="889"/>
      <c r="E44" s="889"/>
      <c r="F44" s="889"/>
      <c r="G44" s="889"/>
      <c r="H44" s="187"/>
      <c r="I44" s="876"/>
      <c r="J44" s="876"/>
      <c r="K44" s="889"/>
      <c r="L44" s="889"/>
      <c r="M44" s="889"/>
      <c r="N44" s="889"/>
      <c r="O44" s="889"/>
      <c r="P44" s="889"/>
      <c r="Q44" s="924"/>
      <c r="R44" s="924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1046" t="e">
        <f>#REF!</f>
        <v>#REF!</v>
      </c>
      <c r="C45" s="1020" t="s">
        <v>0</v>
      </c>
      <c r="D45" s="1020"/>
      <c r="E45" s="1020" t="str">
        <f>CONCATENATE(IF('Area B'!B5="None","",'Area B'!B5), "   ",,IF('Area B'!B7="None","",'Area B'!B7))</f>
        <v xml:space="preserve">   </v>
      </c>
      <c r="F45" s="1020"/>
      <c r="G45" s="1020"/>
      <c r="H45" s="223" t="s">
        <v>481</v>
      </c>
      <c r="I45" s="877" t="str">
        <f>CONCATENATE(IF('Area B'!$B$5="None","",'Area B'!$D$5), "   ",,IF('Area B'!$B$7="None","",'Area B'!$D$7))</f>
        <v xml:space="preserve">   </v>
      </c>
      <c r="J45" s="877"/>
      <c r="K45" s="1057">
        <f>'Area B'!G5+'Area B'!G7</f>
        <v>0</v>
      </c>
      <c r="L45" s="1057"/>
      <c r="M45" s="877" t="str">
        <f>CONCATENATE(IF('Area B'!$B$5="None","",'Area B'!$H$5), "   ",,IF('Area B'!$B$7="None","",'Area B'!$H$7))</f>
        <v xml:space="preserve">   </v>
      </c>
      <c r="N45" s="877"/>
      <c r="O45" s="1043">
        <f>'Area B'!J5+'Area B'!J7</f>
        <v>0</v>
      </c>
      <c r="P45" s="1043"/>
      <c r="Q45" s="110">
        <f>IFERROR(O45/O56,0)</f>
        <v>0</v>
      </c>
      <c r="R45" s="977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1047"/>
      <c r="C46" s="879" t="s">
        <v>413</v>
      </c>
      <c r="D46" s="879"/>
      <c r="E46" s="879" t="str">
        <f>CONCATENATE(IF('Area B'!B6="None","",'Area B'!B6), "   ",,IF('Area B'!B8="None","",'Area B'!B8))</f>
        <v xml:space="preserve">   </v>
      </c>
      <c r="F46" s="879"/>
      <c r="G46" s="879"/>
      <c r="H46" s="223" t="s">
        <v>481</v>
      </c>
      <c r="I46" s="982" t="str">
        <f>CONCATENATE(IF('Area B'!$B$6="None","",'Area B'!$D$6), "   ",,IF('Area B'!$B$8="None","",'Area B'!$D$8))</f>
        <v xml:space="preserve">   </v>
      </c>
      <c r="J46" s="982"/>
      <c r="K46" s="881">
        <f>'Area B'!G6+'Area B'!G8</f>
        <v>0</v>
      </c>
      <c r="L46" s="881"/>
      <c r="M46" s="982" t="str">
        <f>CONCATENATE(IF('Area B'!$B$6="None","",'Area B'!$H$6), "   ",,IF('Area B'!$B$8="None","",'Area B'!$H$8))</f>
        <v xml:space="preserve">   </v>
      </c>
      <c r="N46" s="982"/>
      <c r="O46" s="949">
        <f>'Area B'!J6+'Area B'!J8</f>
        <v>0</v>
      </c>
      <c r="P46" s="949"/>
      <c r="Q46" s="110">
        <f>IFERROR(O46/O56,0)</f>
        <v>0</v>
      </c>
      <c r="R46" s="977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1047"/>
      <c r="C47" s="879" t="s">
        <v>4</v>
      </c>
      <c r="D47" s="879"/>
      <c r="E47" s="1052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1052"/>
      <c r="G47" s="1052"/>
      <c r="H47" s="223" t="s">
        <v>481</v>
      </c>
      <c r="I47" s="982" t="str">
        <f>CONCATENATE(IF('Area B'!$B$12="None","",'Area B'!$D$12)," ",IF('Area B'!B15="None","",'Area B'!E15))</f>
        <v xml:space="preserve"> </v>
      </c>
      <c r="J47" s="982"/>
      <c r="K47" s="881">
        <f>'Area B'!G19</f>
        <v>0</v>
      </c>
      <c r="L47" s="881"/>
      <c r="M47" s="982" t="str">
        <f>CONCATENATE(IF('Area B'!$B$12="None","",'Area B'!$H$12)," ",IF('Area B'!B15="None","",'Area B'!H15))</f>
        <v xml:space="preserve"> </v>
      </c>
      <c r="N47" s="982"/>
      <c r="O47" s="949">
        <f>'Area B'!J19</f>
        <v>0</v>
      </c>
      <c r="P47" s="949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1047"/>
      <c r="C48" s="879" t="s">
        <v>6</v>
      </c>
      <c r="D48" s="879"/>
      <c r="E48" s="879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879"/>
      <c r="G48" s="879"/>
      <c r="H48" s="223" t="s">
        <v>482</v>
      </c>
      <c r="I48" s="982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82"/>
      <c r="K48" s="881">
        <f>'Area B'!G26</f>
        <v>0</v>
      </c>
      <c r="L48" s="881"/>
      <c r="M48" s="982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82"/>
      <c r="O48" s="949">
        <f>'Area B'!J26</f>
        <v>0</v>
      </c>
      <c r="P48" s="949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1047"/>
      <c r="C49" s="879" t="s">
        <v>8</v>
      </c>
      <c r="D49" s="879"/>
      <c r="E49" s="879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879"/>
      <c r="G49" s="879"/>
      <c r="H49" s="223" t="s">
        <v>484</v>
      </c>
      <c r="I49" s="982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82"/>
      <c r="K49" s="881">
        <f>'Area B'!G37</f>
        <v>0</v>
      </c>
      <c r="L49" s="881"/>
      <c r="M49" s="982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82"/>
      <c r="O49" s="949">
        <f>'Area B'!J37</f>
        <v>0</v>
      </c>
      <c r="P49" s="949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1047"/>
      <c r="C50" s="879" t="s">
        <v>363</v>
      </c>
      <c r="D50" s="879"/>
      <c r="E50" s="879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879"/>
      <c r="G50" s="879"/>
      <c r="H50" s="223" t="s">
        <v>482</v>
      </c>
      <c r="I50" s="982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82"/>
      <c r="K50" s="881">
        <f>'Area B'!G44</f>
        <v>0</v>
      </c>
      <c r="L50" s="881"/>
      <c r="M50" s="982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82"/>
      <c r="O50" s="949">
        <f>'Area B'!J44</f>
        <v>0</v>
      </c>
      <c r="P50" s="949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1047"/>
      <c r="C51" s="879" t="s">
        <v>7</v>
      </c>
      <c r="D51" s="879"/>
      <c r="E51" s="879"/>
      <c r="F51" s="879"/>
      <c r="G51" s="879"/>
      <c r="H51" s="223"/>
      <c r="I51" s="982"/>
      <c r="J51" s="982"/>
      <c r="K51" s="881">
        <f>'Area B'!G196</f>
        <v>0</v>
      </c>
      <c r="L51" s="881"/>
      <c r="M51" s="982"/>
      <c r="N51" s="982"/>
      <c r="O51" s="949">
        <f>'Area B'!J196</f>
        <v>0</v>
      </c>
      <c r="P51" s="949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1047"/>
      <c r="C52" s="879" t="s">
        <v>429</v>
      </c>
      <c r="D52" s="879"/>
      <c r="E52" s="879"/>
      <c r="F52" s="879"/>
      <c r="G52" s="879"/>
      <c r="H52" s="223"/>
      <c r="I52" s="982"/>
      <c r="J52" s="982"/>
      <c r="K52" s="881">
        <f>'Area B'!G266</f>
        <v>0</v>
      </c>
      <c r="L52" s="881"/>
      <c r="M52" s="982"/>
      <c r="N52" s="982"/>
      <c r="O52" s="949">
        <f>'Area B'!J266</f>
        <v>0</v>
      </c>
      <c r="P52" s="949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1047"/>
      <c r="C53" s="879" t="s">
        <v>430</v>
      </c>
      <c r="D53" s="879"/>
      <c r="E53" s="879"/>
      <c r="F53" s="879"/>
      <c r="G53" s="879"/>
      <c r="H53" s="223"/>
      <c r="I53" s="982"/>
      <c r="J53" s="982"/>
      <c r="K53" s="1056">
        <f>IF(H4="no",0,SUM(H14)*H5)</f>
        <v>0</v>
      </c>
      <c r="L53" s="1056"/>
      <c r="M53" s="982"/>
      <c r="N53" s="982"/>
      <c r="O53" s="949">
        <f>K53</f>
        <v>0</v>
      </c>
      <c r="P53" s="949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1048"/>
      <c r="C54" s="1051" t="s">
        <v>431</v>
      </c>
      <c r="D54" s="1051"/>
      <c r="E54" s="1051"/>
      <c r="F54" s="1051"/>
      <c r="G54" s="1051"/>
      <c r="H54" s="224"/>
      <c r="I54" s="996"/>
      <c r="J54" s="996"/>
      <c r="K54" s="882">
        <f>SUM(K45:K53)</f>
        <v>0</v>
      </c>
      <c r="L54" s="882"/>
      <c r="M54" s="996"/>
      <c r="N54" s="996"/>
      <c r="O54" s="882">
        <f>SUM(O45:O53)</f>
        <v>0</v>
      </c>
      <c r="P54" s="882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1040" t="s">
        <v>494</v>
      </c>
      <c r="D55" s="1040"/>
      <c r="E55" s="890">
        <f>H19</f>
        <v>0.04</v>
      </c>
      <c r="F55" s="890"/>
      <c r="G55" s="890"/>
      <c r="H55" s="223"/>
      <c r="I55" s="1002"/>
      <c r="J55" s="1002"/>
      <c r="K55" s="1005">
        <f>SUM(K54*E55)</f>
        <v>0</v>
      </c>
      <c r="L55" s="1005"/>
      <c r="M55" s="57"/>
      <c r="N55" s="57"/>
      <c r="O55" s="997">
        <f>O54*E55</f>
        <v>0</v>
      </c>
      <c r="P55" s="997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1041" t="s">
        <v>367</v>
      </c>
      <c r="D56" s="1041"/>
      <c r="E56" s="891"/>
      <c r="F56" s="891"/>
      <c r="G56" s="891"/>
      <c r="H56" s="185"/>
      <c r="I56" s="1003"/>
      <c r="J56" s="1003"/>
      <c r="K56" s="998">
        <f>SUM(K54:L55)</f>
        <v>0</v>
      </c>
      <c r="L56" s="998"/>
      <c r="M56" s="186"/>
      <c r="N56" s="186"/>
      <c r="O56" s="998">
        <f>SUM(O54:P55)</f>
        <v>0</v>
      </c>
      <c r="P56" s="998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889"/>
      <c r="D57" s="889"/>
      <c r="E57" s="889"/>
      <c r="F57" s="889"/>
      <c r="G57" s="889"/>
      <c r="H57" s="187"/>
      <c r="I57" s="876"/>
      <c r="J57" s="876"/>
      <c r="K57" s="889"/>
      <c r="L57" s="889"/>
      <c r="M57" s="889"/>
      <c r="N57" s="889"/>
      <c r="O57" s="889"/>
      <c r="P57" s="889"/>
      <c r="Q57" s="924"/>
      <c r="R57" s="924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1014" t="e">
        <f>#REF!</f>
        <v>#REF!</v>
      </c>
      <c r="C58" s="878" t="s">
        <v>0</v>
      </c>
      <c r="D58" s="878"/>
      <c r="E58" s="878" t="str">
        <f>CONCATENATE(IF('Area C'!$B$5="None","",'Area C'!$B$5), "   ",IF('Area C'!$B$7="None","",'Area C'!$B$7))</f>
        <v xml:space="preserve">TR200 Blk   </v>
      </c>
      <c r="F58" s="878"/>
      <c r="G58" s="878"/>
      <c r="H58" s="147" t="s">
        <v>481</v>
      </c>
      <c r="I58" s="874" t="str">
        <f>CONCATENATE(IF('Area C'!$B$5="None","",'Area C'!$D$5), "   ",,IF('Area C'!$B$7="None","",'Area C'!$D$7))</f>
        <v xml:space="preserve">0   </v>
      </c>
      <c r="J58" s="874"/>
      <c r="K58" s="885">
        <f>'Area C'!$G$5+'Area C'!$G$7</f>
        <v>0</v>
      </c>
      <c r="L58" s="885"/>
      <c r="M58" s="874" t="str">
        <f>CONCATENATE(IF('Area C'!$B$5="None","",'Area C'!$H$5), "   ",,IF('Area C'!$B$7="None","",'Area C'!$H$7))</f>
        <v xml:space="preserve">0   </v>
      </c>
      <c r="N58" s="874"/>
      <c r="O58" s="995">
        <f>'Area C'!$J$5+'Area C'!$J$7</f>
        <v>0</v>
      </c>
      <c r="P58" s="995"/>
      <c r="Q58" s="110">
        <f>IFERROR(O58/O69,0)</f>
        <v>0</v>
      </c>
      <c r="R58" s="977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1014"/>
      <c r="C59" s="878" t="s">
        <v>413</v>
      </c>
      <c r="D59" s="878"/>
      <c r="E59" s="878" t="str">
        <f>CONCATENATE(IF('Area C'!$B$6="None","",'Area C'!$B$6), "   ",IF('Area C'!$B$8="None","",'Area C'!$B$8))</f>
        <v xml:space="preserve">BR200- Blk   </v>
      </c>
      <c r="F59" s="878"/>
      <c r="G59" s="878"/>
      <c r="H59" s="147" t="s">
        <v>481</v>
      </c>
      <c r="I59" s="874" t="str">
        <f>CONCATENATE(IF('Area C'!$B$6="None","",'Area C'!$D$6), "   ",,IF('Area C'!$B$8="None","",'Area C'!$D$8))</f>
        <v xml:space="preserve">0   </v>
      </c>
      <c r="J59" s="874"/>
      <c r="K59" s="885">
        <f>'Area C'!$G$6+'Area C'!$G$8</f>
        <v>0</v>
      </c>
      <c r="L59" s="885"/>
      <c r="M59" s="874" t="str">
        <f>CONCATENATE(IF('Area C'!$B$6="None","",'Area C'!$H$6), "   ",,IF('Area C'!$B$8="None","",'Area C'!$H$8))</f>
        <v xml:space="preserve">0   </v>
      </c>
      <c r="N59" s="874"/>
      <c r="O59" s="989">
        <f>'Area C'!$J$6+'Area C'!$J$8</f>
        <v>0</v>
      </c>
      <c r="P59" s="989"/>
      <c r="Q59" s="110">
        <f>IFERROR(O59/O69,0)</f>
        <v>0</v>
      </c>
      <c r="R59" s="977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1014"/>
      <c r="C60" s="878" t="s">
        <v>4</v>
      </c>
      <c r="D60" s="878"/>
      <c r="E60" s="888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888"/>
      <c r="G60" s="888"/>
      <c r="H60" s="147" t="s">
        <v>481</v>
      </c>
      <c r="I60" s="874" t="str">
        <f>CONCATENATE(IF('Area C'!$B$12="None","",'Area C'!$D$12)," ",IF('Area C'!$B$15="None","",'Area C'!$E$15))</f>
        <v xml:space="preserve"> 0</v>
      </c>
      <c r="J60" s="874"/>
      <c r="K60" s="885">
        <f>'Area C'!$G$19</f>
        <v>0</v>
      </c>
      <c r="L60" s="885"/>
      <c r="M60" s="874" t="str">
        <f>CONCATENATE(IF('Area C'!$B$12="None","",'Area C'!$H$12)," ",IF('Area C'!$B$15="None","",'Area C'!$H$15))</f>
        <v xml:space="preserve"> 0</v>
      </c>
      <c r="N60" s="874"/>
      <c r="O60" s="989">
        <f>'Area C'!$J$19</f>
        <v>0</v>
      </c>
      <c r="P60" s="989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1014"/>
      <c r="C61" s="878" t="s">
        <v>6</v>
      </c>
      <c r="D61" s="878"/>
      <c r="E61" s="878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878"/>
      <c r="G61" s="878"/>
      <c r="H61" s="147" t="s">
        <v>482</v>
      </c>
      <c r="I61" s="874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874"/>
      <c r="K61" s="885">
        <f>'Area C'!$G$26</f>
        <v>0</v>
      </c>
      <c r="L61" s="885"/>
      <c r="M61" s="874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874"/>
      <c r="O61" s="989">
        <f>'Area C'!$J$26</f>
        <v>0</v>
      </c>
      <c r="P61" s="989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1014"/>
      <c r="C62" s="878" t="s">
        <v>8</v>
      </c>
      <c r="D62" s="878"/>
      <c r="E62" s="878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878"/>
      <c r="G62" s="878"/>
      <c r="H62" s="147" t="s">
        <v>484</v>
      </c>
      <c r="I62" s="874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874"/>
      <c r="K62" s="885">
        <f>'Area C'!$G$37</f>
        <v>0</v>
      </c>
      <c r="L62" s="885"/>
      <c r="M62" s="874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874"/>
      <c r="O62" s="989">
        <f>'Area C'!$J$37</f>
        <v>0</v>
      </c>
      <c r="P62" s="989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1014"/>
      <c r="C63" s="878" t="s">
        <v>363</v>
      </c>
      <c r="D63" s="878"/>
      <c r="E63" s="878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878"/>
      <c r="G63" s="878"/>
      <c r="H63" s="147" t="s">
        <v>482</v>
      </c>
      <c r="I63" s="874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874"/>
      <c r="K63" s="885">
        <f>'Area C'!G57</f>
        <v>0</v>
      </c>
      <c r="L63" s="885"/>
      <c r="M63" s="874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874"/>
      <c r="O63" s="989">
        <f>'Area C'!$J$44</f>
        <v>0</v>
      </c>
      <c r="P63" s="989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1014"/>
      <c r="C64" s="878" t="s">
        <v>7</v>
      </c>
      <c r="D64" s="878"/>
      <c r="E64" s="878"/>
      <c r="F64" s="878"/>
      <c r="G64" s="878"/>
      <c r="H64" s="147"/>
      <c r="I64" s="874"/>
      <c r="J64" s="874"/>
      <c r="K64" s="885">
        <f>'Area C'!G196</f>
        <v>0</v>
      </c>
      <c r="L64" s="885"/>
      <c r="M64" s="874"/>
      <c r="N64" s="874"/>
      <c r="O64" s="989">
        <f>'Area C'!$J$196</f>
        <v>0</v>
      </c>
      <c r="P64" s="989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1014"/>
      <c r="C65" s="878" t="s">
        <v>429</v>
      </c>
      <c r="D65" s="878"/>
      <c r="E65" s="878"/>
      <c r="F65" s="878"/>
      <c r="G65" s="878"/>
      <c r="H65" s="147"/>
      <c r="I65" s="874"/>
      <c r="J65" s="874"/>
      <c r="K65" s="885">
        <f>'Area C'!G266</f>
        <v>0</v>
      </c>
      <c r="L65" s="885"/>
      <c r="M65" s="874"/>
      <c r="N65" s="874"/>
      <c r="O65" s="989">
        <f>'Area C'!$J$266</f>
        <v>0</v>
      </c>
      <c r="P65" s="989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1014"/>
      <c r="C66" s="878" t="s">
        <v>430</v>
      </c>
      <c r="D66" s="878"/>
      <c r="E66" s="878"/>
      <c r="F66" s="878"/>
      <c r="G66" s="878"/>
      <c r="H66" s="147"/>
      <c r="I66" s="874"/>
      <c r="J66" s="874"/>
      <c r="K66" s="1006">
        <f>IF(L4="no",0,SUM(L14)*L5)</f>
        <v>0</v>
      </c>
      <c r="L66" s="1006"/>
      <c r="M66" s="874"/>
      <c r="N66" s="874"/>
      <c r="O66" s="989">
        <f>K66</f>
        <v>0</v>
      </c>
      <c r="P66" s="989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1015"/>
      <c r="C67" s="1009" t="s">
        <v>431</v>
      </c>
      <c r="D67" s="1009"/>
      <c r="E67" s="1009"/>
      <c r="F67" s="1009"/>
      <c r="G67" s="1009"/>
      <c r="H67" s="148"/>
      <c r="I67" s="994"/>
      <c r="J67" s="994"/>
      <c r="K67" s="991">
        <f>SUM(K58:K66)</f>
        <v>0</v>
      </c>
      <c r="L67" s="991"/>
      <c r="M67" s="994"/>
      <c r="N67" s="994"/>
      <c r="O67" s="991">
        <f>SUM(O58:O66)</f>
        <v>0</v>
      </c>
      <c r="P67" s="991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1037" t="s">
        <v>494</v>
      </c>
      <c r="D68" s="1037"/>
      <c r="E68" s="880">
        <f>L19</f>
        <v>0.04</v>
      </c>
      <c r="F68" s="880"/>
      <c r="G68" s="880"/>
      <c r="H68" s="147"/>
      <c r="I68" s="1008"/>
      <c r="J68" s="1008"/>
      <c r="K68" s="883">
        <f>SUM(K58:L65)*E68</f>
        <v>0</v>
      </c>
      <c r="L68" s="883"/>
      <c r="M68" s="59"/>
      <c r="N68" s="59"/>
      <c r="O68" s="992">
        <f>O67*E68</f>
        <v>0</v>
      </c>
      <c r="P68" s="992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1038" t="s">
        <v>367</v>
      </c>
      <c r="D69" s="1038"/>
      <c r="E69" s="1007"/>
      <c r="F69" s="1007"/>
      <c r="G69" s="1007"/>
      <c r="H69" s="182"/>
      <c r="I69" s="1004"/>
      <c r="J69" s="1004"/>
      <c r="K69" s="999">
        <f>SUM(K67:L68)</f>
        <v>0</v>
      </c>
      <c r="L69" s="999"/>
      <c r="M69" s="183"/>
      <c r="N69" s="183"/>
      <c r="O69" s="993">
        <f>SUM(O67:P68)</f>
        <v>0</v>
      </c>
      <c r="P69" s="993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889"/>
      <c r="C70" s="889"/>
      <c r="D70" s="889"/>
      <c r="E70" s="889"/>
      <c r="F70" s="889"/>
      <c r="G70" s="889"/>
      <c r="H70" s="889"/>
      <c r="I70" s="889"/>
      <c r="J70" s="889"/>
      <c r="K70" s="889"/>
      <c r="L70" s="889"/>
      <c r="M70" s="889"/>
      <c r="N70" s="889"/>
      <c r="O70" s="889"/>
      <c r="P70" s="889"/>
      <c r="Q70" s="889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892" t="e">
        <f>#REF!</f>
        <v>#REF!</v>
      </c>
      <c r="C71" s="895" t="s">
        <v>0</v>
      </c>
      <c r="D71" s="895"/>
      <c r="E71" s="895" t="str">
        <f>CONCATENATE(IF('Area D'!$B$5="None","",'Area D'!$B$5), "   ",IF('Area D'!$B$7="None","",'Area D'!$B$7))</f>
        <v xml:space="preserve">TR200 Blk   </v>
      </c>
      <c r="F71" s="895"/>
      <c r="G71" s="895"/>
      <c r="H71" s="355" t="s">
        <v>481</v>
      </c>
      <c r="I71" s="897" t="str">
        <f>CONCATENATE(IF('Area D'!$B$5="None","",'Area D'!$D$5), "   ",,IF('Area D'!$B$7="None","",'Area D'!$D$7))</f>
        <v xml:space="preserve">0   </v>
      </c>
      <c r="J71" s="897"/>
      <c r="K71" s="894">
        <f>'Area D'!$G$5+'Area D'!$G$7</f>
        <v>0</v>
      </c>
      <c r="L71" s="894"/>
      <c r="M71" s="897" t="str">
        <f>CONCATENATE(IF('Area D'!$B$5="None","",'Area D'!$H$5), "   ",,IF('Area D'!$B$7="None","",'Area D'!$H$7))</f>
        <v xml:space="preserve">0   </v>
      </c>
      <c r="N71" s="897"/>
      <c r="O71" s="905">
        <f>'Area D'!$J$5+'Area D'!$J$7</f>
        <v>0</v>
      </c>
      <c r="P71" s="905"/>
      <c r="Q71" s="110">
        <f>IFERROR(O71/O82,0)</f>
        <v>0</v>
      </c>
      <c r="R71" s="977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892"/>
      <c r="C72" s="895" t="s">
        <v>413</v>
      </c>
      <c r="D72" s="895"/>
      <c r="E72" s="895" t="str">
        <f>CONCATENATE(IF('Area D'!$B$6="None","",'Area D'!$B$6), "   ",IF('Area D'!$B$8="None","",'Area D'!$B$8))</f>
        <v xml:space="preserve">BR200- Blk   </v>
      </c>
      <c r="F72" s="895"/>
      <c r="G72" s="895"/>
      <c r="H72" s="355" t="s">
        <v>481</v>
      </c>
      <c r="I72" s="897" t="str">
        <f>CONCATENATE(IF('Area D'!$B$6="None","",'Area D'!$D$6), "   ",,IF('Area D'!$B$8="None","",'Area D'!$D$8))</f>
        <v xml:space="preserve">0   </v>
      </c>
      <c r="J72" s="897"/>
      <c r="K72" s="894">
        <f>'Area D'!$G$6+'Area D'!$G$8</f>
        <v>0</v>
      </c>
      <c r="L72" s="894"/>
      <c r="M72" s="897" t="str">
        <f>CONCATENATE(IF('Area D'!$B$6="None","",'Area D'!$H$6), "   ",,IF('Area D'!$B$8="None","",'Area D'!$H$8))</f>
        <v xml:space="preserve">0   </v>
      </c>
      <c r="N72" s="897"/>
      <c r="O72" s="905">
        <f>'Area D'!$J$6+'Area D'!$J$8</f>
        <v>0</v>
      </c>
      <c r="P72" s="905"/>
      <c r="Q72" s="110">
        <f>IFERROR(O72/O82,0)</f>
        <v>0</v>
      </c>
      <c r="R72" s="977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892"/>
      <c r="C73" s="895" t="s">
        <v>4</v>
      </c>
      <c r="D73" s="895"/>
      <c r="E73" s="896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896"/>
      <c r="G73" s="896"/>
      <c r="H73" s="355" t="s">
        <v>481</v>
      </c>
      <c r="I73" s="897" t="str">
        <f>CONCATENATE(IF('Area D'!$B$12="None","",'Area D'!$D$12)," ",IF('Area D'!$B$15="None","",'Area D'!$E$15))</f>
        <v xml:space="preserve"> 0</v>
      </c>
      <c r="J73" s="897"/>
      <c r="K73" s="894">
        <f>'Area D'!$G$19</f>
        <v>0</v>
      </c>
      <c r="L73" s="894"/>
      <c r="M73" s="897" t="str">
        <f>CONCATENATE(IF('Area D'!$B$12="None","",'Area D'!$H$12)," ",IF('Area D'!$B$15="None","",'Area D'!$H$15))</f>
        <v xml:space="preserve"> 0</v>
      </c>
      <c r="N73" s="897"/>
      <c r="O73" s="905">
        <f>'Area D'!$J$19</f>
        <v>0</v>
      </c>
      <c r="P73" s="905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892"/>
      <c r="C74" s="895" t="s">
        <v>6</v>
      </c>
      <c r="D74" s="895"/>
      <c r="E74" s="895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895"/>
      <c r="G74" s="895"/>
      <c r="H74" s="355" t="s">
        <v>482</v>
      </c>
      <c r="I74" s="897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897"/>
      <c r="K74" s="894">
        <f>'Area D'!$G$26</f>
        <v>0</v>
      </c>
      <c r="L74" s="894"/>
      <c r="M74" s="897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897"/>
      <c r="O74" s="905">
        <f>'Area D'!$J$26</f>
        <v>0</v>
      </c>
      <c r="P74" s="905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892"/>
      <c r="C75" s="895" t="s">
        <v>8</v>
      </c>
      <c r="D75" s="895"/>
      <c r="E75" s="895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895"/>
      <c r="G75" s="895"/>
      <c r="H75" s="355" t="s">
        <v>484</v>
      </c>
      <c r="I75" s="897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897"/>
      <c r="K75" s="894">
        <f>'Area D'!$G$37</f>
        <v>0</v>
      </c>
      <c r="L75" s="894"/>
      <c r="M75" s="897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897"/>
      <c r="O75" s="905">
        <f>'Area D'!$J$37</f>
        <v>0</v>
      </c>
      <c r="P75" s="905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892"/>
      <c r="C76" s="895" t="s">
        <v>363</v>
      </c>
      <c r="D76" s="895"/>
      <c r="E76" s="895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895"/>
      <c r="G76" s="895"/>
      <c r="H76" s="355" t="s">
        <v>482</v>
      </c>
      <c r="I76" s="897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897"/>
      <c r="K76" s="894">
        <f>'Area D'!$G$44</f>
        <v>0</v>
      </c>
      <c r="L76" s="894"/>
      <c r="M76" s="897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897"/>
      <c r="O76" s="905">
        <f>'Area D'!$J$44</f>
        <v>0</v>
      </c>
      <c r="P76" s="905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892"/>
      <c r="C77" s="895" t="s">
        <v>7</v>
      </c>
      <c r="D77" s="895"/>
      <c r="E77" s="895"/>
      <c r="F77" s="895"/>
      <c r="G77" s="895"/>
      <c r="H77" s="355"/>
      <c r="I77" s="897"/>
      <c r="J77" s="897"/>
      <c r="K77" s="894">
        <f>'Area D'!$G$160</f>
        <v>0</v>
      </c>
      <c r="L77" s="894"/>
      <c r="M77" s="897"/>
      <c r="N77" s="897"/>
      <c r="O77" s="905">
        <f>'Area D'!$J$196</f>
        <v>0</v>
      </c>
      <c r="P77" s="905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892"/>
      <c r="C78" s="895" t="s">
        <v>429</v>
      </c>
      <c r="D78" s="895"/>
      <c r="E78" s="895"/>
      <c r="F78" s="895"/>
      <c r="G78" s="895"/>
      <c r="H78" s="355"/>
      <c r="I78" s="897"/>
      <c r="J78" s="897"/>
      <c r="K78" s="894">
        <f>'Area D'!$G$196</f>
        <v>0</v>
      </c>
      <c r="L78" s="894"/>
      <c r="M78" s="897"/>
      <c r="N78" s="897"/>
      <c r="O78" s="905">
        <f>'Area D'!$J$266</f>
        <v>0</v>
      </c>
      <c r="P78" s="905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892"/>
      <c r="C79" s="895" t="s">
        <v>430</v>
      </c>
      <c r="D79" s="895"/>
      <c r="E79" s="895"/>
      <c r="F79" s="895"/>
      <c r="G79" s="895"/>
      <c r="H79" s="355"/>
      <c r="I79" s="897"/>
      <c r="J79" s="897"/>
      <c r="K79" s="904">
        <f>IF(P4="no",0,SUM(P14)*P5)</f>
        <v>0</v>
      </c>
      <c r="L79" s="904"/>
      <c r="M79" s="897"/>
      <c r="N79" s="897"/>
      <c r="O79" s="905">
        <f>K79</f>
        <v>0</v>
      </c>
      <c r="P79" s="905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893"/>
      <c r="C80" s="906" t="s">
        <v>431</v>
      </c>
      <c r="D80" s="906"/>
      <c r="E80" s="906"/>
      <c r="F80" s="906"/>
      <c r="G80" s="906"/>
      <c r="H80" s="356"/>
      <c r="I80" s="907"/>
      <c r="J80" s="907"/>
      <c r="K80" s="908">
        <f>SUM(K71:K79)</f>
        <v>0</v>
      </c>
      <c r="L80" s="908"/>
      <c r="M80" s="907"/>
      <c r="N80" s="907"/>
      <c r="O80" s="908">
        <f>SUM(O71:O79)</f>
        <v>0</v>
      </c>
      <c r="P80" s="908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912" t="s">
        <v>494</v>
      </c>
      <c r="D81" s="912"/>
      <c r="E81" s="913">
        <f>P19</f>
        <v>0.04</v>
      </c>
      <c r="F81" s="913"/>
      <c r="G81" s="913"/>
      <c r="H81" s="355"/>
      <c r="I81" s="901"/>
      <c r="J81" s="901"/>
      <c r="K81" s="902">
        <f>SUM(K71:L78)*E81</f>
        <v>0</v>
      </c>
      <c r="L81" s="902"/>
      <c r="M81" s="358"/>
      <c r="N81" s="358"/>
      <c r="O81" s="903">
        <f>O80*E81</f>
        <v>0</v>
      </c>
      <c r="P81" s="903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1039" t="s">
        <v>367</v>
      </c>
      <c r="D82" s="1039"/>
      <c r="E82" s="909"/>
      <c r="F82" s="909"/>
      <c r="G82" s="909"/>
      <c r="H82" s="360"/>
      <c r="I82" s="910"/>
      <c r="J82" s="910"/>
      <c r="K82" s="911">
        <f>SUM(K80:L81)</f>
        <v>0</v>
      </c>
      <c r="L82" s="911"/>
      <c r="M82" s="361"/>
      <c r="N82" s="361"/>
      <c r="O82" s="911">
        <f>SUM(O80:P81)</f>
        <v>0</v>
      </c>
      <c r="P82" s="911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889"/>
      <c r="D83" s="889"/>
      <c r="E83" s="188"/>
      <c r="F83" s="188"/>
      <c r="G83" s="188"/>
      <c r="H83" s="188"/>
      <c r="I83" s="876"/>
      <c r="J83" s="876"/>
      <c r="K83" s="889"/>
      <c r="L83" s="889"/>
      <c r="M83" s="889"/>
      <c r="N83" s="889"/>
      <c r="O83" s="889"/>
      <c r="P83" s="889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1036" t="s">
        <v>489</v>
      </c>
      <c r="D84" s="1036"/>
      <c r="E84" s="114"/>
      <c r="F84" s="114"/>
      <c r="G84" s="114"/>
      <c r="H84" s="114"/>
      <c r="I84" s="1013"/>
      <c r="J84" s="1013"/>
      <c r="K84" s="990">
        <f>K43+K56+K69+K82</f>
        <v>0</v>
      </c>
      <c r="L84" s="990"/>
      <c r="M84" s="987"/>
      <c r="N84" s="987"/>
      <c r="O84" s="990">
        <f>O43+O56+O69+O82</f>
        <v>0</v>
      </c>
      <c r="P84" s="990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10"/>
      <c r="J85" s="1010"/>
      <c r="K85" s="986"/>
      <c r="L85" s="986"/>
      <c r="M85" s="988"/>
      <c r="N85" s="988"/>
      <c r="O85" s="986"/>
      <c r="P85" s="986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29" sqref="B29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2" t="str">
        <f>IF('Project Materials'!C25="","",'Project Materials'!C25)</f>
        <v/>
      </c>
      <c r="B1" s="1103"/>
      <c r="C1" s="1103"/>
      <c r="D1" s="1103"/>
      <c r="E1" s="1103"/>
      <c r="F1" s="1103"/>
      <c r="G1" s="1103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4" t="str">
        <f>IF(ISBLANK('Project Materials'!I2),"",'Project Materials'!I2)</f>
        <v/>
      </c>
      <c r="E2" s="1104"/>
      <c r="F2" s="35" t="s">
        <v>492</v>
      </c>
      <c r="G2" s="42" t="str">
        <f>IF(ISBLANK('Project Materials'!N2),"",'Project Materials'!N2)</f>
        <v/>
      </c>
      <c r="H2" s="1107"/>
      <c r="I2" s="1107"/>
      <c r="J2" s="1107"/>
    </row>
    <row r="3" spans="1:67" ht="15.9" x14ac:dyDescent="0.45">
      <c r="A3" s="1108" t="s">
        <v>479</v>
      </c>
      <c r="B3" s="1108"/>
      <c r="C3" s="1108"/>
      <c r="D3" s="1108"/>
      <c r="E3" s="1108"/>
      <c r="F3" s="1108"/>
      <c r="G3" s="1108"/>
      <c r="H3" s="1108"/>
      <c r="I3" s="1108"/>
      <c r="J3" s="1108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1" t="s">
        <v>866</v>
      </c>
      <c r="M4" s="1101"/>
      <c r="N4" s="228"/>
      <c r="O4" s="228"/>
    </row>
    <row r="5" spans="1:67" x14ac:dyDescent="0.4">
      <c r="A5" s="552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Materials'!$O$25*'Project Materials'!$P$25))</f>
        <v>0</v>
      </c>
      <c r="E5" s="554">
        <f>IF(K5="",(CEILING(('Project Materials'!$O$25/20),L5)*'Project Materials'!$P$25),(CEILING(('Project Materials'!$O$25/K5),L5)*'Project Materials'!$P$25))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5">
        <v>0.5</v>
      </c>
      <c r="M5" s="1105"/>
      <c r="N5" s="230" t="s">
        <v>867</v>
      </c>
      <c r="O5" s="1106"/>
      <c r="P5" s="1106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0</v>
      </c>
      <c r="E6" s="554">
        <f>IFERROR(CEILING(IF(K6="",(CEILING(('Project Materials'!$O$25/VLOOKUP(B6,'Item List'!B:AM,3,FALSE)),L6)*'Project Materials'!$P$25),(CEILING(('Project Materials'!$O$25/K6),L6)*'Project Materials'!$P$25)),L6),0)</f>
        <v>0</v>
      </c>
      <c r="F6" s="555">
        <f>IF(B6="None",0,VLOOKUP(B6,'Item List'!B:AH,4,FALSE))</f>
        <v>25.81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5">
        <v>0.25</v>
      </c>
      <c r="M6" s="1105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Materials'!K25*'Project Materials'!P25))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Materials'!J25*'Project Materials'!P25))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Materials'!L25*'Project Materials'!P25))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Materials'!M25*'Project Materials'!P25))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100"/>
      <c r="M21" s="1100"/>
      <c r="N21" s="1100"/>
      <c r="O21" s="1100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522</v>
      </c>
      <c r="C29" s="78" t="str">
        <f>VLOOKUP(B29,'Item List'!B:AH,2,FALSE)</f>
        <v>5/8" X 5/8" Picket - 36 1/8"-  For 42" High Top Rails- Black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1.62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0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Materials'!$W$25)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None</v>
      </c>
      <c r="C70" s="614" t="str">
        <f>VLOOKUP(B70,'Item List'!B:AH,2,FALSE)</f>
        <v>None</v>
      </c>
      <c r="D70" s="614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None</v>
      </c>
      <c r="C76" s="614" t="str">
        <f>VLOOKUP(B76,'Item List'!B:AH,2,FALSE)</f>
        <v>None</v>
      </c>
      <c r="D76" s="614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None</v>
      </c>
      <c r="C82" s="614" t="str">
        <f>VLOOKUP(B82,'Item List'!B:AH,2,FALSE)</f>
        <v>None</v>
      </c>
      <c r="D82" s="614"/>
      <c r="E82" s="575">
        <f>$E$17*VLOOKUP(B82,'Item List'!B:AM,38,FALSE)</f>
        <v>0</v>
      </c>
      <c r="F82" s="595">
        <f>VLOOKUP(B82,'Item List'!B:AH,4,FALSE)</f>
        <v>0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None</v>
      </c>
      <c r="C144" s="78" t="str">
        <f>VLOOKUP(B144,'Item List'!B:AH,2,FALSE)</f>
        <v>None</v>
      </c>
      <c r="D144" s="78"/>
      <c r="E144" s="575">
        <f>VLOOKUP(B144,'Item List'!B:AM,33,FALSE)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List'!B:AM,33,FALSE)</f>
        <v>0</v>
      </c>
      <c r="F199" s="555">
        <f>VLOOKUP(B199,'Item List'!B:AJ,4,FALSE)</f>
        <v>5.47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None</v>
      </c>
      <c r="C200" s="78" t="str">
        <f>VLOOKUP(B200,'Item List'!B:AH,2,FALSE)</f>
        <v>None</v>
      </c>
      <c r="D200" s="78"/>
      <c r="E200" s="557">
        <f>VLOOKUP(B200,'Item List'!B:AM,33,FALSE)</f>
        <v>0</v>
      </c>
      <c r="F200" s="555">
        <f>VLOOKUP(B200,'Item List'!B:AJ,4,FALSE)</f>
        <v>0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SP41- Blk</v>
      </c>
      <c r="C211" s="78" t="str">
        <f>VLOOKUP(B211,'Item List'!B:AH,2,FALSE)</f>
        <v>Series 100 Picket Spacer (4")- Black</v>
      </c>
      <c r="D211" s="78"/>
      <c r="E211" s="557">
        <f>VLOOKUP(B211,'Item List'!B:AM,33,FALSE)</f>
        <v>0</v>
      </c>
      <c r="F211" s="555">
        <f>VLOOKUP(B211,'Item List'!B:AJ,4,FALSE)</f>
        <v>0.26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SP41- Blk</v>
      </c>
      <c r="C212" s="78" t="str">
        <f>VLOOKUP(B212,'Item List'!B:AH,2,FALSE)</f>
        <v>Series 100 Picket Spacer (4")- Black</v>
      </c>
      <c r="D212" s="78"/>
      <c r="E212" s="557">
        <f>VLOOKUP(B212,'Item List'!B:AM,33,FALSE)</f>
        <v>0</v>
      </c>
      <c r="F212" s="555">
        <f>VLOOKUP(B212,'Item List'!B:AJ,4,FALSE)</f>
        <v>0.26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0" t="str">
        <f>IF('Project Materials'!C26="","",'Project Materials'!C26)</f>
        <v/>
      </c>
      <c r="B1" s="1111"/>
      <c r="C1" s="1111"/>
      <c r="D1" s="1111"/>
      <c r="E1" s="1111"/>
      <c r="F1" s="1111"/>
      <c r="G1" s="1111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6" t="str">
        <f>IF('Project Materials'!C27="","",'Project Materials'!C27)</f>
        <v/>
      </c>
      <c r="B1" s="1117"/>
      <c r="C1" s="1117"/>
      <c r="D1" s="1117"/>
      <c r="E1" s="1117"/>
      <c r="F1" s="1117"/>
      <c r="G1" s="1117"/>
      <c r="H1" s="1117"/>
      <c r="I1" s="1117"/>
      <c r="J1" s="1117"/>
      <c r="K1" s="1118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0</v>
      </c>
      <c r="E5" s="554">
        <f>IF(K5="",(CEILING(('Project Materials'!$O$27/20),L5)*'Project Materials'!$P$27),(CEILING(('Project Materials'!$O$27/K5),L5)*'Project Materials'!$P$27))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0</v>
      </c>
      <c r="E6" s="554">
        <f>IFERROR(CEILING(IF(K6="",(CEILING(('Project Materials'!$O$27/VLOOKUP(B6,'Item List'!B:AM,3,FALSE)),L6)*'Project Materials'!$P$27),(CEILING(('Project Materials'!$O$27/K6),L6)*'Project Materials'!$P$27)),L6),0)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12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9" t="str">
        <f>IF('Project Materials'!C28="","",'Project Materials'!C28)</f>
        <v/>
      </c>
      <c r="B1" s="1120"/>
      <c r="C1" s="1120"/>
      <c r="D1" s="1120"/>
      <c r="E1" s="1120"/>
      <c r="F1" s="1120"/>
      <c r="G1" s="1120"/>
      <c r="H1" s="1120"/>
      <c r="I1" s="1120"/>
      <c r="J1" s="1120"/>
      <c r="K1" s="1121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Materials'!P12*'Project Materials'!P13),1)</f>
        <v>0</v>
      </c>
      <c r="F31" s="555">
        <f>IF(B31="None",0,VLOOKUP(B31,'Item List'!B:AH,4,FALSE))</f>
        <v>11.12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675</v>
      </c>
      <c r="C32" s="78" t="str">
        <f>VLOOKUP(B32,'Item List'!B:AH,2,FALSE)</f>
        <v>CLEAR TEMPERED LAMINATED GLASS  3/8" POLISHED EDGES, PER INCH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0.34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C13" sqref="C13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2" t="s">
        <v>997</v>
      </c>
      <c r="B1" s="1123"/>
      <c r="C1" s="736" t="s">
        <v>938</v>
      </c>
      <c r="D1" s="770" t="s">
        <v>1046</v>
      </c>
    </row>
    <row r="2" spans="1:4" ht="18.45" x14ac:dyDescent="0.4">
      <c r="A2" s="1122" t="s">
        <v>928</v>
      </c>
      <c r="B2" s="1123"/>
      <c r="C2" s="737" t="s">
        <v>941</v>
      </c>
      <c r="D2" s="770" t="s">
        <v>1046</v>
      </c>
    </row>
    <row r="3" spans="1:4" ht="18.45" x14ac:dyDescent="0.4">
      <c r="A3" s="1122" t="s">
        <v>927</v>
      </c>
      <c r="B3" s="1123"/>
      <c r="C3" s="737" t="s">
        <v>937</v>
      </c>
      <c r="D3" s="770" t="s">
        <v>1046</v>
      </c>
    </row>
    <row r="4" spans="1:4" ht="18.45" x14ac:dyDescent="0.4">
      <c r="A4" s="1122" t="s">
        <v>712</v>
      </c>
      <c r="B4" s="1123"/>
      <c r="C4" s="737" t="s">
        <v>1063</v>
      </c>
      <c r="D4" s="770" t="s">
        <v>1046</v>
      </c>
    </row>
    <row r="5" spans="1:4" ht="18.45" x14ac:dyDescent="0.4">
      <c r="A5" s="1123" t="s">
        <v>989</v>
      </c>
      <c r="B5" s="1124"/>
      <c r="C5" s="737" t="s">
        <v>1059</v>
      </c>
      <c r="D5" s="770" t="s">
        <v>1046</v>
      </c>
    </row>
    <row r="6" spans="1:4" ht="18.45" x14ac:dyDescent="0.4">
      <c r="A6" s="1123" t="s">
        <v>974</v>
      </c>
      <c r="B6" s="1124"/>
      <c r="C6" s="737">
        <v>0</v>
      </c>
      <c r="D6" s="770" t="s">
        <v>1047</v>
      </c>
    </row>
    <row r="7" spans="1:4" ht="18.45" x14ac:dyDescent="0.4">
      <c r="A7" s="1122" t="s">
        <v>973</v>
      </c>
      <c r="B7" s="1123"/>
      <c r="C7" s="737">
        <v>0</v>
      </c>
      <c r="D7" s="770" t="s">
        <v>1047</v>
      </c>
    </row>
    <row r="8" spans="1:4" ht="18.45" x14ac:dyDescent="0.4">
      <c r="A8" s="1122" t="s">
        <v>1051</v>
      </c>
      <c r="B8" s="1123"/>
      <c r="C8" s="737">
        <v>0</v>
      </c>
      <c r="D8" s="770" t="s">
        <v>1047</v>
      </c>
    </row>
    <row r="9" spans="1:4" ht="18.45" x14ac:dyDescent="0.4">
      <c r="A9" s="1122" t="s">
        <v>1060</v>
      </c>
      <c r="B9" s="1123"/>
      <c r="C9" s="771">
        <f>IFERROR(IF(C3="Wall",0,SUM(1+(C7/C12))*C6),0)</f>
        <v>0</v>
      </c>
      <c r="D9" s="770"/>
    </row>
    <row r="10" spans="1:4" ht="18.45" x14ac:dyDescent="0.4">
      <c r="A10" s="1122" t="s">
        <v>975</v>
      </c>
      <c r="B10" s="1123"/>
      <c r="C10" s="738"/>
      <c r="D10" s="770" t="s">
        <v>1047</v>
      </c>
    </row>
    <row r="11" spans="1:4" ht="18.45" x14ac:dyDescent="0.4">
      <c r="A11" s="1122" t="s">
        <v>976</v>
      </c>
      <c r="B11" s="1123"/>
      <c r="C11" s="738"/>
      <c r="D11" s="770" t="s">
        <v>1047</v>
      </c>
    </row>
    <row r="12" spans="1:4" ht="18.45" x14ac:dyDescent="0.4">
      <c r="A12" s="1122" t="s">
        <v>1050</v>
      </c>
      <c r="B12" s="1123"/>
      <c r="C12" s="737">
        <v>0</v>
      </c>
      <c r="D12" s="770" t="s">
        <v>1047</v>
      </c>
    </row>
    <row r="13" spans="1:4" ht="18.45" x14ac:dyDescent="0.4">
      <c r="A13" s="1122" t="s">
        <v>1043</v>
      </c>
      <c r="B13" s="1123"/>
      <c r="C13" s="737"/>
      <c r="D13" s="770" t="s">
        <v>1047</v>
      </c>
    </row>
    <row r="14" spans="1:4" ht="18.45" x14ac:dyDescent="0.4">
      <c r="A14" s="1122" t="s">
        <v>935</v>
      </c>
      <c r="B14" s="1123"/>
      <c r="C14" s="737"/>
      <c r="D14" s="770" t="s">
        <v>1046</v>
      </c>
    </row>
    <row r="15" spans="1:4" ht="18.45" x14ac:dyDescent="0.4">
      <c r="A15" s="1122" t="s">
        <v>962</v>
      </c>
      <c r="B15" s="1123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0</v>
      </c>
      <c r="E18" s="753">
        <f>IFERROR(IF(Table113[[#This Row],[Item]]="None",0,(ROUNDUP(Table113[[#This Row],[Qty (Feet)]]/(VLOOKUP(Table113[[#This Row],[Item]],'Grab Rail Item List'!C:E,3,FALSE)),0))),0)</f>
        <v>0</v>
      </c>
      <c r="F18" s="715">
        <f>IFERROR(VLOOKUP(Table113[[#This Row],[Item]],'Grab Rail Item List'!C:F,4,FALSE),0)</f>
        <v>56.62</v>
      </c>
      <c r="G18" s="716">
        <f>F18*E18</f>
        <v>0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0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0</v>
      </c>
      <c r="H20" s="745"/>
      <c r="I20" s="745"/>
      <c r="J20" s="744">
        <f>SUM(J18:J19)</f>
        <v>0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0</v>
      </c>
      <c r="F26" s="715">
        <f>IFERROR(IF(Table113[[#This Row],[Item]]="None",0,(VLOOKUP(B26,'Grab Rail Item List'!C:F,4,FALSE))),0)</f>
        <v>2.06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0</v>
      </c>
      <c r="H27" s="578"/>
      <c r="I27" s="719">
        <f>SUM(I23:I26)</f>
        <v>0</v>
      </c>
      <c r="J27" s="719">
        <f>SUM(J23:J26)</f>
        <v>0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0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0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0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0</v>
      </c>
      <c r="H40" s="727"/>
      <c r="I40" s="719">
        <f>SUM(I31:I39)</f>
        <v>0</v>
      </c>
      <c r="J40" s="719">
        <f>SUM(J31:J39)</f>
        <v>0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0</v>
      </c>
      <c r="E44" s="714">
        <f>D44*'Work Area'!E40</f>
        <v>0</v>
      </c>
      <c r="F44" s="730">
        <f>'Work Area'!$D$37</f>
        <v>20.88</v>
      </c>
      <c r="G44" s="716">
        <f t="shared" ref="G44:G50" si="4">F44*E44</f>
        <v>0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0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0</v>
      </c>
      <c r="F50" s="730">
        <f>IFERROR(VLOOKUP(B50,'Grab Rail Item List'!C42:F47,4,FALSE),)</f>
        <v>5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0</v>
      </c>
      <c r="H51" s="727"/>
      <c r="I51" s="719">
        <f>SUM(I44:I50)</f>
        <v>0</v>
      </c>
      <c r="J51" s="719">
        <f>SUM(J44:J50)</f>
        <v>0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52" t="s">
        <v>908</v>
      </c>
      <c r="B1" s="392" t="s">
        <v>739</v>
      </c>
      <c r="C1" s="1151" t="str">
        <f>IF('Project Materials'!I2="","",'Project Materials'!I2)</f>
        <v/>
      </c>
      <c r="D1" s="1151"/>
      <c r="E1" s="1151"/>
      <c r="F1" s="1151"/>
      <c r="G1" s="767"/>
      <c r="H1" s="1155" t="s">
        <v>738</v>
      </c>
      <c r="I1" s="1155"/>
      <c r="J1" s="1155"/>
      <c r="K1" s="1151" t="str">
        <f>IF('Project Materials'!S2="","",'Project Materials'!S2)</f>
        <v/>
      </c>
      <c r="L1" s="1151"/>
      <c r="M1" s="1151"/>
      <c r="N1" s="1151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53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29" t="s">
        <v>896</v>
      </c>
      <c r="K3" s="1130"/>
      <c r="L3" s="1130"/>
      <c r="M3" s="1130"/>
      <c r="N3" s="1131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45" t="s">
        <v>924</v>
      </c>
      <c r="M4" s="1145"/>
      <c r="N4" s="1146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2" t="s">
        <v>905</v>
      </c>
      <c r="L5" s="1132"/>
      <c r="M5" s="1132"/>
      <c r="N5" s="1133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2" t="s">
        <v>1118</v>
      </c>
      <c r="L6" s="1132"/>
      <c r="M6" s="1132"/>
      <c r="N6" s="1133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47" t="s">
        <v>902</v>
      </c>
      <c r="E7" s="1147"/>
      <c r="F7" s="1148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47" t="s">
        <v>897</v>
      </c>
      <c r="L8" s="1147"/>
      <c r="M8" s="1147"/>
      <c r="N8" s="1148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47" t="s">
        <v>901</v>
      </c>
      <c r="E11" s="1147"/>
      <c r="F11" s="1148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1" t="s">
        <v>907</v>
      </c>
      <c r="C13" s="1142"/>
      <c r="D13" s="1142"/>
      <c r="E13" s="1142"/>
      <c r="F13" s="1143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40" t="s">
        <v>904</v>
      </c>
      <c r="E14" s="1140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50" t="s">
        <v>737</v>
      </c>
      <c r="C19" s="1149" t="str">
        <f>IF('Project Materials'!C25="","",'Project Materials'!C25)</f>
        <v/>
      </c>
      <c r="D19" s="1144" t="str">
        <f>IF('Project Materials'!C26="","",'Project Materials'!C26)</f>
        <v/>
      </c>
      <c r="E19" s="1149" t="str">
        <f>IF('Project Materials'!C27="","",'Project Materials'!C27)</f>
        <v/>
      </c>
      <c r="F19" s="1144" t="str">
        <f>IF('Project Materials'!C28="","",'Project Materials'!C28)</f>
        <v/>
      </c>
      <c r="G19" s="769" t="s">
        <v>952</v>
      </c>
      <c r="H19" s="1154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0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50"/>
      <c r="C20" s="1149"/>
      <c r="D20" s="1144"/>
      <c r="E20" s="1149"/>
      <c r="F20" s="1144"/>
      <c r="G20" s="769"/>
      <c r="H20" s="1154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0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0</v>
      </c>
      <c r="D21" s="433">
        <f>'Project Materials'!O26</f>
        <v>0</v>
      </c>
      <c r="E21" s="433">
        <f>'Project Materials'!O27</f>
        <v>0</v>
      </c>
      <c r="F21" s="434">
        <f>'Project Materials'!O28</f>
        <v>0</v>
      </c>
      <c r="G21" s="434">
        <f>'Grab Rail'!C7</f>
        <v>0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0</v>
      </c>
      <c r="D22" s="438">
        <f>'Project Materials'!P26</f>
        <v>0</v>
      </c>
      <c r="E22" s="438">
        <f>'Project Materials'!P27</f>
        <v>0</v>
      </c>
      <c r="F22" s="439">
        <f>'Project Materials'!P28</f>
        <v>0</v>
      </c>
      <c r="G22" s="439">
        <f>'Grab Rail'!C6</f>
        <v>0</v>
      </c>
      <c r="H22" s="440">
        <f>SUM(C22:G22)</f>
        <v>0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0</v>
      </c>
      <c r="I23" s="436"/>
      <c r="J23" s="1129" t="s">
        <v>1117</v>
      </c>
      <c r="K23" s="1130"/>
      <c r="L23" s="1130"/>
      <c r="M23" s="1130"/>
      <c r="N23" s="1131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50" t="s">
        <v>737</v>
      </c>
      <c r="K31" s="1125" t="str">
        <f>+C19</f>
        <v/>
      </c>
      <c r="L31" s="1126" t="str">
        <f>+D19</f>
        <v/>
      </c>
      <c r="M31" s="1125" t="str">
        <f>+E19</f>
        <v/>
      </c>
      <c r="N31" s="1126" t="str">
        <f>+F19</f>
        <v/>
      </c>
      <c r="O31" s="1128" t="s">
        <v>952</v>
      </c>
      <c r="P31" s="1127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50"/>
      <c r="K32" s="1125"/>
      <c r="L32" s="1126"/>
      <c r="M32" s="1125"/>
      <c r="N32" s="1126"/>
      <c r="O32" s="1128"/>
      <c r="P32" s="1127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0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0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36"/>
      <c r="B41" s="1136"/>
      <c r="C41" s="1136"/>
      <c r="D41" s="1136"/>
      <c r="E41" s="1136"/>
      <c r="F41" s="1136"/>
      <c r="G41" s="1136"/>
      <c r="H41" s="1136"/>
      <c r="I41" s="1136"/>
      <c r="J41" s="1136"/>
      <c r="K41" s="1136"/>
      <c r="L41" s="1136"/>
      <c r="M41" s="1136"/>
      <c r="N41" s="1136"/>
      <c r="O41" s="1136"/>
      <c r="P41" s="1136"/>
      <c r="Q41" s="1136"/>
      <c r="R41" s="1136"/>
      <c r="S41" s="1136"/>
      <c r="T41" s="1136"/>
      <c r="U41" s="1137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38" t="s">
        <v>845</v>
      </c>
      <c r="C43" s="1138"/>
      <c r="D43" s="1138"/>
      <c r="E43" s="1138"/>
      <c r="F43" s="1138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35" t="s">
        <v>851</v>
      </c>
      <c r="C50" s="1135"/>
      <c r="D50" s="1135"/>
      <c r="E50" s="1135"/>
      <c r="F50" s="1135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39" t="s">
        <v>846</v>
      </c>
      <c r="D51" s="1139"/>
      <c r="E51" s="1139"/>
      <c r="F51" s="1139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34" t="s">
        <v>847</v>
      </c>
      <c r="D57" s="1134"/>
      <c r="E57" s="1134"/>
      <c r="F57" s="1134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31:K32"/>
    <mergeCell ref="L31:L32"/>
    <mergeCell ref="M31:M32"/>
    <mergeCell ref="N31:N32"/>
    <mergeCell ref="P31:P32"/>
    <mergeCell ref="O31:O3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6" t="s">
        <v>432</v>
      </c>
      <c r="B1" s="1156"/>
      <c r="C1" s="1156"/>
      <c r="D1" s="1156"/>
      <c r="E1" s="1156"/>
      <c r="G1" s="1157" t="s">
        <v>433</v>
      </c>
      <c r="H1" s="1157"/>
      <c r="I1" s="1157"/>
      <c r="J1" s="1157"/>
      <c r="K1" s="1157"/>
      <c r="M1" s="1158" t="s">
        <v>434</v>
      </c>
      <c r="N1" s="1158"/>
      <c r="O1" s="1158"/>
      <c r="P1" s="1158"/>
      <c r="Q1" s="1158"/>
      <c r="S1" s="1159" t="s">
        <v>925</v>
      </c>
      <c r="T1" s="1159"/>
      <c r="U1" s="1159"/>
      <c r="V1" s="1159"/>
      <c r="W1" s="1159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7"/>
  <sheetViews>
    <sheetView workbookViewId="0">
      <pane xSplit="3" ySplit="2" topLeftCell="D177" activePane="bottomRight" state="frozen"/>
      <selection pane="topRight" activeCell="D1" sqref="D1"/>
      <selection pane="bottomLeft" activeCell="A3" sqref="A3"/>
      <selection pane="bottomRight" activeCell="E188" sqref="E188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A'!$E$29&gt;0,$B$272,IF('Area A'!$D$31&gt;0,$B$272,IF('Area A'!$E$33&gt;0,'Item List'!$B$254,"None")))</f>
        <v>None</v>
      </c>
      <c r="H7" s="277" t="str">
        <f>$B$258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B'!$E$29&gt;0,$B$272,IF('Area B'!$D$31&gt;0,$B$272,IF('Area B'!$E$33&gt;0,'Item List'!$B$254,"None")))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C'!$E$29&gt;0,$B$272,IF('Area C'!$D$31&gt;0,$B$272,IF('Area C'!$E$33&gt;0,'Item List'!$B$254,"None")))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D'!$E$29&gt;0,$B$272,IF('Area D'!$D$31&gt;0,$B$272,IF('Area D'!$E$33&gt;0,'Item List'!$B$254,"None")))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A'!$E$29&gt;0,$B$273,IF('Area A'!$D$31&gt;0,$B$272,IF('Area A'!$E$33&gt;0,'Item List'!$B$255,"None")))</f>
        <v>None</v>
      </c>
      <c r="H8" s="277" t="str">
        <f>$B$258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B'!$E$29&gt;0,$B$273,IF('Area B'!$D$31&gt;0,$B$272,IF('Area B'!$E$33&gt;0,'Item List'!$B$255,"None")))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C'!$E$29&gt;0,$B$273,IF('Area C'!$D$31&gt;0,$B$272,IF('Area C'!$E$33&gt;0,'Item List'!$B$255,"None")))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D'!$E$29&gt;0,$B$273,IF('Area D'!$D$31&gt;0,$B$272,IF('Area D'!$E$33&gt;0,'Item List'!$B$255,"None")))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A'!$E$29&gt;0,$B$274,IF('Area A'!$D$31&gt;0,$B$272,IF('Area A'!$E$33&gt;0,'Item List'!$B$256,"None")))</f>
        <v>None</v>
      </c>
      <c r="H9" s="277" t="str">
        <f>$B$258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B'!$E$29&gt;0,$B$274,IF('Area B'!$D$31&gt;0,$B$272,IF('Area B'!$E$33&gt;0,'Item List'!$B$256,"None")))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C'!$E$29&gt;0,$B$274,IF('Area C'!$D$31&gt;0,$B$272,IF('Area C'!$E$33&gt;0,'Item List'!$B$256,"None")))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D'!$E$29&gt;0,$B$274,IF('Area D'!$D$31&gt;0,$B$272,IF('Area D'!$E$33&gt;0,'Item List'!$B$256,"None")))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A'!$E$29&gt;0,$B$275,IF('Area A'!$D$31&gt;0,$B$272,IF('Area A'!$E$33&gt;0,'Item List'!$B$257,"None")))</f>
        <v>None</v>
      </c>
      <c r="H10" s="277" t="str">
        <f>$B$258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B'!$E$29&gt;0,$B$275,IF('Area B'!$D$31&gt;0,$B$272,IF('Area B'!$E$33&gt;0,'Item List'!$B$257,"None")))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C'!$E$29&gt;0,$B$275,IF('Area C'!$D$31&gt;0,$B$272,IF('Area C'!$E$33&gt;0,'Item List'!$B$257,"None")))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D'!$E$29&gt;0,$B$275,IF('Area D'!$D$31&gt;0,$B$272,IF('Area D'!$E$33&gt;0,'Item List'!$B$257,"None")))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B196</f>
        <v>225 EP</v>
      </c>
      <c r="G11" s="275" t="s">
        <v>418</v>
      </c>
      <c r="H11" s="277" t="str">
        <f>B304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B198</f>
        <v>375 EP - Mil</v>
      </c>
      <c r="G12" s="276" t="str">
        <f>IF(('Area A'!$E$29+'Area A'!$E$30)&gt;0,'Item List'!$B$313,IF('Area A'!$J$31&gt;0,'Item List'!$B$312,IF(('Area A'!$J$33+'Area A'!$J$34)&gt;0,'Item List'!$B$280,"none")))</f>
        <v>none</v>
      </c>
      <c r="H12" s="277" t="str">
        <f>B290</f>
        <v>RCB1</v>
      </c>
      <c r="I12" s="277" t="str">
        <f>B266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List'!$B$313,IF('Area B'!$J$31&gt;0,'Item List'!$B$312,IF(('Area B'!$J$33+'Area B'!$J$34)&gt;0,'Item List'!$B$280,"none")))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List'!$B$313,IF('Area C'!$J$31&gt;0,'Item List'!$B$312,IF(('Area C'!$J$33+'Area C'!$J$34)&gt;0,'Item List'!$B$280,"none")))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List'!$B$313,IF('Area D'!$J$31&gt;0,'Item List'!$B$312,IF(('Area D'!$J$33+'Area D'!$J$34)&gt;0,'Item List'!$B$280,"none")))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B198</f>
        <v>375 EP - Mil</v>
      </c>
      <c r="G13" s="276" t="str">
        <f>IF(('Area A'!$E$29+'Area A'!$E$30)&gt;0,'Item List'!$B$313,IF('Area A'!$J$31&gt;0,'Item List'!$B$312,IF(('Area A'!$J$33+'Area A'!$J$34)&gt;0,'Item List'!$B$281,"none")))</f>
        <v>none</v>
      </c>
      <c r="H13" s="277" t="str">
        <f>B290</f>
        <v>RCB1</v>
      </c>
      <c r="I13" s="277" t="str">
        <f>B267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List'!$B$313,IF('Area B'!$J$31&gt;0,'Item List'!$B$312,IF(('Area B'!$J$33+'Area B'!$J$34)&gt;0,'Item List'!$B$281,"none")))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List'!$B$313,IF('Area C'!$J$31&gt;0,'Item List'!$B$312,IF(('Area C'!$J$33+'Area C'!$J$34)&gt;0,'Item List'!$B$281,"none")))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List'!$B$313,IF('Area D'!$J$31&gt;0,'Item List'!$B$312,IF(('Area D'!$J$33+'Area D'!$J$34)&gt;0,'Item List'!$B$281,"none")))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B198</f>
        <v>375 EP - Mil</v>
      </c>
      <c r="G14" s="276" t="str">
        <f>IF(('Area A'!$E$29+'Area A'!$E$30)&gt;0,'Item List'!$B$313,IF('Area A'!$J$31&gt;0,'Item List'!$B$312,IF(('Area A'!$J$33+'Area A'!$J$34)&gt;0,'Item List'!$B$282,"none")))</f>
        <v>none</v>
      </c>
      <c r="H14" s="277" t="str">
        <f>B290</f>
        <v>RCB1</v>
      </c>
      <c r="I14" s="277" t="str">
        <f>B269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List'!$B$313,IF('Area B'!$J$31&gt;0,'Item List'!$B$312,IF(('Area B'!$J$33+'Area B'!$J$34)&gt;0,'Item List'!$B$282,"none")))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List'!$B$313,IF('Area C'!$J$31&gt;0,'Item List'!$B$312,IF(('Area C'!$J$33+'Area C'!$J$34)&gt;0,'Item List'!$B$282,"none")))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List'!$B$313,IF('Area D'!$J$31&gt;0,'Item List'!$B$312,IF(('Area D'!$J$33+'Area D'!$J$34)&gt;0,'Item List'!$B$282,"none")))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B198</f>
        <v>375 EP - Mil</v>
      </c>
      <c r="G15" s="276" t="str">
        <f>IF(('Area A'!$E$29+'Area A'!$E$30)&gt;0,'Item List'!$B$313,IF('Area A'!$J$31&gt;0,'Item List'!$B$312,IF(('Area A'!$J$33+'Area A'!$J$34)&gt;0,'Item List'!$B$283,"none")))</f>
        <v>none</v>
      </c>
      <c r="H15" s="275" t="str">
        <f>B290</f>
        <v>RCB1</v>
      </c>
      <c r="I15" s="277" t="str">
        <f>B268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List'!$B$313,IF('Area B'!$J$31&gt;0,'Item List'!$B$312,IF(('Area B'!$J$33+'Area B'!$J$34)&gt;0,'Item List'!$B$283,"none")))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List'!$B$313,IF('Area C'!$J$31&gt;0,'Item List'!$B$312,IF(('Area C'!$J$33+'Area C'!$J$34)&gt;0,'Item List'!$B$283,"none")))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List'!$B$313,IF('Area D'!$J$31&gt;0,'Item List'!$B$312,IF(('Area D'!$J$33+'Area D'!$J$34)&gt;0,'Item List'!$B$283,"none")))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A'!$E$29&gt;0,$B$272,IF('Area A'!$D$31&gt;0,$B$272,IF('Area A'!$E$33&gt;0,'Item List'!$B$254,"None")))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B'!$E$29&gt;0,I272,IF('Area B'!$D$31&gt;0,$B$272,IF('Area B'!$E$33&gt;0,'Item List'!$B$254,"None")))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C'!$E$29&gt;0,P272,IF('Area C'!$D$31&gt;0,$B$272,IF('Area C'!$E$33&gt;0,'Item List'!$B$254,"None")))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D'!$E$29&gt;0,W272,IF('Area D'!$D$31&gt;0,$B$272,IF('Area D'!$E$33&gt;0,'Item List'!$B$254,"None")))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A'!$E$29&gt;0,$B$273,IF('Area A'!$D$31&gt;0,$B$272,IF('Area A'!$E$33&gt;0,'Item List'!$B$255,"none")))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B'!$E$29&gt;0,I273,IF('Area B'!$D$31&gt;0,$B$272,IF('Area B'!$E$33&gt;0,'Item List'!$B$255,"none")))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C'!$E$29&gt;0,P273,IF('Area C'!$D$31&gt;0,$B$272,IF('Area C'!$E$33&gt;0,'Item List'!$B$255,"none")))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D'!$E$29&gt;0,W273,IF('Area D'!$D$31&gt;0,$B$272,IF('Area D'!$E$33&gt;0,'Item List'!$B$255,"none")))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A'!$E$29&gt;0,$B$274,IF('Area A'!$D$31&gt;0,$B$272,IF('Area A'!$E$33&gt;0,'Item List'!$B$256,"none")))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B'!$E$29&gt;0,I274,IF('Area B'!$D$31&gt;0,$B$272,IF('Area B'!$E$33&gt;0,'Item List'!$B$256,"none")))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C'!$E$29&gt;0,P274,IF('Area C'!$D$31&gt;0,$B$272,IF('Area C'!$E$33&gt;0,'Item List'!$B$256,"none")))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D'!$E$29&gt;0,W274,IF('Area D'!$D$31&gt;0,$B$272,IF('Area D'!$E$33&gt;0,'Item List'!$B$256,"none")))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A'!$E$29&gt;0,$B$275,IF('Area A'!$D$31&gt;0,$B$272,IF('Area A'!$E$33&gt;0,'Item List'!$B$257,"None")))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B'!$E$29&gt;0,I275,IF('Area B'!$D$31&gt;0,$B$272,IF('Area B'!$E$33&gt;0,'Item List'!$B$257,"None")))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C'!$E$29&gt;0,P275,IF('Area C'!$D$31&gt;0,$B$272,IF('Area C'!$E$33&gt;0,'Item List'!$B$257,"None")))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D'!$E$29&gt;0,W275,IF('Area D'!$D$31&gt;0,$B$272,IF('Area D'!$E$33&gt;0,'Item List'!$B$257,"None")))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B254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B256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A'!$E$29&gt;0,$B$272,IF('Area A'!$D$31&gt;0,$B$272,IF('Area A'!$E$33&gt;0,'Item List'!$B$254,"None")))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B'!$E$29&gt;0,$B$272,IF('Area B'!$D$31&gt;0,$B$272,IF('Area B'!$E$33&gt;0,'Item List'!$B$254,"None")))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C'!$E$29&gt;0,$B$272,IF('Area C'!$D$31&gt;0,$B$272,IF('Area C'!$E$33&gt;0,'Item List'!$B$254,"None")))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D'!$E$29&gt;0,$B$272,IF('Area D'!$D$31&gt;0,$B$272,IF('Area D'!$E$33&gt;0,'Item List'!$B$254,"None")))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A'!$E$29&gt;0,$B$273,IF('Area A'!$D$31&gt;0,$B$272,IF('Area A'!$E$33&gt;0,'Item List'!$B$255,"None")))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B'!$E$29&gt;0,$B$273,IF('Area B'!$D$31&gt;0,$B$272,IF('Area B'!$E$33&gt;0,'Item List'!$B$255,"None")))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C'!$E$29&gt;0,$B$273,IF('Area C'!$D$31&gt;0,$B$272,IF('Area C'!$E$33&gt;0,'Item List'!$B$255,"None")))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D'!$E$29&gt;0,$B$273,IF('Area D'!$D$31&gt;0,$B$272,IF('Area D'!$E$33&gt;0,'Item List'!$B$255,"None")))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A'!$E$29&gt;0,$B$274,IF('Area A'!$D$31&gt;0,$B$272,IF('Area A'!$E$33&gt;0,'Item List'!$B$256,"None")))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B'!$E$29&gt;0,$B$274,IF('Area B'!$D$31&gt;0,$B$272,IF('Area B'!$E$33&gt;0,'Item List'!$B$256,"None")))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C'!$E$29&gt;0,$B$274,IF('Area C'!$D$31&gt;0,$B$272,IF('Area C'!$E$33&gt;0,'Item List'!$B$256,"None")))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D'!$E$29&gt;0,$B$274,IF('Area D'!$D$31&gt;0,$B$272,IF('Area D'!$E$33&gt;0,'Item List'!$B$256,"None")))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A'!$E$29&gt;0,$B$275,IF('Area A'!$D$31&gt;0,$B$272,IF('Area A'!$E$33&gt;0,'Item List'!$B$257,"None")))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B'!$E$29&gt;0,$B$275,IF('Area B'!$D$31&gt;0,$B$272,IF('Area B'!$E$33&gt;0,'Item List'!$B$257,"None")))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C'!$E$29&gt;0,$B$275,IF('Area C'!$D$31&gt;0,$B$272,IF('Area C'!$E$33&gt;0,'Item List'!$B$257,"None")))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D'!$E$29&gt;0,$B$275,IF('Area D'!$D$31&gt;0,$B$272,IF('Area D'!$E$33&gt;0,'Item List'!$B$257,"None")))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List'!$B$313,IF('Area A'!$J$31&gt;0,'Item List'!$B$311,IF(('Area A'!$J$33+'Area A'!$J$34)&gt;0,'Item List'!$B$280,"none")))</f>
        <v>none</v>
      </c>
      <c r="H31" s="277" t="str">
        <f>B290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List'!$B$313,IF('Area B'!$J$31&gt;0,'Item List'!$B$311,IF(('Area B'!$J$33+'Area B'!$J$34)&gt;0,'Item List'!$B$280,"none")))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List'!$B$313,IF('Area C'!$J$31&gt;0,'Item List'!$B$311,IF(('Area C'!$J$33+'Area C'!$J$34)&gt;0,'Item List'!$B$280,"none")))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List'!$B$313,IF('Area D'!$J$31&gt;0,'Item List'!$B$311,IF(('Area D'!$J$33+'Area D'!$J$34)&gt;0,'Item List'!$B$280,"none")))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List'!$B$313,IF('Area A'!$J$31&gt;0,'Item List'!$B$311,IF(('Area A'!$J$33+'Area A'!$J$34)&gt;0,'Item List'!$B$281,"none")))</f>
        <v>none</v>
      </c>
      <c r="H32" s="277" t="str">
        <f>B290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List'!$B$313,IF('Area B'!$J$31&gt;0,'Item List'!$B$311,IF(('Area B'!$J$33+'Area B'!$J$34)&gt;0,'Item List'!$B$281,"none")))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List'!$B$313,IF('Area C'!$J$31&gt;0,'Item List'!$B$311,IF(('Area C'!$J$33+'Area C'!$J$34)&gt;0,'Item List'!$B$281,"none")))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List'!$B$313,IF('Area D'!$J$31&gt;0,'Item List'!$B$311,IF(('Area D'!$J$33+'Area D'!$J$34)&gt;0,'Item List'!$B$281,"none")))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List'!$B$313,IF('Area A'!$J$31&gt;0,'Item List'!$B$311,IF(('Area A'!$J$33+'Area A'!$J$34)&gt;0,'Item List'!$B$282,"none")))</f>
        <v>none</v>
      </c>
      <c r="H33" s="277" t="str">
        <f>B290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List'!$B$313,IF('Area B'!$J$31&gt;0,'Item List'!$B$311,IF(('Area B'!$J$33+'Area B'!$J$34)&gt;0,'Item List'!$B$282,"none")))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List'!$B$313,IF('Area C'!$J$31&gt;0,'Item List'!$B$311,IF(('Area C'!$J$33+'Area C'!$J$34)&gt;0,'Item List'!$B$282,"none")))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List'!$B$313,IF('Area D'!$J$31&gt;0,'Item List'!$B$311,IF(('Area D'!$J$33+'Area D'!$J$34)&gt;0,'Item List'!$B$282,"none")))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List'!$B$313,IF('Area A'!$J$31&gt;0,'Item List'!$B$311,IF(('Area A'!$J$33+'Area A'!$J$34)&gt;0,'Item List'!$B$283,"none")))</f>
        <v>none</v>
      </c>
      <c r="H34" s="277" t="str">
        <f>B290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List'!$B$313,IF('Area B'!$J$31&gt;0,'Item List'!$B$311,IF(('Area B'!$J$33+'Area B'!$J$34)&gt;0,'Item List'!$B$283,"none")))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List'!$B$313,IF('Area C'!$J$31&gt;0,'Item List'!$B$311,IF(('Area C'!$J$33+'Area C'!$J$34)&gt;0,'Item List'!$B$283,"none")))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List'!$B$313,IF('Area D'!$J$31&gt;0,'Item List'!$B$311,IF(('Area D'!$J$33+'Area D'!$J$34)&gt;0,'Item List'!$B$283,"none")))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List'!$B$311,IF(('Area A'!$J$33+'Area A'!$J$34)&gt;0,'Item List'!$B$284,"none")))</f>
        <v>none</v>
      </c>
      <c r="H35" s="277" t="str">
        <f>B292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List'!$B$311,IF(('Area B'!$J$33+'Area B'!$J$34)&gt;0,'Item List'!$B$284,"none")))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List'!$B$311,IF(('Area C'!$J$33+'Area C'!$J$34)&gt;0,'Item List'!$B$284,"none")))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List'!$B$311,IF(('Area D'!$J$33+'Area D'!$J$34)&gt;0,'Item List'!$B$284,"none")))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List'!$B$311,IF(('Area A'!$J$33+'Area A'!$J$34)&gt;0,'Item List'!$B$285,"none")))</f>
        <v>none</v>
      </c>
      <c r="H36" s="277" t="str">
        <f>B292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List'!$B$311,IF(('Area B'!$J$33+'Area B'!$J$34)&gt;0,'Item List'!$B$285,"none")))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List'!$B$311,IF(('Area C'!$J$33+'Area C'!$J$34)&gt;0,'Item List'!$B$285,"none")))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List'!$B$311,IF(('Area D'!$J$33+'Area D'!$J$34)&gt;0,'Item List'!$B$285,"none")))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List'!$B$311,IF(('Area A'!$J$33+'Area A'!$J$34)&gt;0,'Item List'!$B$286,"none")))</f>
        <v>none</v>
      </c>
      <c r="H37" s="277" t="str">
        <f>B292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List'!$B$311,IF(('Area B'!$J$33+'Area B'!$J$34)&gt;0,'Item List'!$B$286,"none")))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List'!$B$311,IF(('Area C'!$J$33+'Area C'!$J$34)&gt;0,'Item List'!$B$286,"none")))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List'!$B$311,IF(('Area D'!$J$33+'Area D'!$J$34)&gt;0,'Item List'!$B$286,"none")))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List'!$B$311,IF(('Area A'!$J$33+'Area A'!$J$34)&gt;0,'Item List'!$B$287,"none")))</f>
        <v>none</v>
      </c>
      <c r="H38" s="277" t="str">
        <f>B292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List'!$B$311,IF(('Area B'!$J$33+'Area B'!$J$34)&gt;0,'Item List'!$B$287,"none")))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List'!$B$311,IF(('Area C'!$J$33+'Area C'!$J$34)&gt;0,'Item List'!$B$287,"none")))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List'!$B$311,IF(('Area D'!$J$33+'Area D'!$J$34)&gt;0,'Item List'!$B$287,"none")))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List'!$B$311,IF(('Area A'!$J$33+'Area A'!$J$34)&gt;0,'Item List'!$B$284,"none")))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List'!$B$311,IF(('Area B'!$J$33+'Area B'!$J$34)&gt;0,'Item List'!$B$284,"none")))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List'!$B$311,IF(('Area C'!$J$33+'Area C'!$J$34)&gt;0,'Item List'!$B$284,"none")))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List'!$B$311,IF(('Area D'!$J$33+'Area D'!$J$34)&gt;0,'Item List'!$B$284,"none")))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List'!$B$311,IF(('Area A'!$J$33+'Area A'!$J$34)&gt;0,'Item List'!$B$285,"none")))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List'!$B$311,IF(('Area B'!$J$33+'Area B'!$J$34)&gt;0,'Item List'!$B$285,"none")))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List'!$B$311,IF(('Area C'!$J$33+'Area C'!$J$34)&gt;0,'Item List'!$B$285,"none")))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List'!$B$311,IF(('Area D'!$J$33+'Area D'!$J$34)&gt;0,'Item List'!$B$285,"none")))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List'!$B$311,IF(('Area A'!$J$33+'Area A'!$J$34)&gt;0,'Item List'!$B$286,"none")))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List'!$B$311,IF(('Area B'!$J$33+'Area B'!$J$34)&gt;0,'Item List'!$B$286,"none")))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List'!$B$311,IF(('Area C'!$J$33+'Area C'!$J$34)&gt;0,'Item List'!$B$286,"none")))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List'!$B$311,IF(('Area D'!$J$33+'Area D'!$J$34)&gt;0,'Item List'!$B$286,"none")))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List'!$B$311,IF(('Area A'!$J$33+'Area A'!$J$34)&gt;0,'Item List'!$B$287,"none")))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List'!$B$311,IF(('Area B'!$J$33+'Area B'!$J$34)&gt;0,'Item List'!$B$287,"none")))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List'!$B$311,IF(('Area C'!$J$33+'Area C'!$J$34)&gt;0,'Item List'!$B$287,"none")))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List'!$B$311,IF(('Area D'!$J$33+'Area D'!$J$34)&gt;0,'Item List'!$B$287,"none")))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List'!$B$311,IF(('Area A'!$J$33+'Area A'!$J$34)&gt;0,'Item List'!$B$284,"none")))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List'!$B$311,IF(('Area B'!$J$33+'Area B'!$J$34)&gt;0,'Item List'!$B$284,"none")))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List'!$B$311,IF(('Area C'!$J$33+'Area C'!$J$34)&gt;0,'Item List'!$B$284,"none")))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List'!$B$311,IF(('Area D'!$J$33+'Area D'!$J$34)&gt;0,'Item List'!$B$284,"none")))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$B$307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$B$307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$B$307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$B$307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$B$295</f>
        <v>SP41- Blk</v>
      </c>
      <c r="I118" s="276" t="str">
        <f>IF('Area A'!$B$6='Item List'!$B$35,'Item List'!$B$299,'Item List'!$B$295)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$B$295</f>
        <v>SP41- Blk</v>
      </c>
      <c r="P118" s="281" t="str">
        <f>IF('Area B'!$B$6='Item List'!$B$35,'Item List'!$B$299,'Item List'!$B$295)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$B$295</f>
        <v>SP41- Blk</v>
      </c>
      <c r="W118" s="206" t="str">
        <f>IF('Area C'!$B$6='Item List'!$B$35,'Item List'!$B$299,'Item List'!$B$295)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$B$295</f>
        <v>SP41- Blk</v>
      </c>
      <c r="AD118" s="249" t="str">
        <f>IF('Area D'!$B$6='Item List'!$B$35,'Item List'!$B$299,'Item List'!$B$295)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$B$296</f>
        <v>SP41- Br</v>
      </c>
      <c r="I119" s="276" t="str">
        <f>IF('Area A'!$B$6='Item List'!$B$36,'Item List'!$B$300,'Item List'!$B$296)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$B$296</f>
        <v>SP41- Br</v>
      </c>
      <c r="P119" s="281" t="str">
        <f>IF('Area B'!$B$6='Item List'!$B$36,'Item List'!$B$300,'Item List'!$B$296)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$B$296</f>
        <v>SP41- Br</v>
      </c>
      <c r="W119" s="206" t="str">
        <f>IF('Area C'!$B$6='Item List'!$B$36,'Item List'!$B$300,'Item List'!$B$296)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$B$296</f>
        <v>SP41- Br</v>
      </c>
      <c r="AD119" s="249" t="str">
        <f>IF('Area D'!$B$6='Item List'!$B$36,'Item List'!$B$300,'Item List'!$B$296)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$B$297</f>
        <v>SP41- Cl</v>
      </c>
      <c r="I120" s="276" t="str">
        <f>IF('Area A'!$B$6='Item List'!$B$37,'Item List'!$B$301,'Item List'!$B$297)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$B$297</f>
        <v>SP41- Cl</v>
      </c>
      <c r="P120" s="281" t="str">
        <f>IF('Area B'!$B$6='Item List'!$B$37,'Item List'!$B$301,'Item List'!$B$297)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$B$297</f>
        <v>SP41- Cl</v>
      </c>
      <c r="W120" s="206" t="str">
        <f>IF('Area C'!$B$6='Item List'!$B$37,'Item List'!$B$301,'Item List'!$B$297)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$B$297</f>
        <v>SP41- Cl</v>
      </c>
      <c r="AD120" s="249" t="str">
        <f>IF('Area D'!$B$6='Item List'!$B$37,'Item List'!$B$301,'Item List'!$B$297)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$B$298</f>
        <v>SP41- W</v>
      </c>
      <c r="I121" s="276" t="str">
        <f>IF('Area A'!$B$6='Item List'!$B$38,'Item List'!$B$302,'Item List'!$B$298)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$B$298</f>
        <v>SP41- W</v>
      </c>
      <c r="P121" s="281" t="str">
        <f>IF('Area B'!$B$6='Item List'!$B$38,'Item List'!$B$302,'Item List'!$B$298)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$B$298</f>
        <v>SP41- W</v>
      </c>
      <c r="W121" s="206" t="str">
        <f>IF('Area C'!$B$6='Item List'!$B$38,'Item List'!$B$302,'Item List'!$B$298)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$B$298</f>
        <v>SP41- W</v>
      </c>
      <c r="AD121" s="249" t="str">
        <f>IF('Area D'!$B$6='Item List'!$B$38,'Item List'!$B$302,'Item List'!$B$298)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$B$295</f>
        <v>SP41- Blk</v>
      </c>
      <c r="I122" s="276" t="str">
        <f>IF('Area A'!$B$6='Item List'!$B$35,'Item List'!$B$299,'Item List'!$B$295)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$B$295</f>
        <v>SP41- Blk</v>
      </c>
      <c r="P122" s="281" t="str">
        <f>IF('Area B'!$B$6='Item List'!$B$35,'Item List'!$B$299,'Item List'!$B$295)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$B$295</f>
        <v>SP41- Blk</v>
      </c>
      <c r="W122" s="206" t="str">
        <f>IF('Area C'!$B$6='Item List'!$B$35,'Item List'!$B$299,'Item List'!$B$295)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$B$295</f>
        <v>SP41- Blk</v>
      </c>
      <c r="AD122" s="249" t="str">
        <f>IF('Area D'!$B$6='Item List'!$B$35,'Item List'!$B$299,'Item List'!$B$295)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$B$296</f>
        <v>SP41- Br</v>
      </c>
      <c r="I123" s="276" t="str">
        <f>IF('Area A'!$B$6='Item List'!$B$36,'Item List'!$B$300,'Item List'!$B$296)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$B$296</f>
        <v>SP41- Br</v>
      </c>
      <c r="P123" s="281" t="str">
        <f>IF('Area B'!$B$6='Item List'!$B$36,'Item List'!$B$300,'Item List'!$B$296)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$B$296</f>
        <v>SP41- Br</v>
      </c>
      <c r="W123" s="206" t="str">
        <f>IF('Area C'!$B$6='Item List'!$B$36,'Item List'!$B$300,'Item List'!$B$296)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$B$296</f>
        <v>SP41- Br</v>
      </c>
      <c r="AD123" s="249" t="str">
        <f>IF('Area D'!$B$6='Item List'!$B$36,'Item List'!$B$300,'Item List'!$B$296)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$B$297</f>
        <v>SP41- Cl</v>
      </c>
      <c r="I124" s="276" t="str">
        <f>IF('Area A'!$B$6='Item List'!$B$37,'Item List'!$B$301,'Item List'!$B$297)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$B$297</f>
        <v>SP41- Cl</v>
      </c>
      <c r="P124" s="281" t="str">
        <f>IF('Area B'!$B$6='Item List'!$B$37,'Item List'!$B$301,'Item List'!$B$297)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$B$297</f>
        <v>SP41- Cl</v>
      </c>
      <c r="W124" s="206" t="str">
        <f>IF('Area C'!$B$6='Item List'!$B$37,'Item List'!$B$301,'Item List'!$B$297)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$B$297</f>
        <v>SP41- Cl</v>
      </c>
      <c r="AD124" s="249" t="str">
        <f>IF('Area D'!$B$6='Item List'!$B$37,'Item List'!$B$301,'Item List'!$B$297)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$B$298</f>
        <v>SP41- W</v>
      </c>
      <c r="I125" s="276" t="str">
        <f>IF('Area A'!$B$6='Item List'!$B$38,'Item List'!$B$302,'Item List'!$B$298)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$B$298</f>
        <v>SP41- W</v>
      </c>
      <c r="P125" s="281" t="str">
        <f>IF('Area B'!$B$6='Item List'!$B$38,'Item List'!$B$302,'Item List'!$B$298)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$B$298</f>
        <v>SP41- W</v>
      </c>
      <c r="W125" s="206" t="str">
        <f>IF('Area C'!$B$6='Item List'!$B$38,'Item List'!$B$302,'Item List'!$B$298)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$B$298</f>
        <v>SP41- W</v>
      </c>
      <c r="AD125" s="249" t="str">
        <f>IF('Area D'!$B$6='Item List'!$B$38,'Item List'!$B$302,'Item List'!$B$298)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$B$237</f>
        <v>T Bolts 1/2 x 1 1/2- Halfen</v>
      </c>
      <c r="I168" s="275" t="s">
        <v>811</v>
      </c>
      <c r="J168" s="277" t="str">
        <f>$B$217</f>
        <v>3/8 x 4" SS Hex Cap Bolt</v>
      </c>
      <c r="K168" s="277" t="str">
        <f>$B$205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$B$237</f>
        <v>T Bolts 1/2 x 1 1/2- Halfen</v>
      </c>
      <c r="P168" s="280" t="s">
        <v>811</v>
      </c>
      <c r="Q168" s="282" t="str">
        <f>$B$217</f>
        <v>3/8 x 4" SS Hex Cap Bolt</v>
      </c>
      <c r="R168" s="282" t="str">
        <f>$B$205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$B$237</f>
        <v>T Bolts 1/2 x 1 1/2- Halfen</v>
      </c>
      <c r="W168" s="247" t="s">
        <v>811</v>
      </c>
      <c r="X168" s="154" t="str">
        <f>$B$217</f>
        <v>3/8 x 4" SS Hex Cap Bolt</v>
      </c>
      <c r="Y168" s="154" t="str">
        <f>$B$205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$B$237</f>
        <v>T Bolts 1/2 x 1 1/2- Halfen</v>
      </c>
      <c r="AD168" s="248" t="s">
        <v>811</v>
      </c>
      <c r="AE168" s="202" t="str">
        <f>$B$217</f>
        <v>3/8 x 4" SS Hex Cap Bolt</v>
      </c>
      <c r="AF168" s="202" t="str">
        <f>$B$205</f>
        <v>Bottom Cap for PEU-Mill Finish</v>
      </c>
      <c r="AG168" s="248" t="s">
        <v>418</v>
      </c>
      <c r="AH168" s="30">
        <f>(('Project Materials'!$J$25+'Project Materials'!$K$25)*2)*'Project Materials'!$P$25</f>
        <v>0</v>
      </c>
      <c r="AI168" s="27">
        <f>(('Project Materials'!$J$26+'Project Materials'!$K$26)*2)*'Project Materials'!$P$26</f>
        <v>0</v>
      </c>
      <c r="AJ168" s="28">
        <f>(('Project Materials'!$J$27+'Project Materials'!$K$27)*2)*'Project Materials'!$P$27</f>
        <v>0</v>
      </c>
      <c r="AK168" s="256">
        <f>(('Project Materials'!$J$28+'Project Materials'!$K$28)*2)*'Project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$B$237</f>
        <v>T Bolts 1/2 x 1 1/2- Halfen</v>
      </c>
      <c r="I169" s="275" t="s">
        <v>811</v>
      </c>
      <c r="J169" s="277" t="str">
        <f>$B$217</f>
        <v>3/8 x 4" SS Hex Cap Bolt</v>
      </c>
      <c r="K169" s="277" t="str">
        <f>$B$205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$B$237</f>
        <v>T Bolts 1/2 x 1 1/2- Halfen</v>
      </c>
      <c r="P169" s="280" t="s">
        <v>811</v>
      </c>
      <c r="Q169" s="282" t="str">
        <f>$B$217</f>
        <v>3/8 x 4" SS Hex Cap Bolt</v>
      </c>
      <c r="R169" s="282" t="str">
        <f>$B$205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$B$237</f>
        <v>T Bolts 1/2 x 1 1/2- Halfen</v>
      </c>
      <c r="W169" s="247" t="s">
        <v>811</v>
      </c>
      <c r="X169" s="154" t="str">
        <f>$B$217</f>
        <v>3/8 x 4" SS Hex Cap Bolt</v>
      </c>
      <c r="Y169" s="154" t="str">
        <f>$B$205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$B$237</f>
        <v>T Bolts 1/2 x 1 1/2- Halfen</v>
      </c>
      <c r="AD169" s="248" t="s">
        <v>811</v>
      </c>
      <c r="AE169" s="202" t="str">
        <f>$B$217</f>
        <v>3/8 x 4" SS Hex Cap Bolt</v>
      </c>
      <c r="AF169" s="202" t="str">
        <f>$B$205</f>
        <v>Bottom Cap for PEU-Mill Finish</v>
      </c>
      <c r="AG169" s="248" t="s">
        <v>418</v>
      </c>
      <c r="AH169" s="30">
        <f>(('Project Materials'!$J$25+'Project Materials'!$K$25)*2)*'Project Materials'!$P$25</f>
        <v>0</v>
      </c>
      <c r="AI169" s="27">
        <f>(('Project Materials'!$J$26+'Project Materials'!$K$26)*2)*'Project Materials'!$P$26</f>
        <v>0</v>
      </c>
      <c r="AJ169" s="28">
        <f>(('Project Materials'!$J$27+'Project Materials'!$K$27)*2)*'Project Materials'!$P$27</f>
        <v>0</v>
      </c>
      <c r="AK169" s="256">
        <f>(('Project Materials'!$J$28+'Project Materials'!$K$28)*2)*'Project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$B$237</f>
        <v>T Bolts 1/2 x 1 1/2- Halfen</v>
      </c>
      <c r="I170" s="275" t="s">
        <v>811</v>
      </c>
      <c r="J170" s="277" t="str">
        <f>$B$217</f>
        <v>3/8 x 4" SS Hex Cap Bolt</v>
      </c>
      <c r="K170" s="277" t="str">
        <f>$B$205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$B$237</f>
        <v>T Bolts 1/2 x 1 1/2- Halfen</v>
      </c>
      <c r="P170" s="280" t="s">
        <v>811</v>
      </c>
      <c r="Q170" s="282" t="str">
        <f>$B$217</f>
        <v>3/8 x 4" SS Hex Cap Bolt</v>
      </c>
      <c r="R170" s="282" t="str">
        <f>$B$205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$B$237</f>
        <v>T Bolts 1/2 x 1 1/2- Halfen</v>
      </c>
      <c r="W170" s="247" t="s">
        <v>811</v>
      </c>
      <c r="X170" s="154" t="str">
        <f>$B$217</f>
        <v>3/8 x 4" SS Hex Cap Bolt</v>
      </c>
      <c r="Y170" s="154" t="str">
        <f>$B$205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$B$237</f>
        <v>T Bolts 1/2 x 1 1/2- Halfen</v>
      </c>
      <c r="AD170" s="248" t="s">
        <v>811</v>
      </c>
      <c r="AE170" s="202" t="str">
        <f>$B$217</f>
        <v>3/8 x 4" SS Hex Cap Bolt</v>
      </c>
      <c r="AF170" s="202" t="str">
        <f>$B$205</f>
        <v>Bottom Cap for PEU-Mill Finish</v>
      </c>
      <c r="AG170" s="248" t="s">
        <v>418</v>
      </c>
      <c r="AH170" s="30">
        <f>(('Project Materials'!$J$25+'Project Materials'!$K$25)*2)*'Project Materials'!$P$25</f>
        <v>0</v>
      </c>
      <c r="AI170" s="27">
        <f>(('Project Materials'!$J$26+'Project Materials'!$K$26)*2)*'Project Materials'!$P$26</f>
        <v>0</v>
      </c>
      <c r="AJ170" s="28">
        <f>(('Project Materials'!$J$27+'Project Materials'!$K$27)*2)*'Project Materials'!$P$27</f>
        <v>0</v>
      </c>
      <c r="AK170" s="256">
        <f>(('Project Materials'!$J$28+'Project Materials'!$K$28)*2)*'Project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$B$237</f>
        <v>T Bolts 1/2 x 1 1/2- Halfen</v>
      </c>
      <c r="I171" s="275" t="s">
        <v>811</v>
      </c>
      <c r="J171" s="277" t="str">
        <f>$B$217</f>
        <v>3/8 x 4" SS Hex Cap Bolt</v>
      </c>
      <c r="K171" s="277" t="str">
        <f>$B$205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$B$237</f>
        <v>T Bolts 1/2 x 1 1/2- Halfen</v>
      </c>
      <c r="P171" s="280" t="s">
        <v>811</v>
      </c>
      <c r="Q171" s="282" t="str">
        <f>$B$217</f>
        <v>3/8 x 4" SS Hex Cap Bolt</v>
      </c>
      <c r="R171" s="282" t="str">
        <f>$B$205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$B$237</f>
        <v>T Bolts 1/2 x 1 1/2- Halfen</v>
      </c>
      <c r="W171" s="247" t="s">
        <v>811</v>
      </c>
      <c r="X171" s="154" t="str">
        <f>$B$217</f>
        <v>3/8 x 4" SS Hex Cap Bolt</v>
      </c>
      <c r="Y171" s="154" t="str">
        <f>$B$205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$B$237</f>
        <v>T Bolts 1/2 x 1 1/2- Halfen</v>
      </c>
      <c r="AD171" s="248" t="s">
        <v>811</v>
      </c>
      <c r="AE171" s="202" t="str">
        <f>$B$217</f>
        <v>3/8 x 4" SS Hex Cap Bolt</v>
      </c>
      <c r="AF171" s="202" t="str">
        <f>$B$205</f>
        <v>Bottom Cap for PEU-Mill Finish</v>
      </c>
      <c r="AG171" s="248" t="s">
        <v>418</v>
      </c>
      <c r="AH171" s="30">
        <f>(('Project Materials'!$J$25+'Project Materials'!$K$25)*2)*'Project Materials'!$P$25</f>
        <v>0</v>
      </c>
      <c r="AI171" s="27">
        <f>(('Project Materials'!$J$26+'Project Materials'!$K$26)*2)*'Project Materials'!$P$26</f>
        <v>0</v>
      </c>
      <c r="AJ171" s="28">
        <f>(('Project Materials'!$J$27+'Project Materials'!$K$27)*2)*'Project Materials'!$P$27</f>
        <v>0</v>
      </c>
      <c r="AK171" s="256">
        <f>(('Project Materials'!$J$28+'Project Materials'!$K$28)*2)*'Project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$B$237</f>
        <v>T Bolts 1/2 x 1 1/2- Halfen</v>
      </c>
      <c r="I172" s="275" t="s">
        <v>811</v>
      </c>
      <c r="J172" s="277" t="str">
        <f>$B$217</f>
        <v>3/8 x 4" SS Hex Cap Bolt</v>
      </c>
      <c r="K172" s="277" t="str">
        <f>$B$205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$B$237</f>
        <v>T Bolts 1/2 x 1 1/2- Halfen</v>
      </c>
      <c r="P172" s="280" t="s">
        <v>811</v>
      </c>
      <c r="Q172" s="282" t="str">
        <f>$B$217</f>
        <v>3/8 x 4" SS Hex Cap Bolt</v>
      </c>
      <c r="R172" s="282" t="str">
        <f>$B$205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$B$237</f>
        <v>T Bolts 1/2 x 1 1/2- Halfen</v>
      </c>
      <c r="W172" s="247" t="s">
        <v>811</v>
      </c>
      <c r="X172" s="154" t="str">
        <f>$B$217</f>
        <v>3/8 x 4" SS Hex Cap Bolt</v>
      </c>
      <c r="Y172" s="154" t="str">
        <f>$B$205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$B$237</f>
        <v>T Bolts 1/2 x 1 1/2- Halfen</v>
      </c>
      <c r="AD172" s="248" t="s">
        <v>811</v>
      </c>
      <c r="AE172" s="202" t="str">
        <f>$B$217</f>
        <v>3/8 x 4" SS Hex Cap Bolt</v>
      </c>
      <c r="AF172" s="202" t="str">
        <f>$B$205</f>
        <v>Bottom Cap for PEU-Mill Finish</v>
      </c>
      <c r="AG172" s="248" t="s">
        <v>418</v>
      </c>
      <c r="AH172" s="30">
        <f>(('Project Materials'!$M$25)*2)*'Project Materials'!$P$25</f>
        <v>0</v>
      </c>
      <c r="AI172" s="27">
        <f>(('Project Materials'!$M$26)*2)*'Project Materials'!$P$26</f>
        <v>0</v>
      </c>
      <c r="AJ172" s="28">
        <f>(('Project Materials'!$M$27)*2)*'Project Materials'!$P$27</f>
        <v>0</v>
      </c>
      <c r="AK172" s="256">
        <f>(('Project Materials'!$M$28)*2)*'Project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$B$220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$B$220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$B$220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$B$220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24" customFormat="1" x14ac:dyDescent="0.4">
      <c r="A189" s="60" t="s">
        <v>6</v>
      </c>
      <c r="B189" s="99" t="s">
        <v>1111</v>
      </c>
      <c r="C189" s="99" t="s">
        <v>1112</v>
      </c>
      <c r="D189" s="12"/>
      <c r="E189" s="4">
        <v>2.25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98" customFormat="1" x14ac:dyDescent="0.4">
      <c r="A190" s="60" t="s">
        <v>6</v>
      </c>
      <c r="B190" s="99" t="s">
        <v>811</v>
      </c>
      <c r="C190" s="99" t="s">
        <v>855</v>
      </c>
      <c r="D190" s="12"/>
      <c r="E190" s="4">
        <v>7</v>
      </c>
      <c r="F190" s="275" t="s">
        <v>418</v>
      </c>
      <c r="G190" s="276" t="str">
        <f>IF('Project Materials'!$D$6='Project Materials'!$B$195,'Item List'!$B$220,"none")</f>
        <v>none</v>
      </c>
      <c r="H190" s="275" t="s">
        <v>688</v>
      </c>
      <c r="I190" s="275" t="s">
        <v>64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1" t="str">
        <f>IF('Project Materials'!$H$6='Project Materials'!$B$195,'Item List'!$B$220,"none")</f>
        <v>none</v>
      </c>
      <c r="O190" s="280" t="s">
        <v>688</v>
      </c>
      <c r="P190" s="280" t="s">
        <v>64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06" t="str">
        <f>IF('Project Materials'!$H$6='Project Materials'!$B$195,'Item List'!$B$220,"none")</f>
        <v>none</v>
      </c>
      <c r="V190" s="247" t="s">
        <v>688</v>
      </c>
      <c r="W190" s="247" t="s">
        <v>64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9" t="str">
        <f>IF('Project Materials'!$H$6='Project Materials'!$B$195,'Item List'!$B$220,"none")</f>
        <v>none</v>
      </c>
      <c r="AC190" s="248" t="s">
        <v>688</v>
      </c>
      <c r="AD190" s="248" t="s">
        <v>64</v>
      </c>
      <c r="AE190" s="248" t="s">
        <v>418</v>
      </c>
      <c r="AF190" s="248" t="s">
        <v>418</v>
      </c>
      <c r="AG190" s="248" t="s">
        <v>418</v>
      </c>
      <c r="AH190" s="207">
        <f>'Project Materials'!$Q$25</f>
        <v>0</v>
      </c>
      <c r="AI190" s="208">
        <f>'Project Materials'!$Q$26</f>
        <v>0</v>
      </c>
      <c r="AJ190" s="209">
        <f>'Project Materials'!$Q$27</f>
        <v>0</v>
      </c>
      <c r="AK190" s="256">
        <f>'Project Materials'!$Q$28</f>
        <v>0</v>
      </c>
      <c r="AM190" s="98">
        <v>2</v>
      </c>
      <c r="AN190" s="22"/>
    </row>
    <row r="191" spans="1:40" x14ac:dyDescent="0.4">
      <c r="A191" s="2"/>
      <c r="B191" s="2"/>
      <c r="C191" s="2"/>
      <c r="D191" s="12"/>
      <c r="E191" s="4"/>
      <c r="F191" s="275" t="s">
        <v>418</v>
      </c>
      <c r="G191" s="275" t="s">
        <v>418</v>
      </c>
      <c r="H191" s="275" t="s">
        <v>418</v>
      </c>
      <c r="I191" s="275" t="s">
        <v>418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0" t="s">
        <v>418</v>
      </c>
      <c r="O191" s="280" t="s">
        <v>418</v>
      </c>
      <c r="P191" s="280" t="s">
        <v>418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47" t="s">
        <v>418</v>
      </c>
      <c r="V191" s="247" t="s">
        <v>418</v>
      </c>
      <c r="W191" s="247" t="s">
        <v>418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8" t="s">
        <v>418</v>
      </c>
      <c r="AC191" s="248" t="s">
        <v>418</v>
      </c>
      <c r="AD191" s="248" t="s">
        <v>418</v>
      </c>
      <c r="AE191" s="248" t="s">
        <v>418</v>
      </c>
      <c r="AF191" s="248" t="s">
        <v>418</v>
      </c>
      <c r="AG191" s="248" t="s">
        <v>418</v>
      </c>
    </row>
    <row r="192" spans="1:40" x14ac:dyDescent="0.4">
      <c r="A192" s="60" t="s">
        <v>414</v>
      </c>
      <c r="B192" s="2" t="s">
        <v>14</v>
      </c>
      <c r="C192" s="2" t="s">
        <v>15</v>
      </c>
      <c r="D192" s="12"/>
      <c r="E192" s="4">
        <v>1.25</v>
      </c>
      <c r="F192" s="275" t="s">
        <v>418</v>
      </c>
      <c r="G192" s="275" t="s">
        <v>440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440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440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440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  <c r="AH192" s="30">
        <f>(('Project Materials'!$F$25+'Project Materials'!$G$25)*'Project Materials'!$P$25)*2</f>
        <v>0</v>
      </c>
      <c r="AI192" s="27">
        <f>(('Project Materials'!$F$26+'Project Materials'!$G$26)*'Project Materials'!$P$26)*2</f>
        <v>0</v>
      </c>
      <c r="AJ192" s="28">
        <f>(('Project Materials'!$F$27+'Project Materials'!$G$27)*'Project Materials'!$P$27)*2</f>
        <v>0</v>
      </c>
      <c r="AK192" s="256">
        <f>(('Project Materials'!$F$28+'Project Materials'!$G$28)*'Project Materials'!$P$28)*2</f>
        <v>0</v>
      </c>
    </row>
    <row r="193" spans="1:39" x14ac:dyDescent="0.4">
      <c r="A193" s="60" t="s">
        <v>414</v>
      </c>
      <c r="B193" s="2" t="s">
        <v>30</v>
      </c>
      <c r="C193" s="2" t="s">
        <v>31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32</v>
      </c>
      <c r="C194" s="2" t="s">
        <v>33</v>
      </c>
      <c r="D194" s="12"/>
      <c r="E194" s="4">
        <v>8.6199999999999992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34</v>
      </c>
      <c r="C195" s="2" t="s">
        <v>35</v>
      </c>
      <c r="D195" s="12"/>
      <c r="E195" s="4">
        <v>1.39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36</v>
      </c>
      <c r="C196" s="2" t="s">
        <v>37</v>
      </c>
      <c r="D196" s="12"/>
      <c r="E196" s="4">
        <v>3.05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509</v>
      </c>
      <c r="C197" s="2" t="s">
        <v>510</v>
      </c>
      <c r="D197" s="12"/>
      <c r="E197" s="4">
        <v>4.7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56</v>
      </c>
      <c r="C198" s="2" t="s">
        <v>57</v>
      </c>
      <c r="D198" s="12"/>
      <c r="E198" s="4">
        <v>7.5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16</v>
      </c>
      <c r="C199" s="2" t="s">
        <v>17</v>
      </c>
      <c r="D199" s="12"/>
      <c r="E199" s="4">
        <v>1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58</v>
      </c>
      <c r="C200" s="2" t="s">
        <v>59</v>
      </c>
      <c r="D200" s="12"/>
      <c r="E200" s="4">
        <v>0.87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60</v>
      </c>
      <c r="C201" s="2" t="s">
        <v>61</v>
      </c>
      <c r="D201" s="12"/>
      <c r="E201" s="4">
        <v>8.65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62</v>
      </c>
      <c r="C202" s="2" t="s">
        <v>63</v>
      </c>
      <c r="D202" s="12"/>
      <c r="E202" s="4">
        <v>0.87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374</v>
      </c>
      <c r="C203" s="2" t="s">
        <v>375</v>
      </c>
      <c r="D203" s="12"/>
      <c r="E203" s="4">
        <v>5.55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856</v>
      </c>
      <c r="C204" s="2" t="s">
        <v>857</v>
      </c>
      <c r="D204" s="12"/>
      <c r="E204" s="4">
        <v>4.5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ht="15" thickBot="1" x14ac:dyDescent="0.45">
      <c r="A205" s="60" t="s">
        <v>414</v>
      </c>
      <c r="B205" s="2" t="s">
        <v>64</v>
      </c>
      <c r="C205" s="2" t="s">
        <v>65</v>
      </c>
      <c r="D205" s="12"/>
      <c r="E205" s="4">
        <v>1.75</v>
      </c>
      <c r="F205" s="275" t="s">
        <v>418</v>
      </c>
      <c r="G205" s="275" t="s">
        <v>288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288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288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288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210">
        <f>AH190</f>
        <v>0</v>
      </c>
      <c r="AI205" s="210">
        <f>AI190</f>
        <v>0</v>
      </c>
      <c r="AJ205" s="210">
        <f>AJ190</f>
        <v>0</v>
      </c>
      <c r="AK205" s="210">
        <f>AK190</f>
        <v>0</v>
      </c>
      <c r="AM205" s="98">
        <v>1</v>
      </c>
    </row>
    <row r="206" spans="1:39" ht="15" thickTop="1" x14ac:dyDescent="0.4">
      <c r="A206" s="60" t="s">
        <v>414</v>
      </c>
      <c r="B206" s="2" t="s">
        <v>859</v>
      </c>
      <c r="C206" s="2" t="s">
        <v>858</v>
      </c>
      <c r="D206" s="12"/>
      <c r="E206" s="4">
        <v>4.5</v>
      </c>
      <c r="F206" s="275" t="s">
        <v>418</v>
      </c>
      <c r="G206" s="275" t="s">
        <v>440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440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440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440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30">
        <f>(('Project Materials'!$F$25+'Project Materials'!$G$25)*'Project Materials'!$P$25)*2</f>
        <v>0</v>
      </c>
      <c r="AI206" s="27">
        <f>(('Project Materials'!$F$26+'Project Materials'!$G$26)*'Project Materials'!$P$26)*2</f>
        <v>0</v>
      </c>
      <c r="AJ206" s="28">
        <f>(('Project Materials'!$F$27+'Project Materials'!$G$27)*'Project Materials'!$P$27)*2</f>
        <v>0</v>
      </c>
      <c r="AK206" s="204">
        <f>(('Project Materials'!$F$28+'Project Materials'!$G$28)*'Project Materials'!$P$28)*2</f>
        <v>0</v>
      </c>
    </row>
    <row r="207" spans="1:39" x14ac:dyDescent="0.4">
      <c r="A207" s="60" t="s">
        <v>414</v>
      </c>
      <c r="B207" s="2" t="s">
        <v>18</v>
      </c>
      <c r="C207" s="2" t="s">
        <v>19</v>
      </c>
      <c r="D207" s="12"/>
      <c r="E207" s="4">
        <v>5.25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2"/>
      <c r="B208" s="2"/>
      <c r="C208" s="2"/>
      <c r="D208" s="12"/>
      <c r="E208" s="4"/>
      <c r="F208" s="275" t="s">
        <v>418</v>
      </c>
      <c r="G208" s="275" t="s">
        <v>418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418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418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418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</row>
    <row r="209" spans="1:40" x14ac:dyDescent="0.4">
      <c r="A209" s="2" t="s">
        <v>7</v>
      </c>
      <c r="B209" s="2" t="s">
        <v>418</v>
      </c>
      <c r="C209" s="2" t="s">
        <v>418</v>
      </c>
      <c r="D209" s="12"/>
      <c r="E209" s="4">
        <v>0</v>
      </c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  <c r="AH209" s="30">
        <v>0</v>
      </c>
      <c r="AI209" s="27">
        <v>0</v>
      </c>
      <c r="AJ209" s="28">
        <v>0</v>
      </c>
      <c r="AK209" s="256">
        <v>0</v>
      </c>
    </row>
    <row r="210" spans="1:40" x14ac:dyDescent="0.4">
      <c r="A210" s="61" t="s">
        <v>7</v>
      </c>
      <c r="B210" s="2" t="s">
        <v>26</v>
      </c>
      <c r="C210" s="2" t="s">
        <v>27</v>
      </c>
      <c r="D210" s="12"/>
      <c r="E210" s="4">
        <v>0.27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f>('Project Materials'!$N$25*'Project Materials'!$P$25)*4</f>
        <v>0</v>
      </c>
      <c r="AI210" s="27">
        <f>('Project Materials'!$N$26*'Project Materials'!$P$26)*4</f>
        <v>0</v>
      </c>
      <c r="AJ210" s="28">
        <f>('Project Materials'!$N$27*'Project Materials'!$P$27)*4</f>
        <v>0</v>
      </c>
      <c r="AK210" s="256">
        <f>('Project Materials'!$N$28*'Project Materials'!$P$28)*4</f>
        <v>0</v>
      </c>
      <c r="AM210" s="98">
        <v>4</v>
      </c>
    </row>
    <row r="211" spans="1:40" x14ac:dyDescent="0.4">
      <c r="A211" s="61" t="s">
        <v>7</v>
      </c>
      <c r="B211" s="2" t="s">
        <v>38</v>
      </c>
      <c r="C211" s="2" t="s">
        <v>39</v>
      </c>
      <c r="D211" s="12"/>
      <c r="E211" s="4">
        <v>0.08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'Project Materials'!$Q$25*4</f>
        <v>0</v>
      </c>
      <c r="AI211" s="27">
        <f>'Project Materials'!$Q$26*4</f>
        <v>0</v>
      </c>
      <c r="AJ211" s="28">
        <f>'Project Materials'!$Q$27*4</f>
        <v>0</v>
      </c>
      <c r="AK211" s="256">
        <f>'Project Materials'!$Q$28*4</f>
        <v>0</v>
      </c>
      <c r="AM211" s="98">
        <v>4</v>
      </c>
    </row>
    <row r="212" spans="1:40" x14ac:dyDescent="0.4">
      <c r="A212" s="61" t="s">
        <v>7</v>
      </c>
      <c r="B212" s="2" t="s">
        <v>40</v>
      </c>
      <c r="C212" s="2" t="s">
        <v>41</v>
      </c>
      <c r="D212" s="12"/>
      <c r="E212" s="4">
        <v>3.3599999999999998E-2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40" x14ac:dyDescent="0.4">
      <c r="A213" s="61" t="s">
        <v>7</v>
      </c>
      <c r="B213" s="2" t="s">
        <v>42</v>
      </c>
      <c r="C213" s="2" t="s">
        <v>43</v>
      </c>
      <c r="D213" s="12"/>
      <c r="E213" s="4">
        <v>2.3699999999999999E-2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40" x14ac:dyDescent="0.4">
      <c r="A214" s="61" t="s">
        <v>7</v>
      </c>
      <c r="B214" s="2" t="s">
        <v>685</v>
      </c>
      <c r="C214" s="2" t="s">
        <v>44</v>
      </c>
      <c r="D214" s="12"/>
      <c r="E214" s="4">
        <v>0.36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40" x14ac:dyDescent="0.4">
      <c r="A215" s="61" t="s">
        <v>7</v>
      </c>
      <c r="B215" s="2" t="s">
        <v>686</v>
      </c>
      <c r="C215" s="2" t="s">
        <v>369</v>
      </c>
      <c r="D215" s="12"/>
      <c r="E215" s="4">
        <v>0.32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40" x14ac:dyDescent="0.4">
      <c r="A216" s="61" t="s">
        <v>7</v>
      </c>
      <c r="B216" s="2" t="s">
        <v>687</v>
      </c>
      <c r="C216" s="2" t="s">
        <v>45</v>
      </c>
      <c r="D216" s="12"/>
      <c r="E216" s="4">
        <v>0.43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40" x14ac:dyDescent="0.4">
      <c r="A217" s="61" t="s">
        <v>7</v>
      </c>
      <c r="B217" s="2" t="s">
        <v>688</v>
      </c>
      <c r="C217" s="2" t="s">
        <v>46</v>
      </c>
      <c r="D217" s="12"/>
      <c r="E217" s="4">
        <v>0.38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2</v>
      </c>
    </row>
    <row r="218" spans="1:40" x14ac:dyDescent="0.4">
      <c r="A218" s="61" t="s">
        <v>7</v>
      </c>
      <c r="B218" s="2" t="s">
        <v>689</v>
      </c>
      <c r="C218" s="2" t="s">
        <v>47</v>
      </c>
      <c r="D218" s="12"/>
      <c r="E218" s="4">
        <v>0.48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40" x14ac:dyDescent="0.4">
      <c r="A219" s="61" t="s">
        <v>7</v>
      </c>
      <c r="B219" s="2" t="s">
        <v>370</v>
      </c>
      <c r="C219" s="2" t="s">
        <v>371</v>
      </c>
      <c r="D219" s="12"/>
      <c r="E219" s="4">
        <v>0.75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4</v>
      </c>
    </row>
    <row r="220" spans="1:40" x14ac:dyDescent="0.4">
      <c r="A220" s="61" t="s">
        <v>7</v>
      </c>
      <c r="B220" s="2" t="s">
        <v>48</v>
      </c>
      <c r="C220" s="2" t="s">
        <v>49</v>
      </c>
      <c r="D220" s="12"/>
      <c r="E220" s="4">
        <v>0.6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40" x14ac:dyDescent="0.4">
      <c r="A221" s="61" t="s">
        <v>7</v>
      </c>
      <c r="B221" s="2" t="s">
        <v>50</v>
      </c>
      <c r="C221" s="2" t="s">
        <v>51</v>
      </c>
      <c r="D221" s="12"/>
      <c r="E221" s="4">
        <v>0.62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40" x14ac:dyDescent="0.4">
      <c r="A222" s="61" t="s">
        <v>7</v>
      </c>
      <c r="B222" s="2" t="s">
        <v>52</v>
      </c>
      <c r="C222" s="2" t="s">
        <v>53</v>
      </c>
      <c r="D222" s="12"/>
      <c r="E222" s="4">
        <v>1.19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40" x14ac:dyDescent="0.4">
      <c r="A223" s="61" t="s">
        <v>7</v>
      </c>
      <c r="B223" s="2" t="s">
        <v>54</v>
      </c>
      <c r="C223" s="2" t="s">
        <v>55</v>
      </c>
      <c r="D223" s="12"/>
      <c r="E223" s="4">
        <v>1.9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40" s="96" customFormat="1" x14ac:dyDescent="0.4">
      <c r="A224" s="61" t="s">
        <v>7</v>
      </c>
      <c r="B224" s="99" t="s">
        <v>690</v>
      </c>
      <c r="C224" s="99" t="s">
        <v>691</v>
      </c>
      <c r="D224" s="12"/>
      <c r="E224" s="4">
        <v>2.1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L224" s="98"/>
      <c r="AM224" s="98">
        <v>4</v>
      </c>
      <c r="AN224" s="22"/>
    </row>
    <row r="225" spans="1:39" x14ac:dyDescent="0.4">
      <c r="A225" s="60" t="s">
        <v>7</v>
      </c>
      <c r="B225" s="2" t="s">
        <v>146</v>
      </c>
      <c r="C225" s="2" t="s">
        <v>147</v>
      </c>
      <c r="D225" s="12"/>
      <c r="E225" s="4">
        <v>7.1279999999999996E-2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M225" s="98">
        <v>4</v>
      </c>
    </row>
    <row r="226" spans="1:39" x14ac:dyDescent="0.4">
      <c r="A226" s="60" t="s">
        <v>7</v>
      </c>
      <c r="B226" s="2" t="s">
        <v>148</v>
      </c>
      <c r="C226" s="2" t="s">
        <v>149</v>
      </c>
      <c r="D226" s="12"/>
      <c r="E226" s="4">
        <v>7.2800000000000004E-2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39" x14ac:dyDescent="0.4">
      <c r="A227" s="60" t="s">
        <v>7</v>
      </c>
      <c r="B227" s="2" t="s">
        <v>150</v>
      </c>
      <c r="C227" s="2" t="s">
        <v>151</v>
      </c>
      <c r="D227" s="12"/>
      <c r="E227" s="4">
        <v>6.028E-2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39" x14ac:dyDescent="0.4">
      <c r="A228" s="60" t="s">
        <v>7</v>
      </c>
      <c r="B228" s="2" t="s">
        <v>152</v>
      </c>
      <c r="C228" s="2" t="s">
        <v>153</v>
      </c>
      <c r="D228" s="12"/>
      <c r="E228" s="4">
        <v>7.5399999999999995E-2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39" x14ac:dyDescent="0.4">
      <c r="A229" s="60" t="s">
        <v>7</v>
      </c>
      <c r="B229" s="2" t="s">
        <v>183</v>
      </c>
      <c r="C229" s="2" t="s">
        <v>184</v>
      </c>
      <c r="D229" s="12"/>
      <c r="E229" s="4">
        <v>7.2999999999999995E-2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((2*'Project Materials'!$Q$25)-(1*'Project Materials'!$K$25))*4</f>
        <v>0</v>
      </c>
      <c r="AI229" s="27">
        <f>((2*'Project Materials'!$Q$26)-(1*'Project Materials'!$K$26))*4</f>
        <v>0</v>
      </c>
      <c r="AJ229" s="28">
        <f>((2*'Project Materials'!$Q$27)-(1*'Project Materials'!$K$27))*4</f>
        <v>0</v>
      </c>
      <c r="AK229" s="256">
        <f>((2*'Project Materials'!$Q$28)-(1*'Project Materials'!$K$28))*4</f>
        <v>0</v>
      </c>
      <c r="AM229" s="98">
        <v>4</v>
      </c>
    </row>
    <row r="230" spans="1:39" x14ac:dyDescent="0.4">
      <c r="A230" s="60" t="s">
        <v>7</v>
      </c>
      <c r="B230" s="2" t="s">
        <v>207</v>
      </c>
      <c r="C230" s="2" t="s">
        <v>208</v>
      </c>
      <c r="D230" s="12"/>
      <c r="E230" s="4">
        <v>0.75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</row>
    <row r="231" spans="1:39" x14ac:dyDescent="0.4">
      <c r="A231" s="60" t="s">
        <v>7</v>
      </c>
      <c r="B231" s="2" t="s">
        <v>237</v>
      </c>
      <c r="C231" s="2" t="s">
        <v>238</v>
      </c>
      <c r="D231" s="12"/>
      <c r="E231" s="4">
        <v>0.1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  <c r="AH231" s="30">
        <f>'Project Materials'!$Q$25*5</f>
        <v>0</v>
      </c>
      <c r="AI231" s="27">
        <f>'Project Materials'!$Q$26*5</f>
        <v>0</v>
      </c>
      <c r="AJ231" s="28">
        <f>'Project Materials'!$Q$27*5</f>
        <v>0</v>
      </c>
      <c r="AK231" s="256">
        <f>'Project Materials'!$Q$28*5</f>
        <v>0</v>
      </c>
      <c r="AM231" s="98">
        <v>5</v>
      </c>
    </row>
    <row r="232" spans="1:39" x14ac:dyDescent="0.4">
      <c r="A232" s="60" t="s">
        <v>7</v>
      </c>
      <c r="B232" s="2" t="s">
        <v>239</v>
      </c>
      <c r="C232" s="2" t="s">
        <v>240</v>
      </c>
      <c r="D232" s="12"/>
      <c r="E232" s="4">
        <v>8.1199999999999994E-2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39" x14ac:dyDescent="0.4">
      <c r="A233" s="60" t="s">
        <v>7</v>
      </c>
      <c r="B233" s="2" t="s">
        <v>290</v>
      </c>
      <c r="C233" s="2" t="s">
        <v>393</v>
      </c>
      <c r="D233" s="12"/>
      <c r="E233" s="4">
        <v>9.5000000000000001E-2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Materials'!$Q$25*4</f>
        <v>0</v>
      </c>
      <c r="AI233" s="27">
        <f>'Project Materials'!$Q$26*4</f>
        <v>0</v>
      </c>
      <c r="AJ233" s="28">
        <f>'Project Materials'!$Q$27*4</f>
        <v>0</v>
      </c>
      <c r="AK233" s="256">
        <f>'Project Materials'!$Q$28*5</f>
        <v>0</v>
      </c>
      <c r="AM233" s="98">
        <v>5</v>
      </c>
    </row>
    <row r="234" spans="1:39" x14ac:dyDescent="0.4">
      <c r="A234" s="60" t="s">
        <v>7</v>
      </c>
      <c r="B234" s="2" t="s">
        <v>241</v>
      </c>
      <c r="C234" s="2" t="s">
        <v>242</v>
      </c>
      <c r="D234" s="12"/>
      <c r="E234" s="4">
        <v>8.1199999999999994E-2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Materials'!$Q$25*5</f>
        <v>0</v>
      </c>
      <c r="AI234" s="27">
        <f>'Project Materials'!$Q$26*5</f>
        <v>0</v>
      </c>
      <c r="AJ234" s="28">
        <f>'Project Materials'!$Q$27*5</f>
        <v>0</v>
      </c>
      <c r="AK234" s="256">
        <f>'Project Materials'!$Q$28*5</f>
        <v>0</v>
      </c>
      <c r="AM234" s="98">
        <v>5</v>
      </c>
    </row>
    <row r="235" spans="1:39" x14ac:dyDescent="0.4">
      <c r="A235" s="60" t="s">
        <v>7</v>
      </c>
      <c r="B235" s="2" t="s">
        <v>245</v>
      </c>
      <c r="C235" s="2" t="s">
        <v>246</v>
      </c>
      <c r="D235" s="12"/>
      <c r="E235" s="4">
        <v>0.13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Materials'!$Q$25*2</f>
        <v>0</v>
      </c>
      <c r="AI235" s="27">
        <f>'Project Materials'!$Q$26*2</f>
        <v>0</v>
      </c>
      <c r="AJ235" s="28">
        <f>'Project Materials'!$Q$27*2</f>
        <v>0</v>
      </c>
      <c r="AK235" s="256">
        <f>'Project Materials'!$Q$28*2</f>
        <v>0</v>
      </c>
      <c r="AM235" s="98">
        <v>2</v>
      </c>
    </row>
    <row r="236" spans="1:39" x14ac:dyDescent="0.4">
      <c r="A236" s="60" t="s">
        <v>7</v>
      </c>
      <c r="B236" s="2" t="s">
        <v>247</v>
      </c>
      <c r="C236" s="2" t="s">
        <v>107</v>
      </c>
      <c r="D236" s="12"/>
      <c r="E236" s="4">
        <v>0.2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39" x14ac:dyDescent="0.4">
      <c r="A237" s="60" t="s">
        <v>7</v>
      </c>
      <c r="B237" s="2" t="s">
        <v>248</v>
      </c>
      <c r="C237" s="2" t="s">
        <v>249</v>
      </c>
      <c r="D237" s="12"/>
      <c r="E237" s="4">
        <v>2.37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39" x14ac:dyDescent="0.4">
      <c r="A238" s="60" t="s">
        <v>7</v>
      </c>
      <c r="B238" s="2" t="s">
        <v>385</v>
      </c>
      <c r="C238" s="2" t="s">
        <v>386</v>
      </c>
      <c r="D238" s="12"/>
      <c r="E238" s="4">
        <v>0.63519999999999999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</row>
    <row r="239" spans="1:39" x14ac:dyDescent="0.4">
      <c r="A239" s="60" t="s">
        <v>7</v>
      </c>
      <c r="B239" s="2" t="s">
        <v>387</v>
      </c>
      <c r="C239" s="2" t="s">
        <v>388</v>
      </c>
      <c r="D239" s="12"/>
      <c r="E239" s="4">
        <v>4.25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39" x14ac:dyDescent="0.4">
      <c r="A240" s="60" t="s">
        <v>7</v>
      </c>
      <c r="B240" s="2" t="s">
        <v>288</v>
      </c>
      <c r="C240" s="2" t="s">
        <v>289</v>
      </c>
      <c r="D240" s="12"/>
      <c r="E240" s="4">
        <v>0.1275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  <c r="AH240" s="284">
        <f>AH205*2</f>
        <v>0</v>
      </c>
      <c r="AI240" s="283">
        <f>AI205*2</f>
        <v>0</v>
      </c>
      <c r="AJ240" s="286">
        <f>AJ205*2</f>
        <v>0</v>
      </c>
      <c r="AK240" s="285">
        <f>AK205*2</f>
        <v>0</v>
      </c>
    </row>
    <row r="241" spans="1:39" x14ac:dyDescent="0.4">
      <c r="A241" s="60" t="s">
        <v>7</v>
      </c>
      <c r="B241" s="2" t="s">
        <v>291</v>
      </c>
      <c r="C241" s="2" t="s">
        <v>292</v>
      </c>
      <c r="D241" s="12"/>
      <c r="E241" s="4">
        <v>7.85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</row>
    <row r="242" spans="1:39" x14ac:dyDescent="0.4">
      <c r="A242" s="60" t="s">
        <v>7</v>
      </c>
      <c r="B242" s="2" t="s">
        <v>111</v>
      </c>
      <c r="C242" s="2" t="s">
        <v>112</v>
      </c>
      <c r="D242" s="12"/>
      <c r="E242" s="4">
        <v>0.11799999999999999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  <c r="AH242" s="30">
        <f>'Project Materials'!$Q$25*4</f>
        <v>0</v>
      </c>
      <c r="AI242" s="27">
        <f>'Project Materials'!$Q$26*4</f>
        <v>0</v>
      </c>
      <c r="AJ242" s="28">
        <f>'Project Materials'!$Q$27*4</f>
        <v>0</v>
      </c>
      <c r="AK242" s="255">
        <f>'Project Materials'!$Q$28*4</f>
        <v>0</v>
      </c>
      <c r="AM242" s="98">
        <v>4</v>
      </c>
    </row>
    <row r="243" spans="1:39" x14ac:dyDescent="0.4">
      <c r="A243" s="60" t="s">
        <v>7</v>
      </c>
      <c r="B243" s="2" t="s">
        <v>440</v>
      </c>
      <c r="C243" s="16" t="s">
        <v>220</v>
      </c>
      <c r="D243" s="12"/>
      <c r="E243" s="4">
        <v>5.2600000000000001E-2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(('Project Materials'!$F$25+'Project Materials'!$G$25)*'Project Materials'!$P$25)*2</f>
        <v>0</v>
      </c>
      <c r="AI243" s="27">
        <f>(('Project Materials'!$F$26+'Project Materials'!$G$26)*'Project Materials'!$P$26)*2</f>
        <v>0</v>
      </c>
      <c r="AJ243" s="28">
        <f>(('Project Materials'!$F$27+'Project Materials'!$G$27)*'Project Materials'!$P$27)*2</f>
        <v>0</v>
      </c>
      <c r="AK243" s="255">
        <f>(('Project Materials'!$F$28+'Project Materials'!$G$28)*'Project Materials'!$P$28)*2</f>
        <v>0</v>
      </c>
      <c r="AM243" s="98">
        <v>2</v>
      </c>
    </row>
    <row r="244" spans="1:39" x14ac:dyDescent="0.4">
      <c r="A244" s="2"/>
      <c r="B244" s="2"/>
      <c r="C244" s="2"/>
      <c r="D244" s="12"/>
      <c r="E244" s="4"/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K244" s="255"/>
    </row>
    <row r="245" spans="1:39" x14ac:dyDescent="0.4">
      <c r="A245" s="60" t="s">
        <v>10</v>
      </c>
      <c r="B245" s="2" t="s">
        <v>418</v>
      </c>
      <c r="C245" s="2" t="s">
        <v>418</v>
      </c>
      <c r="D245" s="12"/>
      <c r="E245" s="4">
        <v>0</v>
      </c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H245" s="30">
        <v>0</v>
      </c>
      <c r="AI245" s="27">
        <v>0</v>
      </c>
      <c r="AJ245" s="28">
        <v>0</v>
      </c>
      <c r="AK245" s="256">
        <v>0</v>
      </c>
    </row>
    <row r="246" spans="1:39" x14ac:dyDescent="0.4">
      <c r="A246" s="61" t="s">
        <v>10</v>
      </c>
      <c r="B246" s="2" t="s">
        <v>28</v>
      </c>
      <c r="C246" s="2" t="s">
        <v>29</v>
      </c>
      <c r="D246" s="12"/>
      <c r="E246" s="4">
        <v>2.16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f>2*'Project Materials'!$Q$25</f>
        <v>0</v>
      </c>
      <c r="AI246" s="27">
        <f>2*'Project Materials'!$Q$26</f>
        <v>0</v>
      </c>
      <c r="AJ246" s="28">
        <f>2*'Project Materials'!$Q$27</f>
        <v>0</v>
      </c>
      <c r="AK246" s="256">
        <f>2*'Project Materials'!$Q$28</f>
        <v>0</v>
      </c>
    </row>
    <row r="247" spans="1:39" x14ac:dyDescent="0.4">
      <c r="A247" s="61" t="s">
        <v>10</v>
      </c>
      <c r="B247" s="2" t="s">
        <v>511</v>
      </c>
      <c r="C247" s="2" t="s">
        <v>511</v>
      </c>
      <c r="D247" s="12"/>
      <c r="E247" s="4">
        <v>7.25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512</v>
      </c>
      <c r="C248" s="2" t="s">
        <v>513</v>
      </c>
      <c r="D248" s="12"/>
      <c r="E248" s="4">
        <v>4.5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86</v>
      </c>
      <c r="C249" s="2" t="s">
        <v>87</v>
      </c>
      <c r="D249" s="12"/>
      <c r="E249" s="4">
        <v>5.49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'Project Materials'!$Q$25</f>
        <v>0</v>
      </c>
      <c r="AI249" s="27">
        <f>'Project Materials'!$Q$26</f>
        <v>0</v>
      </c>
      <c r="AJ249" s="28">
        <f>'Project Materials'!$Q$27</f>
        <v>0</v>
      </c>
      <c r="AK249" s="256">
        <f>'Project Materials'!$Q$28</f>
        <v>0</v>
      </c>
    </row>
    <row r="250" spans="1:39" x14ac:dyDescent="0.4">
      <c r="A250" s="61" t="s">
        <v>10</v>
      </c>
      <c r="B250" s="2" t="s">
        <v>88</v>
      </c>
      <c r="C250" s="2" t="s">
        <v>89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90</v>
      </c>
      <c r="C251" s="2" t="s">
        <v>91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92</v>
      </c>
      <c r="C252" s="2" t="s">
        <v>93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811</v>
      </c>
      <c r="C253" s="2" t="s">
        <v>812</v>
      </c>
      <c r="D253" s="12"/>
      <c r="E253" s="4">
        <v>14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2*'Project Materials'!$Q$25</f>
        <v>0</v>
      </c>
      <c r="AI253" s="27">
        <f>2*'Project Materials'!$Q$26</f>
        <v>0</v>
      </c>
      <c r="AJ253" s="28">
        <f>2*'Project Materials'!$Q$27</f>
        <v>0</v>
      </c>
      <c r="AK253" s="256">
        <f>2*'Project Materials'!$Q$28</f>
        <v>0</v>
      </c>
    </row>
    <row r="254" spans="1:39" x14ac:dyDescent="0.4">
      <c r="A254" s="61" t="s">
        <v>10</v>
      </c>
      <c r="B254" s="2" t="s">
        <v>113</v>
      </c>
      <c r="C254" s="2" t="s">
        <v>114</v>
      </c>
      <c r="D254" s="12">
        <v>20</v>
      </c>
      <c r="E254" s="4">
        <v>15.86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162">
        <f>CEILING((((CEILING(('Project Materials'!$O$25/D254),0.25)*'Project Materials'!$P$25))),0.5)</f>
        <v>0</v>
      </c>
      <c r="AI254" s="157">
        <f>CEILING((((CEILING(('Project Materials'!$O$26/D254),0.25)*'Project Materials'!$P$26))),0.5)</f>
        <v>0</v>
      </c>
      <c r="AJ254" s="152">
        <f>CEILING((((CEILING(('Project Materials'!$O$27/D254),0.25)*'Project Materials'!$P$27))),0.5)</f>
        <v>0</v>
      </c>
      <c r="AK254" s="255">
        <f>CEILING((((CEILING(('Project Materials'!$O$28/D254),0.25)*'Project Materials'!$P$28))),0.5)</f>
        <v>0</v>
      </c>
    </row>
    <row r="255" spans="1:39" x14ac:dyDescent="0.4">
      <c r="A255" s="61" t="s">
        <v>10</v>
      </c>
      <c r="B255" s="2" t="s">
        <v>115</v>
      </c>
      <c r="C255" s="2" t="s">
        <v>116</v>
      </c>
      <c r="D255" s="12">
        <v>20</v>
      </c>
      <c r="E255" s="4">
        <v>14.23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0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117</v>
      </c>
      <c r="C256" s="2" t="s">
        <v>118</v>
      </c>
      <c r="D256" s="12">
        <v>20</v>
      </c>
      <c r="E256" s="4">
        <v>19.04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0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119</v>
      </c>
      <c r="C257" s="2" t="s">
        <v>120</v>
      </c>
      <c r="D257" s="12">
        <v>20</v>
      </c>
      <c r="E257" s="4">
        <v>11.81691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0</v>
      </c>
      <c r="AK257" s="255">
        <f>CEILING((((CEILING(('Project Materials'!$O$28/D257),0.25)*'Project Materials'!$P$28))),0.5)</f>
        <v>0</v>
      </c>
    </row>
    <row r="258" spans="1:40" x14ac:dyDescent="0.4">
      <c r="A258" s="60" t="s">
        <v>10</v>
      </c>
      <c r="B258" s="2" t="s">
        <v>134</v>
      </c>
      <c r="C258" s="2" t="s">
        <v>135</v>
      </c>
      <c r="D258" s="12"/>
      <c r="E258" s="4">
        <v>5.47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30">
        <f>('Project Materials'!M25+'Project Materials'!L25)*'Project Materials'!$P$25</f>
        <v>0</v>
      </c>
      <c r="AI258" s="27">
        <f>('Project Materials'!M26+'Project Materials'!L26)*'Project Materials'!$P$26</f>
        <v>0</v>
      </c>
      <c r="AJ258" s="28">
        <f>('Project Materials'!M27+'Project Materials'!L27)*'Project Materials'!$P$27</f>
        <v>0</v>
      </c>
      <c r="AK258" s="255">
        <f>('Project Materials'!M28+'Project Materials'!L28)*'Project Materials'!$P$28</f>
        <v>0</v>
      </c>
      <c r="AM258" s="98">
        <v>1</v>
      </c>
    </row>
    <row r="259" spans="1:40" s="98" customFormat="1" x14ac:dyDescent="0.4">
      <c r="A259" s="60" t="s">
        <v>10</v>
      </c>
      <c r="B259" s="99" t="s">
        <v>860</v>
      </c>
      <c r="C259" s="99" t="s">
        <v>861</v>
      </c>
      <c r="D259" s="12"/>
      <c r="E259" s="4">
        <v>3.15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/>
      <c r="AI259" s="27"/>
      <c r="AJ259" s="28"/>
      <c r="AK259" s="204"/>
      <c r="AM259" s="98">
        <v>1</v>
      </c>
      <c r="AN259" s="22"/>
    </row>
    <row r="260" spans="1:40" x14ac:dyDescent="0.4">
      <c r="A260" s="60" t="s">
        <v>10</v>
      </c>
      <c r="B260" s="2" t="s">
        <v>136</v>
      </c>
      <c r="C260" s="2" t="s">
        <v>137</v>
      </c>
      <c r="D260" s="12"/>
      <c r="E260" s="4">
        <v>1.4850000000000001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</row>
    <row r="261" spans="1:40" x14ac:dyDescent="0.4">
      <c r="A261" s="60" t="s">
        <v>10</v>
      </c>
      <c r="B261" s="2" t="s">
        <v>138</v>
      </c>
      <c r="C261" s="2" t="s">
        <v>139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140</v>
      </c>
      <c r="C262" s="2" t="s">
        <v>141</v>
      </c>
      <c r="D262" s="12"/>
      <c r="E262" s="4">
        <v>0.81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142</v>
      </c>
      <c r="C263" s="2" t="s">
        <v>143</v>
      </c>
      <c r="D263" s="12"/>
      <c r="E263" s="4">
        <v>2.875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144</v>
      </c>
      <c r="C264" s="2" t="s">
        <v>145</v>
      </c>
      <c r="D264" s="12"/>
      <c r="E264" s="4">
        <v>8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154</v>
      </c>
      <c r="C265" s="2" t="s">
        <v>155</v>
      </c>
      <c r="D265" s="12"/>
      <c r="E265" s="4">
        <v>3.4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157</v>
      </c>
      <c r="C266" s="2" t="s">
        <v>158</v>
      </c>
      <c r="D266" s="12"/>
      <c r="E266" s="4">
        <v>1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  <c r="AH266" s="207">
        <f>'Project Materials'!$Q$25</f>
        <v>0</v>
      </c>
      <c r="AI266" s="208">
        <f>'Project Materials'!$Q$26</f>
        <v>0</v>
      </c>
      <c r="AJ266" s="209">
        <f>'Project Materials'!$Q$27</f>
        <v>0</v>
      </c>
      <c r="AK266" s="258">
        <f>'Project Materials'!$Q$28</f>
        <v>0</v>
      </c>
    </row>
    <row r="267" spans="1:40" x14ac:dyDescent="0.4">
      <c r="A267" s="60" t="s">
        <v>10</v>
      </c>
      <c r="B267" s="2" t="s">
        <v>159</v>
      </c>
      <c r="C267" s="2" t="s">
        <v>160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161</v>
      </c>
      <c r="C268" s="2" t="s">
        <v>162</v>
      </c>
      <c r="D268" s="12"/>
      <c r="E268" s="4">
        <v>0.9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411</v>
      </c>
      <c r="C269" s="2" t="s">
        <v>323</v>
      </c>
      <c r="D269" s="12"/>
      <c r="E269" s="4">
        <v>4.46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378</v>
      </c>
      <c r="C270" s="2" t="s">
        <v>156</v>
      </c>
      <c r="D270" s="12"/>
      <c r="E270" s="4">
        <v>15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</row>
    <row r="271" spans="1:40" x14ac:dyDescent="0.4">
      <c r="A271" s="60" t="s">
        <v>10</v>
      </c>
      <c r="B271" s="2" t="s">
        <v>163</v>
      </c>
      <c r="C271" s="2" t="s">
        <v>164</v>
      </c>
      <c r="D271" s="12"/>
      <c r="E271" s="4">
        <v>3.5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  <c r="AH271" s="246">
        <f>'Project Materials'!Q25</f>
        <v>0</v>
      </c>
      <c r="AI271" s="245">
        <f>'Project Materials'!Q26</f>
        <v>0</v>
      </c>
      <c r="AJ271" s="244">
        <f>'Project Materials'!Q27</f>
        <v>0</v>
      </c>
      <c r="AK271" s="246">
        <f>'Project Materials'!Q28</f>
        <v>0</v>
      </c>
    </row>
    <row r="272" spans="1:40" x14ac:dyDescent="0.4">
      <c r="A272" s="60" t="s">
        <v>10</v>
      </c>
      <c r="B272" s="2" t="s">
        <v>173</v>
      </c>
      <c r="C272" s="2" t="s">
        <v>174</v>
      </c>
      <c r="D272" s="12">
        <v>20</v>
      </c>
      <c r="E272" s="4">
        <v>26.43</v>
      </c>
      <c r="F272" s="275" t="s">
        <v>418</v>
      </c>
      <c r="G272" s="276" t="str">
        <f>IF(('Area A'!$E$29+'Area A'!$E$30)&gt;0,'Item List'!$B$313,IF('Area A'!$J$31&gt;0,'Item List'!$B$312,IF(('Area A'!$J$33+'Area A'!$J$34)&gt;0,'Item List'!$B$280,"none")))</f>
        <v>none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1" t="str">
        <f>IF(('Area B'!$E$29+'Area B'!$E$30)&gt;0,'Item List'!$B$313,IF('Area B'!$J$31&gt;0,'Item List'!$B$312,IF(('Area B'!$J$33+'Area B'!$J$34)&gt;0,'Item List'!$B$280,"none")))</f>
        <v>none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06" t="str">
        <f>IF(('Area C'!$E$29+'Area C'!$E$30)&gt;0,'Item List'!$B$313,IF('Area C'!$J$31&gt;0,'Item List'!$B$312,IF(('Area C'!$J$33+'Area C'!$J$34)&gt;0,'Item List'!$B$280,"none")))</f>
        <v>none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9" t="str">
        <f>IF(('Area D'!$E$29+'Area D'!$E$30)&gt;0,'Item List'!$B$313,IF('Area D'!$J$31&gt;0,'Item List'!$B$312,IF(('Area D'!$J$33+'Area D'!$J$34)&gt;0,'Item List'!$B$280,"none")))</f>
        <v>none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4">
        <f>CEILING((((CEILING(('Project Materials'!$O$25/D272),0.25)*'Project Materials'!$P$25))),0.5)</f>
        <v>0</v>
      </c>
      <c r="AI272" s="244">
        <f>CEILING((((CEILING(('Project Materials'!$O$26/D272),0.25)*'Project Materials'!$P$26))),0.5)</f>
        <v>0</v>
      </c>
      <c r="AJ272" s="244">
        <f>CEILING((((CEILING(('Project Materials'!$O$27/D272),0.25)*'Project Materials'!$P$27))),0.5)</f>
        <v>0</v>
      </c>
      <c r="AK272" s="245">
        <f>CEILING((((CEILING(('Project Materials'!$O$28/D272),0.25)*'Project Materials'!$P$28))),0.5)</f>
        <v>0</v>
      </c>
    </row>
    <row r="273" spans="1:39" x14ac:dyDescent="0.4">
      <c r="A273" s="60" t="s">
        <v>10</v>
      </c>
      <c r="B273" s="2" t="s">
        <v>175</v>
      </c>
      <c r="C273" s="2" t="s">
        <v>176</v>
      </c>
      <c r="D273" s="12">
        <v>20</v>
      </c>
      <c r="E273" s="4">
        <v>23.449390000000001</v>
      </c>
      <c r="F273" s="275" t="s">
        <v>418</v>
      </c>
      <c r="G273" s="276" t="str">
        <f>IF(('Area A'!$E$29+'Area A'!$E$30)&gt;0,'Item List'!$B$313,IF('Area A'!$J$31&gt;0,'Item List'!$B$312,IF(('Area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List'!$B$313,IF('Area B'!$J$31&gt;0,'Item List'!$B$312,IF(('Area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List'!$B$313,IF('Area C'!$J$31&gt;0,'Item List'!$B$312,IF(('Area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List'!$B$313,IF('Area D'!$J$31&gt;0,'Item List'!$B$312,IF(('Area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0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177</v>
      </c>
      <c r="C274" s="2" t="s">
        <v>178</v>
      </c>
      <c r="D274" s="12">
        <v>20</v>
      </c>
      <c r="E274" s="4">
        <v>32.729999999999997</v>
      </c>
      <c r="F274" s="275" t="s">
        <v>418</v>
      </c>
      <c r="G274" s="276" t="str">
        <f>IF(('Area A'!$E$29+'Area A'!$E$30)&gt;0,'Item List'!$B$313,IF('Area A'!$J$31&gt;0,'Item List'!$B$312,IF(('Area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List'!$B$313,IF('Area B'!$J$31&gt;0,'Item List'!$B$312,IF(('Area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List'!$B$313,IF('Area C'!$J$31&gt;0,'Item List'!$B$312,IF(('Area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List'!$B$313,IF('Area D'!$J$31&gt;0,'Item List'!$B$312,IF(('Area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0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179</v>
      </c>
      <c r="C275" s="2" t="s">
        <v>180</v>
      </c>
      <c r="D275" s="12">
        <v>20</v>
      </c>
      <c r="E275" s="4">
        <v>23.9</v>
      </c>
      <c r="F275" s="275" t="s">
        <v>418</v>
      </c>
      <c r="G275" s="276" t="str">
        <f>IF(('Area A'!$E$29+'Area A'!$E$30)&gt;0,'Item List'!$B$313,IF('Area A'!$J$31&gt;0,'Item List'!$B$312,IF(('Area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List'!$B$313,IF('Area B'!$J$31&gt;0,'Item List'!$B$312,IF(('Area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List'!$B$313,IF('Area C'!$J$31&gt;0,'Item List'!$B$312,IF(('Area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List'!$B$313,IF('Area D'!$J$31&gt;0,'Item List'!$B$312,IF(('Area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0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185</v>
      </c>
      <c r="C276" s="2" t="s">
        <v>186</v>
      </c>
      <c r="D276" s="12">
        <f>120</f>
        <v>120</v>
      </c>
      <c r="E276" s="4">
        <v>6.84</v>
      </c>
      <c r="F276" s="275" t="s">
        <v>418</v>
      </c>
      <c r="G276" s="275" t="s">
        <v>418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0" t="s">
        <v>418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47" t="s">
        <v>418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8" t="s">
        <v>418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30">
        <f>((('Project Materials'!$Q$25)*2)+(IF('Area A'!B5="TR375 Blk",'Project Materials'!$Q$25,0)))</f>
        <v>0</v>
      </c>
      <c r="AI276" s="27">
        <f>((('Project Materials'!$Q$26)*2)+(IF('Area B'!B5="TR375 Blk",'Project Materials'!$Q$26,0)))</f>
        <v>0</v>
      </c>
      <c r="AJ276" s="28">
        <f>((('Project Materials'!$Q$27)*2)+(IF('Area C'!B5="TR375 Blk",'Project Materials'!$Q$27,0)))</f>
        <v>0</v>
      </c>
      <c r="AK276" s="200">
        <f>((('Project Materials'!$Q$28)*2)+(IF('Area D'!B5="TR375 Blk",'Project Materials'!$Q$28,0)))</f>
        <v>0</v>
      </c>
    </row>
    <row r="277" spans="1:39" x14ac:dyDescent="0.4">
      <c r="A277" s="60" t="s">
        <v>10</v>
      </c>
      <c r="B277" s="2" t="s">
        <v>187</v>
      </c>
      <c r="C277" s="2" t="s">
        <v>188</v>
      </c>
      <c r="D277" s="12">
        <v>120</v>
      </c>
      <c r="E277" s="4">
        <v>13.83503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('Project Materials'!$Q$25)*2</f>
        <v>0</v>
      </c>
      <c r="AI277" s="27">
        <f>('Project Materials'!$Q$26)*2</f>
        <v>0</v>
      </c>
      <c r="AJ277" s="28">
        <f>('Project Materials'!$Q$27)*2</f>
        <v>0</v>
      </c>
      <c r="AK277" s="200">
        <f>('Project Materials'!$Q$28)*2</f>
        <v>0</v>
      </c>
    </row>
    <row r="278" spans="1:39" x14ac:dyDescent="0.4">
      <c r="A278" s="60" t="s">
        <v>10</v>
      </c>
      <c r="B278" s="2" t="s">
        <v>649</v>
      </c>
      <c r="C278" s="2" t="s">
        <v>650</v>
      </c>
      <c r="D278" s="12">
        <v>120</v>
      </c>
      <c r="E278" s="4">
        <v>12.81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189</v>
      </c>
      <c r="C279" s="2" t="s">
        <v>190</v>
      </c>
      <c r="D279" s="12"/>
      <c r="E279" s="4">
        <v>0.75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242">
        <f>IF(AH307&gt;0,AH307*2,'Project Materials'!D13*2)</f>
        <v>0</v>
      </c>
      <c r="AI279" s="242">
        <f>IF(AI307&gt;0,AI307*2,'Project Materials'!H13*2)</f>
        <v>0</v>
      </c>
      <c r="AJ279" s="242">
        <f>IF(AJ307&gt;0,AJ307*2,'Project Materials'!L13*2)</f>
        <v>0</v>
      </c>
      <c r="AK279" s="242">
        <f>IF(AK307&gt;0,AK307*2,'Project Materials'!P13*2)</f>
        <v>0</v>
      </c>
      <c r="AM279" s="98">
        <v>2</v>
      </c>
    </row>
    <row r="280" spans="1:39" x14ac:dyDescent="0.4">
      <c r="A280" s="60" t="s">
        <v>10</v>
      </c>
      <c r="B280" s="2" t="s">
        <v>191</v>
      </c>
      <c r="C280" s="2" t="s">
        <v>192</v>
      </c>
      <c r="D280" s="12">
        <v>20</v>
      </c>
      <c r="E280" s="4">
        <v>11.0396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3">
        <f>'Area A'!$E$5</f>
        <v>0</v>
      </c>
      <c r="AI280" s="243">
        <f>'Area B'!$E$5</f>
        <v>0</v>
      </c>
      <c r="AJ280" s="243">
        <f>'Area C'!$E$5</f>
        <v>0</v>
      </c>
      <c r="AK280" s="243">
        <f>'Area D'!$E$5</f>
        <v>0</v>
      </c>
      <c r="AL280" s="9"/>
      <c r="AM280" s="9"/>
    </row>
    <row r="281" spans="1:39" x14ac:dyDescent="0.4">
      <c r="A281" s="60" t="s">
        <v>10</v>
      </c>
      <c r="B281" s="2" t="s">
        <v>193</v>
      </c>
      <c r="C281" s="2" t="s">
        <v>194</v>
      </c>
      <c r="D281" s="12">
        <v>20</v>
      </c>
      <c r="E281" s="4">
        <v>10.57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195</v>
      </c>
      <c r="C282" s="2" t="s">
        <v>196</v>
      </c>
      <c r="D282" s="12">
        <v>20</v>
      </c>
      <c r="E282" s="4">
        <v>13.59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197</v>
      </c>
      <c r="C283" s="2" t="s">
        <v>198</v>
      </c>
      <c r="D283" s="12">
        <v>20</v>
      </c>
      <c r="E283" s="4">
        <v>5.1231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199</v>
      </c>
      <c r="C284" s="2" t="s">
        <v>200</v>
      </c>
      <c r="D284" s="12">
        <v>20</v>
      </c>
      <c r="E284" s="4">
        <v>6.5628099999999998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201</v>
      </c>
      <c r="C285" s="2" t="s">
        <v>202</v>
      </c>
      <c r="D285" s="12">
        <v>20</v>
      </c>
      <c r="E285" s="4">
        <v>5.7530000000000001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203</v>
      </c>
      <c r="C286" s="2" t="s">
        <v>204</v>
      </c>
      <c r="D286" s="12">
        <v>20</v>
      </c>
      <c r="E286" s="4">
        <v>7.3152100000000004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205</v>
      </c>
      <c r="C287" s="2" t="s">
        <v>206</v>
      </c>
      <c r="D287" s="12">
        <v>20</v>
      </c>
      <c r="E287" s="4">
        <v>5.3337899999999996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319</v>
      </c>
      <c r="C288" s="2" t="s">
        <v>320</v>
      </c>
      <c r="D288" s="12"/>
      <c r="E288" s="4">
        <v>12.97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M288" s="9"/>
    </row>
    <row r="289" spans="1:40" x14ac:dyDescent="0.4">
      <c r="A289" s="60" t="s">
        <v>10</v>
      </c>
      <c r="B289" s="2" t="s">
        <v>410</v>
      </c>
      <c r="C289" s="2" t="s">
        <v>318</v>
      </c>
      <c r="D289" s="12"/>
      <c r="E289" s="4">
        <v>3.5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324</v>
      </c>
      <c r="C290" s="2" t="s">
        <v>325</v>
      </c>
      <c r="D290" s="12"/>
      <c r="E290" s="4">
        <v>0.16</v>
      </c>
      <c r="F290" s="275" t="s">
        <v>418</v>
      </c>
      <c r="G290" s="277" t="s">
        <v>183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2" t="s">
        <v>183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154" t="s">
        <v>183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02" t="s">
        <v>183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H290" s="30">
        <f>((2*'Project Materials'!$Q$25)-(1*('Project Materials'!$K$25*'Project Materials'!$P$25)))</f>
        <v>0</v>
      </c>
      <c r="AI290" s="27">
        <f>((2*'Project Materials'!$Q$26)-(1*('Project Materials'!$K$26*'Project Materials'!$P$26)))</f>
        <v>0</v>
      </c>
      <c r="AJ290" s="28">
        <f>((2*'Project Materials'!$Q$27)-(1*('Project Materials'!$K$27*'Project Materials'!$P$27)))</f>
        <v>0</v>
      </c>
      <c r="AK290" s="200">
        <f>((2*'Project Materials'!$Q$28)-(1*('Project Materials'!$K$28*'Project Materials'!$P$28)))</f>
        <v>0</v>
      </c>
    </row>
    <row r="291" spans="1:40" x14ac:dyDescent="0.4">
      <c r="A291" s="60" t="s">
        <v>10</v>
      </c>
      <c r="B291" s="2" t="s">
        <v>326</v>
      </c>
      <c r="C291" s="2" t="s">
        <v>327</v>
      </c>
      <c r="D291" s="12"/>
      <c r="E291" s="4">
        <v>1.71</v>
      </c>
      <c r="F291" s="275" t="s">
        <v>418</v>
      </c>
      <c r="G291" s="275" t="s">
        <v>418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0" t="s">
        <v>418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247" t="s">
        <v>418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48" t="s">
        <v>418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328</v>
      </c>
      <c r="C292" s="2" t="s">
        <v>329</v>
      </c>
      <c r="D292" s="12"/>
      <c r="E292" s="4">
        <v>0.28000000000000003</v>
      </c>
      <c r="F292" s="275" t="s">
        <v>418</v>
      </c>
      <c r="G292" s="277" t="s">
        <v>183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2" t="s">
        <v>183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154" t="s">
        <v>183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02" t="s">
        <v>183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330</v>
      </c>
      <c r="C293" s="2" t="s">
        <v>331</v>
      </c>
      <c r="D293" s="12"/>
      <c r="E293" s="4">
        <v>1.82</v>
      </c>
      <c r="F293" s="275" t="s">
        <v>418</v>
      </c>
      <c r="G293" s="275" t="s">
        <v>418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0" t="s">
        <v>418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247" t="s">
        <v>418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48" t="s">
        <v>418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s="237" customFormat="1" x14ac:dyDescent="0.4">
      <c r="A294" s="60" t="s">
        <v>10</v>
      </c>
      <c r="B294" s="99" t="s">
        <v>872</v>
      </c>
      <c r="C294" s="99" t="s">
        <v>873</v>
      </c>
      <c r="D294" s="12"/>
      <c r="E294" s="4"/>
      <c r="F294" s="275" t="s">
        <v>418</v>
      </c>
      <c r="G294" s="277" t="s">
        <v>183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2" t="s">
        <v>183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154" t="s">
        <v>183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02" t="s">
        <v>183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  <c r="AN294" s="22"/>
    </row>
    <row r="295" spans="1:40" x14ac:dyDescent="0.4">
      <c r="A295" s="60" t="s">
        <v>10</v>
      </c>
      <c r="B295" s="2" t="s">
        <v>332</v>
      </c>
      <c r="C295" s="2" t="s">
        <v>333</v>
      </c>
      <c r="D295" s="12"/>
      <c r="E295" s="4">
        <v>0.26</v>
      </c>
      <c r="F295" s="275" t="s">
        <v>418</v>
      </c>
      <c r="G295" s="275" t="s">
        <v>418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0" t="s">
        <v>418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247" t="s">
        <v>418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48" t="s">
        <v>418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259">
        <f>('Project Materials'!$O$25*'Project Materials'!$P$25)*3</f>
        <v>0</v>
      </c>
      <c r="AI295" s="260">
        <f>('Project Materials'!$O$26*'Project Materials'!$P$26)*3</f>
        <v>0</v>
      </c>
      <c r="AJ295" s="261">
        <f>('Project Materials'!$O$27*'Project Materials'!$P$27)*3</f>
        <v>0</v>
      </c>
      <c r="AK295" s="262">
        <f>('Project Materials'!$O$28*'Project Materials'!$P$28)*3</f>
        <v>0</v>
      </c>
      <c r="AL295" s="9"/>
      <c r="AM295" s="9"/>
    </row>
    <row r="296" spans="1:40" x14ac:dyDescent="0.4">
      <c r="A296" s="60" t="s">
        <v>10</v>
      </c>
      <c r="B296" s="2" t="s">
        <v>334</v>
      </c>
      <c r="C296" s="2" t="s">
        <v>335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0</v>
      </c>
      <c r="AI296" s="260">
        <f>('Project Materials'!$O$26*'Project Materials'!$P$26)*3</f>
        <v>0</v>
      </c>
      <c r="AJ296" s="261">
        <f>('Project Materials'!$O$27*'Project Materials'!$P$27)*3</f>
        <v>0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336</v>
      </c>
      <c r="C297" s="2" t="s">
        <v>337</v>
      </c>
      <c r="D297" s="12"/>
      <c r="E297" s="4">
        <v>0.31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0</v>
      </c>
      <c r="AI297" s="260">
        <f>('Project Materials'!$O$26*'Project Materials'!$P$26)*3</f>
        <v>0</v>
      </c>
      <c r="AJ297" s="261">
        <f>('Project Materials'!$O$27*'Project Materials'!$P$27)*3</f>
        <v>0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338</v>
      </c>
      <c r="C298" s="2" t="s">
        <v>339</v>
      </c>
      <c r="D298" s="12"/>
      <c r="E298" s="4">
        <v>0.26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0</v>
      </c>
      <c r="AI298" s="260">
        <f>('Project Materials'!$O$26*'Project Materials'!$P$26)*3</f>
        <v>0</v>
      </c>
      <c r="AJ298" s="261">
        <f>('Project Materials'!$O$27*'Project Materials'!$P$27)*3</f>
        <v>0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340</v>
      </c>
      <c r="C299" s="2" t="s">
        <v>341</v>
      </c>
      <c r="D299" s="12"/>
      <c r="E299" s="4">
        <v>0.3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0</v>
      </c>
      <c r="AI299" s="260">
        <f>('Project Materials'!$O$26*'Project Materials'!$P$26)*3</f>
        <v>0</v>
      </c>
      <c r="AJ299" s="261">
        <f>('Project Materials'!$O$27*'Project Materials'!$P$27)*3</f>
        <v>0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342</v>
      </c>
      <c r="C300" s="2" t="s">
        <v>343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0</v>
      </c>
      <c r="AI300" s="260">
        <f>('Project Materials'!$O$26*'Project Materials'!$P$26)*3</f>
        <v>0</v>
      </c>
      <c r="AJ300" s="261">
        <f>('Project Materials'!$O$27*'Project Materials'!$P$27)*3</f>
        <v>0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344</v>
      </c>
      <c r="C301" s="2" t="s">
        <v>345</v>
      </c>
      <c r="D301" s="12"/>
      <c r="E301" s="4">
        <v>0.36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0</v>
      </c>
      <c r="AI301" s="260">
        <f>('Project Materials'!$O$26*'Project Materials'!$P$26)*3</f>
        <v>0</v>
      </c>
      <c r="AJ301" s="261">
        <f>('Project Materials'!$O$27*'Project Materials'!$P$27)*3</f>
        <v>0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346</v>
      </c>
      <c r="C302" s="2" t="s">
        <v>347</v>
      </c>
      <c r="D302" s="12"/>
      <c r="E302" s="4">
        <v>0.3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0</v>
      </c>
      <c r="AI302" s="260">
        <f>('Project Materials'!$O$26*'Project Materials'!$P$26)*3</f>
        <v>0</v>
      </c>
      <c r="AJ302" s="261">
        <f>('Project Materials'!$O$27*'Project Materials'!$P$27)*3</f>
        <v>0</v>
      </c>
      <c r="AK302" s="262">
        <f>('Project Materials'!$O$28*'Project Materials'!$P$28)*3</f>
        <v>0</v>
      </c>
      <c r="AL302" s="9"/>
      <c r="AM302" s="9"/>
    </row>
    <row r="303" spans="1:40" s="98" customFormat="1" x14ac:dyDescent="0.4">
      <c r="A303" s="60" t="s">
        <v>10</v>
      </c>
      <c r="B303" s="99" t="s">
        <v>704</v>
      </c>
      <c r="C303" s="99" t="s">
        <v>705</v>
      </c>
      <c r="D303" s="12"/>
      <c r="E303" s="4">
        <v>2.25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63">
        <f>IF('Area A'!$E$5=0,0,ROUNDUP('Area A'!$E$5,0)-1)</f>
        <v>0</v>
      </c>
      <c r="AI303" s="264">
        <f>IF('Area B'!$E$5=0,0,ROUNDUP('Area B'!$E$5,0)-1)</f>
        <v>0</v>
      </c>
      <c r="AJ303" s="265">
        <f>IF('Area C'!$E$5=0,0,ROUNDUP('Area C'!$E$5,0)-1)</f>
        <v>0</v>
      </c>
      <c r="AK303" s="256">
        <f>IF('Area D'!$E$5=0,0,ROUNDUP('Area D'!$E$5,0)-1)</f>
        <v>0</v>
      </c>
      <c r="AN303" s="22"/>
    </row>
    <row r="304" spans="1:40" x14ac:dyDescent="0.4">
      <c r="A304" s="60" t="s">
        <v>10</v>
      </c>
      <c r="B304" s="2" t="s">
        <v>706</v>
      </c>
      <c r="C304" s="2" t="s">
        <v>707</v>
      </c>
      <c r="D304" s="12"/>
      <c r="E304" s="4">
        <v>2.5499999999999998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</row>
    <row r="305" spans="1:40" x14ac:dyDescent="0.4">
      <c r="A305" s="60" t="s">
        <v>10</v>
      </c>
      <c r="B305" s="2" t="s">
        <v>412</v>
      </c>
      <c r="C305" s="2" t="s">
        <v>412</v>
      </c>
      <c r="D305" s="12"/>
      <c r="E305" s="4">
        <v>70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30">
        <f>ROUNDUP(0.125*'Project Materials'!Q25,2)</f>
        <v>0</v>
      </c>
      <c r="AI305" s="27">
        <f>ROUNDUP(0.125*'Project Materials'!Q26,2)</f>
        <v>0</v>
      </c>
      <c r="AJ305" s="28">
        <f>ROUNDUP(0.125*'Project Materials'!Q27,2)</f>
        <v>0</v>
      </c>
      <c r="AK305" s="200">
        <f>ROUNDUP(0.125*'Project Materials'!Q28,2)</f>
        <v>0</v>
      </c>
    </row>
    <row r="306" spans="1:40" s="98" customFormat="1" ht="15" thickBot="1" x14ac:dyDescent="0.45">
      <c r="A306" s="60" t="s">
        <v>10</v>
      </c>
      <c r="B306" s="99" t="s">
        <v>692</v>
      </c>
      <c r="C306" s="99" t="s">
        <v>693</v>
      </c>
      <c r="D306" s="12"/>
      <c r="E306" s="4">
        <v>2.1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163">
        <f>'Project Materials'!Q25</f>
        <v>0</v>
      </c>
      <c r="AI306" s="158">
        <f>'Project Materials'!Q26</f>
        <v>0</v>
      </c>
      <c r="AJ306" s="153">
        <f>'Project Materials'!Q27</f>
        <v>0</v>
      </c>
      <c r="AK306" s="205">
        <f>'Project Materials'!Q28</f>
        <v>0</v>
      </c>
      <c r="AN306" s="22"/>
    </row>
    <row r="307" spans="1:40" s="98" customFormat="1" ht="15" thickBot="1" x14ac:dyDescent="0.45">
      <c r="A307" s="60" t="s">
        <v>10</v>
      </c>
      <c r="B307" s="99" t="s">
        <v>806</v>
      </c>
      <c r="C307" s="99" t="s">
        <v>807</v>
      </c>
      <c r="D307" s="12"/>
      <c r="E307" s="4">
        <v>3.16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231">
        <f>ROUNDUP('Project Materials'!D14*2,0)</f>
        <v>0</v>
      </c>
      <c r="AI307" s="232">
        <f>ROUNDUP('Project Materials'!H14*2,0)</f>
        <v>0</v>
      </c>
      <c r="AJ307" s="233">
        <f>ROUNDUP('Project Materials'!L14*2,0)</f>
        <v>0</v>
      </c>
      <c r="AK307" s="234">
        <f>ROUNDUP('Project Materials'!P14*2,0)</f>
        <v>0</v>
      </c>
      <c r="AL307" s="235"/>
      <c r="AM307" s="235">
        <v>21</v>
      </c>
      <c r="AN307" s="236" t="s">
        <v>871</v>
      </c>
    </row>
    <row r="308" spans="1:40" x14ac:dyDescent="0.4">
      <c r="A308" s="60" t="s">
        <v>10</v>
      </c>
      <c r="B308" s="2" t="s">
        <v>121</v>
      </c>
      <c r="C308" s="2"/>
      <c r="D308" s="12"/>
      <c r="E308" s="4">
        <v>15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</row>
    <row r="309" spans="1:40" x14ac:dyDescent="0.4">
      <c r="A309" s="2"/>
      <c r="B309" s="2"/>
      <c r="C309" s="2"/>
      <c r="D309" s="12"/>
      <c r="E309" s="4"/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60" t="s">
        <v>368</v>
      </c>
      <c r="B310" s="2" t="s">
        <v>418</v>
      </c>
      <c r="C310" s="2" t="s">
        <v>418</v>
      </c>
      <c r="D310" s="12"/>
      <c r="E310" s="4">
        <v>0</v>
      </c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  <c r="AH310" s="164" t="s">
        <v>456</v>
      </c>
      <c r="AI310" s="159" t="s">
        <v>456</v>
      </c>
      <c r="AJ310" s="154" t="s">
        <v>456</v>
      </c>
      <c r="AK310" s="202" t="s">
        <v>456</v>
      </c>
      <c r="AL310" s="2"/>
      <c r="AM310" s="99"/>
    </row>
    <row r="311" spans="1:40" x14ac:dyDescent="0.4">
      <c r="A311" s="60" t="s">
        <v>368</v>
      </c>
      <c r="B311" s="2" t="s">
        <v>122</v>
      </c>
      <c r="C311" s="2" t="s">
        <v>123</v>
      </c>
      <c r="D311" s="12">
        <v>10</v>
      </c>
      <c r="E311" s="4">
        <v>2.2149999999999999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266">
        <f>CEILING(('Area A'!$D$6+'Area A'!$D$8)/'Item List'!$D$311,0.5)</f>
        <v>0</v>
      </c>
      <c r="AI311" s="267">
        <f>CEILING(('Area B'!$D$6+'Area B'!$D$8)/'Item List'!$D$311,0.5)</f>
        <v>0</v>
      </c>
      <c r="AJ311" s="268">
        <f>CEILING(('Area C'!$D$6+'Area C'!$D$8)/'Item List'!$D$311,0.5)</f>
        <v>0</v>
      </c>
      <c r="AK311" s="269">
        <f>('Area D'!D8+'Area D'!D6)/'Item List'!D311</f>
        <v>0</v>
      </c>
      <c r="AL311" s="10"/>
      <c r="AM311" s="10"/>
    </row>
    <row r="312" spans="1:40" x14ac:dyDescent="0.4">
      <c r="A312" s="60" t="s">
        <v>368</v>
      </c>
      <c r="B312" s="2" t="s">
        <v>124</v>
      </c>
      <c r="C312" s="2" t="s">
        <v>125</v>
      </c>
      <c r="D312" s="12">
        <v>10</v>
      </c>
      <c r="E312" s="4">
        <v>4.5430000000000001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A'!$D$5+'Area A'!$D$7)/'Item List'!$D$312,0.5)</f>
        <v>0</v>
      </c>
      <c r="AI312" s="267">
        <f>CEILING(('Area B'!$D$5+'Area B'!$D$7)/'Item List'!$D$312,0.5)</f>
        <v>0</v>
      </c>
      <c r="AJ312" s="268">
        <f>CEILING(('Area C'!$D$5+'Area C'!$D$7)/'Item List'!$D$312,0.5)</f>
        <v>0</v>
      </c>
      <c r="AK312" s="269">
        <f>('Area D'!D5+'Area D'!D7)/'Item List'!D312</f>
        <v>0</v>
      </c>
      <c r="AL312" s="10"/>
      <c r="AM312" s="10"/>
    </row>
    <row r="313" spans="1:40" x14ac:dyDescent="0.4">
      <c r="A313" s="60" t="s">
        <v>368</v>
      </c>
      <c r="B313" s="2" t="s">
        <v>181</v>
      </c>
      <c r="C313" s="2" t="s">
        <v>182</v>
      </c>
      <c r="D313" s="12">
        <v>10</v>
      </c>
      <c r="E313" s="4">
        <v>2.1080000000000001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ROUNDUP(('Project Materials'!D14/'Item List'!$D$313),0)</f>
        <v>0</v>
      </c>
      <c r="AI313" s="267">
        <f>ROUNDUP(('Project Materials'!H14/'Item List'!$D$313),0)</f>
        <v>0</v>
      </c>
      <c r="AJ313" s="268">
        <f>ROUNDUP(('Project Materials'!L14/'Item List'!$D$313),0)</f>
        <v>0</v>
      </c>
      <c r="AK313" s="269">
        <f>ROUNDUP(('Project Materials'!P14/'Item List'!$D$313),0)</f>
        <v>0</v>
      </c>
      <c r="AL313" s="10"/>
      <c r="AM313" s="10"/>
    </row>
    <row r="314" spans="1:40" x14ac:dyDescent="0.4">
      <c r="A314" s="2"/>
      <c r="B314" s="2"/>
      <c r="C314" s="2"/>
      <c r="D314" s="12"/>
      <c r="E314" s="4"/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</row>
    <row r="315" spans="1:40" x14ac:dyDescent="0.4"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A316" s="60" t="s">
        <v>415</v>
      </c>
      <c r="B316" s="2" t="s">
        <v>215</v>
      </c>
      <c r="C316" s="2" t="s">
        <v>216</v>
      </c>
      <c r="D316" s="12"/>
      <c r="E316" s="4">
        <v>1.26</v>
      </c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  <c r="AH316" s="30" t="e">
        <f>('Project Materials'!$D$8*'Project Materials'!$D$9)*'Project Materials'!$P$25</f>
        <v>#VALUE!</v>
      </c>
      <c r="AI316" s="27" t="e">
        <f>('Project Materials'!$H$8*'Project Materials'!$H$9)*'Project Materials'!$P$26</f>
        <v>#VALUE!</v>
      </c>
      <c r="AJ316" s="28" t="e">
        <f>('Project Materials'!$L$8*'Project Materials'!$L$9)*'Project Materials'!$P$27</f>
        <v>#VALUE!</v>
      </c>
      <c r="AK316" s="200" t="e">
        <f>('Project Materials'!$P$8*'Project Materials'!$P$9)*'Project Materials'!$P$28</f>
        <v>#VALUE!</v>
      </c>
    </row>
    <row r="317" spans="1:40" x14ac:dyDescent="0.4">
      <c r="A317" s="60" t="s">
        <v>415</v>
      </c>
      <c r="B317" s="2" t="s">
        <v>217</v>
      </c>
      <c r="C317" s="2" t="s">
        <v>218</v>
      </c>
      <c r="D317" s="12"/>
      <c r="E317" s="4">
        <v>1.08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219</v>
      </c>
      <c r="C318" s="2" t="s">
        <v>220</v>
      </c>
      <c r="D318" s="12"/>
      <c r="E318" s="4">
        <v>5.2600000000000001E-2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</row>
    <row r="319" spans="1:40" x14ac:dyDescent="0.4">
      <c r="A319" s="60" t="s">
        <v>415</v>
      </c>
      <c r="B319" s="2" t="s">
        <v>221</v>
      </c>
      <c r="C319" s="2" t="s">
        <v>222</v>
      </c>
      <c r="D319" s="12"/>
      <c r="E319" s="4">
        <v>2.73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  <c r="AH319" s="30" t="e">
        <f>('Project Materials'!$D$8*'Project Materials'!$D$9)*'Project Materials'!$P$25</f>
        <v>#VALUE!</v>
      </c>
      <c r="AI319" s="27" t="e">
        <f>('Project Materials'!$H$8*'Project Materials'!$H$9)*'Project Materials'!$P$26</f>
        <v>#VALUE!</v>
      </c>
      <c r="AJ319" s="28" t="e">
        <f>('Project Materials'!$L$8*'Project Materials'!$L$9)*'Project Materials'!$P$27</f>
        <v>#VALUE!</v>
      </c>
      <c r="AK319" s="200" t="e">
        <f>('Project Materials'!$P$8*'Project Materials'!$P$9)*'Project Materials'!$P$28</f>
        <v>#VALUE!</v>
      </c>
    </row>
    <row r="320" spans="1:40" x14ac:dyDescent="0.4">
      <c r="A320" s="60" t="s">
        <v>415</v>
      </c>
      <c r="B320" s="2" t="s">
        <v>223</v>
      </c>
      <c r="C320" s="2" t="s">
        <v>224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225</v>
      </c>
      <c r="C321" s="2" t="s">
        <v>226</v>
      </c>
      <c r="D321" s="12"/>
      <c r="E321" s="4">
        <v>1.83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227</v>
      </c>
      <c r="C322" s="2" t="s">
        <v>228</v>
      </c>
      <c r="D322" s="12"/>
      <c r="E322" s="4">
        <v>0.6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229</v>
      </c>
      <c r="C323" s="2" t="s">
        <v>230</v>
      </c>
      <c r="D323" s="12"/>
      <c r="E323" s="4">
        <v>0.72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231</v>
      </c>
      <c r="C324" s="2" t="s">
        <v>232</v>
      </c>
      <c r="D324" s="12"/>
      <c r="E324" s="4">
        <v>0.8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233</v>
      </c>
      <c r="C325" s="2" t="s">
        <v>234</v>
      </c>
      <c r="D325" s="12"/>
      <c r="E325" s="4">
        <v>0.6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235</v>
      </c>
      <c r="C326" s="2" t="s">
        <v>236</v>
      </c>
      <c r="D326" s="12"/>
      <c r="E326" s="4">
        <v>2.96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65" spans="8:8" x14ac:dyDescent="0.4">
      <c r="H365" s="273" t="s">
        <v>290</v>
      </c>
    </row>
    <row r="396" spans="8:8" x14ac:dyDescent="0.4">
      <c r="H396" s="273" t="s">
        <v>290</v>
      </c>
    </row>
    <row r="413" spans="6:40" s="686" customFormat="1" x14ac:dyDescent="0.4">
      <c r="F413" s="273"/>
      <c r="G413" s="273"/>
      <c r="H413" s="273"/>
      <c r="I413" s="273"/>
      <c r="J413" s="273"/>
      <c r="K413" s="273"/>
      <c r="L413" s="273"/>
      <c r="M413" s="278"/>
      <c r="N413" s="278"/>
      <c r="O413" s="278"/>
      <c r="P413" s="278"/>
      <c r="Q413" s="278"/>
      <c r="R413" s="278"/>
      <c r="S413" s="278"/>
      <c r="T413" s="28"/>
      <c r="U413" s="28"/>
      <c r="V413" s="28"/>
      <c r="W413" s="28"/>
      <c r="X413" s="28"/>
      <c r="Y413" s="28"/>
      <c r="Z413" s="28"/>
      <c r="AA413" s="200"/>
      <c r="AB413" s="200"/>
      <c r="AC413" s="200"/>
      <c r="AD413" s="200"/>
      <c r="AE413" s="200"/>
      <c r="AF413" s="200"/>
      <c r="AG413" s="200"/>
      <c r="AH413" s="30"/>
      <c r="AI413" s="27"/>
      <c r="AJ413" s="28"/>
      <c r="AK413" s="200"/>
      <c r="AN413" s="22"/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7" spans="6:40" x14ac:dyDescent="0.4">
      <c r="H427" s="273" t="s">
        <v>290</v>
      </c>
    </row>
  </sheetData>
  <sheetProtection selectLockedCells="1"/>
  <sortState xmlns:xlrd2="http://schemas.microsoft.com/office/spreadsheetml/2017/richdata2" ref="A330:AN427">
    <sortCondition ref="B330:B427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tabSelected="1" workbookViewId="0">
      <selection activeCell="F14" sqref="F14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1167</v>
      </c>
      <c r="C1" s="864" t="s">
        <v>1178</v>
      </c>
      <c r="D1" t="s">
        <v>1154</v>
      </c>
      <c r="E1" t="s">
        <v>1155</v>
      </c>
      <c r="F1" s="864" t="s">
        <v>1179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3" t="s">
        <v>1166</v>
      </c>
      <c r="C2" t="s">
        <v>1175</v>
      </c>
      <c r="D2">
        <f>'Project Materials'!O25</f>
        <v>0</v>
      </c>
      <c r="E2" s="862">
        <f>ROUND('Estimate Total'!O7,0)</f>
        <v>0</v>
      </c>
      <c r="F2" t="s">
        <v>1164</v>
      </c>
      <c r="G2">
        <v>1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1168</v>
      </c>
      <c r="C3" t="s">
        <v>1176</v>
      </c>
      <c r="D3">
        <f>'Estimate Total'!P6</f>
        <v>0</v>
      </c>
      <c r="E3" s="862">
        <f>ROUND('Estimate Total'!P7,0)</f>
        <v>0</v>
      </c>
      <c r="F3" s="861" t="s">
        <v>1163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1170</v>
      </c>
      <c r="C4" t="s">
        <v>1177</v>
      </c>
      <c r="D4">
        <f>'Estimate Total'!Q6</f>
        <v>0</v>
      </c>
      <c r="E4" s="862">
        <f>ROUND('Estimate Total'!Q7,0)</f>
        <v>0</v>
      </c>
      <c r="F4" s="861" t="s">
        <v>1162</v>
      </c>
      <c r="G4">
        <v>0</v>
      </c>
      <c r="H4">
        <v>0</v>
      </c>
      <c r="I4">
        <v>3</v>
      </c>
      <c r="J4">
        <v>6</v>
      </c>
      <c r="K4">
        <v>6</v>
      </c>
    </row>
    <row r="5" spans="1:11" ht="45.45" customHeight="1" x14ac:dyDescent="0.4">
      <c r="A5" s="860" t="s">
        <v>1152</v>
      </c>
      <c r="B5" t="s">
        <v>1169</v>
      </c>
      <c r="D5">
        <f>'Estimate Total'!R6</f>
        <v>0</v>
      </c>
      <c r="E5" s="862">
        <f>ROUND('Estimate Total'!R7,0)</f>
        <v>0</v>
      </c>
      <c r="F5" s="861" t="s">
        <v>1174</v>
      </c>
      <c r="G5">
        <v>0</v>
      </c>
      <c r="H5">
        <v>0</v>
      </c>
      <c r="I5">
        <v>1</v>
      </c>
      <c r="J5">
        <v>5</v>
      </c>
      <c r="K5">
        <v>0</v>
      </c>
    </row>
    <row r="6" spans="1:11" ht="44.15" customHeight="1" x14ac:dyDescent="0.4">
      <c r="A6" s="860" t="s">
        <v>1153</v>
      </c>
      <c r="B6" t="s">
        <v>1171</v>
      </c>
      <c r="D6">
        <f>'Estimate Total'!S6</f>
        <v>0</v>
      </c>
      <c r="E6" s="862">
        <f>ROUND('Estimate Total'!S7,0)</f>
        <v>0</v>
      </c>
      <c r="F6" s="861" t="s">
        <v>1173</v>
      </c>
      <c r="G6">
        <v>2</v>
      </c>
      <c r="H6">
        <v>2</v>
      </c>
      <c r="I6">
        <v>2</v>
      </c>
      <c r="J6">
        <v>6</v>
      </c>
      <c r="K6">
        <v>0</v>
      </c>
    </row>
    <row r="7" spans="1:11" ht="48.9" customHeight="1" x14ac:dyDescent="0.4">
      <c r="A7" s="860"/>
      <c r="F7" s="861" t="s">
        <v>1172</v>
      </c>
      <c r="G7">
        <v>0</v>
      </c>
      <c r="H7">
        <v>0</v>
      </c>
      <c r="I7">
        <v>0</v>
      </c>
      <c r="J7">
        <v>5</v>
      </c>
      <c r="K7">
        <v>0</v>
      </c>
    </row>
    <row r="8" spans="1:11" x14ac:dyDescent="0.4">
      <c r="A8" s="860"/>
      <c r="B8" s="88"/>
      <c r="F8" s="861" t="s">
        <v>1161</v>
      </c>
      <c r="G8">
        <v>4</v>
      </c>
      <c r="H8">
        <v>4</v>
      </c>
      <c r="I8">
        <v>4</v>
      </c>
      <c r="J8">
        <v>4</v>
      </c>
      <c r="K8">
        <v>0</v>
      </c>
    </row>
    <row r="9" spans="1:11" x14ac:dyDescent="0.4">
      <c r="A9" s="860"/>
      <c r="F9" s="861" t="s">
        <v>1165</v>
      </c>
      <c r="G9">
        <v>0</v>
      </c>
      <c r="H9">
        <v>0</v>
      </c>
      <c r="I9">
        <v>0</v>
      </c>
      <c r="J9">
        <v>3</v>
      </c>
      <c r="K9">
        <v>0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ht="70.3" customHeight="1" x14ac:dyDescent="0.55000000000000004">
      <c r="A13" s="860"/>
      <c r="F13" s="865" t="s">
        <v>1180</v>
      </c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TR200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0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60" t="s">
        <v>662</v>
      </c>
      <c r="B15" s="1160"/>
      <c r="C15" s="1160"/>
      <c r="D15" s="1160"/>
      <c r="E15" s="1160"/>
      <c r="F15" s="82" t="e">
        <f>(F13/(C14*$F$3))</f>
        <v>#DIV/0!</v>
      </c>
      <c r="H15" s="1160" t="s">
        <v>662</v>
      </c>
      <c r="I15" s="1160"/>
      <c r="J15" s="1160"/>
      <c r="K15" s="1160"/>
      <c r="L15" s="1160"/>
      <c r="M15" s="82" t="e">
        <f>(M13/(J14*$M$3))</f>
        <v>#REF!</v>
      </c>
      <c r="O15" s="1160" t="s">
        <v>662</v>
      </c>
      <c r="P15" s="1160"/>
      <c r="Q15" s="1160"/>
      <c r="R15" s="1160"/>
      <c r="S15" s="1160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60" t="s">
        <v>662</v>
      </c>
      <c r="B25" s="1160"/>
      <c r="C25" s="1160"/>
      <c r="D25" s="1160"/>
      <c r="E25" s="1160"/>
      <c r="F25" s="82" t="e">
        <f>(F23/(C24*$F$3))</f>
        <v>#DIV/0!</v>
      </c>
      <c r="H25" s="1160" t="s">
        <v>662</v>
      </c>
      <c r="I25" s="1160"/>
      <c r="J25" s="1160"/>
      <c r="K25" s="1160"/>
      <c r="L25" s="1160"/>
      <c r="M25" s="82" t="e">
        <f>(M23/(J24*$M$3))</f>
        <v>#REF!</v>
      </c>
      <c r="O25" s="1161" t="s">
        <v>662</v>
      </c>
      <c r="P25" s="1161"/>
      <c r="Q25" s="1161"/>
      <c r="R25" s="1161"/>
      <c r="S25" s="1161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K53" sqref="K5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135</v>
      </c>
      <c r="E42" s="292">
        <f>D42/$F$39</f>
        <v>2.25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0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0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2" t="s">
        <v>1108</v>
      </c>
      <c r="B74" s="1163"/>
      <c r="C74" s="1163"/>
      <c r="D74" s="1163"/>
      <c r="E74" s="1163"/>
      <c r="F74" s="1163"/>
      <c r="G74" s="1163"/>
      <c r="H74" s="1163"/>
      <c r="I74" s="1164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2021-03-09T19:43:32Z</dcterms:modified>
</cp:coreProperties>
</file>