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DBC9122B-2BC6-4CF7-A9B2-E4AD016FC332}" xr6:coauthVersionLast="46" xr6:coauthVersionMax="46" xr10:uidLastSave="{00000000-0000-0000-0000-000000000000}"/>
  <bookViews>
    <workbookView xWindow="45972" yWindow="-108" windowWidth="30936" windowHeight="16896" activeTab="11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  <sheet name="Take-off Build" sheetId="19" r:id="rId16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D47" i="35" l="1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/>
  <c r="C9" i="35"/>
  <c r="Z28" i="24" l="1"/>
  <c r="Z29" i="24" s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S7" i="24" s="1"/>
  <c r="B19" i="35"/>
  <c r="B18" i="35"/>
  <c r="G55" i="23" l="1"/>
  <c r="Z33" i="24" s="1"/>
  <c r="G61" i="23"/>
  <c r="G62" i="23" s="1"/>
  <c r="S33" i="24" l="1"/>
  <c r="Z10" i="24"/>
  <c r="S10" i="24"/>
  <c r="AK171" i="4"/>
  <c r="AK170" i="4"/>
  <c r="AK169" i="4"/>
  <c r="AK168" i="4"/>
  <c r="AK172" i="4"/>
  <c r="AJ172" i="4"/>
  <c r="AI172" i="4"/>
  <c r="AH172" i="4"/>
  <c r="AJ171" i="4"/>
  <c r="AJ170" i="4"/>
  <c r="AJ169" i="4"/>
  <c r="AJ168" i="4"/>
  <c r="AI171" i="4"/>
  <c r="AI170" i="4"/>
  <c r="AI169" i="4"/>
  <c r="AI168" i="4"/>
  <c r="AH171" i="4"/>
  <c r="AH170" i="4"/>
  <c r="AH169" i="4"/>
  <c r="AH168" i="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B35" i="35"/>
  <c r="E31" i="35"/>
  <c r="H50" i="35"/>
  <c r="I50" i="35" s="1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J46" i="35"/>
  <c r="G31" i="35"/>
  <c r="J44" i="35"/>
  <c r="J24" i="35"/>
  <c r="F18" i="35"/>
  <c r="F21" i="36"/>
  <c r="I51" i="35" l="1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R28" i="5"/>
  <c r="P11" i="5" s="1"/>
  <c r="AK279" i="4"/>
  <c r="E204" i="32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X6" i="24"/>
  <c r="P6" i="24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T209" i="19"/>
  <c r="S209" i="19"/>
  <c r="R209" i="19"/>
  <c r="Q209" i="19"/>
  <c r="P209" i="19"/>
  <c r="O209" i="19"/>
  <c r="T208" i="19"/>
  <c r="S208" i="19"/>
  <c r="R208" i="19"/>
  <c r="Q208" i="19"/>
  <c r="P208" i="19"/>
  <c r="O208" i="19"/>
  <c r="T207" i="19"/>
  <c r="S207" i="19"/>
  <c r="R207" i="19"/>
  <c r="Q207" i="19"/>
  <c r="P207" i="19"/>
  <c r="O207" i="19"/>
  <c r="T206" i="19"/>
  <c r="S206" i="19"/>
  <c r="R206" i="19"/>
  <c r="Q206" i="19"/>
  <c r="P206" i="19"/>
  <c r="O206" i="19"/>
  <c r="T205" i="19"/>
  <c r="S205" i="19"/>
  <c r="R205" i="19"/>
  <c r="Q205" i="19"/>
  <c r="P205" i="19"/>
  <c r="O205" i="19"/>
  <c r="T204" i="19"/>
  <c r="S204" i="19"/>
  <c r="R204" i="19"/>
  <c r="Q204" i="19"/>
  <c r="P204" i="19"/>
  <c r="O204" i="19"/>
  <c r="T203" i="19"/>
  <c r="S203" i="19"/>
  <c r="R203" i="19"/>
  <c r="Q203" i="19"/>
  <c r="P203" i="19"/>
  <c r="O203" i="19"/>
  <c r="T202" i="19"/>
  <c r="S202" i="19"/>
  <c r="R202" i="19"/>
  <c r="Q202" i="19"/>
  <c r="P202" i="19"/>
  <c r="O202" i="19"/>
  <c r="T201" i="19"/>
  <c r="S201" i="19"/>
  <c r="R201" i="19"/>
  <c r="Q201" i="19"/>
  <c r="P201" i="19"/>
  <c r="O201" i="19"/>
  <c r="T20" i="19"/>
  <c r="S20" i="19"/>
  <c r="R20" i="19"/>
  <c r="Q20" i="19"/>
  <c r="P20" i="19"/>
  <c r="O20" i="19"/>
  <c r="T19" i="19"/>
  <c r="S19" i="19"/>
  <c r="R19" i="19"/>
  <c r="Q19" i="19"/>
  <c r="P19" i="19"/>
  <c r="O19" i="19"/>
  <c r="T18" i="19"/>
  <c r="S18" i="19"/>
  <c r="R18" i="19"/>
  <c r="Q18" i="19"/>
  <c r="P18" i="19"/>
  <c r="O18" i="19"/>
  <c r="O17" i="19"/>
  <c r="R16" i="19"/>
  <c r="O16" i="19"/>
  <c r="R15" i="19"/>
  <c r="O15" i="19"/>
  <c r="T14" i="19"/>
  <c r="S14" i="19"/>
  <c r="R14" i="19"/>
  <c r="Q14" i="19"/>
  <c r="P14" i="19"/>
  <c r="O14" i="19"/>
  <c r="O13" i="19"/>
  <c r="T12" i="19"/>
  <c r="S12" i="19"/>
  <c r="R12" i="19"/>
  <c r="Q12" i="19"/>
  <c r="P12" i="19"/>
  <c r="O12" i="19"/>
  <c r="S11" i="19"/>
  <c r="Q11" i="19"/>
  <c r="O11" i="19"/>
  <c r="S10" i="19"/>
  <c r="Q10" i="19"/>
  <c r="O10" i="19"/>
  <c r="S9" i="19"/>
  <c r="Q9" i="19"/>
  <c r="O9" i="19"/>
  <c r="Q8" i="19"/>
  <c r="O8" i="19"/>
  <c r="O7" i="19"/>
  <c r="Q7" i="19"/>
  <c r="P6" i="19"/>
  <c r="P5" i="19"/>
  <c r="O6" i="19"/>
  <c r="O5" i="19"/>
  <c r="O4" i="19"/>
  <c r="T6" i="19"/>
  <c r="S6" i="19"/>
  <c r="R6" i="19"/>
  <c r="Q6" i="19"/>
  <c r="T5" i="19"/>
  <c r="S5" i="19"/>
  <c r="R5" i="19"/>
  <c r="Q5" i="19"/>
  <c r="O3" i="19"/>
  <c r="M209" i="19"/>
  <c r="M207" i="19"/>
  <c r="M206" i="19"/>
  <c r="M205" i="19"/>
  <c r="M204" i="19"/>
  <c r="M203" i="19"/>
  <c r="M202" i="19"/>
  <c r="M201" i="19"/>
  <c r="L205" i="19"/>
  <c r="K205" i="19"/>
  <c r="J205" i="19"/>
  <c r="I205" i="19"/>
  <c r="H205" i="19"/>
  <c r="L204" i="19"/>
  <c r="K204" i="19"/>
  <c r="J204" i="19"/>
  <c r="I204" i="19"/>
  <c r="H204" i="19"/>
  <c r="L203" i="19"/>
  <c r="K203" i="19"/>
  <c r="J203" i="19"/>
  <c r="I203" i="19"/>
  <c r="H203" i="19"/>
  <c r="L202" i="19"/>
  <c r="K202" i="19"/>
  <c r="J202" i="19"/>
  <c r="I202" i="19"/>
  <c r="H202" i="19"/>
  <c r="L201" i="19"/>
  <c r="K201" i="19"/>
  <c r="J201" i="19"/>
  <c r="I201" i="19"/>
  <c r="H201" i="19"/>
  <c r="M20" i="19"/>
  <c r="M19" i="19"/>
  <c r="M18" i="19"/>
  <c r="M14" i="19"/>
  <c r="H13" i="19"/>
  <c r="M12" i="19"/>
  <c r="L12" i="19"/>
  <c r="K12" i="19"/>
  <c r="J12" i="19"/>
  <c r="I12" i="19"/>
  <c r="H12" i="19"/>
  <c r="L11" i="19"/>
  <c r="J11" i="19"/>
  <c r="H11" i="19"/>
  <c r="L10" i="19"/>
  <c r="J10" i="19"/>
  <c r="H10" i="19"/>
  <c r="H9" i="19"/>
  <c r="J9" i="19"/>
  <c r="L9" i="19"/>
  <c r="M210" i="19"/>
  <c r="L210" i="19"/>
  <c r="K210" i="19"/>
  <c r="J210" i="19"/>
  <c r="I210" i="19"/>
  <c r="H210" i="19"/>
  <c r="L208" i="19"/>
  <c r="K208" i="19"/>
  <c r="M208" i="19" s="1"/>
  <c r="J208" i="19"/>
  <c r="I208" i="19"/>
  <c r="H208" i="19"/>
  <c r="H207" i="19"/>
  <c r="L207" i="19"/>
  <c r="K207" i="19"/>
  <c r="J207" i="19"/>
  <c r="I207" i="19"/>
  <c r="L206" i="19"/>
  <c r="K206" i="19"/>
  <c r="J206" i="19"/>
  <c r="I206" i="19"/>
  <c r="H206" i="19"/>
  <c r="L20" i="19"/>
  <c r="K20" i="19"/>
  <c r="J20" i="19"/>
  <c r="I20" i="19"/>
  <c r="H20" i="19"/>
  <c r="L19" i="19"/>
  <c r="K19" i="19"/>
  <c r="J19" i="19"/>
  <c r="I19" i="19"/>
  <c r="H19" i="19"/>
  <c r="L18" i="19"/>
  <c r="K18" i="19"/>
  <c r="J18" i="19"/>
  <c r="I18" i="19"/>
  <c r="H18" i="19"/>
  <c r="H17" i="19"/>
  <c r="K16" i="19"/>
  <c r="H16" i="19"/>
  <c r="K15" i="19"/>
  <c r="H15" i="19"/>
  <c r="L14" i="19"/>
  <c r="K14" i="19"/>
  <c r="J14" i="19"/>
  <c r="I14" i="19"/>
  <c r="H14" i="19"/>
  <c r="J8" i="19"/>
  <c r="H8" i="19"/>
  <c r="J7" i="19"/>
  <c r="H7" i="19"/>
  <c r="M6" i="19"/>
  <c r="L6" i="19"/>
  <c r="K6" i="19"/>
  <c r="J6" i="19"/>
  <c r="I6" i="19"/>
  <c r="H6" i="19"/>
  <c r="M5" i="19"/>
  <c r="L5" i="19"/>
  <c r="K5" i="19"/>
  <c r="J5" i="19"/>
  <c r="I5" i="19"/>
  <c r="H5" i="19"/>
  <c r="H4" i="19"/>
  <c r="H3" i="19"/>
  <c r="E209" i="19" l="1"/>
  <c r="D209" i="19"/>
  <c r="C209" i="19"/>
  <c r="B209" i="19"/>
  <c r="A209" i="19"/>
  <c r="E208" i="19"/>
  <c r="C208" i="19"/>
  <c r="B208" i="19"/>
  <c r="A208" i="19"/>
  <c r="E207" i="19"/>
  <c r="D207" i="19"/>
  <c r="C207" i="19"/>
  <c r="B207" i="19"/>
  <c r="A207" i="19"/>
  <c r="E206" i="19"/>
  <c r="D206" i="19"/>
  <c r="C206" i="19"/>
  <c r="A206" i="19"/>
  <c r="E205" i="19"/>
  <c r="D205" i="19"/>
  <c r="C205" i="19"/>
  <c r="A205" i="19"/>
  <c r="E204" i="19"/>
  <c r="D204" i="19"/>
  <c r="C204" i="19"/>
  <c r="B204" i="19"/>
  <c r="A204" i="19"/>
  <c r="F204" i="19" s="1"/>
  <c r="E203" i="19"/>
  <c r="D203" i="19"/>
  <c r="C203" i="19"/>
  <c r="B203" i="19"/>
  <c r="A203" i="19"/>
  <c r="F203" i="19" s="1"/>
  <c r="E202" i="19"/>
  <c r="D202" i="19"/>
  <c r="C202" i="19"/>
  <c r="A202" i="19"/>
  <c r="E201" i="19"/>
  <c r="D201" i="19"/>
  <c r="C201" i="19"/>
  <c r="A201" i="19"/>
  <c r="E20" i="19"/>
  <c r="D20" i="19"/>
  <c r="C20" i="19"/>
  <c r="B20" i="19"/>
  <c r="A20" i="19"/>
  <c r="F20" i="19" s="1"/>
  <c r="E19" i="19"/>
  <c r="C19" i="19"/>
  <c r="A19" i="19"/>
  <c r="E18" i="19"/>
  <c r="D18" i="19"/>
  <c r="C18" i="19"/>
  <c r="B18" i="19"/>
  <c r="A18" i="19"/>
  <c r="F18" i="19" s="1"/>
  <c r="E17" i="19"/>
  <c r="A17" i="19"/>
  <c r="D16" i="19"/>
  <c r="A16" i="19"/>
  <c r="D15" i="19"/>
  <c r="A15" i="19"/>
  <c r="E14" i="19"/>
  <c r="D14" i="19"/>
  <c r="C14" i="19"/>
  <c r="B14" i="19"/>
  <c r="A14" i="19"/>
  <c r="F14" i="19" s="1"/>
  <c r="A13" i="19"/>
  <c r="E12" i="19"/>
  <c r="D12" i="19"/>
  <c r="C12" i="19"/>
  <c r="B12" i="19"/>
  <c r="A12" i="19"/>
  <c r="F12" i="19" s="1"/>
  <c r="E11" i="19"/>
  <c r="C11" i="19"/>
  <c r="A11" i="19"/>
  <c r="E10" i="19"/>
  <c r="C10" i="19"/>
  <c r="A10" i="19"/>
  <c r="E9" i="19"/>
  <c r="C9" i="19"/>
  <c r="A9" i="19"/>
  <c r="C8" i="19"/>
  <c r="A8" i="19"/>
  <c r="A7" i="19"/>
  <c r="E6" i="19"/>
  <c r="D6" i="19"/>
  <c r="C6" i="19"/>
  <c r="B6" i="19"/>
  <c r="A6" i="19"/>
  <c r="F6" i="19" s="1"/>
  <c r="E5" i="19"/>
  <c r="D5" i="19"/>
  <c r="C5" i="19"/>
  <c r="B5" i="19"/>
  <c r="A5" i="19"/>
  <c r="F5" i="19" s="1"/>
  <c r="A4" i="19"/>
  <c r="A3" i="19"/>
  <c r="F206" i="19" l="1"/>
  <c r="F205" i="19"/>
  <c r="F201" i="19"/>
  <c r="F202" i="19"/>
  <c r="F209" i="19"/>
  <c r="F207" i="19"/>
  <c r="R25" i="19" l="1"/>
  <c r="Q25" i="19"/>
  <c r="T25" i="19"/>
  <c r="P25" i="19"/>
  <c r="S25" i="19"/>
  <c r="O25" i="19"/>
  <c r="S24" i="19"/>
  <c r="O24" i="19"/>
  <c r="Q24" i="19"/>
  <c r="P3" i="19"/>
  <c r="M29" i="19"/>
  <c r="M26" i="19"/>
  <c r="M27" i="19"/>
  <c r="P8" i="19"/>
  <c r="I8" i="19"/>
  <c r="B127" i="7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B8" i="19" s="1"/>
  <c r="F5" i="16"/>
  <c r="B139" i="7" l="1"/>
  <c r="E139" i="7" s="1"/>
  <c r="M28" i="19"/>
  <c r="P60" i="19"/>
  <c r="S60" i="19"/>
  <c r="O60" i="19"/>
  <c r="Q60" i="19"/>
  <c r="P29" i="19"/>
  <c r="Q29" i="19"/>
  <c r="O29" i="19"/>
  <c r="S29" i="19"/>
  <c r="T26" i="19"/>
  <c r="P26" i="19"/>
  <c r="S26" i="19"/>
  <c r="O26" i="19"/>
  <c r="R26" i="19"/>
  <c r="Q26" i="19"/>
  <c r="S28" i="19"/>
  <c r="O28" i="19"/>
  <c r="R28" i="19"/>
  <c r="Q28" i="19"/>
  <c r="P30" i="19"/>
  <c r="S30" i="19"/>
  <c r="O30" i="19"/>
  <c r="Q30" i="19"/>
  <c r="R27" i="19"/>
  <c r="Q27" i="19"/>
  <c r="T27" i="19"/>
  <c r="P27" i="19"/>
  <c r="O27" i="19"/>
  <c r="S27" i="19"/>
  <c r="Q31" i="19"/>
  <c r="S31" i="19"/>
  <c r="O31" i="19"/>
  <c r="K28" i="19"/>
  <c r="J28" i="19"/>
  <c r="H28" i="19"/>
  <c r="I28" i="19"/>
  <c r="L28" i="19"/>
  <c r="J24" i="19"/>
  <c r="H24" i="19"/>
  <c r="L24" i="19"/>
  <c r="I29" i="19"/>
  <c r="L29" i="19"/>
  <c r="H29" i="19"/>
  <c r="K29" i="19"/>
  <c r="J29" i="19"/>
  <c r="L25" i="19"/>
  <c r="H25" i="19"/>
  <c r="J25" i="19"/>
  <c r="K25" i="19"/>
  <c r="I27" i="19"/>
  <c r="L27" i="19"/>
  <c r="H27" i="19"/>
  <c r="K27" i="19"/>
  <c r="J27" i="19"/>
  <c r="I30" i="19"/>
  <c r="J30" i="19"/>
  <c r="H30" i="19"/>
  <c r="L30" i="19"/>
  <c r="K26" i="19"/>
  <c r="J26" i="19"/>
  <c r="L26" i="19"/>
  <c r="I26" i="19"/>
  <c r="H26" i="19"/>
  <c r="I31" i="19"/>
  <c r="L31" i="19"/>
  <c r="H31" i="19"/>
  <c r="J31" i="19"/>
  <c r="E51" i="19"/>
  <c r="A51" i="19"/>
  <c r="F51" i="19" s="1"/>
  <c r="D51" i="19"/>
  <c r="B51" i="19"/>
  <c r="C51" i="19"/>
  <c r="E55" i="19"/>
  <c r="A55" i="19"/>
  <c r="F55" i="19" s="1"/>
  <c r="D55" i="19"/>
  <c r="C55" i="19"/>
  <c r="B55" i="19"/>
  <c r="C32" i="19"/>
  <c r="A32" i="19"/>
  <c r="E32" i="19"/>
  <c r="D56" i="19"/>
  <c r="C56" i="19"/>
  <c r="A56" i="19"/>
  <c r="F56" i="19" s="1"/>
  <c r="E56" i="19"/>
  <c r="B56" i="19"/>
  <c r="D28" i="19"/>
  <c r="C28" i="19"/>
  <c r="E28" i="19"/>
  <c r="B28" i="19"/>
  <c r="A28" i="19"/>
  <c r="F28" i="19" s="1"/>
  <c r="E39" i="19"/>
  <c r="A39" i="19"/>
  <c r="C39" i="19"/>
  <c r="C53" i="19"/>
  <c r="B53" i="19"/>
  <c r="E53" i="19"/>
  <c r="D53" i="19"/>
  <c r="A53" i="19"/>
  <c r="F53" i="19" s="1"/>
  <c r="C57" i="19"/>
  <c r="B57" i="19"/>
  <c r="D57" i="19"/>
  <c r="A57" i="19"/>
  <c r="F57" i="19" s="1"/>
  <c r="E57" i="19"/>
  <c r="E31" i="19"/>
  <c r="A31" i="19"/>
  <c r="C31" i="19"/>
  <c r="I50" i="7"/>
  <c r="E27" i="19"/>
  <c r="A27" i="19"/>
  <c r="F27" i="19" s="1"/>
  <c r="D27" i="19"/>
  <c r="B27" i="19"/>
  <c r="C27" i="19"/>
  <c r="F53" i="7"/>
  <c r="C29" i="19"/>
  <c r="E29" i="19"/>
  <c r="A29" i="19"/>
  <c r="D52" i="19"/>
  <c r="C52" i="19"/>
  <c r="E52" i="19"/>
  <c r="B52" i="19"/>
  <c r="A52" i="19"/>
  <c r="F52" i="19" s="1"/>
  <c r="B26" i="19"/>
  <c r="E26" i="19"/>
  <c r="A26" i="19"/>
  <c r="F26" i="19" s="1"/>
  <c r="D26" i="19"/>
  <c r="C26" i="19"/>
  <c r="C54" i="7"/>
  <c r="B30" i="19" s="1"/>
  <c r="E30" i="19"/>
  <c r="A30" i="19"/>
  <c r="C30" i="19"/>
  <c r="D44" i="19"/>
  <c r="C44" i="19"/>
  <c r="E44" i="19"/>
  <c r="B44" i="19"/>
  <c r="A44" i="19"/>
  <c r="F44" i="19" s="1"/>
  <c r="B54" i="19"/>
  <c r="E54" i="19"/>
  <c r="A54" i="19"/>
  <c r="F54" i="19" s="1"/>
  <c r="C54" i="19"/>
  <c r="D54" i="19"/>
  <c r="B58" i="19"/>
  <c r="E58" i="19"/>
  <c r="A58" i="19"/>
  <c r="F58" i="19" s="1"/>
  <c r="D58" i="19"/>
  <c r="C58" i="19"/>
  <c r="P31" i="19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B29" i="19" s="1"/>
  <c r="C50" i="7"/>
  <c r="I53" i="7"/>
  <c r="F55" i="7"/>
  <c r="F54" i="7"/>
  <c r="C55" i="7"/>
  <c r="B31" i="19" s="1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T28" i="19" l="1"/>
  <c r="M25" i="19"/>
  <c r="C139" i="7"/>
  <c r="R29" i="19"/>
  <c r="T29" i="19" s="1"/>
  <c r="D29" i="19"/>
  <c r="F29" i="19" s="1"/>
  <c r="R60" i="19"/>
  <c r="T60" i="19" s="1"/>
  <c r="P68" i="19"/>
  <c r="Q69" i="19"/>
  <c r="T69" i="19"/>
  <c r="P69" i="19"/>
  <c r="S69" i="19"/>
  <c r="O69" i="19"/>
  <c r="R69" i="19"/>
  <c r="Q71" i="19"/>
  <c r="S71" i="19"/>
  <c r="O71" i="19"/>
  <c r="S70" i="19"/>
  <c r="O70" i="19"/>
  <c r="Q70" i="19"/>
  <c r="Q65" i="19"/>
  <c r="S65" i="19"/>
  <c r="O65" i="19"/>
  <c r="R65" i="19"/>
  <c r="S64" i="19"/>
  <c r="O64" i="19"/>
  <c r="Q64" i="19"/>
  <c r="Q67" i="19"/>
  <c r="T67" i="19"/>
  <c r="P67" i="19"/>
  <c r="S67" i="19"/>
  <c r="O67" i="19"/>
  <c r="R67" i="19"/>
  <c r="I60" i="19"/>
  <c r="S66" i="19"/>
  <c r="O66" i="19"/>
  <c r="Q66" i="19"/>
  <c r="Q61" i="19"/>
  <c r="S61" i="19"/>
  <c r="O61" i="19"/>
  <c r="R61" i="19"/>
  <c r="Q63" i="19"/>
  <c r="S63" i="19"/>
  <c r="O63" i="19"/>
  <c r="R63" i="19"/>
  <c r="Q59" i="19"/>
  <c r="S59" i="19"/>
  <c r="O59" i="19"/>
  <c r="R59" i="19"/>
  <c r="S68" i="19"/>
  <c r="O68" i="19"/>
  <c r="R68" i="19"/>
  <c r="Q68" i="19"/>
  <c r="S72" i="19"/>
  <c r="O72" i="19"/>
  <c r="Q72" i="19"/>
  <c r="S62" i="19"/>
  <c r="O62" i="19"/>
  <c r="Q62" i="19"/>
  <c r="J70" i="19"/>
  <c r="L70" i="19"/>
  <c r="H70" i="19"/>
  <c r="J66" i="19"/>
  <c r="L66" i="19"/>
  <c r="H66" i="19"/>
  <c r="L65" i="19"/>
  <c r="H65" i="19"/>
  <c r="J65" i="19"/>
  <c r="J72" i="19"/>
  <c r="H72" i="19"/>
  <c r="L72" i="19"/>
  <c r="I67" i="19"/>
  <c r="L67" i="19"/>
  <c r="H67" i="19"/>
  <c r="J67" i="19"/>
  <c r="I71" i="19"/>
  <c r="L71" i="19"/>
  <c r="H71" i="19"/>
  <c r="J71" i="19"/>
  <c r="L69" i="19"/>
  <c r="H69" i="19"/>
  <c r="J69" i="19"/>
  <c r="J60" i="19"/>
  <c r="H60" i="19"/>
  <c r="L60" i="19"/>
  <c r="L62" i="19"/>
  <c r="H62" i="19"/>
  <c r="J62" i="19"/>
  <c r="L61" i="19"/>
  <c r="J61" i="19"/>
  <c r="H61" i="19"/>
  <c r="J68" i="19"/>
  <c r="L68" i="19"/>
  <c r="H68" i="19"/>
  <c r="H63" i="19"/>
  <c r="L63" i="19"/>
  <c r="J63" i="19"/>
  <c r="J64" i="19"/>
  <c r="H64" i="19"/>
  <c r="L64" i="19"/>
  <c r="I59" i="19"/>
  <c r="H59" i="19"/>
  <c r="L59" i="19"/>
  <c r="J59" i="19"/>
  <c r="A71" i="19"/>
  <c r="E71" i="19"/>
  <c r="C71" i="19"/>
  <c r="C45" i="19"/>
  <c r="B45" i="19"/>
  <c r="E45" i="19"/>
  <c r="D45" i="19"/>
  <c r="A45" i="19"/>
  <c r="F135" i="7"/>
  <c r="C64" i="19"/>
  <c r="A64" i="19"/>
  <c r="E64" i="19"/>
  <c r="C140" i="7"/>
  <c r="C69" i="19"/>
  <c r="B69" i="19"/>
  <c r="E69" i="19"/>
  <c r="D69" i="19"/>
  <c r="A69" i="19"/>
  <c r="F69" i="19" s="1"/>
  <c r="G50" i="7"/>
  <c r="J50" i="7" s="1"/>
  <c r="C136" i="7"/>
  <c r="C65" i="19"/>
  <c r="B65" i="19"/>
  <c r="D65" i="19"/>
  <c r="A65" i="19"/>
  <c r="F65" i="19" s="1"/>
  <c r="E65" i="19"/>
  <c r="I139" i="7"/>
  <c r="C40" i="19"/>
  <c r="A40" i="19"/>
  <c r="E40" i="19"/>
  <c r="C137" i="7"/>
  <c r="B66" i="19" s="1"/>
  <c r="E66" i="19"/>
  <c r="A66" i="19"/>
  <c r="C66" i="19"/>
  <c r="F139" i="7"/>
  <c r="C68" i="19"/>
  <c r="E68" i="19"/>
  <c r="B68" i="19"/>
  <c r="A68" i="19"/>
  <c r="E72" i="19"/>
  <c r="A72" i="19"/>
  <c r="C72" i="19"/>
  <c r="C138" i="7"/>
  <c r="E67" i="19"/>
  <c r="A67" i="19"/>
  <c r="F67" i="19" s="1"/>
  <c r="D67" i="19"/>
  <c r="B67" i="19"/>
  <c r="C67" i="19"/>
  <c r="C134" i="7"/>
  <c r="E63" i="19"/>
  <c r="A63" i="19"/>
  <c r="F63" i="19" s="1"/>
  <c r="D63" i="19"/>
  <c r="C63" i="19"/>
  <c r="B63" i="19"/>
  <c r="C141" i="7"/>
  <c r="B70" i="19" s="1"/>
  <c r="E70" i="19"/>
  <c r="A70" i="19"/>
  <c r="C70" i="19"/>
  <c r="I135" i="7"/>
  <c r="C135" i="7"/>
  <c r="B64" i="19" s="1"/>
  <c r="E34" i="19"/>
  <c r="A34" i="19"/>
  <c r="C34" i="19"/>
  <c r="F3" i="16"/>
  <c r="P59" i="19"/>
  <c r="P62" i="19"/>
  <c r="P72" i="19"/>
  <c r="P61" i="19"/>
  <c r="P64" i="19"/>
  <c r="P71" i="19"/>
  <c r="P65" i="19"/>
  <c r="P70" i="19"/>
  <c r="P66" i="19"/>
  <c r="P63" i="19"/>
  <c r="I65" i="19"/>
  <c r="I70" i="19"/>
  <c r="I66" i="19"/>
  <c r="I61" i="19"/>
  <c r="I72" i="19"/>
  <c r="I62" i="19"/>
  <c r="I68" i="19"/>
  <c r="I69" i="19"/>
  <c r="I63" i="19"/>
  <c r="I64" i="19"/>
  <c r="F140" i="7"/>
  <c r="I140" i="7"/>
  <c r="F136" i="7"/>
  <c r="I136" i="7"/>
  <c r="F134" i="7"/>
  <c r="I134" i="7"/>
  <c r="F141" i="7"/>
  <c r="I141" i="7"/>
  <c r="F143" i="7"/>
  <c r="I143" i="7"/>
  <c r="C143" i="7"/>
  <c r="B72" i="19" s="1"/>
  <c r="F138" i="7"/>
  <c r="I138" i="7"/>
  <c r="F137" i="7"/>
  <c r="I137" i="7"/>
  <c r="F142" i="7"/>
  <c r="C142" i="7"/>
  <c r="B71" i="19" s="1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F45" i="19" l="1"/>
  <c r="K61" i="19"/>
  <c r="M61" i="19" s="1"/>
  <c r="K67" i="19"/>
  <c r="M67" i="19" s="1"/>
  <c r="K59" i="19"/>
  <c r="M59" i="19" s="1"/>
  <c r="K69" i="19"/>
  <c r="M69" i="19" s="1"/>
  <c r="K65" i="19"/>
  <c r="M65" i="19" s="1"/>
  <c r="T63" i="19"/>
  <c r="T59" i="19"/>
  <c r="T61" i="19"/>
  <c r="K63" i="19"/>
  <c r="M63" i="19" s="1"/>
  <c r="T65" i="19"/>
  <c r="R70" i="19"/>
  <c r="T70" i="19" s="1"/>
  <c r="D70" i="19"/>
  <c r="F70" i="19" s="1"/>
  <c r="R62" i="19"/>
  <c r="T62" i="19" s="1"/>
  <c r="K62" i="19"/>
  <c r="M62" i="19" s="1"/>
  <c r="T68" i="19"/>
  <c r="D64" i="19"/>
  <c r="F64" i="19" s="1"/>
  <c r="K70" i="19"/>
  <c r="M70" i="19" s="1"/>
  <c r="D72" i="19"/>
  <c r="F72" i="19" s="1"/>
  <c r="K60" i="19"/>
  <c r="M60" i="19" s="1"/>
  <c r="K72" i="19"/>
  <c r="M72" i="19" s="1"/>
  <c r="R66" i="19"/>
  <c r="T66" i="19" s="1"/>
  <c r="D68" i="19"/>
  <c r="F68" i="19" s="1"/>
  <c r="D66" i="19"/>
  <c r="F66" i="19" s="1"/>
  <c r="K68" i="19"/>
  <c r="M68" i="19" s="1"/>
  <c r="R72" i="19"/>
  <c r="T72" i="19" s="1"/>
  <c r="K64" i="19"/>
  <c r="M64" i="19" s="1"/>
  <c r="K66" i="19"/>
  <c r="M66" i="19" s="1"/>
  <c r="R64" i="19"/>
  <c r="T64" i="19" s="1"/>
  <c r="M19" i="16"/>
  <c r="J20" i="16" s="1"/>
  <c r="K20" i="16" s="1"/>
  <c r="L20" i="16"/>
  <c r="C9" i="16"/>
  <c r="D9" i="16" s="1"/>
  <c r="G139" i="7"/>
  <c r="J139" i="7" s="1"/>
  <c r="G135" i="7"/>
  <c r="J135" i="7" s="1"/>
  <c r="C36" i="19"/>
  <c r="E36" i="19"/>
  <c r="A36" i="19"/>
  <c r="C41" i="19"/>
  <c r="A41" i="19"/>
  <c r="E41" i="19"/>
  <c r="B46" i="19"/>
  <c r="E46" i="19"/>
  <c r="A46" i="19"/>
  <c r="C46" i="19"/>
  <c r="D46" i="19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F46" i="19" l="1"/>
  <c r="M20" i="16"/>
  <c r="J21" i="16" s="1"/>
  <c r="K21" i="16" s="1"/>
  <c r="E10" i="16"/>
  <c r="T10" i="16"/>
  <c r="F9" i="16"/>
  <c r="C10" i="16" s="1"/>
  <c r="B42" i="19"/>
  <c r="E42" i="19"/>
  <c r="A42" i="19"/>
  <c r="D42" i="19"/>
  <c r="C42" i="19"/>
  <c r="E47" i="19"/>
  <c r="A47" i="19"/>
  <c r="D47" i="19"/>
  <c r="C47" i="19"/>
  <c r="B47" i="19"/>
  <c r="C37" i="19"/>
  <c r="B37" i="19"/>
  <c r="E37" i="19"/>
  <c r="D37" i="19"/>
  <c r="A37" i="19"/>
  <c r="F37" i="19" s="1"/>
  <c r="T20" i="16"/>
  <c r="Q21" i="16" s="1"/>
  <c r="R21" i="16" s="1"/>
  <c r="J11" i="16"/>
  <c r="K11" i="16" s="1"/>
  <c r="L11" i="16"/>
  <c r="C20" i="16"/>
  <c r="D20" i="16" s="1"/>
  <c r="L21" i="16" l="1"/>
  <c r="F42" i="19"/>
  <c r="F47" i="19"/>
  <c r="D10" i="16"/>
  <c r="F10" i="16" s="1"/>
  <c r="D48" i="19"/>
  <c r="C48" i="19"/>
  <c r="A48" i="19"/>
  <c r="E48" i="19"/>
  <c r="B48" i="19"/>
  <c r="B38" i="19"/>
  <c r="E38" i="19"/>
  <c r="A38" i="19"/>
  <c r="C38" i="19"/>
  <c r="D38" i="19"/>
  <c r="E43" i="19"/>
  <c r="A43" i="19"/>
  <c r="D43" i="19"/>
  <c r="B43" i="19"/>
  <c r="C43" i="19"/>
  <c r="M11" i="16"/>
  <c r="L12" i="16" s="1"/>
  <c r="M21" i="16"/>
  <c r="J22" i="16" s="1"/>
  <c r="K22" i="16" s="1"/>
  <c r="Q11" i="16"/>
  <c r="R11" i="16" s="1"/>
  <c r="S11" i="16"/>
  <c r="S21" i="16"/>
  <c r="F20" i="16"/>
  <c r="F48" i="19" l="1"/>
  <c r="F43" i="19"/>
  <c r="F38" i="19"/>
  <c r="C11" i="16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K3" i="19" s="1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R4" i="19"/>
  <c r="K4" i="19"/>
  <c r="T25" i="16"/>
  <c r="M25" i="16"/>
  <c r="F22" i="16"/>
  <c r="S13" i="16"/>
  <c r="T13" i="16" s="1"/>
  <c r="Q14" i="16"/>
  <c r="R3" i="19" s="1"/>
  <c r="E13" i="16" l="1"/>
  <c r="F13" i="16" s="1"/>
  <c r="C14" i="16"/>
  <c r="D3" i="19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D4" i="19" l="1"/>
  <c r="I33" i="7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Q17" i="19" l="1"/>
  <c r="J17" i="19"/>
  <c r="G260" i="7" l="1"/>
  <c r="J260" i="7" s="1"/>
  <c r="F256" i="7"/>
  <c r="G256" i="7" s="1"/>
  <c r="J256" i="7" s="1"/>
  <c r="C256" i="7"/>
  <c r="B206" i="19" s="1"/>
  <c r="G2" i="7" l="1"/>
  <c r="D2" i="7"/>
  <c r="B2" i="7"/>
  <c r="S32" i="19" l="1"/>
  <c r="O32" i="19"/>
  <c r="R32" i="19"/>
  <c r="Q32" i="19"/>
  <c r="Q33" i="19"/>
  <c r="S33" i="19"/>
  <c r="O33" i="19"/>
  <c r="L33" i="19"/>
  <c r="H33" i="19"/>
  <c r="J33" i="19"/>
  <c r="K32" i="19"/>
  <c r="J32" i="19"/>
  <c r="H32" i="19"/>
  <c r="L32" i="19"/>
  <c r="C33" i="19"/>
  <c r="A33" i="19"/>
  <c r="E33" i="19"/>
  <c r="P33" i="19"/>
  <c r="I33" i="19"/>
  <c r="B33" i="19"/>
  <c r="I24" i="19"/>
  <c r="E68" i="5"/>
  <c r="E42" i="5"/>
  <c r="AB4" i="5"/>
  <c r="AA4" i="5"/>
  <c r="Z3" i="5"/>
  <c r="T32" i="19" l="1"/>
  <c r="M32" i="19"/>
  <c r="M35" i="19"/>
  <c r="R35" i="19"/>
  <c r="Q35" i="19"/>
  <c r="T35" i="19"/>
  <c r="P35" i="19"/>
  <c r="S35" i="19"/>
  <c r="O35" i="19"/>
  <c r="I35" i="19"/>
  <c r="L35" i="19"/>
  <c r="H35" i="19"/>
  <c r="J35" i="19"/>
  <c r="K35" i="19"/>
  <c r="E35" i="19"/>
  <c r="A35" i="19"/>
  <c r="D35" i="19"/>
  <c r="B35" i="19"/>
  <c r="C35" i="19"/>
  <c r="H21" i="5"/>
  <c r="L21" i="5"/>
  <c r="D21" i="5"/>
  <c r="P24" i="19"/>
  <c r="I25" i="19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B201" i="19" s="1"/>
  <c r="F251" i="7"/>
  <c r="G251" i="7" s="1"/>
  <c r="J251" i="7" s="1"/>
  <c r="C252" i="7"/>
  <c r="B202" i="19" s="1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B205" i="19" s="1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P17" i="19"/>
  <c r="P16" i="19"/>
  <c r="P15" i="19"/>
  <c r="P13" i="19"/>
  <c r="I13" i="19"/>
  <c r="I15" i="19"/>
  <c r="I16" i="19"/>
  <c r="I17" i="19"/>
  <c r="C29" i="7"/>
  <c r="B13" i="19" s="1"/>
  <c r="F29" i="7"/>
  <c r="C30" i="7"/>
  <c r="D30" i="7"/>
  <c r="H30" i="7" s="1"/>
  <c r="F30" i="7"/>
  <c r="C31" i="7"/>
  <c r="B15" i="19" s="1"/>
  <c r="F31" i="7"/>
  <c r="C32" i="7"/>
  <c r="B16" i="19" s="1"/>
  <c r="F32" i="7"/>
  <c r="C33" i="7"/>
  <c r="B17" i="19" s="1"/>
  <c r="F33" i="7"/>
  <c r="C34" i="7"/>
  <c r="F34" i="7"/>
  <c r="C35" i="7"/>
  <c r="B19" i="19" s="1"/>
  <c r="F35" i="7"/>
  <c r="C36" i="7"/>
  <c r="F36" i="7"/>
  <c r="G36" i="7" s="1"/>
  <c r="J36" i="7" s="1"/>
  <c r="P9" i="19"/>
  <c r="P10" i="19"/>
  <c r="P11" i="19"/>
  <c r="I9" i="19"/>
  <c r="I10" i="19"/>
  <c r="I11" i="19"/>
  <c r="C22" i="7"/>
  <c r="B9" i="19" s="1"/>
  <c r="F22" i="7"/>
  <c r="C23" i="7"/>
  <c r="B10" i="19" s="1"/>
  <c r="F23" i="7"/>
  <c r="C24" i="7"/>
  <c r="B11" i="19" s="1"/>
  <c r="F24" i="7"/>
  <c r="C25" i="7"/>
  <c r="I25" i="7"/>
  <c r="F25" i="7"/>
  <c r="P7" i="19"/>
  <c r="I7" i="19"/>
  <c r="C12" i="7"/>
  <c r="B7" i="19" s="1"/>
  <c r="F12" i="7"/>
  <c r="P4" i="19"/>
  <c r="I4" i="19"/>
  <c r="I3" i="19"/>
  <c r="E229" i="7" l="1"/>
  <c r="F229" i="7"/>
  <c r="E228" i="7"/>
  <c r="F228" i="7"/>
  <c r="F35" i="19"/>
  <c r="B243" i="7"/>
  <c r="B246" i="7"/>
  <c r="B245" i="7"/>
  <c r="B244" i="7"/>
  <c r="B128" i="7"/>
  <c r="A49" i="19" s="1"/>
  <c r="F40" i="7"/>
  <c r="Q4" i="19"/>
  <c r="Q3" i="19"/>
  <c r="J3" i="19"/>
  <c r="J4" i="19"/>
  <c r="R11" i="19"/>
  <c r="T11" i="19" s="1"/>
  <c r="K11" i="19"/>
  <c r="M11" i="19" s="1"/>
  <c r="I24" i="7"/>
  <c r="D11" i="19"/>
  <c r="F11" i="19" s="1"/>
  <c r="P23" i="19"/>
  <c r="Q23" i="19"/>
  <c r="S23" i="19"/>
  <c r="O23" i="19"/>
  <c r="R39" i="19"/>
  <c r="Q39" i="19"/>
  <c r="S39" i="19"/>
  <c r="O39" i="19"/>
  <c r="R53" i="19"/>
  <c r="Q53" i="19"/>
  <c r="O53" i="19"/>
  <c r="S53" i="19"/>
  <c r="R57" i="19"/>
  <c r="Q57" i="19"/>
  <c r="S57" i="19"/>
  <c r="O57" i="19"/>
  <c r="J189" i="19"/>
  <c r="L189" i="19"/>
  <c r="H189" i="19"/>
  <c r="K189" i="19"/>
  <c r="J185" i="19"/>
  <c r="L185" i="19"/>
  <c r="H185" i="19"/>
  <c r="K185" i="19"/>
  <c r="J181" i="19"/>
  <c r="L181" i="19"/>
  <c r="H181" i="19"/>
  <c r="L177" i="19"/>
  <c r="H177" i="19"/>
  <c r="J177" i="19"/>
  <c r="K177" i="19"/>
  <c r="L173" i="19"/>
  <c r="H173" i="19"/>
  <c r="K173" i="19"/>
  <c r="J173" i="19"/>
  <c r="L169" i="19"/>
  <c r="H169" i="19"/>
  <c r="K169" i="19"/>
  <c r="J169" i="19"/>
  <c r="L165" i="19"/>
  <c r="H165" i="19"/>
  <c r="J165" i="19"/>
  <c r="L161" i="19"/>
  <c r="H161" i="19"/>
  <c r="J161" i="19"/>
  <c r="L157" i="19"/>
  <c r="H157" i="19"/>
  <c r="J157" i="19"/>
  <c r="L153" i="19"/>
  <c r="H153" i="19"/>
  <c r="K153" i="19"/>
  <c r="J153" i="19"/>
  <c r="L149" i="19"/>
  <c r="H149" i="19"/>
  <c r="J149" i="19"/>
  <c r="L145" i="19"/>
  <c r="H145" i="19"/>
  <c r="J145" i="19"/>
  <c r="K145" i="19"/>
  <c r="L141" i="19"/>
  <c r="J141" i="19"/>
  <c r="H141" i="19"/>
  <c r="S140" i="19"/>
  <c r="O140" i="19"/>
  <c r="Q140" i="19"/>
  <c r="R144" i="19"/>
  <c r="O144" i="19"/>
  <c r="S144" i="19"/>
  <c r="Q144" i="19"/>
  <c r="R148" i="19"/>
  <c r="Q148" i="19"/>
  <c r="S148" i="19"/>
  <c r="O148" i="19"/>
  <c r="R152" i="19"/>
  <c r="Q152" i="19"/>
  <c r="S152" i="19"/>
  <c r="O152" i="19"/>
  <c r="R156" i="19"/>
  <c r="Q156" i="19"/>
  <c r="S156" i="19"/>
  <c r="O156" i="19"/>
  <c r="R160" i="19"/>
  <c r="Q160" i="19"/>
  <c r="S160" i="19"/>
  <c r="O160" i="19"/>
  <c r="R164" i="19"/>
  <c r="Q164" i="19"/>
  <c r="S164" i="19"/>
  <c r="O164" i="19"/>
  <c r="R168" i="19"/>
  <c r="Q168" i="19"/>
  <c r="S168" i="19"/>
  <c r="O168" i="19"/>
  <c r="R172" i="19"/>
  <c r="Q172" i="19"/>
  <c r="S172" i="19"/>
  <c r="O172" i="19"/>
  <c r="R176" i="19"/>
  <c r="Q176" i="19"/>
  <c r="S176" i="19"/>
  <c r="O176" i="19"/>
  <c r="R180" i="19"/>
  <c r="Q180" i="19"/>
  <c r="S180" i="19"/>
  <c r="O180" i="19"/>
  <c r="R184" i="19"/>
  <c r="Q184" i="19"/>
  <c r="S184" i="19"/>
  <c r="O184" i="19"/>
  <c r="R188" i="19"/>
  <c r="Q188" i="19"/>
  <c r="S188" i="19"/>
  <c r="O188" i="19"/>
  <c r="R192" i="19"/>
  <c r="Q192" i="19"/>
  <c r="S192" i="19"/>
  <c r="O192" i="19"/>
  <c r="S22" i="19"/>
  <c r="O22" i="19"/>
  <c r="Q22" i="19"/>
  <c r="S44" i="19"/>
  <c r="O44" i="19"/>
  <c r="R44" i="19"/>
  <c r="Q44" i="19"/>
  <c r="S54" i="19"/>
  <c r="O54" i="19"/>
  <c r="R54" i="19"/>
  <c r="Q54" i="19"/>
  <c r="S58" i="19"/>
  <c r="O58" i="19"/>
  <c r="R58" i="19"/>
  <c r="Q58" i="19"/>
  <c r="K192" i="19"/>
  <c r="J192" i="19"/>
  <c r="L192" i="19"/>
  <c r="H192" i="19"/>
  <c r="K188" i="19"/>
  <c r="J188" i="19"/>
  <c r="L188" i="19"/>
  <c r="H188" i="19"/>
  <c r="K184" i="19"/>
  <c r="J184" i="19"/>
  <c r="L184" i="19"/>
  <c r="H184" i="19"/>
  <c r="K180" i="19"/>
  <c r="J180" i="19"/>
  <c r="H180" i="19"/>
  <c r="L180" i="19"/>
  <c r="J176" i="19"/>
  <c r="L176" i="19"/>
  <c r="K176" i="19"/>
  <c r="H176" i="19"/>
  <c r="J172" i="19"/>
  <c r="H172" i="19"/>
  <c r="L172" i="19"/>
  <c r="K172" i="19"/>
  <c r="J168" i="19"/>
  <c r="L168" i="19"/>
  <c r="H168" i="19"/>
  <c r="J164" i="19"/>
  <c r="H164" i="19"/>
  <c r="L164" i="19"/>
  <c r="K164" i="19"/>
  <c r="J160" i="19"/>
  <c r="L160" i="19"/>
  <c r="K160" i="19"/>
  <c r="H160" i="19"/>
  <c r="J156" i="19"/>
  <c r="H156" i="19"/>
  <c r="L156" i="19"/>
  <c r="K156" i="19"/>
  <c r="J152" i="19"/>
  <c r="L152" i="19"/>
  <c r="H152" i="19"/>
  <c r="J148" i="19"/>
  <c r="H148" i="19"/>
  <c r="K148" i="19"/>
  <c r="L148" i="19"/>
  <c r="J144" i="19"/>
  <c r="L144" i="19"/>
  <c r="K144" i="19"/>
  <c r="H144" i="19"/>
  <c r="L140" i="19"/>
  <c r="H140" i="19"/>
  <c r="J140" i="19"/>
  <c r="R137" i="19"/>
  <c r="Q137" i="19"/>
  <c r="S137" i="19"/>
  <c r="O137" i="19"/>
  <c r="Q141" i="19"/>
  <c r="O141" i="19"/>
  <c r="S141" i="19"/>
  <c r="S145" i="19"/>
  <c r="O145" i="19"/>
  <c r="R145" i="19"/>
  <c r="Q145" i="19"/>
  <c r="S149" i="19"/>
  <c r="O149" i="19"/>
  <c r="R149" i="19"/>
  <c r="Q149" i="19"/>
  <c r="S153" i="19"/>
  <c r="O153" i="19"/>
  <c r="R153" i="19"/>
  <c r="Q153" i="19"/>
  <c r="S157" i="19"/>
  <c r="O157" i="19"/>
  <c r="Q157" i="19"/>
  <c r="S161" i="19"/>
  <c r="O161" i="19"/>
  <c r="R161" i="19"/>
  <c r="Q161" i="19"/>
  <c r="R165" i="19"/>
  <c r="S165" i="19"/>
  <c r="O165" i="19"/>
  <c r="Q165" i="19"/>
  <c r="S169" i="19"/>
  <c r="O169" i="19"/>
  <c r="R169" i="19"/>
  <c r="Q169" i="19"/>
  <c r="S173" i="19"/>
  <c r="O173" i="19"/>
  <c r="R173" i="19"/>
  <c r="Q173" i="19"/>
  <c r="S177" i="19"/>
  <c r="O177" i="19"/>
  <c r="R177" i="19"/>
  <c r="Q177" i="19"/>
  <c r="S181" i="19"/>
  <c r="O181" i="19"/>
  <c r="R181" i="19"/>
  <c r="Q181" i="19"/>
  <c r="S185" i="19"/>
  <c r="O185" i="19"/>
  <c r="Q185" i="19"/>
  <c r="S189" i="19"/>
  <c r="O189" i="19"/>
  <c r="R189" i="19"/>
  <c r="Q189" i="19"/>
  <c r="Q21" i="19"/>
  <c r="O21" i="19"/>
  <c r="S21" i="19"/>
  <c r="R51" i="19"/>
  <c r="Q51" i="19"/>
  <c r="O51" i="19"/>
  <c r="S51" i="19"/>
  <c r="R55" i="19"/>
  <c r="Q55" i="19"/>
  <c r="S55" i="19"/>
  <c r="O55" i="19"/>
  <c r="L191" i="19"/>
  <c r="H191" i="19"/>
  <c r="K191" i="19"/>
  <c r="J191" i="19"/>
  <c r="L187" i="19"/>
  <c r="H187" i="19"/>
  <c r="K187" i="19"/>
  <c r="J187" i="19"/>
  <c r="L183" i="19"/>
  <c r="H183" i="19"/>
  <c r="K183" i="19"/>
  <c r="J183" i="19"/>
  <c r="K179" i="19"/>
  <c r="J179" i="19"/>
  <c r="L179" i="19"/>
  <c r="H179" i="19"/>
  <c r="K175" i="19"/>
  <c r="J175" i="19"/>
  <c r="H175" i="19"/>
  <c r="L175" i="19"/>
  <c r="K171" i="19"/>
  <c r="J171" i="19"/>
  <c r="L171" i="19"/>
  <c r="H171" i="19"/>
  <c r="J167" i="19"/>
  <c r="L167" i="19"/>
  <c r="H167" i="19"/>
  <c r="J163" i="19"/>
  <c r="L163" i="19"/>
  <c r="H163" i="19"/>
  <c r="J159" i="19"/>
  <c r="H159" i="19"/>
  <c r="L159" i="19"/>
  <c r="K155" i="19"/>
  <c r="J155" i="19"/>
  <c r="L155" i="19"/>
  <c r="H155" i="19"/>
  <c r="J151" i="19"/>
  <c r="H151" i="19"/>
  <c r="L151" i="19"/>
  <c r="K147" i="19"/>
  <c r="J147" i="19"/>
  <c r="L147" i="19"/>
  <c r="H147" i="19"/>
  <c r="K143" i="19"/>
  <c r="J143" i="19"/>
  <c r="H143" i="19"/>
  <c r="L143" i="19"/>
  <c r="J139" i="19"/>
  <c r="L139" i="19"/>
  <c r="H139" i="19"/>
  <c r="S138" i="19"/>
  <c r="O138" i="19"/>
  <c r="R138" i="19"/>
  <c r="Q138" i="19"/>
  <c r="S142" i="19"/>
  <c r="O142" i="19"/>
  <c r="Q142" i="19"/>
  <c r="R146" i="19"/>
  <c r="Q146" i="19"/>
  <c r="O146" i="19"/>
  <c r="S146" i="19"/>
  <c r="R150" i="19"/>
  <c r="Q150" i="19"/>
  <c r="S150" i="19"/>
  <c r="O150" i="19"/>
  <c r="R154" i="19"/>
  <c r="Q154" i="19"/>
  <c r="O154" i="19"/>
  <c r="S154" i="19"/>
  <c r="Q158" i="19"/>
  <c r="S158" i="19"/>
  <c r="O158" i="19"/>
  <c r="R162" i="19"/>
  <c r="Q162" i="19"/>
  <c r="O162" i="19"/>
  <c r="S162" i="19"/>
  <c r="Q166" i="19"/>
  <c r="S166" i="19"/>
  <c r="O166" i="19"/>
  <c r="R170" i="19"/>
  <c r="Q170" i="19"/>
  <c r="O170" i="19"/>
  <c r="S170" i="19"/>
  <c r="R174" i="19"/>
  <c r="Q174" i="19"/>
  <c r="S174" i="19"/>
  <c r="O174" i="19"/>
  <c r="R178" i="19"/>
  <c r="Q178" i="19"/>
  <c r="O178" i="19"/>
  <c r="S178" i="19"/>
  <c r="Q182" i="19"/>
  <c r="S182" i="19"/>
  <c r="O182" i="19"/>
  <c r="R186" i="19"/>
  <c r="Q186" i="19"/>
  <c r="O186" i="19"/>
  <c r="S186" i="19"/>
  <c r="R190" i="19"/>
  <c r="Q190" i="19"/>
  <c r="S190" i="19"/>
  <c r="O190" i="19"/>
  <c r="S52" i="19"/>
  <c r="O52" i="19"/>
  <c r="R52" i="19"/>
  <c r="Q52" i="19"/>
  <c r="S56" i="19"/>
  <c r="O56" i="19"/>
  <c r="R56" i="19"/>
  <c r="Q56" i="19"/>
  <c r="L190" i="19"/>
  <c r="H190" i="19"/>
  <c r="K190" i="19"/>
  <c r="J190" i="19"/>
  <c r="L186" i="19"/>
  <c r="H186" i="19"/>
  <c r="K186" i="19"/>
  <c r="J186" i="19"/>
  <c r="L182" i="19"/>
  <c r="H182" i="19"/>
  <c r="J182" i="19"/>
  <c r="L178" i="19"/>
  <c r="H178" i="19"/>
  <c r="K178" i="19"/>
  <c r="J178" i="19"/>
  <c r="L174" i="19"/>
  <c r="H174" i="19"/>
  <c r="K174" i="19"/>
  <c r="J174" i="19"/>
  <c r="L170" i="19"/>
  <c r="H170" i="19"/>
  <c r="K170" i="19"/>
  <c r="J170" i="19"/>
  <c r="L166" i="19"/>
  <c r="H166" i="19"/>
  <c r="J166" i="19"/>
  <c r="L162" i="19"/>
  <c r="H162" i="19"/>
  <c r="J162" i="19"/>
  <c r="L158" i="19"/>
  <c r="H158" i="19"/>
  <c r="J158" i="19"/>
  <c r="L154" i="19"/>
  <c r="H154" i="19"/>
  <c r="K154" i="19"/>
  <c r="J154" i="19"/>
  <c r="L150" i="19"/>
  <c r="H150" i="19"/>
  <c r="J150" i="19"/>
  <c r="L146" i="19"/>
  <c r="H146" i="19"/>
  <c r="K146" i="19"/>
  <c r="J146" i="19"/>
  <c r="L142" i="19"/>
  <c r="H142" i="19"/>
  <c r="J142" i="19"/>
  <c r="J138" i="19"/>
  <c r="H138" i="19"/>
  <c r="L138" i="19"/>
  <c r="Q139" i="19"/>
  <c r="S139" i="19"/>
  <c r="O139" i="19"/>
  <c r="R143" i="19"/>
  <c r="Q143" i="19"/>
  <c r="S143" i="19"/>
  <c r="O143" i="19"/>
  <c r="S147" i="19"/>
  <c r="O147" i="19"/>
  <c r="R147" i="19"/>
  <c r="Q147" i="19"/>
  <c r="S151" i="19"/>
  <c r="O151" i="19"/>
  <c r="Q151" i="19"/>
  <c r="S155" i="19"/>
  <c r="O155" i="19"/>
  <c r="R155" i="19"/>
  <c r="Q155" i="19"/>
  <c r="S159" i="19"/>
  <c r="O159" i="19"/>
  <c r="Q159" i="19"/>
  <c r="S163" i="19"/>
  <c r="O163" i="19"/>
  <c r="R163" i="19"/>
  <c r="Q163" i="19"/>
  <c r="R167" i="19"/>
  <c r="S167" i="19"/>
  <c r="O167" i="19"/>
  <c r="Q167" i="19"/>
  <c r="S171" i="19"/>
  <c r="O171" i="19"/>
  <c r="R171" i="19"/>
  <c r="Q171" i="19"/>
  <c r="S175" i="19"/>
  <c r="O175" i="19"/>
  <c r="R175" i="19"/>
  <c r="Q175" i="19"/>
  <c r="S179" i="19"/>
  <c r="O179" i="19"/>
  <c r="R179" i="19"/>
  <c r="Q179" i="19"/>
  <c r="S183" i="19"/>
  <c r="O183" i="19"/>
  <c r="R183" i="19"/>
  <c r="Q183" i="19"/>
  <c r="S187" i="19"/>
  <c r="O187" i="19"/>
  <c r="R187" i="19"/>
  <c r="Q187" i="19"/>
  <c r="S191" i="19"/>
  <c r="O191" i="19"/>
  <c r="R191" i="19"/>
  <c r="Q191" i="19"/>
  <c r="I182" i="19"/>
  <c r="I23" i="19"/>
  <c r="L23" i="19"/>
  <c r="H23" i="19"/>
  <c r="J23" i="19"/>
  <c r="L39" i="19"/>
  <c r="H39" i="19"/>
  <c r="K39" i="19"/>
  <c r="J39" i="19"/>
  <c r="K53" i="19"/>
  <c r="L53" i="19"/>
  <c r="J53" i="19"/>
  <c r="H53" i="19"/>
  <c r="K57" i="19"/>
  <c r="L57" i="19"/>
  <c r="J57" i="19"/>
  <c r="H57" i="19"/>
  <c r="I189" i="19"/>
  <c r="I185" i="19"/>
  <c r="I181" i="19"/>
  <c r="K165" i="19"/>
  <c r="I145" i="19"/>
  <c r="I141" i="19"/>
  <c r="I137" i="19"/>
  <c r="L137" i="19"/>
  <c r="H137" i="19"/>
  <c r="J137" i="19"/>
  <c r="K52" i="19"/>
  <c r="J52" i="19"/>
  <c r="L52" i="19"/>
  <c r="H52" i="19"/>
  <c r="I186" i="19"/>
  <c r="J22" i="19"/>
  <c r="L22" i="19"/>
  <c r="H22" i="19"/>
  <c r="K44" i="19"/>
  <c r="J44" i="19"/>
  <c r="H44" i="19"/>
  <c r="L44" i="19"/>
  <c r="K54" i="19"/>
  <c r="L54" i="19"/>
  <c r="J54" i="19"/>
  <c r="H54" i="19"/>
  <c r="I58" i="19"/>
  <c r="K58" i="19"/>
  <c r="L58" i="19"/>
  <c r="H58" i="19"/>
  <c r="J58" i="19"/>
  <c r="K168" i="19"/>
  <c r="I148" i="19"/>
  <c r="I144" i="19"/>
  <c r="I140" i="19"/>
  <c r="K56" i="19"/>
  <c r="J56" i="19"/>
  <c r="H56" i="19"/>
  <c r="L56" i="19"/>
  <c r="I190" i="19"/>
  <c r="I146" i="19"/>
  <c r="I138" i="19"/>
  <c r="L21" i="19"/>
  <c r="H21" i="19"/>
  <c r="J21" i="19"/>
  <c r="L51" i="19"/>
  <c r="H51" i="19"/>
  <c r="K51" i="19"/>
  <c r="J51" i="19"/>
  <c r="K55" i="19"/>
  <c r="H55" i="19"/>
  <c r="J55" i="19"/>
  <c r="L55" i="19"/>
  <c r="I187" i="19"/>
  <c r="C185" i="19"/>
  <c r="E185" i="19"/>
  <c r="A185" i="19"/>
  <c r="C177" i="19"/>
  <c r="B177" i="19"/>
  <c r="E177" i="19"/>
  <c r="A177" i="19"/>
  <c r="F177" i="19" s="1"/>
  <c r="D177" i="19"/>
  <c r="C231" i="7"/>
  <c r="C169" i="19"/>
  <c r="B169" i="19"/>
  <c r="E169" i="19"/>
  <c r="A169" i="19"/>
  <c r="F169" i="19" s="1"/>
  <c r="D169" i="19"/>
  <c r="C223" i="7"/>
  <c r="C161" i="19"/>
  <c r="B161" i="19"/>
  <c r="E161" i="19"/>
  <c r="A161" i="19"/>
  <c r="F161" i="19" s="1"/>
  <c r="D161" i="19"/>
  <c r="C215" i="7"/>
  <c r="C153" i="19"/>
  <c r="B153" i="19"/>
  <c r="E153" i="19"/>
  <c r="A153" i="19"/>
  <c r="F153" i="19" s="1"/>
  <c r="D153" i="19"/>
  <c r="C207" i="7"/>
  <c r="B145" i="19" s="1"/>
  <c r="C145" i="19"/>
  <c r="E145" i="19"/>
  <c r="A145" i="19"/>
  <c r="D145" i="19"/>
  <c r="C199" i="7"/>
  <c r="B137" i="19" s="1"/>
  <c r="C137" i="19"/>
  <c r="E137" i="19"/>
  <c r="A137" i="19"/>
  <c r="C21" i="19"/>
  <c r="A21" i="19"/>
  <c r="E21" i="19"/>
  <c r="D192" i="19"/>
  <c r="C192" i="19"/>
  <c r="B192" i="19"/>
  <c r="E192" i="19"/>
  <c r="A192" i="19"/>
  <c r="F192" i="19" s="1"/>
  <c r="C188" i="19"/>
  <c r="E188" i="19"/>
  <c r="A188" i="19"/>
  <c r="C184" i="19"/>
  <c r="A184" i="19"/>
  <c r="E184" i="19"/>
  <c r="I242" i="7"/>
  <c r="D180" i="19"/>
  <c r="C180" i="19"/>
  <c r="B180" i="19"/>
  <c r="E180" i="19"/>
  <c r="A180" i="19"/>
  <c r="F180" i="19" s="1"/>
  <c r="I238" i="7"/>
  <c r="D176" i="19"/>
  <c r="C176" i="19"/>
  <c r="B176" i="19"/>
  <c r="E176" i="19"/>
  <c r="A176" i="19"/>
  <c r="F176" i="19" s="1"/>
  <c r="C234" i="7"/>
  <c r="D172" i="19"/>
  <c r="C172" i="19"/>
  <c r="B172" i="19"/>
  <c r="E172" i="19"/>
  <c r="A172" i="19"/>
  <c r="F172" i="19" s="1"/>
  <c r="C230" i="7"/>
  <c r="B168" i="19" s="1"/>
  <c r="C168" i="19"/>
  <c r="A168" i="19"/>
  <c r="E168" i="19"/>
  <c r="C226" i="7"/>
  <c r="D164" i="19"/>
  <c r="C164" i="19"/>
  <c r="B164" i="19"/>
  <c r="E164" i="19"/>
  <c r="A164" i="19"/>
  <c r="F164" i="19" s="1"/>
  <c r="C222" i="7"/>
  <c r="D160" i="19"/>
  <c r="C160" i="19"/>
  <c r="B160" i="19"/>
  <c r="E160" i="19"/>
  <c r="A160" i="19"/>
  <c r="F160" i="19" s="1"/>
  <c r="C218" i="7"/>
  <c r="D156" i="19"/>
  <c r="C156" i="19"/>
  <c r="B156" i="19"/>
  <c r="E156" i="19"/>
  <c r="A156" i="19"/>
  <c r="F156" i="19" s="1"/>
  <c r="C214" i="7"/>
  <c r="B152" i="19" s="1"/>
  <c r="C152" i="19"/>
  <c r="A152" i="19"/>
  <c r="E152" i="19"/>
  <c r="C210" i="7"/>
  <c r="D148" i="19"/>
  <c r="C148" i="19"/>
  <c r="B148" i="19"/>
  <c r="E148" i="19"/>
  <c r="A148" i="19"/>
  <c r="F148" i="19" s="1"/>
  <c r="C206" i="7"/>
  <c r="D144" i="19"/>
  <c r="C144" i="19"/>
  <c r="B144" i="19"/>
  <c r="E144" i="19"/>
  <c r="A144" i="19"/>
  <c r="F144" i="19" s="1"/>
  <c r="C202" i="7"/>
  <c r="B140" i="19" s="1"/>
  <c r="C140" i="19"/>
  <c r="E140" i="19"/>
  <c r="A140" i="19"/>
  <c r="E42" i="7"/>
  <c r="I42" i="7" s="1"/>
  <c r="C22" i="19"/>
  <c r="A22" i="19"/>
  <c r="E22" i="19"/>
  <c r="C189" i="19"/>
  <c r="E189" i="19"/>
  <c r="A189" i="19"/>
  <c r="C181" i="19"/>
  <c r="E181" i="19"/>
  <c r="A181" i="19"/>
  <c r="C173" i="19"/>
  <c r="B173" i="19"/>
  <c r="E173" i="19"/>
  <c r="A173" i="19"/>
  <c r="F173" i="19" s="1"/>
  <c r="D173" i="19"/>
  <c r="C165" i="19"/>
  <c r="E165" i="19"/>
  <c r="A165" i="19"/>
  <c r="C157" i="19"/>
  <c r="E157" i="19"/>
  <c r="A157" i="19"/>
  <c r="C149" i="19"/>
  <c r="E149" i="19"/>
  <c r="A149" i="19"/>
  <c r="E191" i="19"/>
  <c r="A191" i="19"/>
  <c r="F191" i="19" s="1"/>
  <c r="D191" i="19"/>
  <c r="C191" i="19"/>
  <c r="B191" i="19"/>
  <c r="B187" i="19"/>
  <c r="E187" i="19"/>
  <c r="A187" i="19"/>
  <c r="C187" i="19"/>
  <c r="E183" i="19"/>
  <c r="A183" i="19"/>
  <c r="C183" i="19"/>
  <c r="C241" i="7"/>
  <c r="E179" i="19"/>
  <c r="A179" i="19"/>
  <c r="F179" i="19" s="1"/>
  <c r="D179" i="19"/>
  <c r="C179" i="19"/>
  <c r="B179" i="19"/>
  <c r="C237" i="7"/>
  <c r="E175" i="19"/>
  <c r="A175" i="19"/>
  <c r="F175" i="19" s="1"/>
  <c r="D175" i="19"/>
  <c r="C175" i="19"/>
  <c r="B175" i="19"/>
  <c r="C233" i="7"/>
  <c r="E171" i="19"/>
  <c r="A171" i="19"/>
  <c r="F171" i="19" s="1"/>
  <c r="D171" i="19"/>
  <c r="C171" i="19"/>
  <c r="B171" i="19"/>
  <c r="E167" i="19"/>
  <c r="A167" i="19"/>
  <c r="C167" i="19"/>
  <c r="C225" i="7"/>
  <c r="E163" i="19"/>
  <c r="A163" i="19"/>
  <c r="F163" i="19" s="1"/>
  <c r="D163" i="19"/>
  <c r="C163" i="19"/>
  <c r="B163" i="19"/>
  <c r="F221" i="7"/>
  <c r="E159" i="19"/>
  <c r="A159" i="19"/>
  <c r="C159" i="19"/>
  <c r="E155" i="19"/>
  <c r="A155" i="19"/>
  <c r="F155" i="19" s="1"/>
  <c r="D155" i="19"/>
  <c r="C155" i="19"/>
  <c r="B155" i="19"/>
  <c r="C213" i="7"/>
  <c r="B151" i="19" s="1"/>
  <c r="E151" i="19"/>
  <c r="A151" i="19"/>
  <c r="C151" i="19"/>
  <c r="C209" i="7"/>
  <c r="E147" i="19"/>
  <c r="A147" i="19"/>
  <c r="D147" i="19"/>
  <c r="C147" i="19"/>
  <c r="B147" i="19"/>
  <c r="F205" i="7"/>
  <c r="E143" i="19"/>
  <c r="A143" i="19"/>
  <c r="F143" i="19" s="1"/>
  <c r="D143" i="19"/>
  <c r="C143" i="19"/>
  <c r="B143" i="19"/>
  <c r="C43" i="7"/>
  <c r="B23" i="19"/>
  <c r="E23" i="19"/>
  <c r="A23" i="19"/>
  <c r="C23" i="19"/>
  <c r="B190" i="19"/>
  <c r="E190" i="19"/>
  <c r="A190" i="19"/>
  <c r="F190" i="19" s="1"/>
  <c r="D190" i="19"/>
  <c r="C190" i="19"/>
  <c r="E186" i="19"/>
  <c r="A186" i="19"/>
  <c r="C186" i="19"/>
  <c r="B182" i="19"/>
  <c r="E182" i="19"/>
  <c r="A182" i="19"/>
  <c r="C182" i="19"/>
  <c r="B178" i="19"/>
  <c r="E178" i="19"/>
  <c r="A178" i="19"/>
  <c r="F178" i="19" s="1"/>
  <c r="D178" i="19"/>
  <c r="C178" i="19"/>
  <c r="C236" i="7"/>
  <c r="B174" i="19"/>
  <c r="E174" i="19"/>
  <c r="A174" i="19"/>
  <c r="F174" i="19" s="1"/>
  <c r="D174" i="19"/>
  <c r="C174" i="19"/>
  <c r="B170" i="19"/>
  <c r="E170" i="19"/>
  <c r="A170" i="19"/>
  <c r="F170" i="19" s="1"/>
  <c r="D170" i="19"/>
  <c r="C170" i="19"/>
  <c r="C228" i="7"/>
  <c r="B166" i="19" s="1"/>
  <c r="E166" i="19"/>
  <c r="A166" i="19"/>
  <c r="C166" i="19"/>
  <c r="B162" i="19"/>
  <c r="E162" i="19"/>
  <c r="A162" i="19"/>
  <c r="F162" i="19" s="1"/>
  <c r="D162" i="19"/>
  <c r="C162" i="19"/>
  <c r="C220" i="7"/>
  <c r="B158" i="19" s="1"/>
  <c r="E158" i="19"/>
  <c r="A158" i="19"/>
  <c r="C158" i="19"/>
  <c r="B154" i="19"/>
  <c r="E154" i="19"/>
  <c r="A154" i="19"/>
  <c r="F154" i="19" s="1"/>
  <c r="D154" i="19"/>
  <c r="C154" i="19"/>
  <c r="C212" i="7"/>
  <c r="B150" i="19" s="1"/>
  <c r="E150" i="19"/>
  <c r="A150" i="19"/>
  <c r="C150" i="19"/>
  <c r="B146" i="19"/>
  <c r="E146" i="19"/>
  <c r="A146" i="19"/>
  <c r="F146" i="19" s="1"/>
  <c r="D146" i="19"/>
  <c r="C146" i="19"/>
  <c r="E142" i="19"/>
  <c r="A142" i="19"/>
  <c r="C142" i="19"/>
  <c r="R185" i="19"/>
  <c r="B250" i="7"/>
  <c r="E250" i="7" s="1"/>
  <c r="B129" i="7"/>
  <c r="I177" i="19"/>
  <c r="I169" i="19"/>
  <c r="I161" i="19"/>
  <c r="I153" i="19"/>
  <c r="I149" i="19"/>
  <c r="I174" i="19"/>
  <c r="I156" i="19"/>
  <c r="I152" i="19"/>
  <c r="I166" i="19"/>
  <c r="K166" i="19"/>
  <c r="I158" i="19"/>
  <c r="I150" i="19"/>
  <c r="I167" i="19"/>
  <c r="R166" i="19"/>
  <c r="L4" i="19"/>
  <c r="M4" i="19" s="1"/>
  <c r="L3" i="19"/>
  <c r="M3" i="19" s="1"/>
  <c r="R17" i="19"/>
  <c r="E37" i="5"/>
  <c r="C204" i="7"/>
  <c r="B142" i="19" s="1"/>
  <c r="B149" i="7"/>
  <c r="E149" i="7" s="1"/>
  <c r="B183" i="19"/>
  <c r="C242" i="7"/>
  <c r="I236" i="7"/>
  <c r="I163" i="19"/>
  <c r="F236" i="7"/>
  <c r="I159" i="19"/>
  <c r="C229" i="7"/>
  <c r="B167" i="19" s="1"/>
  <c r="F231" i="7"/>
  <c r="I143" i="19"/>
  <c r="P145" i="19"/>
  <c r="P177" i="19"/>
  <c r="P186" i="19"/>
  <c r="I175" i="19"/>
  <c r="I155" i="19"/>
  <c r="P154" i="19"/>
  <c r="I179" i="19"/>
  <c r="P161" i="19"/>
  <c r="P170" i="19"/>
  <c r="P169" i="19"/>
  <c r="I151" i="19"/>
  <c r="P146" i="19"/>
  <c r="P162" i="19"/>
  <c r="P178" i="19"/>
  <c r="P153" i="19"/>
  <c r="P185" i="19"/>
  <c r="I191" i="19"/>
  <c r="I183" i="19"/>
  <c r="P137" i="19"/>
  <c r="P138" i="19"/>
  <c r="F207" i="7"/>
  <c r="C205" i="7"/>
  <c r="F199" i="7"/>
  <c r="P141" i="19"/>
  <c r="P142" i="19"/>
  <c r="P149" i="19"/>
  <c r="P150" i="19"/>
  <c r="P157" i="19"/>
  <c r="P158" i="19"/>
  <c r="P165" i="19"/>
  <c r="P166" i="19"/>
  <c r="P173" i="19"/>
  <c r="P174" i="19"/>
  <c r="P181" i="19"/>
  <c r="P182" i="19"/>
  <c r="P189" i="19"/>
  <c r="P190" i="19"/>
  <c r="B184" i="19"/>
  <c r="F223" i="7"/>
  <c r="C221" i="7"/>
  <c r="B159" i="19" s="1"/>
  <c r="F215" i="7"/>
  <c r="F212" i="7"/>
  <c r="P140" i="19"/>
  <c r="P167" i="19"/>
  <c r="F237" i="7"/>
  <c r="F213" i="7"/>
  <c r="I178" i="19"/>
  <c r="I165" i="19"/>
  <c r="I142" i="19"/>
  <c r="I139" i="19"/>
  <c r="P147" i="19"/>
  <c r="P163" i="19"/>
  <c r="P179" i="19"/>
  <c r="P151" i="19"/>
  <c r="I237" i="7"/>
  <c r="I170" i="19"/>
  <c r="I157" i="19"/>
  <c r="I147" i="19"/>
  <c r="P139" i="19"/>
  <c r="P143" i="19"/>
  <c r="P159" i="19"/>
  <c r="P175" i="19"/>
  <c r="P191" i="19"/>
  <c r="I173" i="19"/>
  <c r="I154" i="19"/>
  <c r="P183" i="19"/>
  <c r="B188" i="19"/>
  <c r="C238" i="7"/>
  <c r="F220" i="7"/>
  <c r="F204" i="7"/>
  <c r="I171" i="19"/>
  <c r="I162" i="19"/>
  <c r="P155" i="19"/>
  <c r="P171" i="19"/>
  <c r="P187" i="19"/>
  <c r="P144" i="19"/>
  <c r="P148" i="19"/>
  <c r="P152" i="19"/>
  <c r="P156" i="19"/>
  <c r="P160" i="19"/>
  <c r="P164" i="19"/>
  <c r="P168" i="19"/>
  <c r="P172" i="19"/>
  <c r="P176" i="19"/>
  <c r="P180" i="19"/>
  <c r="P184" i="19"/>
  <c r="P188" i="19"/>
  <c r="P192" i="19"/>
  <c r="C240" i="7"/>
  <c r="I240" i="7"/>
  <c r="F240" i="7"/>
  <c r="I225" i="7"/>
  <c r="F225" i="7"/>
  <c r="C219" i="7"/>
  <c r="B157" i="19" s="1"/>
  <c r="F219" i="7"/>
  <c r="C216" i="7"/>
  <c r="I216" i="7"/>
  <c r="F216" i="7"/>
  <c r="I180" i="19"/>
  <c r="I164" i="19"/>
  <c r="C208" i="7"/>
  <c r="I208" i="7"/>
  <c r="F208" i="7"/>
  <c r="I192" i="19"/>
  <c r="I176" i="19"/>
  <c r="P28" i="19"/>
  <c r="P53" i="19"/>
  <c r="I233" i="7"/>
  <c r="F233" i="7"/>
  <c r="C227" i="7"/>
  <c r="B165" i="19" s="1"/>
  <c r="C224" i="7"/>
  <c r="I224" i="7"/>
  <c r="F224" i="7"/>
  <c r="I184" i="19"/>
  <c r="I168" i="19"/>
  <c r="B186" i="19"/>
  <c r="I217" i="7"/>
  <c r="F217" i="7"/>
  <c r="C211" i="7"/>
  <c r="B149" i="19" s="1"/>
  <c r="F211" i="7"/>
  <c r="I160" i="19"/>
  <c r="F49" i="7"/>
  <c r="I241" i="7"/>
  <c r="F241" i="7"/>
  <c r="C235" i="7"/>
  <c r="F235" i="7"/>
  <c r="C232" i="7"/>
  <c r="I232" i="7"/>
  <c r="F232" i="7"/>
  <c r="C217" i="7"/>
  <c r="I209" i="7"/>
  <c r="F209" i="7"/>
  <c r="I188" i="19"/>
  <c r="I172" i="19"/>
  <c r="B189" i="19"/>
  <c r="B185" i="19"/>
  <c r="F126" i="7"/>
  <c r="I126" i="7"/>
  <c r="C239" i="7"/>
  <c r="I239" i="7"/>
  <c r="F239" i="7"/>
  <c r="C41" i="7"/>
  <c r="B21" i="19" s="1"/>
  <c r="B248" i="7"/>
  <c r="E248" i="7" s="1"/>
  <c r="B249" i="7"/>
  <c r="E249" i="7" s="1"/>
  <c r="B247" i="7"/>
  <c r="E247" i="7" s="1"/>
  <c r="B181" i="19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I44" i="19"/>
  <c r="P44" i="19"/>
  <c r="F120" i="7"/>
  <c r="G120" i="7" s="1"/>
  <c r="J120" i="7" s="1"/>
  <c r="C49" i="7"/>
  <c r="P39" i="19"/>
  <c r="P51" i="19"/>
  <c r="P52" i="19"/>
  <c r="P57" i="19"/>
  <c r="P58" i="19"/>
  <c r="P56" i="19"/>
  <c r="I52" i="19"/>
  <c r="P32" i="19"/>
  <c r="P54" i="19"/>
  <c r="I53" i="19"/>
  <c r="P55" i="19"/>
  <c r="F125" i="7"/>
  <c r="F121" i="7"/>
  <c r="P22" i="19"/>
  <c r="I32" i="19"/>
  <c r="I54" i="19"/>
  <c r="C127" i="7"/>
  <c r="C126" i="7"/>
  <c r="I125" i="7"/>
  <c r="C124" i="7"/>
  <c r="C123" i="7"/>
  <c r="C122" i="7"/>
  <c r="I121" i="7"/>
  <c r="C120" i="7"/>
  <c r="B32" i="19"/>
  <c r="C52" i="7"/>
  <c r="I39" i="19"/>
  <c r="I51" i="19"/>
  <c r="I55" i="19"/>
  <c r="I56" i="19"/>
  <c r="I57" i="19"/>
  <c r="C40" i="7"/>
  <c r="B40" i="19"/>
  <c r="B39" i="19"/>
  <c r="I21" i="19"/>
  <c r="P21" i="19"/>
  <c r="I22" i="19"/>
  <c r="F41" i="7"/>
  <c r="G30" i="7"/>
  <c r="J30" i="7" s="1"/>
  <c r="C42" i="7"/>
  <c r="B22" i="19" s="1"/>
  <c r="F43" i="7"/>
  <c r="E43" i="7"/>
  <c r="I43" i="7" s="1"/>
  <c r="F42" i="7"/>
  <c r="G24" i="7"/>
  <c r="G34" i="7"/>
  <c r="J34" i="7" s="1"/>
  <c r="G25" i="7"/>
  <c r="J25" i="7" s="1"/>
  <c r="F145" i="19" l="1"/>
  <c r="F147" i="19"/>
  <c r="C49" i="19"/>
  <c r="E49" i="19"/>
  <c r="C244" i="7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D23" i="19"/>
  <c r="F23" i="19"/>
  <c r="D22" i="19"/>
  <c r="F22" i="19" s="1"/>
  <c r="T54" i="19"/>
  <c r="T180" i="19"/>
  <c r="T181" i="19"/>
  <c r="M186" i="19"/>
  <c r="T56" i="19"/>
  <c r="T174" i="19"/>
  <c r="T55" i="19"/>
  <c r="T169" i="19"/>
  <c r="T192" i="19"/>
  <c r="T184" i="19"/>
  <c r="M145" i="19"/>
  <c r="M173" i="19"/>
  <c r="T145" i="19"/>
  <c r="T191" i="19"/>
  <c r="T138" i="19"/>
  <c r="T154" i="19"/>
  <c r="T170" i="19"/>
  <c r="T186" i="19"/>
  <c r="M143" i="19"/>
  <c r="M183" i="19"/>
  <c r="M191" i="19"/>
  <c r="M144" i="19"/>
  <c r="M170" i="19"/>
  <c r="M178" i="19"/>
  <c r="T190" i="19"/>
  <c r="T176" i="19"/>
  <c r="T160" i="19"/>
  <c r="T57" i="19"/>
  <c r="T171" i="19"/>
  <c r="T147" i="19"/>
  <c r="M192" i="19"/>
  <c r="T172" i="19"/>
  <c r="T164" i="19"/>
  <c r="T156" i="19"/>
  <c r="T148" i="19"/>
  <c r="T150" i="19"/>
  <c r="T175" i="19"/>
  <c r="T189" i="19"/>
  <c r="M156" i="19"/>
  <c r="M164" i="19"/>
  <c r="T155" i="19"/>
  <c r="M171" i="19"/>
  <c r="M179" i="19"/>
  <c r="M180" i="19"/>
  <c r="M146" i="19"/>
  <c r="M174" i="19"/>
  <c r="T52" i="19"/>
  <c r="M184" i="19"/>
  <c r="T173" i="19"/>
  <c r="T58" i="19"/>
  <c r="T187" i="19"/>
  <c r="M154" i="19"/>
  <c r="T178" i="19"/>
  <c r="T162" i="19"/>
  <c r="T146" i="19"/>
  <c r="M160" i="19"/>
  <c r="T44" i="19"/>
  <c r="T143" i="19"/>
  <c r="M187" i="19"/>
  <c r="M189" i="19"/>
  <c r="T39" i="19"/>
  <c r="T179" i="19"/>
  <c r="T137" i="19"/>
  <c r="M172" i="19"/>
  <c r="T188" i="19"/>
  <c r="M153" i="19"/>
  <c r="M53" i="19"/>
  <c r="T183" i="19"/>
  <c r="T163" i="19"/>
  <c r="M155" i="19"/>
  <c r="T177" i="19"/>
  <c r="T153" i="19"/>
  <c r="M148" i="19"/>
  <c r="M188" i="19"/>
  <c r="M185" i="19"/>
  <c r="M44" i="19"/>
  <c r="M147" i="19"/>
  <c r="M175" i="19"/>
  <c r="T51" i="19"/>
  <c r="T161" i="19"/>
  <c r="M177" i="19"/>
  <c r="T53" i="19"/>
  <c r="M56" i="19"/>
  <c r="M57" i="19"/>
  <c r="M190" i="19"/>
  <c r="M176" i="19"/>
  <c r="T144" i="19"/>
  <c r="M169" i="19"/>
  <c r="M55" i="19"/>
  <c r="M54" i="19"/>
  <c r="M51" i="19"/>
  <c r="M58" i="19"/>
  <c r="M52" i="19"/>
  <c r="M39" i="19"/>
  <c r="J24" i="7"/>
  <c r="M166" i="19"/>
  <c r="M165" i="19"/>
  <c r="M168" i="19"/>
  <c r="M45" i="19"/>
  <c r="M40" i="19"/>
  <c r="M34" i="19"/>
  <c r="T152" i="19"/>
  <c r="R141" i="19"/>
  <c r="T141" i="19" s="1"/>
  <c r="S4" i="19"/>
  <c r="T4" i="19" s="1"/>
  <c r="S3" i="19"/>
  <c r="T3" i="19" s="1"/>
  <c r="K140" i="19"/>
  <c r="M140" i="19" s="1"/>
  <c r="T185" i="19"/>
  <c r="T149" i="19"/>
  <c r="K141" i="19"/>
  <c r="M141" i="19" s="1"/>
  <c r="D189" i="19"/>
  <c r="F189" i="19" s="1"/>
  <c r="D39" i="19"/>
  <c r="F39" i="19" s="1"/>
  <c r="D40" i="19"/>
  <c r="F40" i="19" s="1"/>
  <c r="T165" i="19"/>
  <c r="T166" i="19"/>
  <c r="T167" i="19"/>
  <c r="T168" i="19"/>
  <c r="K17" i="19"/>
  <c r="R140" i="19"/>
  <c r="T140" i="19" s="1"/>
  <c r="G238" i="7"/>
  <c r="J238" i="7" s="1"/>
  <c r="L198" i="19"/>
  <c r="H198" i="19"/>
  <c r="K198" i="19"/>
  <c r="M198" i="19" s="1"/>
  <c r="J198" i="19"/>
  <c r="L199" i="19"/>
  <c r="H199" i="19"/>
  <c r="K199" i="19"/>
  <c r="M199" i="19"/>
  <c r="J199" i="19"/>
  <c r="K196" i="19"/>
  <c r="J196" i="19"/>
  <c r="H196" i="19"/>
  <c r="L196" i="19"/>
  <c r="M196" i="19" s="1"/>
  <c r="R198" i="19"/>
  <c r="Q198" i="19"/>
  <c r="T198" i="19"/>
  <c r="P198" i="19"/>
  <c r="S198" i="19"/>
  <c r="O198" i="19"/>
  <c r="R196" i="19"/>
  <c r="Q196" i="19"/>
  <c r="T196" i="19"/>
  <c r="P196" i="19"/>
  <c r="S196" i="19"/>
  <c r="O196" i="19"/>
  <c r="T50" i="19"/>
  <c r="P50" i="19"/>
  <c r="S50" i="19"/>
  <c r="O50" i="19"/>
  <c r="R50" i="19"/>
  <c r="Q50" i="19"/>
  <c r="T195" i="19"/>
  <c r="P195" i="19"/>
  <c r="S195" i="19"/>
  <c r="O195" i="19"/>
  <c r="R195" i="19"/>
  <c r="Q195" i="19"/>
  <c r="S78" i="19"/>
  <c r="O78" i="19"/>
  <c r="Q78" i="19"/>
  <c r="K163" i="19"/>
  <c r="M163" i="19" s="1"/>
  <c r="R45" i="19"/>
  <c r="Q45" i="19"/>
  <c r="T45" i="19"/>
  <c r="P45" i="19"/>
  <c r="O45" i="19"/>
  <c r="S45" i="19"/>
  <c r="L195" i="19"/>
  <c r="H195" i="19"/>
  <c r="K195" i="19"/>
  <c r="M195" i="19"/>
  <c r="J195" i="19"/>
  <c r="T34" i="19"/>
  <c r="P34" i="19"/>
  <c r="S34" i="19"/>
  <c r="O34" i="19"/>
  <c r="R34" i="19"/>
  <c r="Q34" i="19"/>
  <c r="T40" i="19"/>
  <c r="P40" i="19"/>
  <c r="S40" i="19"/>
  <c r="O40" i="19"/>
  <c r="R40" i="19"/>
  <c r="Q40" i="19"/>
  <c r="L194" i="19"/>
  <c r="H194" i="19"/>
  <c r="K194" i="19"/>
  <c r="M194" i="19" s="1"/>
  <c r="J194" i="19"/>
  <c r="T193" i="19"/>
  <c r="P193" i="19"/>
  <c r="S193" i="19"/>
  <c r="O193" i="19"/>
  <c r="R193" i="19"/>
  <c r="Q193" i="19"/>
  <c r="R200" i="19"/>
  <c r="Q200" i="19"/>
  <c r="T200" i="19"/>
  <c r="P200" i="19"/>
  <c r="S200" i="19"/>
  <c r="O200" i="19"/>
  <c r="J197" i="19"/>
  <c r="L197" i="19"/>
  <c r="H197" i="19"/>
  <c r="K197" i="19"/>
  <c r="M197" i="19" s="1"/>
  <c r="Q49" i="19"/>
  <c r="S49" i="19"/>
  <c r="O49" i="19"/>
  <c r="M193" i="19"/>
  <c r="J193" i="19"/>
  <c r="L193" i="19"/>
  <c r="H193" i="19"/>
  <c r="K193" i="19"/>
  <c r="K200" i="19"/>
  <c r="M200" i="19" s="1"/>
  <c r="J200" i="19"/>
  <c r="H200" i="19"/>
  <c r="L200" i="19"/>
  <c r="R194" i="19"/>
  <c r="Q194" i="19"/>
  <c r="T194" i="19"/>
  <c r="P194" i="19"/>
  <c r="O194" i="19"/>
  <c r="S194" i="19"/>
  <c r="T197" i="19"/>
  <c r="P197" i="19"/>
  <c r="S197" i="19"/>
  <c r="O197" i="19"/>
  <c r="R197" i="19"/>
  <c r="Q197" i="19"/>
  <c r="T199" i="19"/>
  <c r="P199" i="19"/>
  <c r="S199" i="19"/>
  <c r="O199" i="19"/>
  <c r="R199" i="19"/>
  <c r="Q199" i="19"/>
  <c r="K50" i="19"/>
  <c r="J50" i="19"/>
  <c r="L50" i="19"/>
  <c r="H50" i="19"/>
  <c r="G42" i="7"/>
  <c r="J42" i="7" s="1"/>
  <c r="I200" i="19"/>
  <c r="K40" i="19"/>
  <c r="J40" i="19"/>
  <c r="H40" i="19"/>
  <c r="I40" i="19"/>
  <c r="L40" i="19"/>
  <c r="K34" i="19"/>
  <c r="J34" i="19"/>
  <c r="I34" i="19"/>
  <c r="L34" i="19"/>
  <c r="H34" i="19"/>
  <c r="I50" i="19"/>
  <c r="L49" i="19"/>
  <c r="H49" i="19"/>
  <c r="J49" i="19"/>
  <c r="I45" i="19"/>
  <c r="L45" i="19"/>
  <c r="H45" i="19"/>
  <c r="J45" i="19"/>
  <c r="K45" i="19"/>
  <c r="G242" i="7"/>
  <c r="J242" i="7" s="1"/>
  <c r="B198" i="19"/>
  <c r="E198" i="19"/>
  <c r="A198" i="19"/>
  <c r="F198" i="19" s="1"/>
  <c r="D198" i="19"/>
  <c r="C198" i="19"/>
  <c r="B194" i="19"/>
  <c r="E194" i="19"/>
  <c r="A194" i="19"/>
  <c r="F194" i="19" s="1"/>
  <c r="D194" i="19"/>
  <c r="C194" i="19"/>
  <c r="E50" i="19"/>
  <c r="A50" i="19"/>
  <c r="C50" i="19"/>
  <c r="C197" i="19"/>
  <c r="B197" i="19"/>
  <c r="E197" i="19"/>
  <c r="A197" i="19"/>
  <c r="F197" i="19" s="1"/>
  <c r="D197" i="19"/>
  <c r="C193" i="19"/>
  <c r="B193" i="19"/>
  <c r="E193" i="19"/>
  <c r="A193" i="19"/>
  <c r="F193" i="19" s="1"/>
  <c r="D193" i="19"/>
  <c r="E199" i="19"/>
  <c r="A199" i="19"/>
  <c r="F199" i="19" s="1"/>
  <c r="D199" i="19"/>
  <c r="C199" i="19"/>
  <c r="B199" i="19"/>
  <c r="E195" i="19"/>
  <c r="A195" i="19"/>
  <c r="F195" i="19" s="1"/>
  <c r="D195" i="19"/>
  <c r="C195" i="19"/>
  <c r="B195" i="19"/>
  <c r="D196" i="19"/>
  <c r="C196" i="19"/>
  <c r="B196" i="19"/>
  <c r="E196" i="19"/>
  <c r="A196" i="19"/>
  <c r="F196" i="19" s="1"/>
  <c r="C78" i="19"/>
  <c r="A78" i="19"/>
  <c r="E78" i="19"/>
  <c r="I250" i="7"/>
  <c r="D200" i="19"/>
  <c r="C200" i="19"/>
  <c r="B200" i="19"/>
  <c r="A200" i="19"/>
  <c r="F200" i="19" s="1"/>
  <c r="E200" i="19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B34" i="19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B36" i="19"/>
  <c r="G217" i="7"/>
  <c r="J217" i="7" s="1"/>
  <c r="I197" i="19"/>
  <c r="G224" i="7"/>
  <c r="J224" i="7" s="1"/>
  <c r="G208" i="7"/>
  <c r="J208" i="7" s="1"/>
  <c r="I193" i="19"/>
  <c r="I198" i="19"/>
  <c r="I194" i="19"/>
  <c r="G235" i="7"/>
  <c r="J235" i="7" s="1"/>
  <c r="I199" i="19"/>
  <c r="I196" i="19"/>
  <c r="I195" i="19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P49" i="19"/>
  <c r="I49" i="19"/>
  <c r="F129" i="7"/>
  <c r="C129" i="7"/>
  <c r="B50" i="19" s="1"/>
  <c r="C128" i="7"/>
  <c r="B49" i="19" s="1"/>
  <c r="F128" i="7"/>
  <c r="B41" i="19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M50" i="19"/>
  <c r="M46" i="19"/>
  <c r="M41" i="19"/>
  <c r="M36" i="19"/>
  <c r="D41" i="19"/>
  <c r="F41" i="19" s="1"/>
  <c r="S17" i="19"/>
  <c r="T17" i="19" s="1"/>
  <c r="L17" i="19"/>
  <c r="M17" i="19" s="1"/>
  <c r="K46" i="19"/>
  <c r="H46" i="19"/>
  <c r="I46" i="19"/>
  <c r="L46" i="19"/>
  <c r="J46" i="19"/>
  <c r="T46" i="19"/>
  <c r="P46" i="19"/>
  <c r="S46" i="19"/>
  <c r="O46" i="19"/>
  <c r="R46" i="19"/>
  <c r="Q46" i="19"/>
  <c r="R41" i="19"/>
  <c r="Q41" i="19"/>
  <c r="T41" i="19"/>
  <c r="P41" i="19"/>
  <c r="S41" i="19"/>
  <c r="O41" i="19"/>
  <c r="T36" i="19"/>
  <c r="P36" i="19"/>
  <c r="S36" i="19"/>
  <c r="O36" i="19"/>
  <c r="R36" i="19"/>
  <c r="Q36" i="19"/>
  <c r="K36" i="19"/>
  <c r="J36" i="19"/>
  <c r="L36" i="19"/>
  <c r="I36" i="19"/>
  <c r="H36" i="19"/>
  <c r="I41" i="19"/>
  <c r="L41" i="19"/>
  <c r="H41" i="19"/>
  <c r="K41" i="19"/>
  <c r="J41" i="19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M47" i="19" l="1"/>
  <c r="M42" i="19"/>
  <c r="M37" i="19"/>
  <c r="I47" i="19"/>
  <c r="L47" i="19"/>
  <c r="J47" i="19"/>
  <c r="K47" i="19"/>
  <c r="H47" i="19"/>
  <c r="R47" i="19"/>
  <c r="Q47" i="19"/>
  <c r="T47" i="19"/>
  <c r="P47" i="19"/>
  <c r="S47" i="19"/>
  <c r="O47" i="19"/>
  <c r="T42" i="19"/>
  <c r="P42" i="19"/>
  <c r="S42" i="19"/>
  <c r="O42" i="19"/>
  <c r="R42" i="19"/>
  <c r="Q42" i="19"/>
  <c r="R37" i="19"/>
  <c r="Q37" i="19"/>
  <c r="T37" i="19"/>
  <c r="P37" i="19"/>
  <c r="O37" i="19"/>
  <c r="S37" i="19"/>
  <c r="K42" i="19"/>
  <c r="J42" i="19"/>
  <c r="H42" i="19"/>
  <c r="I42" i="19"/>
  <c r="L42" i="19"/>
  <c r="I37" i="19"/>
  <c r="L37" i="19"/>
  <c r="H37" i="19"/>
  <c r="K37" i="19"/>
  <c r="J37" i="19"/>
  <c r="D140" i="19"/>
  <c r="F140" i="19" s="1"/>
  <c r="AH176" i="4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D19" i="19" l="1"/>
  <c r="F19" i="19" s="1"/>
  <c r="I35" i="7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K150" i="19"/>
  <c r="M150" i="19" s="1"/>
  <c r="M48" i="19"/>
  <c r="M43" i="19"/>
  <c r="M38" i="19"/>
  <c r="AJ313" i="4"/>
  <c r="K40" i="5"/>
  <c r="O40" i="5" s="1"/>
  <c r="H48" i="19"/>
  <c r="J48" i="19"/>
  <c r="L48" i="19"/>
  <c r="K48" i="19"/>
  <c r="I48" i="19"/>
  <c r="T38" i="19"/>
  <c r="P38" i="19"/>
  <c r="S38" i="19"/>
  <c r="O38" i="19"/>
  <c r="R38" i="19"/>
  <c r="Q38" i="19"/>
  <c r="R43" i="19"/>
  <c r="Q43" i="19"/>
  <c r="T43" i="19"/>
  <c r="P43" i="19"/>
  <c r="S43" i="19"/>
  <c r="O43" i="19"/>
  <c r="T48" i="19"/>
  <c r="P48" i="19"/>
  <c r="S48" i="19"/>
  <c r="O48" i="19"/>
  <c r="R48" i="19"/>
  <c r="Q48" i="19"/>
  <c r="K38" i="19"/>
  <c r="J38" i="19"/>
  <c r="L38" i="19"/>
  <c r="I38" i="19"/>
  <c r="H38" i="19"/>
  <c r="I43" i="19"/>
  <c r="L43" i="19"/>
  <c r="H43" i="19"/>
  <c r="K43" i="19"/>
  <c r="J43" i="19"/>
  <c r="G202" i="7"/>
  <c r="I202" i="7"/>
  <c r="K159" i="19"/>
  <c r="M159" i="19" s="1"/>
  <c r="J35" i="7" l="1"/>
  <c r="C17" i="19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R151" i="19"/>
  <c r="T151" i="19" s="1"/>
  <c r="D159" i="19"/>
  <c r="F159" i="19" s="1"/>
  <c r="J202" i="7"/>
  <c r="N26" i="5"/>
  <c r="B150" i="7"/>
  <c r="E150" i="7" s="1"/>
  <c r="B144" i="7"/>
  <c r="D276" i="4"/>
  <c r="AI188" i="4" l="1"/>
  <c r="AI189" i="4"/>
  <c r="D17" i="19"/>
  <c r="F17" i="19" s="1"/>
  <c r="G33" i="7"/>
  <c r="J33" i="7" s="1"/>
  <c r="J95" i="30"/>
  <c r="J100" i="30"/>
  <c r="J99" i="30"/>
  <c r="J97" i="30"/>
  <c r="J98" i="30"/>
  <c r="J96" i="30"/>
  <c r="M79" i="19"/>
  <c r="M77" i="19"/>
  <c r="M75" i="19"/>
  <c r="M73" i="19"/>
  <c r="K151" i="19"/>
  <c r="M151" i="19" s="1"/>
  <c r="K152" i="19"/>
  <c r="M152" i="19" s="1"/>
  <c r="G214" i="7"/>
  <c r="D152" i="19"/>
  <c r="F152" i="19" s="1"/>
  <c r="G213" i="7"/>
  <c r="D151" i="19"/>
  <c r="F151" i="19" s="1"/>
  <c r="AI187" i="4"/>
  <c r="R159" i="19"/>
  <c r="T159" i="19" s="1"/>
  <c r="T104" i="19"/>
  <c r="P104" i="19"/>
  <c r="S104" i="19"/>
  <c r="O104" i="19"/>
  <c r="R104" i="19"/>
  <c r="Q104" i="19"/>
  <c r="Q75" i="19"/>
  <c r="T75" i="19"/>
  <c r="P75" i="19"/>
  <c r="S75" i="19"/>
  <c r="O75" i="19"/>
  <c r="R75" i="19"/>
  <c r="S74" i="19"/>
  <c r="O74" i="19"/>
  <c r="R74" i="19"/>
  <c r="Q74" i="19"/>
  <c r="T74" i="19"/>
  <c r="P74" i="19"/>
  <c r="Q77" i="19"/>
  <c r="T77" i="19"/>
  <c r="P77" i="19"/>
  <c r="S77" i="19"/>
  <c r="O77" i="19"/>
  <c r="R77" i="19"/>
  <c r="Q73" i="19"/>
  <c r="T73" i="19"/>
  <c r="P73" i="19"/>
  <c r="S73" i="19"/>
  <c r="O73" i="19"/>
  <c r="R73" i="19"/>
  <c r="Q79" i="19"/>
  <c r="T79" i="19"/>
  <c r="P79" i="19"/>
  <c r="S79" i="19"/>
  <c r="O79" i="19"/>
  <c r="R79" i="19"/>
  <c r="I77" i="19"/>
  <c r="L77" i="19"/>
  <c r="H77" i="19"/>
  <c r="K77" i="19"/>
  <c r="J77" i="19"/>
  <c r="I73" i="19"/>
  <c r="L73" i="19"/>
  <c r="H73" i="19"/>
  <c r="K73" i="19"/>
  <c r="J73" i="19"/>
  <c r="J78" i="19"/>
  <c r="H78" i="19"/>
  <c r="L78" i="19"/>
  <c r="J74" i="19"/>
  <c r="L74" i="19"/>
  <c r="H74" i="19"/>
  <c r="I79" i="19"/>
  <c r="L79" i="19"/>
  <c r="H79" i="19"/>
  <c r="K79" i="19"/>
  <c r="J79" i="19"/>
  <c r="I75" i="19"/>
  <c r="L75" i="19"/>
  <c r="H75" i="19"/>
  <c r="K75" i="19"/>
  <c r="J75" i="19"/>
  <c r="G221" i="7"/>
  <c r="I221" i="7"/>
  <c r="E73" i="19"/>
  <c r="A73" i="19"/>
  <c r="C73" i="19"/>
  <c r="B79" i="19"/>
  <c r="D79" i="19"/>
  <c r="A79" i="19"/>
  <c r="F79" i="19" s="1"/>
  <c r="C79" i="19"/>
  <c r="E79" i="19"/>
  <c r="I213" i="7"/>
  <c r="I214" i="7"/>
  <c r="AI210" i="4"/>
  <c r="P78" i="19"/>
  <c r="I74" i="19"/>
  <c r="I78" i="19"/>
  <c r="B175" i="7"/>
  <c r="E175" i="7" s="1"/>
  <c r="C144" i="7"/>
  <c r="B73" i="19" s="1"/>
  <c r="F144" i="7"/>
  <c r="B163" i="7"/>
  <c r="E163" i="7" s="1"/>
  <c r="B179" i="7"/>
  <c r="E179" i="7" s="1"/>
  <c r="B147" i="7"/>
  <c r="E147" i="7" s="1"/>
  <c r="C149" i="7"/>
  <c r="B78" i="19" s="1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R10" i="19"/>
  <c r="T10" i="19" s="1"/>
  <c r="K10" i="19"/>
  <c r="M10" i="19" s="1"/>
  <c r="AJ243" i="4"/>
  <c r="AI243" i="4"/>
  <c r="AH243" i="4"/>
  <c r="AJ192" i="4"/>
  <c r="AI192" i="4"/>
  <c r="AH192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R26" i="5"/>
  <c r="H11" i="5" s="1"/>
  <c r="D32" i="30" s="1"/>
  <c r="H32" i="30" s="1"/>
  <c r="AI305" i="4"/>
  <c r="K181" i="19" s="1"/>
  <c r="M181" i="19" s="1"/>
  <c r="AI267" i="4"/>
  <c r="AI268" i="4"/>
  <c r="AI269" i="4"/>
  <c r="AI266" i="4"/>
  <c r="K49" i="19"/>
  <c r="M49" i="19" s="1"/>
  <c r="M128" i="19"/>
  <c r="M127" i="19"/>
  <c r="M126" i="19"/>
  <c r="M125" i="19"/>
  <c r="M124" i="19"/>
  <c r="M123" i="19"/>
  <c r="M122" i="19"/>
  <c r="M121" i="19"/>
  <c r="M120" i="19"/>
  <c r="M119" i="19"/>
  <c r="M118" i="19"/>
  <c r="M117" i="19"/>
  <c r="M116" i="19"/>
  <c r="M115" i="19"/>
  <c r="M114" i="19"/>
  <c r="M113" i="19"/>
  <c r="M112" i="19"/>
  <c r="M111" i="19"/>
  <c r="M110" i="19"/>
  <c r="M109" i="19"/>
  <c r="M108" i="19"/>
  <c r="M107" i="19"/>
  <c r="M106" i="19"/>
  <c r="M105" i="19"/>
  <c r="M104" i="19"/>
  <c r="M103" i="19"/>
  <c r="M102" i="19"/>
  <c r="M101" i="19"/>
  <c r="M100" i="19"/>
  <c r="M99" i="19"/>
  <c r="M98" i="19"/>
  <c r="M97" i="19"/>
  <c r="M96" i="19"/>
  <c r="M95" i="19"/>
  <c r="M94" i="19"/>
  <c r="M93" i="19"/>
  <c r="M92" i="19"/>
  <c r="M91" i="19"/>
  <c r="M90" i="19"/>
  <c r="M89" i="19"/>
  <c r="M88" i="19"/>
  <c r="M87" i="19"/>
  <c r="M86" i="19"/>
  <c r="M85" i="19"/>
  <c r="M84" i="19"/>
  <c r="M83" i="19"/>
  <c r="M82" i="19"/>
  <c r="M81" i="19"/>
  <c r="M80" i="19"/>
  <c r="M76" i="19"/>
  <c r="R49" i="19"/>
  <c r="T49" i="19" s="1"/>
  <c r="C3" i="19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S84" i="19"/>
  <c r="O84" i="19"/>
  <c r="R84" i="19"/>
  <c r="Q84" i="19"/>
  <c r="T84" i="19"/>
  <c r="P84" i="19"/>
  <c r="Q95" i="19"/>
  <c r="T95" i="19"/>
  <c r="P95" i="19"/>
  <c r="S95" i="19"/>
  <c r="O95" i="19"/>
  <c r="R95" i="19"/>
  <c r="T101" i="19"/>
  <c r="Q101" i="19"/>
  <c r="P101" i="19"/>
  <c r="S101" i="19"/>
  <c r="O101" i="19"/>
  <c r="R101" i="19"/>
  <c r="T106" i="19"/>
  <c r="P106" i="19"/>
  <c r="S106" i="19"/>
  <c r="O106" i="19"/>
  <c r="R106" i="19"/>
  <c r="Q106" i="19"/>
  <c r="R111" i="19"/>
  <c r="Q111" i="19"/>
  <c r="T111" i="19"/>
  <c r="P111" i="19"/>
  <c r="S111" i="19"/>
  <c r="O111" i="19"/>
  <c r="R121" i="19"/>
  <c r="Q121" i="19"/>
  <c r="T121" i="19"/>
  <c r="P121" i="19"/>
  <c r="S121" i="19"/>
  <c r="O121" i="19"/>
  <c r="T126" i="19"/>
  <c r="P126" i="19"/>
  <c r="S126" i="19"/>
  <c r="O126" i="19"/>
  <c r="R126" i="19"/>
  <c r="Q126" i="19"/>
  <c r="T124" i="19"/>
  <c r="P124" i="19"/>
  <c r="S124" i="19"/>
  <c r="O124" i="19"/>
  <c r="R124" i="19"/>
  <c r="Q124" i="19"/>
  <c r="S76" i="19"/>
  <c r="O76" i="19"/>
  <c r="R76" i="19"/>
  <c r="Q76" i="19"/>
  <c r="T76" i="19"/>
  <c r="P76" i="19"/>
  <c r="Q83" i="19"/>
  <c r="T83" i="19"/>
  <c r="P83" i="19"/>
  <c r="S83" i="19"/>
  <c r="O83" i="19"/>
  <c r="R83" i="19"/>
  <c r="S94" i="19"/>
  <c r="O94" i="19"/>
  <c r="R94" i="19"/>
  <c r="Q94" i="19"/>
  <c r="T94" i="19"/>
  <c r="P94" i="19"/>
  <c r="Q99" i="19"/>
  <c r="T99" i="19"/>
  <c r="P99" i="19"/>
  <c r="S99" i="19"/>
  <c r="O99" i="19"/>
  <c r="R99" i="19"/>
  <c r="R105" i="19"/>
  <c r="Q105" i="19"/>
  <c r="T105" i="19"/>
  <c r="P105" i="19"/>
  <c r="S105" i="19"/>
  <c r="O105" i="19"/>
  <c r="T110" i="19"/>
  <c r="P110" i="19"/>
  <c r="S110" i="19"/>
  <c r="O110" i="19"/>
  <c r="R110" i="19"/>
  <c r="Q110" i="19"/>
  <c r="R115" i="19"/>
  <c r="Q115" i="19"/>
  <c r="T115" i="19"/>
  <c r="P115" i="19"/>
  <c r="S115" i="19"/>
  <c r="O115" i="19"/>
  <c r="R119" i="19"/>
  <c r="Q119" i="19"/>
  <c r="T119" i="19"/>
  <c r="P119" i="19"/>
  <c r="S119" i="19"/>
  <c r="O119" i="19"/>
  <c r="R125" i="19"/>
  <c r="Q125" i="19"/>
  <c r="T125" i="19"/>
  <c r="P125" i="19"/>
  <c r="O125" i="19"/>
  <c r="S125" i="19"/>
  <c r="S96" i="19"/>
  <c r="O96" i="19"/>
  <c r="R96" i="19"/>
  <c r="Q96" i="19"/>
  <c r="P96" i="19"/>
  <c r="T96" i="19"/>
  <c r="S80" i="19"/>
  <c r="O80" i="19"/>
  <c r="R80" i="19"/>
  <c r="Q80" i="19"/>
  <c r="P80" i="19"/>
  <c r="T80" i="19"/>
  <c r="Q81" i="19"/>
  <c r="T81" i="19"/>
  <c r="P81" i="19"/>
  <c r="S81" i="19"/>
  <c r="O81" i="19"/>
  <c r="R81" i="19"/>
  <c r="Q97" i="19"/>
  <c r="T97" i="19"/>
  <c r="P97" i="19"/>
  <c r="S97" i="19"/>
  <c r="O97" i="19"/>
  <c r="R97" i="19"/>
  <c r="T102" i="19"/>
  <c r="P102" i="19"/>
  <c r="R102" i="19"/>
  <c r="Q102" i="19"/>
  <c r="O102" i="19"/>
  <c r="S102" i="19"/>
  <c r="R107" i="19"/>
  <c r="Q107" i="19"/>
  <c r="T107" i="19"/>
  <c r="P107" i="19"/>
  <c r="S107" i="19"/>
  <c r="O107" i="19"/>
  <c r="R113" i="19"/>
  <c r="Q113" i="19"/>
  <c r="T113" i="19"/>
  <c r="P113" i="19"/>
  <c r="S113" i="19"/>
  <c r="O113" i="19"/>
  <c r="R117" i="19"/>
  <c r="Q117" i="19"/>
  <c r="T117" i="19"/>
  <c r="P117" i="19"/>
  <c r="O117" i="19"/>
  <c r="S117" i="19"/>
  <c r="T122" i="19"/>
  <c r="P122" i="19"/>
  <c r="S122" i="19"/>
  <c r="O122" i="19"/>
  <c r="R122" i="19"/>
  <c r="Q122" i="19"/>
  <c r="R127" i="19"/>
  <c r="Q127" i="19"/>
  <c r="T127" i="19"/>
  <c r="P127" i="19"/>
  <c r="S127" i="19"/>
  <c r="O127" i="19"/>
  <c r="T108" i="19"/>
  <c r="P108" i="19"/>
  <c r="S108" i="19"/>
  <c r="O108" i="19"/>
  <c r="R108" i="19"/>
  <c r="Q108" i="19"/>
  <c r="T120" i="19"/>
  <c r="P120" i="19"/>
  <c r="S120" i="19"/>
  <c r="O120" i="19"/>
  <c r="R120" i="19"/>
  <c r="Q120" i="19"/>
  <c r="S88" i="19"/>
  <c r="O88" i="19"/>
  <c r="R88" i="19"/>
  <c r="Q88" i="19"/>
  <c r="P88" i="19"/>
  <c r="T88" i="19"/>
  <c r="T116" i="19"/>
  <c r="P116" i="19"/>
  <c r="S116" i="19"/>
  <c r="O116" i="19"/>
  <c r="R116" i="19"/>
  <c r="Q116" i="19"/>
  <c r="S82" i="19"/>
  <c r="O82" i="19"/>
  <c r="R82" i="19"/>
  <c r="Q82" i="19"/>
  <c r="T82" i="19"/>
  <c r="P82" i="19"/>
  <c r="Q93" i="19"/>
  <c r="T93" i="19"/>
  <c r="P93" i="19"/>
  <c r="S93" i="19"/>
  <c r="O93" i="19"/>
  <c r="R93" i="19"/>
  <c r="S98" i="19"/>
  <c r="O98" i="19"/>
  <c r="R98" i="19"/>
  <c r="Q98" i="19"/>
  <c r="T98" i="19"/>
  <c r="P98" i="19"/>
  <c r="R103" i="19"/>
  <c r="T103" i="19"/>
  <c r="P103" i="19"/>
  <c r="S103" i="19"/>
  <c r="Q103" i="19"/>
  <c r="O103" i="19"/>
  <c r="R109" i="19"/>
  <c r="Q109" i="19"/>
  <c r="T109" i="19"/>
  <c r="P109" i="19"/>
  <c r="O109" i="19"/>
  <c r="S109" i="19"/>
  <c r="T114" i="19"/>
  <c r="P114" i="19"/>
  <c r="S114" i="19"/>
  <c r="O114" i="19"/>
  <c r="R114" i="19"/>
  <c r="Q114" i="19"/>
  <c r="T118" i="19"/>
  <c r="P118" i="19"/>
  <c r="S118" i="19"/>
  <c r="O118" i="19"/>
  <c r="R118" i="19"/>
  <c r="Q118" i="19"/>
  <c r="R123" i="19"/>
  <c r="Q123" i="19"/>
  <c r="T123" i="19"/>
  <c r="P123" i="19"/>
  <c r="S123" i="19"/>
  <c r="O123" i="19"/>
  <c r="S92" i="19"/>
  <c r="O92" i="19"/>
  <c r="R92" i="19"/>
  <c r="Q92" i="19"/>
  <c r="T92" i="19"/>
  <c r="P92" i="19"/>
  <c r="T112" i="19"/>
  <c r="P112" i="19"/>
  <c r="S112" i="19"/>
  <c r="O112" i="19"/>
  <c r="R112" i="19"/>
  <c r="Q112" i="19"/>
  <c r="S100" i="19"/>
  <c r="O100" i="19"/>
  <c r="R100" i="19"/>
  <c r="Q100" i="19"/>
  <c r="T100" i="19"/>
  <c r="P100" i="19"/>
  <c r="T128" i="19"/>
  <c r="P128" i="19"/>
  <c r="S128" i="19"/>
  <c r="O128" i="19"/>
  <c r="R128" i="19"/>
  <c r="Q128" i="19"/>
  <c r="J221" i="7"/>
  <c r="I87" i="19"/>
  <c r="L87" i="19"/>
  <c r="H87" i="19"/>
  <c r="K87" i="19"/>
  <c r="J87" i="19"/>
  <c r="K102" i="19"/>
  <c r="J102" i="19"/>
  <c r="I102" i="19"/>
  <c r="H102" i="19"/>
  <c r="L102" i="19"/>
  <c r="I119" i="19"/>
  <c r="L119" i="19"/>
  <c r="H119" i="19"/>
  <c r="K119" i="19"/>
  <c r="J119" i="19"/>
  <c r="K82" i="19"/>
  <c r="J82" i="19"/>
  <c r="I82" i="19"/>
  <c r="L82" i="19"/>
  <c r="H82" i="19"/>
  <c r="I85" i="19"/>
  <c r="L85" i="19"/>
  <c r="H85" i="19"/>
  <c r="K85" i="19"/>
  <c r="J85" i="19"/>
  <c r="I93" i="19"/>
  <c r="L93" i="19"/>
  <c r="H93" i="19"/>
  <c r="K93" i="19"/>
  <c r="J93" i="19"/>
  <c r="K98" i="19"/>
  <c r="J98" i="19"/>
  <c r="I98" i="19"/>
  <c r="L98" i="19"/>
  <c r="H98" i="19"/>
  <c r="I103" i="19"/>
  <c r="L103" i="19"/>
  <c r="H103" i="19"/>
  <c r="K103" i="19"/>
  <c r="J103" i="19"/>
  <c r="I109" i="19"/>
  <c r="L109" i="19"/>
  <c r="H109" i="19"/>
  <c r="K109" i="19"/>
  <c r="J109" i="19"/>
  <c r="K114" i="19"/>
  <c r="J114" i="19"/>
  <c r="I114" i="19"/>
  <c r="L114" i="19"/>
  <c r="H114" i="19"/>
  <c r="I121" i="19"/>
  <c r="L121" i="19"/>
  <c r="H121" i="19"/>
  <c r="K121" i="19"/>
  <c r="J121" i="19"/>
  <c r="K126" i="19"/>
  <c r="J126" i="19"/>
  <c r="I126" i="19"/>
  <c r="L126" i="19"/>
  <c r="H126" i="19"/>
  <c r="K108" i="19"/>
  <c r="J108" i="19"/>
  <c r="I108" i="19"/>
  <c r="L108" i="19"/>
  <c r="H108" i="19"/>
  <c r="K100" i="19"/>
  <c r="J100" i="19"/>
  <c r="I100" i="19"/>
  <c r="L100" i="19"/>
  <c r="H100" i="19"/>
  <c r="K128" i="19"/>
  <c r="J128" i="19"/>
  <c r="I128" i="19"/>
  <c r="H128" i="19"/>
  <c r="L128" i="19"/>
  <c r="K104" i="19"/>
  <c r="J104" i="19"/>
  <c r="I104" i="19"/>
  <c r="H104" i="19"/>
  <c r="L104" i="19"/>
  <c r="K80" i="19"/>
  <c r="J80" i="19"/>
  <c r="I80" i="19"/>
  <c r="H80" i="19"/>
  <c r="L80" i="19"/>
  <c r="I97" i="19"/>
  <c r="L97" i="19"/>
  <c r="H97" i="19"/>
  <c r="K97" i="19"/>
  <c r="J97" i="19"/>
  <c r="I113" i="19"/>
  <c r="L113" i="19"/>
  <c r="H113" i="19"/>
  <c r="K113" i="19"/>
  <c r="J113" i="19"/>
  <c r="K92" i="19"/>
  <c r="J92" i="19"/>
  <c r="I92" i="19"/>
  <c r="L92" i="19"/>
  <c r="H92" i="19"/>
  <c r="I83" i="19"/>
  <c r="L83" i="19"/>
  <c r="H83" i="19"/>
  <c r="K83" i="19"/>
  <c r="J83" i="19"/>
  <c r="I89" i="19"/>
  <c r="L89" i="19"/>
  <c r="H89" i="19"/>
  <c r="K89" i="19"/>
  <c r="J89" i="19"/>
  <c r="K94" i="19"/>
  <c r="J94" i="19"/>
  <c r="I94" i="19"/>
  <c r="L94" i="19"/>
  <c r="H94" i="19"/>
  <c r="I99" i="19"/>
  <c r="L99" i="19"/>
  <c r="H99" i="19"/>
  <c r="K99" i="19"/>
  <c r="J99" i="19"/>
  <c r="I105" i="19"/>
  <c r="L105" i="19"/>
  <c r="H105" i="19"/>
  <c r="K105" i="19"/>
  <c r="J105" i="19"/>
  <c r="K110" i="19"/>
  <c r="J110" i="19"/>
  <c r="I110" i="19"/>
  <c r="L110" i="19"/>
  <c r="H110" i="19"/>
  <c r="I115" i="19"/>
  <c r="L115" i="19"/>
  <c r="H115" i="19"/>
  <c r="K115" i="19"/>
  <c r="J115" i="19"/>
  <c r="I117" i="19"/>
  <c r="L117" i="19"/>
  <c r="H117" i="19"/>
  <c r="K117" i="19"/>
  <c r="J117" i="19"/>
  <c r="K122" i="19"/>
  <c r="J122" i="19"/>
  <c r="I122" i="19"/>
  <c r="L122" i="19"/>
  <c r="H122" i="19"/>
  <c r="I127" i="19"/>
  <c r="L127" i="19"/>
  <c r="H127" i="19"/>
  <c r="K127" i="19"/>
  <c r="J127" i="19"/>
  <c r="K84" i="19"/>
  <c r="J84" i="19"/>
  <c r="I84" i="19"/>
  <c r="L84" i="19"/>
  <c r="H84" i="19"/>
  <c r="K112" i="19"/>
  <c r="J112" i="19"/>
  <c r="I112" i="19"/>
  <c r="H112" i="19"/>
  <c r="L112" i="19"/>
  <c r="K88" i="19"/>
  <c r="J88" i="19"/>
  <c r="I88" i="19"/>
  <c r="H88" i="19"/>
  <c r="L88" i="19"/>
  <c r="I81" i="19"/>
  <c r="L81" i="19"/>
  <c r="H81" i="19"/>
  <c r="K81" i="19"/>
  <c r="J81" i="19"/>
  <c r="I91" i="19"/>
  <c r="L91" i="19"/>
  <c r="H91" i="19"/>
  <c r="K91" i="19"/>
  <c r="J91" i="19"/>
  <c r="L107" i="19"/>
  <c r="K107" i="19"/>
  <c r="I107" i="19"/>
  <c r="H107" i="19"/>
  <c r="J107" i="19"/>
  <c r="I125" i="19"/>
  <c r="L125" i="19"/>
  <c r="H125" i="19"/>
  <c r="K125" i="19"/>
  <c r="J125" i="19"/>
  <c r="K124" i="19"/>
  <c r="J124" i="19"/>
  <c r="I124" i="19"/>
  <c r="L124" i="19"/>
  <c r="H124" i="19"/>
  <c r="K120" i="19"/>
  <c r="J120" i="19"/>
  <c r="I120" i="19"/>
  <c r="H120" i="19"/>
  <c r="L120" i="19"/>
  <c r="K96" i="19"/>
  <c r="J96" i="19"/>
  <c r="I96" i="19"/>
  <c r="H96" i="19"/>
  <c r="L96" i="19"/>
  <c r="K86" i="19"/>
  <c r="J86" i="19"/>
  <c r="I86" i="19"/>
  <c r="L86" i="19"/>
  <c r="H86" i="19"/>
  <c r="K90" i="19"/>
  <c r="J90" i="19"/>
  <c r="I90" i="19"/>
  <c r="L90" i="19"/>
  <c r="H90" i="19"/>
  <c r="I95" i="19"/>
  <c r="L95" i="19"/>
  <c r="H95" i="19"/>
  <c r="K95" i="19"/>
  <c r="J95" i="19"/>
  <c r="I101" i="19"/>
  <c r="L101" i="19"/>
  <c r="H101" i="19"/>
  <c r="K101" i="19"/>
  <c r="J101" i="19"/>
  <c r="K106" i="19"/>
  <c r="J106" i="19"/>
  <c r="I106" i="19"/>
  <c r="L106" i="19"/>
  <c r="H106" i="19"/>
  <c r="I111" i="19"/>
  <c r="L111" i="19"/>
  <c r="H111" i="19"/>
  <c r="K111" i="19"/>
  <c r="J111" i="19"/>
  <c r="K118" i="19"/>
  <c r="J118" i="19"/>
  <c r="I118" i="19"/>
  <c r="L118" i="19"/>
  <c r="H118" i="19"/>
  <c r="I123" i="19"/>
  <c r="L123" i="19"/>
  <c r="H123" i="19"/>
  <c r="K123" i="19"/>
  <c r="J123" i="19"/>
  <c r="K76" i="19"/>
  <c r="J76" i="19"/>
  <c r="I76" i="19"/>
  <c r="L76" i="19"/>
  <c r="H76" i="19"/>
  <c r="K116" i="19"/>
  <c r="J116" i="19"/>
  <c r="I116" i="19"/>
  <c r="L116" i="19"/>
  <c r="H116" i="19"/>
  <c r="H6" i="7"/>
  <c r="E4" i="19" s="1"/>
  <c r="F4" i="19" s="1"/>
  <c r="C4" i="19"/>
  <c r="C126" i="19"/>
  <c r="B126" i="19"/>
  <c r="A126" i="19"/>
  <c r="F126" i="19" s="1"/>
  <c r="E126" i="19"/>
  <c r="D126" i="19"/>
  <c r="C94" i="19"/>
  <c r="B94" i="19"/>
  <c r="A94" i="19"/>
  <c r="F94" i="19" s="1"/>
  <c r="E94" i="19"/>
  <c r="D94" i="19"/>
  <c r="C110" i="19"/>
  <c r="B110" i="19"/>
  <c r="A110" i="19"/>
  <c r="F110" i="19" s="1"/>
  <c r="E110" i="19"/>
  <c r="D110" i="19"/>
  <c r="E96" i="19"/>
  <c r="A96" i="19"/>
  <c r="F96" i="19" s="1"/>
  <c r="D96" i="19"/>
  <c r="C96" i="19"/>
  <c r="B96" i="19"/>
  <c r="D117" i="19"/>
  <c r="C117" i="19"/>
  <c r="B117" i="19"/>
  <c r="E117" i="19"/>
  <c r="A117" i="19"/>
  <c r="F117" i="19" s="1"/>
  <c r="C82" i="19"/>
  <c r="E82" i="19"/>
  <c r="B82" i="19"/>
  <c r="D82" i="19"/>
  <c r="A82" i="19"/>
  <c r="F82" i="19" s="1"/>
  <c r="D125" i="19"/>
  <c r="C125" i="19"/>
  <c r="B125" i="19"/>
  <c r="E125" i="19"/>
  <c r="A125" i="19"/>
  <c r="F125" i="19" s="1"/>
  <c r="D85" i="19"/>
  <c r="C85" i="19"/>
  <c r="B85" i="19"/>
  <c r="E85" i="19"/>
  <c r="A85" i="19"/>
  <c r="F85" i="19" s="1"/>
  <c r="C90" i="19"/>
  <c r="B90" i="19"/>
  <c r="E90" i="19"/>
  <c r="A90" i="19"/>
  <c r="F90" i="19" s="1"/>
  <c r="D90" i="19"/>
  <c r="B95" i="19"/>
  <c r="E95" i="19"/>
  <c r="A95" i="19"/>
  <c r="F95" i="19" s="1"/>
  <c r="D95" i="19"/>
  <c r="C95" i="19"/>
  <c r="D101" i="19"/>
  <c r="C101" i="19"/>
  <c r="B101" i="19"/>
  <c r="E101" i="19"/>
  <c r="A101" i="19"/>
  <c r="F101" i="19" s="1"/>
  <c r="C106" i="19"/>
  <c r="B106" i="19"/>
  <c r="E106" i="19"/>
  <c r="A106" i="19"/>
  <c r="F106" i="19" s="1"/>
  <c r="D106" i="19"/>
  <c r="B111" i="19"/>
  <c r="E111" i="19"/>
  <c r="A111" i="19"/>
  <c r="F111" i="19" s="1"/>
  <c r="D111" i="19"/>
  <c r="C111" i="19"/>
  <c r="E84" i="19"/>
  <c r="A84" i="19"/>
  <c r="F84" i="19" s="1"/>
  <c r="D84" i="19"/>
  <c r="C84" i="19"/>
  <c r="B84" i="19"/>
  <c r="E80" i="19"/>
  <c r="A80" i="19"/>
  <c r="F80" i="19" s="1"/>
  <c r="D80" i="19"/>
  <c r="B80" i="19"/>
  <c r="C80" i="19"/>
  <c r="E120" i="19"/>
  <c r="A120" i="19"/>
  <c r="C120" i="19"/>
  <c r="E92" i="19"/>
  <c r="A92" i="19"/>
  <c r="F92" i="19" s="1"/>
  <c r="D92" i="19"/>
  <c r="C92" i="19"/>
  <c r="B92" i="19"/>
  <c r="D81" i="19"/>
  <c r="E81" i="19"/>
  <c r="B81" i="19"/>
  <c r="C81" i="19"/>
  <c r="A81" i="19"/>
  <c r="F81" i="19" s="1"/>
  <c r="B99" i="19"/>
  <c r="E99" i="19"/>
  <c r="A99" i="19"/>
  <c r="F99" i="19" s="1"/>
  <c r="D99" i="19"/>
  <c r="C99" i="19"/>
  <c r="B115" i="19"/>
  <c r="E115" i="19"/>
  <c r="A115" i="19"/>
  <c r="F115" i="19" s="1"/>
  <c r="D115" i="19"/>
  <c r="C115" i="19"/>
  <c r="E100" i="19"/>
  <c r="A100" i="19"/>
  <c r="F100" i="19" s="1"/>
  <c r="D100" i="19"/>
  <c r="C100" i="19"/>
  <c r="B100" i="19"/>
  <c r="B83" i="19"/>
  <c r="E83" i="19"/>
  <c r="A83" i="19"/>
  <c r="F83" i="19" s="1"/>
  <c r="D83" i="19"/>
  <c r="C83" i="19"/>
  <c r="B91" i="19"/>
  <c r="E91" i="19"/>
  <c r="A91" i="19"/>
  <c r="F91" i="19" s="1"/>
  <c r="D91" i="19"/>
  <c r="C91" i="19"/>
  <c r="C102" i="19"/>
  <c r="B102" i="19"/>
  <c r="A102" i="19"/>
  <c r="F102" i="19" s="1"/>
  <c r="E102" i="19"/>
  <c r="D102" i="19"/>
  <c r="D113" i="19"/>
  <c r="C113" i="19"/>
  <c r="B113" i="19"/>
  <c r="A113" i="19"/>
  <c r="F113" i="19" s="1"/>
  <c r="E113" i="19"/>
  <c r="E128" i="19"/>
  <c r="A128" i="19"/>
  <c r="F128" i="19" s="1"/>
  <c r="D128" i="19"/>
  <c r="C128" i="19"/>
  <c r="B128" i="19"/>
  <c r="E76" i="19"/>
  <c r="A76" i="19"/>
  <c r="F76" i="19" s="1"/>
  <c r="C76" i="19"/>
  <c r="B76" i="19"/>
  <c r="D76" i="19"/>
  <c r="D121" i="19"/>
  <c r="C121" i="19"/>
  <c r="B121" i="19"/>
  <c r="A121" i="19"/>
  <c r="F121" i="19" s="1"/>
  <c r="E121" i="19"/>
  <c r="D89" i="19"/>
  <c r="C89" i="19"/>
  <c r="B89" i="19"/>
  <c r="A89" i="19"/>
  <c r="F89" i="19" s="1"/>
  <c r="E89" i="19"/>
  <c r="D105" i="19"/>
  <c r="C105" i="19"/>
  <c r="B105" i="19"/>
  <c r="A105" i="19"/>
  <c r="F105" i="19" s="1"/>
  <c r="E105" i="19"/>
  <c r="E88" i="19"/>
  <c r="A88" i="19"/>
  <c r="F88" i="19" s="1"/>
  <c r="D88" i="19"/>
  <c r="C88" i="19"/>
  <c r="B88" i="19"/>
  <c r="E108" i="19"/>
  <c r="A108" i="19"/>
  <c r="F108" i="19" s="1"/>
  <c r="D108" i="19"/>
  <c r="C108" i="19"/>
  <c r="B108" i="19"/>
  <c r="E104" i="19"/>
  <c r="A104" i="19"/>
  <c r="F104" i="19" s="1"/>
  <c r="D104" i="19"/>
  <c r="C104" i="19"/>
  <c r="B104" i="19"/>
  <c r="C118" i="19"/>
  <c r="A118" i="19"/>
  <c r="E118" i="19"/>
  <c r="D118" i="19"/>
  <c r="B123" i="19"/>
  <c r="E123" i="19"/>
  <c r="A123" i="19"/>
  <c r="F123" i="19" s="1"/>
  <c r="D123" i="19"/>
  <c r="C123" i="19"/>
  <c r="C86" i="19"/>
  <c r="B86" i="19"/>
  <c r="A86" i="19"/>
  <c r="F86" i="19" s="1"/>
  <c r="E86" i="19"/>
  <c r="D86" i="19"/>
  <c r="D97" i="19"/>
  <c r="C97" i="19"/>
  <c r="B97" i="19"/>
  <c r="A97" i="19"/>
  <c r="F97" i="19" s="1"/>
  <c r="E97" i="19"/>
  <c r="B107" i="19"/>
  <c r="E107" i="19"/>
  <c r="A107" i="19"/>
  <c r="F107" i="19" s="1"/>
  <c r="D107" i="19"/>
  <c r="C107" i="19"/>
  <c r="B119" i="19"/>
  <c r="E119" i="19"/>
  <c r="A119" i="19"/>
  <c r="F119" i="19" s="1"/>
  <c r="D119" i="19"/>
  <c r="C119" i="19"/>
  <c r="B127" i="19"/>
  <c r="E127" i="19"/>
  <c r="A127" i="19"/>
  <c r="F127" i="19" s="1"/>
  <c r="D127" i="19"/>
  <c r="C127" i="19"/>
  <c r="C122" i="19"/>
  <c r="B122" i="19"/>
  <c r="E122" i="19"/>
  <c r="A122" i="19"/>
  <c r="F122" i="19" s="1"/>
  <c r="D122" i="19"/>
  <c r="B87" i="19"/>
  <c r="E87" i="19"/>
  <c r="A87" i="19"/>
  <c r="F87" i="19" s="1"/>
  <c r="D87" i="19"/>
  <c r="C87" i="19"/>
  <c r="D93" i="19"/>
  <c r="C93" i="19"/>
  <c r="B93" i="19"/>
  <c r="E93" i="19"/>
  <c r="A93" i="19"/>
  <c r="F93" i="19" s="1"/>
  <c r="C98" i="19"/>
  <c r="B98" i="19"/>
  <c r="E98" i="19"/>
  <c r="A98" i="19"/>
  <c r="F98" i="19" s="1"/>
  <c r="D98" i="19"/>
  <c r="B103" i="19"/>
  <c r="E103" i="19"/>
  <c r="A103" i="19"/>
  <c r="F103" i="19" s="1"/>
  <c r="D103" i="19"/>
  <c r="C103" i="19"/>
  <c r="D109" i="19"/>
  <c r="C109" i="19"/>
  <c r="B109" i="19"/>
  <c r="E109" i="19"/>
  <c r="A109" i="19"/>
  <c r="F109" i="19" s="1"/>
  <c r="C114" i="19"/>
  <c r="B114" i="19"/>
  <c r="E114" i="19"/>
  <c r="A114" i="19"/>
  <c r="F114" i="19" s="1"/>
  <c r="D114" i="19"/>
  <c r="E116" i="19"/>
  <c r="A116" i="19"/>
  <c r="F116" i="19" s="1"/>
  <c r="D116" i="19"/>
  <c r="C116" i="19"/>
  <c r="B116" i="19"/>
  <c r="E112" i="19"/>
  <c r="A112" i="19"/>
  <c r="F112" i="19" s="1"/>
  <c r="D112" i="19"/>
  <c r="C112" i="19"/>
  <c r="B112" i="19"/>
  <c r="E124" i="19"/>
  <c r="A124" i="19"/>
  <c r="C124" i="19"/>
  <c r="L7" i="19"/>
  <c r="K8" i="19"/>
  <c r="G7" i="7"/>
  <c r="H7" i="7"/>
  <c r="I7" i="7" s="1"/>
  <c r="G8" i="7"/>
  <c r="H8" i="7"/>
  <c r="I8" i="7" s="1"/>
  <c r="I32" i="5"/>
  <c r="E3" i="19"/>
  <c r="F3" i="19" s="1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B118" i="19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B120" i="19"/>
  <c r="B124" i="19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K33" i="19"/>
  <c r="M33" i="19" s="1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K167" i="19"/>
  <c r="M167" i="19" s="1"/>
  <c r="E227" i="30"/>
  <c r="J40" i="31"/>
  <c r="I128" i="31"/>
  <c r="G128" i="31"/>
  <c r="E148" i="30"/>
  <c r="I148" i="30" s="1"/>
  <c r="E203" i="30"/>
  <c r="I203" i="30" s="1"/>
  <c r="G32" i="30"/>
  <c r="F118" i="19"/>
  <c r="R22" i="19"/>
  <c r="T22" i="19" s="1"/>
  <c r="M136" i="19"/>
  <c r="M135" i="19"/>
  <c r="M134" i="19"/>
  <c r="M133" i="19"/>
  <c r="M132" i="19"/>
  <c r="M131" i="19"/>
  <c r="M130" i="19"/>
  <c r="M129" i="19"/>
  <c r="K7" i="19"/>
  <c r="M7" i="19" s="1"/>
  <c r="K30" i="19"/>
  <c r="M30" i="19" s="1"/>
  <c r="R129" i="19"/>
  <c r="Q129" i="19"/>
  <c r="T129" i="19"/>
  <c r="P129" i="19"/>
  <c r="S129" i="19"/>
  <c r="O129" i="19"/>
  <c r="Q85" i="19"/>
  <c r="T85" i="19"/>
  <c r="P85" i="19"/>
  <c r="S85" i="19"/>
  <c r="O85" i="19"/>
  <c r="R85" i="19"/>
  <c r="R133" i="19"/>
  <c r="Q133" i="19"/>
  <c r="T133" i="19"/>
  <c r="P133" i="19"/>
  <c r="O133" i="19"/>
  <c r="S133" i="19"/>
  <c r="T136" i="19"/>
  <c r="P136" i="19"/>
  <c r="S136" i="19"/>
  <c r="O136" i="19"/>
  <c r="R136" i="19"/>
  <c r="Q136" i="19"/>
  <c r="Q89" i="19"/>
  <c r="T89" i="19"/>
  <c r="P89" i="19"/>
  <c r="S89" i="19"/>
  <c r="O89" i="19"/>
  <c r="R89" i="19"/>
  <c r="Q91" i="19"/>
  <c r="T91" i="19"/>
  <c r="P91" i="19"/>
  <c r="S91" i="19"/>
  <c r="O91" i="19"/>
  <c r="R91" i="19"/>
  <c r="Q87" i="19"/>
  <c r="T87" i="19"/>
  <c r="P87" i="19"/>
  <c r="S87" i="19"/>
  <c r="O87" i="19"/>
  <c r="R87" i="19"/>
  <c r="S90" i="19"/>
  <c r="O90" i="19"/>
  <c r="R90" i="19"/>
  <c r="Q90" i="19"/>
  <c r="T90" i="19"/>
  <c r="P90" i="19"/>
  <c r="R131" i="19"/>
  <c r="Q131" i="19"/>
  <c r="T131" i="19"/>
  <c r="P131" i="19"/>
  <c r="S131" i="19"/>
  <c r="O131" i="19"/>
  <c r="T134" i="19"/>
  <c r="P134" i="19"/>
  <c r="S134" i="19"/>
  <c r="O134" i="19"/>
  <c r="R134" i="19"/>
  <c r="Q134" i="19"/>
  <c r="R135" i="19"/>
  <c r="Q135" i="19"/>
  <c r="T135" i="19"/>
  <c r="P135" i="19"/>
  <c r="S135" i="19"/>
  <c r="O135" i="19"/>
  <c r="T130" i="19"/>
  <c r="P130" i="19"/>
  <c r="S130" i="19"/>
  <c r="O130" i="19"/>
  <c r="R130" i="19"/>
  <c r="Q130" i="19"/>
  <c r="T132" i="19"/>
  <c r="P132" i="19"/>
  <c r="S132" i="19"/>
  <c r="O132" i="19"/>
  <c r="R132" i="19"/>
  <c r="Q132" i="19"/>
  <c r="S86" i="19"/>
  <c r="O86" i="19"/>
  <c r="R86" i="19"/>
  <c r="Q86" i="19"/>
  <c r="T86" i="19"/>
  <c r="P86" i="19"/>
  <c r="J15" i="19"/>
  <c r="K132" i="19"/>
  <c r="J132" i="19"/>
  <c r="I132" i="19"/>
  <c r="L132" i="19"/>
  <c r="H132" i="19"/>
  <c r="I131" i="19"/>
  <c r="L131" i="19"/>
  <c r="H131" i="19"/>
  <c r="K131" i="19"/>
  <c r="J131" i="19"/>
  <c r="I133" i="19"/>
  <c r="L133" i="19"/>
  <c r="H133" i="19"/>
  <c r="K133" i="19"/>
  <c r="J133" i="19"/>
  <c r="I135" i="19"/>
  <c r="L135" i="19"/>
  <c r="H135" i="19"/>
  <c r="K135" i="19"/>
  <c r="J135" i="19"/>
  <c r="I129" i="19"/>
  <c r="L129" i="19"/>
  <c r="H129" i="19"/>
  <c r="K129" i="19"/>
  <c r="J129" i="19"/>
  <c r="K136" i="19"/>
  <c r="J136" i="19"/>
  <c r="I136" i="19"/>
  <c r="H136" i="19"/>
  <c r="L136" i="19"/>
  <c r="K134" i="19"/>
  <c r="J134" i="19"/>
  <c r="I134" i="19"/>
  <c r="L134" i="19"/>
  <c r="H134" i="19"/>
  <c r="K130" i="19"/>
  <c r="J130" i="19"/>
  <c r="I130" i="19"/>
  <c r="L130" i="19"/>
  <c r="H130" i="19"/>
  <c r="I6" i="7"/>
  <c r="C130" i="19"/>
  <c r="B130" i="19"/>
  <c r="E130" i="19"/>
  <c r="A130" i="19"/>
  <c r="F130" i="19" s="1"/>
  <c r="D130" i="19"/>
  <c r="C134" i="19"/>
  <c r="E134" i="19"/>
  <c r="A134" i="19"/>
  <c r="F134" i="19" s="1"/>
  <c r="B134" i="19"/>
  <c r="D134" i="19"/>
  <c r="B131" i="19"/>
  <c r="E131" i="19"/>
  <c r="A131" i="19"/>
  <c r="F131" i="19" s="1"/>
  <c r="D131" i="19"/>
  <c r="C131" i="19"/>
  <c r="E132" i="19"/>
  <c r="A132" i="19"/>
  <c r="F132" i="19" s="1"/>
  <c r="D132" i="19"/>
  <c r="C132" i="19"/>
  <c r="B132" i="19"/>
  <c r="D129" i="19"/>
  <c r="C129" i="19"/>
  <c r="B129" i="19"/>
  <c r="A129" i="19"/>
  <c r="F129" i="19" s="1"/>
  <c r="E129" i="19"/>
  <c r="D133" i="19"/>
  <c r="B133" i="19"/>
  <c r="E133" i="19"/>
  <c r="C133" i="19"/>
  <c r="A133" i="19"/>
  <c r="F133" i="19" s="1"/>
  <c r="B135" i="19"/>
  <c r="E135" i="19"/>
  <c r="D135" i="19"/>
  <c r="C135" i="19"/>
  <c r="A135" i="19"/>
  <c r="F135" i="19" s="1"/>
  <c r="E136" i="19"/>
  <c r="A136" i="19"/>
  <c r="F136" i="19" s="1"/>
  <c r="D136" i="19"/>
  <c r="C136" i="19"/>
  <c r="B136" i="19"/>
  <c r="M33" i="5"/>
  <c r="J8" i="7"/>
  <c r="L8" i="19"/>
  <c r="M8" i="19" s="1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K182" i="19"/>
  <c r="M182" i="19" s="1"/>
  <c r="L13" i="19"/>
  <c r="J13" i="19"/>
  <c r="K31" i="19"/>
  <c r="M31" i="19" s="1"/>
  <c r="K71" i="19"/>
  <c r="M71" i="19" s="1"/>
  <c r="L15" i="19"/>
  <c r="M15" i="19" s="1"/>
  <c r="K24" i="19"/>
  <c r="M24" i="19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K13" i="19"/>
  <c r="M13" i="19" s="1"/>
  <c r="C6" i="7"/>
  <c r="B4" i="19" s="1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3" i="19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D21" i="19"/>
  <c r="F21" i="19" s="1"/>
  <c r="I23" i="7"/>
  <c r="G23" i="7"/>
  <c r="D10" i="19"/>
  <c r="F10" i="19" s="1"/>
  <c r="AK313" i="4"/>
  <c r="K137" i="19"/>
  <c r="M137" i="19" s="1"/>
  <c r="AJ187" i="4"/>
  <c r="AH187" i="4"/>
  <c r="C7" i="19"/>
  <c r="S7" i="19"/>
  <c r="AJ210" i="4"/>
  <c r="AH210" i="4"/>
  <c r="D168" i="19"/>
  <c r="F168" i="19" s="1"/>
  <c r="AJ186" i="4"/>
  <c r="AI186" i="4"/>
  <c r="K138" i="19"/>
  <c r="M138" i="19" s="1"/>
  <c r="E22" i="7"/>
  <c r="E96" i="7" s="1"/>
  <c r="AH186" i="4"/>
  <c r="Q25" i="5"/>
  <c r="AH190" i="4" s="1"/>
  <c r="Q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D50" i="19"/>
  <c r="F50" i="19" s="1"/>
  <c r="G129" i="7"/>
  <c r="J41" i="7"/>
  <c r="D49" i="19"/>
  <c r="F49" i="19" s="1"/>
  <c r="I128" i="7"/>
  <c r="G128" i="7"/>
  <c r="J23" i="7"/>
  <c r="D186" i="19"/>
  <c r="F186" i="19" s="1"/>
  <c r="D187" i="19"/>
  <c r="F187" i="19" s="1"/>
  <c r="D188" i="19"/>
  <c r="F188" i="19" s="1"/>
  <c r="D185" i="19"/>
  <c r="F185" i="19" s="1"/>
  <c r="R25" i="5"/>
  <c r="D11" i="5" s="1"/>
  <c r="AH205" i="4"/>
  <c r="AH240" i="4" s="1"/>
  <c r="R23" i="19"/>
  <c r="T23" i="19" s="1"/>
  <c r="R21" i="19"/>
  <c r="T21" i="19" s="1"/>
  <c r="K23" i="19"/>
  <c r="M23" i="19" s="1"/>
  <c r="AH305" i="4"/>
  <c r="AH267" i="4"/>
  <c r="AH268" i="4"/>
  <c r="AH266" i="4"/>
  <c r="AH269" i="4"/>
  <c r="AH271" i="4"/>
  <c r="K22" i="19"/>
  <c r="M22" i="19" s="1"/>
  <c r="AJ305" i="4"/>
  <c r="AJ266" i="4"/>
  <c r="AJ267" i="4"/>
  <c r="AJ268" i="4"/>
  <c r="AJ269" i="4"/>
  <c r="K21" i="19"/>
  <c r="M21" i="19" s="1"/>
  <c r="K9" i="19"/>
  <c r="M9" i="19" s="1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D137" i="19" s="1"/>
  <c r="F137" i="19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R8" i="19"/>
  <c r="AJ224" i="4"/>
  <c r="D8" i="19"/>
  <c r="AH224" i="4"/>
  <c r="R142" i="19"/>
  <c r="T142" i="19" s="1"/>
  <c r="K142" i="19"/>
  <c r="M142" i="19" s="1"/>
  <c r="I34" i="5"/>
  <c r="K139" i="19"/>
  <c r="M139" i="19" s="1"/>
  <c r="K74" i="19"/>
  <c r="M74" i="19" s="1"/>
  <c r="R139" i="19"/>
  <c r="T139" i="19" s="1"/>
  <c r="H12" i="7"/>
  <c r="E7" i="19" s="1"/>
  <c r="Q16" i="19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K78" i="19"/>
  <c r="M78" i="19" s="1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D166" i="19"/>
  <c r="F166" i="19" s="1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R33" i="19"/>
  <c r="T33" i="19" s="1"/>
  <c r="AJ220" i="4"/>
  <c r="AJ221" i="4"/>
  <c r="AJ223" i="4"/>
  <c r="AJ219" i="4"/>
  <c r="AJ233" i="4"/>
  <c r="AJ222" i="4"/>
  <c r="AH222" i="4"/>
  <c r="AH219" i="4"/>
  <c r="D36" i="19"/>
  <c r="F36" i="19" s="1"/>
  <c r="AH220" i="4"/>
  <c r="AH233" i="4"/>
  <c r="AH221" i="4"/>
  <c r="D34" i="19"/>
  <c r="F34" i="19" s="1"/>
  <c r="AH223" i="4"/>
  <c r="AJ279" i="4" l="1"/>
  <c r="E204" i="31" s="1"/>
  <c r="I204" i="31" s="1"/>
  <c r="E201" i="32"/>
  <c r="D12" i="5"/>
  <c r="H32" i="32"/>
  <c r="J32" i="32" s="1"/>
  <c r="J129" i="31"/>
  <c r="J129" i="30"/>
  <c r="D73" i="19"/>
  <c r="F73" i="19" s="1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D32" i="19"/>
  <c r="F32" i="19" s="1"/>
  <c r="D167" i="19"/>
  <c r="F167" i="19" s="1"/>
  <c r="E227" i="7"/>
  <c r="J129" i="7"/>
  <c r="J128" i="7"/>
  <c r="D183" i="19"/>
  <c r="F183" i="19" s="1"/>
  <c r="D184" i="19"/>
  <c r="F184" i="19" s="1"/>
  <c r="D32" i="7"/>
  <c r="C16" i="19" s="1"/>
  <c r="G204" i="7"/>
  <c r="D31" i="19"/>
  <c r="F31" i="19" s="1"/>
  <c r="R31" i="19"/>
  <c r="T31" i="19" s="1"/>
  <c r="R182" i="19"/>
  <c r="T182" i="19" s="1"/>
  <c r="R30" i="19"/>
  <c r="T30" i="19" s="1"/>
  <c r="R9" i="19"/>
  <c r="T9" i="19" s="1"/>
  <c r="D7" i="19"/>
  <c r="F7" i="19" s="1"/>
  <c r="R7" i="19"/>
  <c r="T7" i="19" s="1"/>
  <c r="H15" i="7"/>
  <c r="M34" i="5" s="1"/>
  <c r="G15" i="7"/>
  <c r="S15" i="19"/>
  <c r="T15" i="19" s="1"/>
  <c r="Q15" i="19"/>
  <c r="J16" i="19"/>
  <c r="D142" i="19"/>
  <c r="F142" i="19" s="1"/>
  <c r="D71" i="19"/>
  <c r="F71" i="19" s="1"/>
  <c r="I55" i="7"/>
  <c r="G55" i="7"/>
  <c r="R71" i="19"/>
  <c r="T71" i="19" s="1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R78" i="19"/>
  <c r="T78" i="19" s="1"/>
  <c r="D78" i="19"/>
  <c r="F78" i="19" s="1"/>
  <c r="K149" i="19"/>
  <c r="M149" i="19" s="1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D165" i="19"/>
  <c r="F165" i="19" s="1"/>
  <c r="G227" i="7"/>
  <c r="I227" i="7"/>
  <c r="D124" i="19"/>
  <c r="F124" i="19" s="1"/>
  <c r="D120" i="19"/>
  <c r="F120" i="19" s="1"/>
  <c r="H32" i="7"/>
  <c r="E16" i="19" s="1"/>
  <c r="F16" i="19" s="1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D182" i="19"/>
  <c r="F182" i="19" s="1"/>
  <c r="D33" i="19"/>
  <c r="F33" i="19" s="1"/>
  <c r="R13" i="19"/>
  <c r="Q13" i="19"/>
  <c r="D30" i="19"/>
  <c r="F30" i="19" s="1"/>
  <c r="C13" i="19"/>
  <c r="G19" i="7"/>
  <c r="K34" i="5" s="1"/>
  <c r="E8" i="19"/>
  <c r="F8" i="19" s="1"/>
  <c r="S8" i="19"/>
  <c r="T8" i="19" s="1"/>
  <c r="D181" i="19"/>
  <c r="F181" i="19" s="1"/>
  <c r="J15" i="7"/>
  <c r="I22" i="7"/>
  <c r="M35" i="5" s="1"/>
  <c r="D9" i="19"/>
  <c r="F9" i="19" s="1"/>
  <c r="S16" i="19"/>
  <c r="T16" i="19" s="1"/>
  <c r="R24" i="19"/>
  <c r="T24" i="19" s="1"/>
  <c r="K157" i="19"/>
  <c r="M157" i="19" s="1"/>
  <c r="K158" i="19"/>
  <c r="M158" i="19" s="1"/>
  <c r="L16" i="19"/>
  <c r="M16" i="19" s="1"/>
  <c r="J55" i="7"/>
  <c r="I142" i="7"/>
  <c r="G142" i="7"/>
  <c r="I54" i="7"/>
  <c r="G54" i="7"/>
  <c r="I49" i="7"/>
  <c r="G49" i="7"/>
  <c r="D158" i="19"/>
  <c r="F158" i="19" s="1"/>
  <c r="H29" i="7"/>
  <c r="I35" i="5"/>
  <c r="G22" i="7"/>
  <c r="J228" i="7"/>
  <c r="J205" i="7"/>
  <c r="J229" i="7"/>
  <c r="J199" i="7"/>
  <c r="G149" i="7"/>
  <c r="I149" i="7"/>
  <c r="D150" i="19"/>
  <c r="F150" i="19" s="1"/>
  <c r="D149" i="19"/>
  <c r="F149" i="19" s="1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E15" i="19" s="1"/>
  <c r="F15" i="19" s="1"/>
  <c r="J227" i="7"/>
  <c r="I36" i="5"/>
  <c r="J32" i="7"/>
  <c r="C15" i="19"/>
  <c r="J80" i="7"/>
  <c r="J74" i="7"/>
  <c r="J78" i="7"/>
  <c r="J76" i="7"/>
  <c r="J70" i="7"/>
  <c r="J72" i="7"/>
  <c r="S13" i="19"/>
  <c r="T13" i="19" s="1"/>
  <c r="D208" i="19"/>
  <c r="F208" i="19" s="1"/>
  <c r="I264" i="7"/>
  <c r="G264" i="7"/>
  <c r="J19" i="7"/>
  <c r="O34" i="5" s="1"/>
  <c r="I29" i="7"/>
  <c r="E13" i="19"/>
  <c r="G29" i="7"/>
  <c r="G37" i="7" s="1"/>
  <c r="K36" i="5" s="1"/>
  <c r="D13" i="19"/>
  <c r="J22" i="7"/>
  <c r="J26" i="7" s="1"/>
  <c r="O35" i="5" s="1"/>
  <c r="R157" i="19"/>
  <c r="T157" i="19" s="1"/>
  <c r="R158" i="19"/>
  <c r="T158" i="19" s="1"/>
  <c r="K162" i="19"/>
  <c r="M162" i="19" s="1"/>
  <c r="K161" i="19"/>
  <c r="M161" i="19" s="1"/>
  <c r="I220" i="7"/>
  <c r="I219" i="7"/>
  <c r="D157" i="19"/>
  <c r="F157" i="19" s="1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F13" i="19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A138" i="19"/>
  <c r="C200" i="7"/>
  <c r="B138" i="19" s="1"/>
  <c r="E138" i="19"/>
  <c r="C138" i="19"/>
  <c r="F200" i="7"/>
  <c r="G200" i="7" s="1"/>
  <c r="J200" i="7" s="1"/>
  <c r="D138" i="19"/>
  <c r="C203" i="7"/>
  <c r="B141" i="19" s="1"/>
  <c r="C141" i="19"/>
  <c r="F203" i="7"/>
  <c r="E141" i="19"/>
  <c r="A141" i="19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F138" i="19"/>
  <c r="D141" i="19"/>
  <c r="F141" i="19" s="1"/>
  <c r="G203" i="7"/>
  <c r="J203" i="7" s="1"/>
  <c r="C77" i="19"/>
  <c r="E77" i="19"/>
  <c r="A77" i="19"/>
  <c r="C148" i="7"/>
  <c r="B77" i="19" s="1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C24" i="19"/>
  <c r="B130" i="7"/>
  <c r="A24" i="19"/>
  <c r="C47" i="7"/>
  <c r="B24" i="19" s="1"/>
  <c r="E47" i="7"/>
  <c r="I47" i="7" s="1"/>
  <c r="E24" i="19"/>
  <c r="B131" i="7"/>
  <c r="F47" i="7"/>
  <c r="E201" i="7"/>
  <c r="I201" i="7" s="1"/>
  <c r="E139" i="19"/>
  <c r="A139" i="19"/>
  <c r="C201" i="7"/>
  <c r="B139" i="19" s="1"/>
  <c r="F201" i="7"/>
  <c r="B146" i="7"/>
  <c r="C139" i="19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74" i="19"/>
  <c r="E74" i="19"/>
  <c r="C48" i="30"/>
  <c r="A74" i="19"/>
  <c r="E132" i="30"/>
  <c r="I132" i="30" s="1"/>
  <c r="D74" i="19"/>
  <c r="F145" i="7"/>
  <c r="G145" i="7" s="1"/>
  <c r="J145" i="7" s="1"/>
  <c r="C133" i="30"/>
  <c r="C145" i="7"/>
  <c r="B74" i="19" s="1"/>
  <c r="F145" i="31"/>
  <c r="I145" i="31"/>
  <c r="C145" i="31"/>
  <c r="C48" i="31"/>
  <c r="F48" i="31"/>
  <c r="C25" i="19"/>
  <c r="B132" i="7"/>
  <c r="E132" i="7" s="1"/>
  <c r="I132" i="7" s="1"/>
  <c r="C48" i="7"/>
  <c r="B25" i="19" s="1"/>
  <c r="F48" i="7"/>
  <c r="E25" i="19"/>
  <c r="B133" i="7"/>
  <c r="E133" i="7" s="1"/>
  <c r="I133" i="7" s="1"/>
  <c r="A25" i="19"/>
  <c r="J200" i="30"/>
  <c r="G145" i="30"/>
  <c r="J145" i="30" s="1"/>
  <c r="G148" i="7"/>
  <c r="J148" i="7" s="1"/>
  <c r="D77" i="19"/>
  <c r="F77" i="19" s="1"/>
  <c r="D139" i="19" l="1"/>
  <c r="F139" i="19" s="1"/>
  <c r="C130" i="3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B60" i="19" s="1"/>
  <c r="A60" i="19"/>
  <c r="F60" i="19" s="1"/>
  <c r="C60" i="19"/>
  <c r="D60" i="19"/>
  <c r="E60" i="19"/>
  <c r="E131" i="7"/>
  <c r="I131" i="7" s="1"/>
  <c r="F131" i="7"/>
  <c r="D24" i="19"/>
  <c r="F24" i="19" s="1"/>
  <c r="A59" i="19"/>
  <c r="E130" i="7"/>
  <c r="I130" i="7" s="1"/>
  <c r="E59" i="19"/>
  <c r="C130" i="7"/>
  <c r="B59" i="19" s="1"/>
  <c r="C59" i="19"/>
  <c r="F130" i="7"/>
  <c r="G201" i="7"/>
  <c r="J201" i="7" s="1"/>
  <c r="J266" i="7" s="1"/>
  <c r="O39" i="5" s="1"/>
  <c r="E146" i="7"/>
  <c r="I146" i="7" s="1"/>
  <c r="E75" i="19"/>
  <c r="A75" i="19"/>
  <c r="F75" i="19" s="1"/>
  <c r="F146" i="7"/>
  <c r="D75" i="19"/>
  <c r="C75" i="19"/>
  <c r="C146" i="7"/>
  <c r="B75" i="19"/>
  <c r="D25" i="19"/>
  <c r="F25" i="19" s="1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74" i="19"/>
  <c r="F133" i="30"/>
  <c r="G133" i="30" s="1"/>
  <c r="J133" i="30" s="1"/>
  <c r="C132" i="30"/>
  <c r="F132" i="30"/>
  <c r="G132" i="30" s="1"/>
  <c r="J132" i="30" s="1"/>
  <c r="C132" i="7"/>
  <c r="A61" i="19"/>
  <c r="F61" i="19" s="1"/>
  <c r="D62" i="19"/>
  <c r="C133" i="7"/>
  <c r="B62" i="19" s="1"/>
  <c r="C61" i="19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D61" i="19"/>
  <c r="F132" i="7"/>
  <c r="G132" i="7" s="1"/>
  <c r="J132" i="7" s="1"/>
  <c r="A62" i="19"/>
  <c r="F62" i="19" s="1"/>
  <c r="E61" i="19"/>
  <c r="E62" i="19"/>
  <c r="C62" i="19"/>
  <c r="B61" i="19"/>
  <c r="D59" i="19" l="1"/>
  <c r="F59" i="19" s="1"/>
  <c r="G130" i="7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Z7" i="24" l="1"/>
  <c r="S29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X37" i="24"/>
  <c r="X41" i="24" s="1"/>
  <c r="X27" i="24" s="1"/>
  <c r="Y37" i="24"/>
  <c r="Y41" i="24" s="1"/>
  <c r="W37" i="24"/>
  <c r="Z37" i="24"/>
  <c r="P37" i="24"/>
  <c r="R37" i="24"/>
  <c r="Q14" i="24"/>
  <c r="O37" i="24"/>
  <c r="P14" i="24"/>
  <c r="Z14" i="24"/>
  <c r="Y14" i="24"/>
  <c r="V14" i="24"/>
  <c r="O14" i="24"/>
  <c r="S37" i="24"/>
  <c r="X14" i="24"/>
  <c r="W14" i="24"/>
  <c r="Q37" i="24"/>
  <c r="K20" i="23"/>
  <c r="N20" i="23"/>
  <c r="O20" i="23"/>
  <c r="L20" i="23"/>
  <c r="M20" i="23"/>
  <c r="S14" i="24" l="1"/>
  <c r="V37" i="24"/>
  <c r="V41" i="24" s="1"/>
  <c r="Y27" i="24"/>
  <c r="AA37" i="24"/>
  <c r="K14" i="24" s="1"/>
  <c r="T37" i="24"/>
  <c r="J14" i="24" s="1"/>
  <c r="T14" i="24"/>
  <c r="W41" i="24"/>
  <c r="W27" i="24" s="1"/>
  <c r="AA14" i="24"/>
  <c r="I14" i="24" s="1"/>
  <c r="X29" i="24"/>
  <c r="X36" i="24"/>
  <c r="X39" i="24" s="1"/>
  <c r="X43" i="24" s="1"/>
  <c r="X44" i="24" s="1"/>
  <c r="X45" i="24" s="1"/>
  <c r="V27" i="24" l="1"/>
  <c r="H14" i="24"/>
  <c r="C14" i="24"/>
  <c r="Y29" i="24"/>
  <c r="Y36" i="24"/>
  <c r="Y39" i="24" s="1"/>
  <c r="Y43" i="24" s="1"/>
  <c r="Y44" i="24" s="1"/>
  <c r="Y45" i="24" s="1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P7" i="24"/>
  <c r="R7" i="24"/>
  <c r="Q7" i="24"/>
  <c r="Y18" i="24" l="1"/>
  <c r="Y5" i="24" s="1"/>
  <c r="X18" i="24"/>
  <c r="X5" i="24" s="1"/>
  <c r="W18" i="24"/>
  <c r="W5" i="24" s="1"/>
  <c r="Z18" i="24"/>
  <c r="Z5" i="24" s="1"/>
  <c r="V18" i="24"/>
  <c r="O18" i="24"/>
  <c r="P18" i="24"/>
  <c r="P5" i="24" s="1"/>
  <c r="P13" i="24" s="1"/>
  <c r="P16" i="24" s="1"/>
  <c r="P20" i="24" s="1"/>
  <c r="P21" i="24" s="1"/>
  <c r="P22" i="24" s="1"/>
  <c r="R18" i="24"/>
  <c r="R5" i="24" s="1"/>
  <c r="R13" i="24" s="1"/>
  <c r="R16" i="24" s="1"/>
  <c r="R20" i="24" s="1"/>
  <c r="R21" i="24" s="1"/>
  <c r="R22" i="24" s="1"/>
  <c r="Q18" i="24"/>
  <c r="Q5" i="24" s="1"/>
  <c r="Q13" i="24" s="1"/>
  <c r="Q16" i="24" s="1"/>
  <c r="Q20" i="24" s="1"/>
  <c r="Q21" i="24" s="1"/>
  <c r="Q22" i="24" s="1"/>
  <c r="S18" i="24"/>
  <c r="S5" i="24" s="1"/>
  <c r="Z27" i="24"/>
  <c r="AA41" i="24"/>
  <c r="K18" i="24" s="1"/>
  <c r="Q27" i="24"/>
  <c r="V5" i="24"/>
  <c r="P27" i="24"/>
  <c r="S27" i="24"/>
  <c r="T41" i="24"/>
  <c r="J18" i="24" s="1"/>
  <c r="O27" i="24"/>
  <c r="R27" i="24"/>
  <c r="AA18" i="24" l="1"/>
  <c r="I18" i="24" s="1"/>
  <c r="S22" i="24"/>
  <c r="S13" i="24"/>
  <c r="S16" i="24" s="1"/>
  <c r="S20" i="24" s="1"/>
  <c r="S21" i="24" s="1"/>
  <c r="O5" i="24"/>
  <c r="O7" i="24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45" i="24"/>
  <c r="S36" i="24"/>
  <c r="S39" i="24" s="1"/>
  <c r="S43" i="24" s="1"/>
  <c r="S44" i="24" s="1"/>
  <c r="Z22" i="24"/>
  <c r="Z13" i="24"/>
  <c r="Z16" i="24" s="1"/>
  <c r="Z20" i="24" s="1"/>
  <c r="Z21" i="24" s="1"/>
  <c r="W7" i="24"/>
  <c r="W13" i="24"/>
  <c r="W16" i="24" s="1"/>
  <c r="W20" i="24" s="1"/>
  <c r="W21" i="24" s="1"/>
  <c r="W22" i="24" s="1"/>
  <c r="AA27" i="24"/>
  <c r="Z45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s="1"/>
  <c r="K69" i="26" l="1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<sst xmlns="http://schemas.openxmlformats.org/spreadsheetml/2006/main" count="12022" uniqueCount="1175">
  <si>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</si>
  <si>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</si>
  <si>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</si>
  <si>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</si>
  <si>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</si>
  <si>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</si>
  <si>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</si>
  <si>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</si>
  <si>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</si>
  <si>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</si>
  <si>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</si>
  <si>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</si>
  <si>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</si>
  <si>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</si>
  <si>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</si>
  <si>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</si>
  <si>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</si>
  <si>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</si>
  <si>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</si>
  <si>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</si>
  <si>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</si>
  <si>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</si>
  <si>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</si>
  <si>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</si>
  <si>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</si>
  <si>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</si>
  <si>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</si>
  <si>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</si>
  <si>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</si>
  <si>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</si>
  <si>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</si>
  <si>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</si>
  <si>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</si>
  <si>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</si>
  <si>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</si>
  <si>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</si>
  <si>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</si>
  <si>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</si>
  <si>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</si>
  <si>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</si>
  <si>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</si>
  <si>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</si>
  <si>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</si>
  <si>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</si>
  <si>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</si>
  <si>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</si>
  <si>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</si>
  <si>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</si>
  <si>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</si>
  <si>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</si>
  <si>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</si>
  <si>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</si>
  <si>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</si>
  <si>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</si>
  <si>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</si>
  <si>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</si>
  <si>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</si>
  <si>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</si>
  <si>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</si>
  <si>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</si>
  <si>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</si>
  <si>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</si>
  <si>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</si>
  <si>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</si>
  <si>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</si>
  <si>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</si>
  <si>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</si>
  <si>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</si>
  <si>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</si>
  <si>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</si>
  <si>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</si>
  <si>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</si>
  <si>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</si>
  <si>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</si>
  <si>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</si>
  <si>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</si>
  <si>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</si>
  <si>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</si>
  <si>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</si>
  <si>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</si>
  <si>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</si>
  <si>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</si>
  <si>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</si>
  <si>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</si>
  <si>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</si>
  <si>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</si>
  <si>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</si>
  <si>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</si>
  <si>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</si>
  <si>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</si>
  <si>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</si>
  <si>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</si>
  <si>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</si>
  <si>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</si>
  <si>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</si>
  <si>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</si>
  <si>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</si>
  <si>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</si>
  <si>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</si>
  <si>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</si>
  <si>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</si>
  <si>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</si>
  <si>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</si>
  <si>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</si>
  <si>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</si>
  <si>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</si>
  <si>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</si>
  <si>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</si>
  <si>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</si>
  <si>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</si>
  <si>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</si>
  <si>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</si>
  <si>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</si>
  <si>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</si>
  <si>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</si>
  <si>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</si>
  <si>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</si>
  <si>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</si>
  <si>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</si>
  <si>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</si>
  <si>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</si>
  <si>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</si>
  <si>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</si>
  <si>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</si>
  <si>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</si>
  <si>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</si>
  <si>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</si>
  <si>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</si>
  <si>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</si>
  <si>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</si>
  <si>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</si>
  <si>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</si>
  <si>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</si>
  <si>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</si>
  <si>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</si>
  <si>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</si>
  <si>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</si>
  <si>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</si>
  <si>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</si>
  <si>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</si>
  <si>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</si>
  <si>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</si>
  <si>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</si>
  <si>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</si>
  <si>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</si>
  <si>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</si>
  <si>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</si>
  <si>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</si>
  <si>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</si>
  <si>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</si>
  <si>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</si>
  <si>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</si>
  <si>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</si>
  <si>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</si>
  <si>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</si>
  <si>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</si>
  <si>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</si>
  <si>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</si>
  <si>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</si>
  <si>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</si>
  <si>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</si>
  <si>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</si>
  <si>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</si>
  <si>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</si>
  <si>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</si>
  <si>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</si>
  <si>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</si>
  <si>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</si>
  <si>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</si>
  <si>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</si>
  <si>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</si>
  <si>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</si>
  <si>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</si>
  <si>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</si>
  <si>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</si>
  <si>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</si>
  <si>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</si>
  <si>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</si>
  <si>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</si>
  <si>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</si>
  <si>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</si>
  <si>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</si>
  <si>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</si>
  <si>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</si>
  <si>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</si>
  <si>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</si>
  <si>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</si>
  <si>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</si>
  <si>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</si>
  <si>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</si>
  <si>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</si>
  <si>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</si>
  <si>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</si>
  <si>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</si>
  <si>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</si>
  <si>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</si>
  <si>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</si>
  <si>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</si>
  <si>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</si>
  <si>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</si>
  <si>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</si>
  <si>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</si>
  <si>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</si>
  <si>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</si>
  <si>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</si>
  <si>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</si>
  <si>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</si>
  <si>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</si>
  <si>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</si>
  <si>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</si>
  <si>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</si>
  <si>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</si>
  <si>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</si>
  <si>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</si>
  <si>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</si>
  <si>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</si>
  <si>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</si>
  <si>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</si>
  <si>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</si>
  <si>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</si>
  <si>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</si>
  <si>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</si>
  <si>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</si>
  <si>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</si>
  <si>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</si>
  <si>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</si>
  <si>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</si>
  <si>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</si>
  <si>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</si>
  <si>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</si>
  <si>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</si>
  <si>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</si>
  <si>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</si>
  <si>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</si>
  <si>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</si>
  <si>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</si>
  <si>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</si>
  <si>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</si>
  <si>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</si>
  <si>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</si>
  <si>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</si>
  <si>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</si>
  <si>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</si>
  <si>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</si>
  <si>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</si>
  <si>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</si>
  <si>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</si>
  <si>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</si>
  <si>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</si>
  <si>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</si>
  <si>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</si>
  <si>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</si>
  <si>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</si>
  <si>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</si>
  <si>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</si>
  <si>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</si>
  <si>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</si>
  <si>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</si>
  <si>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</si>
  <si>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</si>
  <si>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</si>
  <si>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</si>
  <si>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</si>
  <si>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</si>
  <si>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</si>
  <si>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</si>
  <si>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</si>
  <si>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</si>
  <si>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</si>
  <si>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</si>
  <si>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</si>
  <si>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</si>
  <si>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</si>
  <si>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</si>
  <si>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</si>
  <si>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</si>
  <si>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</si>
  <si>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</si>
  <si>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</si>
  <si>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</si>
  <si>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</si>
  <si>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</si>
  <si>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</si>
  <si>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</si>
  <si>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</si>
  <si>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</si>
  <si>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</si>
  <si>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</si>
  <si>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</si>
  <si>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</si>
  <si>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</si>
  <si>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</si>
  <si>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</si>
  <si>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</si>
  <si>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</si>
  <si>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</si>
  <si>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</si>
  <si>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</si>
  <si>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</si>
  <si>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</si>
  <si>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</si>
  <si>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</si>
  <si>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</si>
  <si>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</si>
  <si>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</si>
  <si>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</si>
  <si>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</si>
  <si>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</si>
  <si>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</si>
  <si>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</si>
  <si>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</si>
  <si>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</si>
  <si>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</si>
  <si>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</si>
  <si>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</si>
  <si>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</si>
  <si>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</si>
  <si>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</si>
  <si>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</si>
  <si>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</si>
  <si>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</si>
  <si>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</si>
  <si>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</si>
  <si>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</si>
  <si>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</si>
  <si>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</si>
  <si>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</si>
  <si>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</si>
  <si>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</si>
  <si>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</si>
  <si>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</si>
  <si>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</si>
  <si>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</si>
  <si>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</si>
  <si>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</si>
  <si>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</si>
  <si>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</si>
  <si>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</si>
  <si>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</si>
  <si>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</si>
  <si>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</si>
  <si>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</si>
  <si>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</si>
  <si>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</si>
  <si>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</si>
  <si>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</si>
  <si>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</si>
  <si>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</si>
  <si>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</si>
  <si>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</si>
  <si>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</si>
  <si>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</si>
  <si>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</si>
  <si>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</si>
  <si>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</si>
  <si>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</si>
  <si>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</si>
  <si>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</si>
  <si>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</si>
  <si>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</si>
  <si>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</si>
  <si>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</si>
  <si>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</si>
  <si>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</si>
  <si>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</si>
  <si>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</si>
  <si>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</si>
  <si>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</si>
  <si>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</si>
  <si>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</si>
  <si>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</si>
  <si>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</si>
  <si>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</si>
  <si>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</si>
  <si>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</si>
  <si>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</si>
  <si>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</si>
  <si>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</si>
  <si>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</si>
  <si>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</si>
  <si>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</si>
  <si>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</si>
  <si>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</si>
  <si>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</si>
  <si>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</si>
  <si>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</si>
  <si>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</si>
  <si>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</si>
  <si>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</si>
  <si>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</si>
  <si>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</si>
  <si>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</si>
  <si>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</si>
  <si>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</si>
  <si>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</si>
  <si>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</si>
  <si>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</si>
  <si>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</si>
  <si>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</si>
  <si>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</si>
  <si>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</si>
  <si>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</si>
  <si>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</si>
  <si>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</si>
  <si>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</si>
  <si>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</si>
  <si>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</si>
  <si>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</si>
  <si>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</si>
  <si>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</si>
  <si>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</si>
  <si>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</si>
  <si>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</si>
  <si>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</si>
  <si>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</si>
  <si>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</si>
  <si>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</si>
  <si>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</si>
  <si>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</si>
  <si>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</si>
  <si>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</si>
  <si>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</si>
  <si>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</si>
  <si>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</si>
  <si>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</si>
  <si>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</si>
  <si>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</si>
  <si>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</si>
  <si>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</si>
  <si>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</si>
  <si>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</si>
  <si>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</si>
  <si>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</si>
  <si>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</si>
  <si>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</si>
  <si>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</si>
  <si>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</si>
  <si>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</si>
  <si>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</si>
  <si>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</si>
  <si>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</si>
  <si>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</si>
  <si>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</si>
  <si>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</si>
  <si>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</si>
  <si>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</si>
  <si>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</si>
  <si>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</si>
  <si>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</si>
  <si>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</si>
  <si>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</si>
  <si>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</si>
  <si>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</si>
  <si>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</si>
  <si>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</si>
  <si>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</si>
  <si>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</si>
  <si>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</si>
  <si>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</si>
  <si>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</si>
  <si>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</si>
  <si>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</si>
  <si>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</si>
  <si>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</si>
  <si>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</si>
  <si>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</si>
  <si>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</si>
  <si>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</si>
  <si>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</si>
  <si>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</si>
  <si>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</si>
  <si>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</si>
  <si>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</si>
  <si>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</si>
  <si>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</si>
  <si>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</si>
  <si>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</si>
  <si>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</si>
  <si>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</si>
  <si>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</si>
  <si>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</si>
  <si>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</si>
  <si>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</si>
  <si>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</si>
  <si>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</si>
  <si>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</si>
  <si>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</si>
  <si>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</si>
  <si>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</si>
  <si>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</si>
  <si>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</si>
  <si>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</si>
  <si>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</si>
  <si>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</si>
  <si>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</si>
  <si>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</si>
  <si>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</si>
  <si>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</si>
  <si>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</si>
  <si>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</si>
  <si>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</si>
  <si>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</si>
  <si>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</si>
  <si>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</si>
  <si>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</si>
  <si>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</si>
  <si>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</si>
  <si>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</si>
  <si>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</si>
  <si>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</si>
  <si>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</si>
  <si>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</si>
  <si>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</si>
  <si>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</si>
  <si>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</si>
  <si>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</si>
  <si>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</si>
  <si>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</si>
  <si>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</si>
  <si>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</si>
  <si>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</si>
  <si>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</si>
  <si>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</si>
  <si>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</si>
  <si>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</si>
  <si>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</si>
  <si>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</si>
  <si>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</si>
  <si>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</si>
  <si>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</si>
  <si>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</si>
  <si>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</si>
  <si>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</si>
  <si>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</si>
  <si>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</si>
  <si>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</si>
  <si>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</si>
  <si>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</si>
  <si>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</si>
  <si>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</si>
  <si>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</si>
  <si>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</si>
  <si>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</si>
  <si>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</si>
  <si>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</si>
  <si>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</si>
  <si>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</si>
  <si>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</si>
  <si>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</si>
  <si>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</si>
  <si>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</si>
  <si>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</si>
  <si>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</si>
  <si>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</si>
  <si>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</si>
  <si>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</si>
  <si>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</si>
  <si>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</si>
  <si>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</si>
  <si>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</si>
  <si>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</si>
  <si>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</si>
  <si>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</si>
  <si>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</si>
  <si>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</si>
  <si>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</si>
  <si>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</si>
  <si>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</si>
  <si>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</si>
  <si>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</si>
  <si>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</si>
  <si>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</si>
  <si>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</si>
  <si>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</si>
  <si>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</si>
  <si>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</si>
  <si>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</si>
  <si>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</si>
  <si>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</si>
  <si>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</si>
  <si>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</si>
  <si>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</si>
  <si>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</si>
  <si>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</si>
  <si>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</si>
  <si>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</si>
  <si>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</si>
  <si>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</si>
  <si>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</si>
  <si>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</si>
  <si>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</si>
  <si>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</si>
  <si>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</si>
  <si>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</si>
  <si>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</si>
  <si>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</si>
  <si>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</si>
  <si>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</si>
  <si>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</si>
  <si>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</si>
  <si>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</si>
  <si>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</si>
  <si>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</si>
  <si>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</si>
  <si>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</si>
  <si>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</si>
  <si>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</si>
  <si>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</si>
  <si>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</si>
  <si>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</si>
  <si>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</si>
  <si>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</si>
  <si>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</si>
  <si>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</si>
  <si>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</si>
  <si>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</si>
  <si>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</si>
  <si>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</si>
  <si>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</si>
  <si>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</si>
  <si>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</si>
  <si>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</si>
  <si>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</si>
  <si>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</si>
  <si>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</si>
  <si>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</si>
  <si>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</si>
  <si>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</si>
  <si>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</si>
  <si>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</si>
  <si>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</si>
  <si>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</si>
  <si>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</si>
  <si>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</si>
  <si>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</si>
  <si>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</si>
  <si>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</si>
  <si>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</si>
  <si>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</si>
  <si>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</si>
  <si>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</si>
  <si>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</si>
  <si>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</si>
  <si>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</si>
  <si>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</si>
  <si>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</si>
  <si>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</si>
  <si>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</si>
  <si>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</si>
  <si>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</si>
  <si>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</si>
  <si>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</si>
  <si>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</si>
  <si>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</si>
  <si>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</si>
  <si>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</si>
  <si>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</si>
  <si>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</si>
  <si>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</si>
  <si>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</si>
  <si>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</si>
  <si>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</si>
  <si>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</si>
  <si>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Adjusted Qty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</si>
  <si>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</si>
  <si>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</si>
  <si>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</si>
  <si>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</si>
  <si>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</si>
  <si>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</si>
  <si>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</si>
  <si>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</si>
  <si>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</si>
  <si>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</si>
  <si>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</si>
  <si>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</si>
  <si>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</si>
  <si>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</si>
  <si>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</si>
  <si>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</si>
  <si>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</si>
  <si>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</si>
  <si>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</si>
  <si>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</si>
  <si>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</si>
  <si>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</si>
  <si>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</si>
  <si>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</si>
  <si>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</si>
  <si>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</si>
  <si>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</si>
  <si>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</si>
  <si>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</si>
  <si>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</si>
  <si>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</si>
  <si>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</si>
  <si>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</si>
  <si>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</si>
  <si>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</si>
  <si>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</si>
  <si>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</si>
  <si>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</si>
  <si>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</si>
  <si>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</si>
  <si>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</si>
  <si>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</si>
  <si>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</si>
  <si>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</si>
  <si>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</si>
  <si>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</si>
  <si>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</si>
  <si>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</si>
  <si>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</si>
  <si>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</si>
  <si>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</si>
  <si>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</si>
  <si>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</si>
  <si>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</si>
  <si>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</si>
  <si>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</si>
  <si>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</si>
  <si>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</si>
  <si>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</si>
  <si>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</si>
  <si>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</si>
  <si>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</si>
  <si>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</si>
  <si>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</si>
  <si>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</si>
  <si>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</si>
  <si>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</si>
  <si>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</si>
  <si>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</si>
  <si>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</si>
  <si>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</si>
  <si>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</si>
  <si>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</si>
  <si>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</si>
  <si>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</si>
  <si>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</si>
  <si>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</si>
  <si>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</si>
  <si>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</si>
  <si>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</si>
  <si>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</si>
  <si>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</si>
  <si>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</si>
  <si>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</si>
  <si>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</si>
  <si>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</si>
  <si>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</si>
  <si>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</si>
  <si>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</si>
  <si>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</si>
  <si>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</si>
  <si>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</si>
  <si>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</si>
  <si>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</si>
  <si>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</si>
  <si>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</si>
  <si>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</si>
  <si>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</si>
  <si>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</si>
  <si>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</si>
  <si>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</si>
  <si>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</si>
  <si>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</si>
  <si>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</si>
  <si>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</si>
  <si>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</si>
  <si>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</si>
  <si>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</si>
  <si>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</si>
  <si>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</si>
  <si>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</si>
  <si>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</si>
  <si>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</si>
  <si>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</si>
  <si>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</si>
  <si>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</si>
  <si>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</si>
  <si>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</si>
  <si>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</si>
  <si>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</si>
  <si>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</si>
  <si>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</si>
  <si>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</si>
  <si>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</si>
  <si>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</si>
  <si>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</si>
  <si>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</si>
  <si>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</si>
  <si>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</si>
  <si>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</si>
  <si>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</si>
  <si>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</si>
  <si>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</si>
  <si>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</si>
  <si>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</si>
  <si>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</si>
  <si>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</si>
  <si>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</si>
  <si>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</si>
  <si>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</si>
  <si>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</si>
  <si>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</si>
  <si>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</si>
  <si>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</si>
  <si>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</si>
  <si>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</si>
  <si>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</si>
  <si>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</si>
  <si>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</si>
  <si>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</si>
  <si>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</si>
  <si>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</si>
  <si>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</si>
  <si>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</si>
  <si>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</si>
  <si>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</si>
  <si>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</si>
  <si>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</si>
  <si>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</si>
  <si>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</si>
  <si>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</si>
  <si>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</si>
  <si>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</si>
  <si>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</si>
  <si>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</si>
  <si>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</si>
  <si>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</si>
  <si>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</si>
  <si>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</si>
  <si>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</si>
  <si>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</si>
  <si>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</si>
  <si>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</si>
  <si>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</si>
  <si>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</si>
  <si>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</si>
  <si>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</si>
  <si>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</si>
  <si>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</si>
  <si>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</si>
  <si>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</si>
  <si>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</si>
  <si>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</si>
  <si>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</si>
  <si>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</si>
  <si>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</si>
  <si>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</si>
  <si>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</si>
  <si>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</si>
  <si>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</si>
  <si>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</si>
  <si>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</si>
  <si>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</si>
  <si>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</si>
  <si>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</si>
  <si>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</si>
  <si>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</si>
  <si>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</si>
  <si>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</si>
  <si>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</si>
  <si>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</si>
  <si>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</si>
  <si>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</si>
  <si>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</si>
  <si>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</si>
  <si>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</si>
  <si>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</si>
  <si>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</si>
  <si>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</si>
  <si>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</si>
  <si>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</si>
  <si>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</si>
  <si>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</si>
  <si>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</si>
  <si>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</si>
  <si>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</si>
  <si>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</si>
  <si>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</si>
  <si>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</si>
  <si>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</si>
  <si>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</si>
  <si>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</si>
  <si>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</si>
  <si>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</si>
  <si>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</si>
  <si>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</si>
  <si>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</si>
  <si>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</si>
  <si>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</si>
  <si>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</si>
  <si>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</si>
  <si>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</si>
  <si>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</si>
  <si>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</si>
  <si>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</si>
  <si>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</si>
  <si>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</si>
  <si>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</si>
  <si>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</si>
  <si>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</si>
  <si>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</si>
  <si>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</si>
  <si>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</si>
  <si>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</si>
  <si>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</si>
  <si>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</si>
  <si>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</si>
  <si>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</si>
  <si>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</si>
  <si>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</si>
  <si>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</si>
  <si>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</si>
  <si>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</si>
  <si>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</si>
  <si>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</si>
  <si>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</si>
  <si>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</si>
  <si>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</si>
  <si>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</si>
  <si>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</si>
  <si>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</si>
  <si>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</si>
  <si>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</si>
  <si>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</si>
  <si>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</si>
  <si>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</si>
  <si>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</si>
  <si>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</si>
  <si>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</si>
  <si>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</si>
  <si>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</si>
  <si>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</si>
  <si>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</si>
  <si>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</si>
  <si>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</si>
  <si>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</si>
  <si>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</si>
  <si>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</si>
  <si>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</si>
  <si>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</si>
  <si>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</si>
  <si>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</si>
  <si>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</si>
  <si>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</si>
  <si>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</si>
  <si>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</si>
  <si>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</si>
  <si>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</si>
  <si>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</si>
  <si>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</si>
  <si>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</si>
  <si>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</si>
  <si>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</si>
  <si>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</si>
  <si>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</si>
  <si>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</si>
  <si>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</si>
  <si>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</si>
  <si>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</si>
  <si>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</si>
  <si>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</si>
  <si>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</si>
  <si>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</si>
  <si>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</si>
  <si>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</si>
  <si>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</si>
  <si>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</si>
  <si>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</si>
  <si>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</si>
  <si>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</si>
  <si>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</si>
  <si>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</si>
  <si>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</si>
  <si>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</si>
  <si>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</si>
  <si>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</si>
  <si>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</si>
  <si>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</si>
  <si>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</si>
  <si>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</si>
  <si>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</si>
  <si>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</si>
  <si>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</si>
  <si>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</si>
  <si>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</si>
  <si>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</si>
  <si>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</si>
  <si>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</si>
  <si>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</si>
  <si>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</si>
  <si>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</si>
  <si>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</si>
  <si>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</si>
  <si>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</si>
  <si>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</si>
  <si>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</si>
  <si>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</si>
  <si>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</si>
  <si>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</si>
  <si>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</si>
  <si>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</si>
  <si>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</si>
  <si>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</si>
  <si>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</si>
  <si>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</si>
  <si>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</si>
  <si>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</si>
  <si>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</si>
  <si>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</si>
  <si>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</si>
  <si>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</si>
  <si>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</si>
  <si>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</si>
  <si>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</si>
  <si>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</si>
  <si>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</si>
  <si>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</si>
  <si>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</si>
  <si>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</si>
  <si>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</si>
  <si>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</si>
  <si>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</si>
  <si>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</si>
  <si>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</si>
  <si>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</si>
  <si>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</si>
  <si>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</si>
  <si>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</si>
  <si>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</si>
  <si>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</si>
  <si>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</si>
  <si>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</si>
  <si>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</si>
  <si>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</si>
  <si>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</si>
  <si>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</si>
  <si>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</si>
  <si>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</si>
  <si>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</si>
  <si>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</si>
  <si>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</si>
  <si>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</si>
  <si>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</si>
  <si>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</si>
  <si>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</si>
  <si>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</si>
  <si>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</si>
  <si>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</si>
  <si>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</si>
  <si>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</si>
  <si>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</si>
  <si>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</si>
  <si>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</si>
  <si>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</si>
  <si>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</si>
  <si>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</si>
  <si>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</si>
  <si>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</si>
  <si>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</si>
  <si>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</si>
  <si>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</si>
  <si>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</si>
  <si>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</si>
  <si>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</si>
  <si>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</si>
  <si>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</si>
  <si>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</si>
  <si>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</si>
  <si>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</si>
  <si>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</si>
  <si>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</si>
  <si>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</si>
  <si>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</si>
  <si>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</si>
  <si>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</si>
  <si>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</si>
  <si>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</si>
  <si>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</si>
  <si>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</si>
  <si>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</si>
  <si>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</si>
  <si>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</si>
  <si>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</si>
  <si>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</si>
  <si>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</si>
  <si>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</si>
  <si>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</si>
  <si>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</si>
  <si>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</si>
  <si>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</si>
  <si>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</si>
  <si>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</si>
  <si>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</si>
  <si>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</si>
  <si>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</si>
  <si>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</si>
  <si>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</si>
  <si>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</si>
  <si>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</si>
  <si>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</si>
  <si>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</si>
  <si>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</si>
  <si>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</si>
  <si>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</si>
  <si>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</si>
  <si>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</si>
  <si>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</si>
  <si>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</si>
  <si>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</si>
  <si>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</si>
  <si>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</si>
  <si>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</si>
  <si>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</si>
  <si>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</si>
  <si>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</si>
  <si>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</si>
  <si>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</si>
  <si>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</si>
  <si>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</si>
  <si>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</si>
  <si>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</si>
  <si>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</si>
  <si>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</si>
  <si>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</si>
  <si>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</si>
  <si>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</si>
  <si>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</si>
  <si>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</si>
  <si>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</si>
  <si>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</si>
  <si>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</si>
  <si>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</si>
  <si>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</si>
  <si>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</si>
  <si>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</si>
  <si>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</si>
  <si>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</si>
  <si>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</si>
  <si>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</si>
  <si>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</si>
  <si>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</si>
  <si>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</si>
  <si>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</si>
  <si>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</si>
  <si>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</si>
  <si>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</si>
  <si>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</si>
  <si>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</si>
  <si>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</si>
  <si>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</si>
  <si>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</si>
  <si>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jim</t>
  </si>
  <si>
    <t>incline</t>
  </si>
  <si>
    <t>dsfj</t>
  </si>
  <si>
    <t>blah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</si>
  <si>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</si>
  <si>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</si>
  <si>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</si>
  <si>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</si>
  <si>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</si>
  <si>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</si>
  <si>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</si>
  <si>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DO NOT MESS WITH LAYOUT</t>
  </si>
  <si>
    <t>0 = NA|| 1 = 2' ||2= 3' ||3 = 4' ||4 = 5' ||5 = 6' ||6 = custom</t>
  </si>
  <si>
    <t>0 = BR200 || 1 = CRL Clad || 2 = BR100 || 3 = BR500 || 4 = Wall mount GR || 5 = post mount GR || 6 = core hole GR || 7 = surface GR || 8 = custom</t>
  </si>
  <si>
    <t>0 = TR200 || 1 = TR375 || 2 = TR400 || 3 = CRL SS TR || 4 = NO TR || 5 = Coremount GR || 6 = BP mount GR || 7 = Wall mount GR || 8 = custom</t>
  </si>
  <si>
    <t xml:space="preserve">0 = Facia w bracket || 1 = steel angle || 2 = fascia direct || 3 = surface 5x5 || 4 = knife plate || 5 = angle brackets || 6 = 1line || 7 = 2line || 8 = 3line || 9 = custom 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</si>
  <si>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</si>
  <si>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</si>
  <si>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</si>
  <si>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0 = picket || 1 = 1/4 glass || 2 = 3/8 glass || 3 = 1/2 glass || 4 = 9/16 glass || 5 = grout || 6 = 4x4 BP GR || 7 = GR bracket || 8 = 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</si>
</sst>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theme="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theme="5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20" borderId="27" applyNumberFormat="0" applyAlignment="0" applyProtection="0"/>
    <xf numFmtId="0" fontId="31" fillId="21" borderId="27" applyNumberFormat="0" applyAlignment="0" applyProtection="0"/>
    <xf numFmtId="0" fontId="34" fillId="21" borderId="28" applyNumberFormat="0" applyAlignment="0" applyProtection="0"/>
    <xf numFmtId="0" fontId="35" fillId="0" borderId="29" applyNumberFormat="0" applyFill="0" applyAlignment="0" applyProtection="0"/>
    <xf numFmtId="0" fontId="1" fillId="22" borderId="30" applyNumberFormat="0" applyFont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9" fillId="34" borderId="56" applyNumberFormat="0" applyAlignment="0" applyProtection="0"/>
    <xf numFmtId="0" fontId="45" fillId="0" borderId="0" applyNumberFormat="0" applyFill="0" applyBorder="0" applyAlignment="0" applyProtection="0"/>
    <xf numFmtId="0" fontId="46" fillId="38" borderId="0" applyNumberFormat="0" applyBorder="0" applyAlignment="0" applyProtection="0"/>
    <xf numFmtId="0" fontId="55" fillId="0" borderId="0"/>
  </cellStyleXfs>
  <cellXfs count="1176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2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29" fillId="17" borderId="24" xfId="0" applyFont="1" applyFill="1" applyBorder="1"/>
    <xf numFmtId="0" fontId="29" fillId="17" borderId="25" xfId="0" applyFont="1" applyFill="1" applyBorder="1"/>
    <xf numFmtId="4" fontId="16" fillId="17" borderId="25" xfId="0" applyNumberFormat="1" applyFont="1" applyFill="1" applyBorder="1" applyAlignment="1">
      <alignment horizontal="center"/>
    </xf>
    <xf numFmtId="4" fontId="16" fillId="17" borderId="25" xfId="0" applyNumberFormat="1" applyFont="1" applyFill="1" applyBorder="1" applyAlignment="1">
      <alignment horizontal="center" wrapText="1"/>
    </xf>
    <xf numFmtId="0" fontId="29" fillId="17" borderId="25" xfId="0" applyFont="1" applyFill="1" applyBorder="1" applyAlignment="1">
      <alignment horizontal="center" wrapText="1"/>
    </xf>
    <xf numFmtId="4" fontId="16" fillId="17" borderId="26" xfId="0" applyNumberFormat="1" applyFont="1" applyFill="1" applyBorder="1" applyAlignment="1">
      <alignment horizontal="center" wrapText="1"/>
    </xf>
    <xf numFmtId="0" fontId="29" fillId="19" borderId="24" xfId="0" applyFont="1" applyFill="1" applyBorder="1"/>
    <xf numFmtId="0" fontId="29" fillId="19" borderId="25" xfId="0" applyFont="1" applyFill="1" applyBorder="1"/>
    <xf numFmtId="4" fontId="16" fillId="19" borderId="25" xfId="0" applyNumberFormat="1" applyFont="1" applyFill="1" applyBorder="1" applyAlignment="1">
      <alignment horizontal="center"/>
    </xf>
    <xf numFmtId="4" fontId="16" fillId="19" borderId="25" xfId="0" applyNumberFormat="1" applyFont="1" applyFill="1" applyBorder="1" applyAlignment="1">
      <alignment horizontal="center" wrapText="1"/>
    </xf>
    <xf numFmtId="0" fontId="29" fillId="19" borderId="25" xfId="0" applyFont="1" applyFill="1" applyBorder="1" applyAlignment="1">
      <alignment horizontal="center" wrapText="1"/>
    </xf>
    <xf numFmtId="4" fontId="16" fillId="19" borderId="26" xfId="0" applyNumberFormat="1" applyFont="1" applyFill="1" applyBorder="1" applyAlignment="1">
      <alignment horizontal="center" wrapText="1"/>
    </xf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7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8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9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6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31" xfId="0" applyFont="1" applyFill="1" applyBorder="1" applyAlignment="1">
      <alignment horizontal="left"/>
    </xf>
    <xf numFmtId="0" fontId="18" fillId="8" borderId="32" xfId="0" applyFont="1" applyFill="1" applyBorder="1" applyAlignment="1">
      <alignment horizontal="left"/>
    </xf>
    <xf numFmtId="0" fontId="20" fillId="8" borderId="32" xfId="0" applyFont="1" applyFill="1" applyBorder="1" applyAlignment="1">
      <alignment horizontal="left"/>
    </xf>
    <xf numFmtId="0" fontId="21" fillId="9" borderId="31" xfId="0" applyFont="1" applyFill="1" applyBorder="1" applyAlignment="1">
      <alignment horizontal="left"/>
    </xf>
    <xf numFmtId="0" fontId="18" fillId="9" borderId="32" xfId="0" applyFont="1" applyFill="1" applyBorder="1" applyAlignment="1">
      <alignment horizontal="left"/>
    </xf>
    <xf numFmtId="0" fontId="20" fillId="9" borderId="32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31" xfId="0" applyFont="1" applyFill="1" applyBorder="1" applyAlignment="1">
      <alignment horizontal="left"/>
    </xf>
    <xf numFmtId="0" fontId="21" fillId="4" borderId="32" xfId="0" applyFont="1" applyFill="1" applyBorder="1" applyAlignment="1">
      <alignment horizontal="left"/>
    </xf>
    <xf numFmtId="0" fontId="20" fillId="4" borderId="3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32" borderId="0" xfId="0" applyFill="1"/>
    <xf numFmtId="49" fontId="5" fillId="32" borderId="0" xfId="0" applyNumberFormat="1" applyFont="1" applyFill="1" applyAlignment="1">
      <alignment horizontal="center"/>
    </xf>
    <xf numFmtId="49" fontId="6" fillId="32" borderId="0" xfId="0" applyNumberFormat="1" applyFont="1" applyFill="1"/>
    <xf numFmtId="0" fontId="0" fillId="33" borderId="0" xfId="0" applyFill="1"/>
    <xf numFmtId="2" fontId="0" fillId="32" borderId="0" xfId="0" applyNumberFormat="1" applyFill="1"/>
    <xf numFmtId="4" fontId="0" fillId="32" borderId="0" xfId="0" applyNumberFormat="1" applyFill="1"/>
    <xf numFmtId="0" fontId="31" fillId="21" borderId="27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21" borderId="29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32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21" borderId="64" xfId="6" applyBorder="1"/>
    <xf numFmtId="43" fontId="31" fillId="21" borderId="27" xfId="6" applyNumberFormat="1"/>
    <xf numFmtId="170" fontId="31" fillId="21" borderId="27" xfId="6" applyNumberFormat="1"/>
    <xf numFmtId="2" fontId="31" fillId="21" borderId="27" xfId="6" applyNumberFormat="1"/>
    <xf numFmtId="4" fontId="31" fillId="21" borderId="27" xfId="6" applyNumberFormat="1"/>
    <xf numFmtId="0" fontId="6" fillId="8" borderId="0" xfId="0" applyNumberFormat="1" applyFont="1" applyFill="1"/>
    <xf numFmtId="0" fontId="6" fillId="32" borderId="0" xfId="0" applyNumberFormat="1" applyFont="1" applyFill="1"/>
    <xf numFmtId="0" fontId="31" fillId="32" borderId="27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32" borderId="0" xfId="0" applyNumberFormat="1" applyFill="1"/>
    <xf numFmtId="1" fontId="0" fillId="32" borderId="0" xfId="0" applyNumberFormat="1" applyFill="1"/>
    <xf numFmtId="1" fontId="0" fillId="33" borderId="0" xfId="0" applyNumberFormat="1" applyFill="1"/>
    <xf numFmtId="3" fontId="0" fillId="32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32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32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32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3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60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5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30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9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30" borderId="74" xfId="1" applyNumberFormat="1" applyFont="1" applyFill="1" applyBorder="1"/>
    <xf numFmtId="171" fontId="3" fillId="30" borderId="9" xfId="1" applyNumberFormat="1" applyFont="1" applyFill="1" applyBorder="1"/>
    <xf numFmtId="171" fontId="7" fillId="30" borderId="9" xfId="1" applyNumberFormat="1" applyFont="1" applyFill="1" applyBorder="1"/>
    <xf numFmtId="44" fontId="17" fillId="30" borderId="9" xfId="2" applyFont="1" applyFill="1" applyBorder="1"/>
    <xf numFmtId="173" fontId="38" fillId="30" borderId="9" xfId="2" applyNumberFormat="1" applyFont="1" applyFill="1" applyBorder="1"/>
    <xf numFmtId="49" fontId="36" fillId="30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6" borderId="0" xfId="0" applyFont="1" applyFill="1" applyBorder="1" applyAlignment="1">
      <alignment horizontal="center"/>
    </xf>
    <xf numFmtId="0" fontId="4" fillId="26" borderId="0" xfId="0" applyFont="1" applyFill="1" applyBorder="1" applyAlignment="1">
      <alignment horizontal="center"/>
    </xf>
    <xf numFmtId="0" fontId="18" fillId="32" borderId="0" xfId="0" applyFont="1" applyFill="1" applyAlignment="1">
      <alignment horizontal="left"/>
    </xf>
    <xf numFmtId="0" fontId="18" fillId="32" borderId="18" xfId="0" applyFont="1" applyFill="1" applyBorder="1" applyAlignment="1">
      <alignment horizontal="left"/>
    </xf>
    <xf numFmtId="0" fontId="18" fillId="32" borderId="9" xfId="0" applyFont="1" applyFill="1" applyBorder="1" applyAlignment="1">
      <alignment horizontal="left"/>
    </xf>
    <xf numFmtId="0" fontId="4" fillId="32" borderId="17" xfId="0" applyFont="1" applyFill="1" applyBorder="1" applyAlignment="1">
      <alignment horizontal="left"/>
    </xf>
    <xf numFmtId="0" fontId="21" fillId="32" borderId="39" xfId="0" applyFont="1" applyFill="1" applyBorder="1" applyAlignment="1">
      <alignment horizontal="left"/>
    </xf>
    <xf numFmtId="0" fontId="18" fillId="32" borderId="40" xfId="0" applyFont="1" applyFill="1" applyBorder="1" applyAlignment="1">
      <alignment horizontal="left"/>
    </xf>
    <xf numFmtId="0" fontId="20" fillId="32" borderId="40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6" borderId="71" xfId="5" applyNumberFormat="1" applyFill="1" applyBorder="1" applyProtection="1">
      <protection locked="0"/>
    </xf>
    <xf numFmtId="3" fontId="30" fillId="26" borderId="71" xfId="5" applyNumberFormat="1" applyFill="1" applyBorder="1" applyAlignment="1" applyProtection="1">
      <alignment horizontal="center"/>
      <protection locked="0"/>
    </xf>
    <xf numFmtId="3" fontId="30" fillId="26" borderId="71" xfId="5" applyNumberFormat="1" applyFill="1" applyBorder="1" applyProtection="1">
      <protection locked="0"/>
    </xf>
    <xf numFmtId="3" fontId="30" fillId="26" borderId="71" xfId="5" applyNumberFormat="1" applyFill="1" applyBorder="1" applyAlignment="1" applyProtection="1">
      <alignment wrapText="1"/>
      <protection locked="0"/>
    </xf>
    <xf numFmtId="4" fontId="30" fillId="26" borderId="71" xfId="5" applyNumberFormat="1" applyFill="1" applyBorder="1" applyProtection="1">
      <protection locked="0"/>
    </xf>
    <xf numFmtId="4" fontId="30" fillId="26" borderId="71" xfId="5" applyNumberFormat="1" applyFill="1" applyBorder="1" applyAlignment="1" applyProtection="1">
      <alignment wrapText="1"/>
      <protection locked="0"/>
    </xf>
    <xf numFmtId="0" fontId="8" fillId="26" borderId="71" xfId="0" applyFont="1" applyFill="1" applyBorder="1" applyProtection="1">
      <protection locked="0"/>
    </xf>
    <xf numFmtId="0" fontId="8" fillId="26" borderId="72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6" borderId="71" xfId="5" applyFill="1" applyBorder="1" applyProtection="1">
      <protection locked="0"/>
    </xf>
    <xf numFmtId="43" fontId="30" fillId="26" borderId="71" xfId="5" applyNumberFormat="1" applyFill="1" applyBorder="1" applyProtection="1">
      <protection locked="0"/>
    </xf>
    <xf numFmtId="4" fontId="8" fillId="26" borderId="71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41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31" borderId="7" xfId="0" applyFont="1" applyFill="1" applyBorder="1" applyProtection="1"/>
    <xf numFmtId="0" fontId="4" fillId="31" borderId="6" xfId="0" applyFont="1" applyFill="1" applyBorder="1" applyProtection="1"/>
    <xf numFmtId="0" fontId="4" fillId="31" borderId="8" xfId="0" applyFont="1" applyFill="1" applyBorder="1" applyProtection="1"/>
    <xf numFmtId="168" fontId="3" fillId="0" borderId="0" xfId="4" applyNumberFormat="1" applyFont="1" applyProtection="1"/>
    <xf numFmtId="0" fontId="4" fillId="30" borderId="9" xfId="0" applyFont="1" applyFill="1" applyBorder="1" applyProtection="1"/>
    <xf numFmtId="0" fontId="3" fillId="30" borderId="0" xfId="0" applyFont="1" applyFill="1" applyBorder="1" applyProtection="1"/>
    <xf numFmtId="0" fontId="3" fillId="30" borderId="11" xfId="0" applyFont="1" applyFill="1" applyBorder="1" applyProtection="1"/>
    <xf numFmtId="0" fontId="52" fillId="26" borderId="71" xfId="0" applyFont="1" applyFill="1" applyBorder="1" applyProtection="1"/>
    <xf numFmtId="0" fontId="3" fillId="30" borderId="9" xfId="0" applyFont="1" applyFill="1" applyBorder="1" applyProtection="1"/>
    <xf numFmtId="9" fontId="7" fillId="30" borderId="0" xfId="4" applyFont="1" applyFill="1" applyBorder="1" applyProtection="1"/>
    <xf numFmtId="9" fontId="7" fillId="30" borderId="11" xfId="4" applyFont="1" applyFill="1" applyBorder="1" applyProtection="1"/>
    <xf numFmtId="168" fontId="7" fillId="30" borderId="0" xfId="4" applyNumberFormat="1" applyFont="1" applyFill="1" applyBorder="1" applyProtection="1"/>
    <xf numFmtId="168" fontId="7" fillId="30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31" borderId="7" xfId="0" applyFont="1" applyFill="1" applyBorder="1" applyProtection="1"/>
    <xf numFmtId="0" fontId="3" fillId="31" borderId="6" xfId="0" applyFont="1" applyFill="1" applyBorder="1" applyProtection="1"/>
    <xf numFmtId="0" fontId="3" fillId="0" borderId="8" xfId="0" applyFont="1" applyBorder="1" applyProtection="1"/>
    <xf numFmtId="0" fontId="4" fillId="31" borderId="9" xfId="0" applyFont="1" applyFill="1" applyBorder="1" applyProtection="1"/>
    <xf numFmtId="0" fontId="3" fillId="31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7" borderId="0" xfId="0" applyFont="1" applyFill="1" applyProtection="1"/>
    <xf numFmtId="0" fontId="3" fillId="37" borderId="0" xfId="0" applyFont="1" applyFill="1" applyBorder="1" applyProtection="1"/>
    <xf numFmtId="0" fontId="3" fillId="37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32" xfId="8" applyNumberFormat="1" applyFont="1" applyFill="1" applyBorder="1" applyProtection="1"/>
    <xf numFmtId="171" fontId="40" fillId="0" borderId="67" xfId="8" applyNumberFormat="1" applyFont="1" applyFill="1" applyBorder="1" applyProtection="1"/>
    <xf numFmtId="171" fontId="40" fillId="0" borderId="68" xfId="1" applyNumberFormat="1" applyFont="1" applyFill="1" applyBorder="1" applyProtection="1"/>
    <xf numFmtId="171" fontId="40" fillId="0" borderId="69" xfId="6" applyNumberFormat="1" applyFont="1" applyFill="1" applyBorder="1" applyProtection="1"/>
    <xf numFmtId="171" fontId="40" fillId="0" borderId="70" xfId="6" applyNumberFormat="1" applyFont="1" applyFill="1" applyBorder="1" applyProtection="1"/>
    <xf numFmtId="171" fontId="40" fillId="0" borderId="66" xfId="1" applyNumberFormat="1" applyFont="1" applyFill="1" applyBorder="1" applyProtection="1"/>
    <xf numFmtId="0" fontId="3" fillId="0" borderId="65" xfId="0" applyFont="1" applyFill="1" applyBorder="1" applyProtection="1"/>
    <xf numFmtId="0" fontId="3" fillId="0" borderId="0" xfId="0" applyFont="1" applyBorder="1" applyProtection="1"/>
    <xf numFmtId="0" fontId="3" fillId="0" borderId="65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5" xfId="1" applyNumberFormat="1" applyFont="1" applyBorder="1" applyProtection="1"/>
    <xf numFmtId="171" fontId="40" fillId="0" borderId="0" xfId="1" applyNumberFormat="1" applyFont="1" applyBorder="1" applyProtection="1"/>
    <xf numFmtId="2" fontId="9" fillId="37" borderId="0" xfId="3" applyNumberFormat="1" applyFill="1" applyAlignment="1" applyProtection="1">
      <alignment horizontal="right"/>
    </xf>
    <xf numFmtId="43" fontId="40" fillId="37" borderId="65" xfId="1" applyNumberFormat="1" applyFont="1" applyFill="1" applyBorder="1" applyAlignment="1" applyProtection="1">
      <alignment horizontal="right"/>
    </xf>
    <xf numFmtId="43" fontId="40" fillId="37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6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5" borderId="0" xfId="0" applyFont="1" applyFill="1" applyAlignment="1" applyProtection="1">
      <alignment horizontal="center"/>
    </xf>
    <xf numFmtId="0" fontId="3" fillId="36" borderId="0" xfId="0" applyFont="1" applyFill="1" applyAlignment="1" applyProtection="1">
      <alignment horizontal="center"/>
    </xf>
    <xf numFmtId="0" fontId="44" fillId="26" borderId="0" xfId="0" applyFont="1" applyFill="1" applyAlignment="1" applyProtection="1">
      <alignment horizontal="center"/>
    </xf>
    <xf numFmtId="0" fontId="44" fillId="37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6" borderId="71" xfId="0" applyFont="1" applyFill="1" applyBorder="1" applyProtection="1">
      <protection locked="0"/>
    </xf>
    <xf numFmtId="172" fontId="3" fillId="26" borderId="71" xfId="1" applyNumberFormat="1" applyFont="1" applyFill="1" applyBorder="1" applyProtection="1">
      <protection locked="0"/>
    </xf>
    <xf numFmtId="43" fontId="3" fillId="26" borderId="71" xfId="1" applyFont="1" applyFill="1" applyBorder="1" applyProtection="1">
      <protection locked="0"/>
    </xf>
    <xf numFmtId="43" fontId="40" fillId="26" borderId="71" xfId="1" applyFont="1" applyFill="1" applyBorder="1" applyProtection="1">
      <protection locked="0"/>
    </xf>
    <xf numFmtId="0" fontId="4" fillId="26" borderId="71" xfId="0" applyFont="1" applyFill="1" applyBorder="1" applyProtection="1">
      <protection locked="0"/>
    </xf>
    <xf numFmtId="0" fontId="3" fillId="26" borderId="71" xfId="0" applyFont="1" applyFill="1" applyBorder="1" applyAlignment="1" applyProtection="1">
      <alignment horizontal="right"/>
      <protection locked="0"/>
    </xf>
    <xf numFmtId="0" fontId="38" fillId="26" borderId="72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6" borderId="71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20" borderId="42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20" borderId="62" xfId="5" applyNumberFormat="1" applyBorder="1" applyAlignment="1" applyProtection="1">
      <alignment horizontal="center"/>
    </xf>
    <xf numFmtId="43" fontId="30" fillId="20" borderId="11" xfId="5" applyNumberFormat="1" applyBorder="1" applyAlignment="1" applyProtection="1">
      <alignment horizontal="center" wrapText="1"/>
    </xf>
    <xf numFmtId="0" fontId="23" fillId="22" borderId="9" xfId="9" applyFont="1" applyBorder="1" applyAlignment="1" applyProtection="1">
      <alignment vertical="center"/>
    </xf>
    <xf numFmtId="0" fontId="23" fillId="22" borderId="0" xfId="9" applyFont="1" applyBorder="1" applyAlignment="1" applyProtection="1">
      <alignment vertical="center"/>
    </xf>
    <xf numFmtId="0" fontId="23" fillId="22" borderId="11" xfId="9" applyFont="1" applyBorder="1" applyAlignment="1" applyProtection="1">
      <alignment vertical="center"/>
    </xf>
    <xf numFmtId="0" fontId="23" fillId="22" borderId="13" xfId="9" applyFont="1" applyBorder="1" applyAlignment="1" applyProtection="1">
      <alignment vertical="center"/>
    </xf>
    <xf numFmtId="0" fontId="23" fillId="22" borderId="3" xfId="9" applyFont="1" applyBorder="1" applyAlignment="1" applyProtection="1">
      <alignment vertical="center"/>
    </xf>
    <xf numFmtId="0" fontId="23" fillId="22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8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6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wrapText="1"/>
    </xf>
    <xf numFmtId="0" fontId="4" fillId="0" borderId="65" xfId="0" applyFont="1" applyBorder="1" applyAlignment="1" applyProtection="1">
      <alignment horizontal="center" wrapText="1"/>
    </xf>
    <xf numFmtId="0" fontId="4" fillId="0" borderId="34" xfId="0" applyFont="1" applyBorder="1" applyAlignment="1" applyProtection="1">
      <alignment horizontal="center" wrapText="1"/>
    </xf>
    <xf numFmtId="0" fontId="4" fillId="0" borderId="48" xfId="0" applyFont="1" applyBorder="1" applyAlignment="1" applyProtection="1">
      <alignment horizontal="center" wrapText="1"/>
    </xf>
    <xf numFmtId="3" fontId="31" fillId="2" borderId="77" xfId="6" applyNumberFormat="1" applyFill="1" applyBorder="1" applyProtection="1"/>
    <xf numFmtId="3" fontId="31" fillId="2" borderId="55" xfId="6" applyNumberFormat="1" applyFill="1" applyBorder="1" applyAlignment="1" applyProtection="1">
      <alignment horizontal="center"/>
    </xf>
    <xf numFmtId="169" fontId="31" fillId="2" borderId="51" xfId="6" applyNumberFormat="1" applyFill="1" applyBorder="1" applyAlignment="1" applyProtection="1">
      <alignment horizontal="center"/>
    </xf>
    <xf numFmtId="3" fontId="31" fillId="2" borderId="51" xfId="6" applyNumberFormat="1" applyFill="1" applyBorder="1" applyProtection="1"/>
    <xf numFmtId="3" fontId="31" fillId="2" borderId="44" xfId="6" applyNumberFormat="1" applyFill="1" applyBorder="1" applyProtection="1"/>
    <xf numFmtId="3" fontId="31" fillId="2" borderId="78" xfId="6" applyNumberFormat="1" applyFill="1" applyBorder="1" applyProtection="1"/>
    <xf numFmtId="3" fontId="31" fillId="2" borderId="36" xfId="6" applyNumberFormat="1" applyFill="1" applyBorder="1" applyAlignment="1" applyProtection="1">
      <alignment horizontal="center"/>
    </xf>
    <xf numFmtId="169" fontId="31" fillId="2" borderId="37" xfId="6" applyNumberFormat="1" applyFill="1" applyBorder="1" applyAlignment="1" applyProtection="1">
      <alignment horizontal="center"/>
    </xf>
    <xf numFmtId="3" fontId="31" fillId="2" borderId="27" xfId="6" applyNumberFormat="1" applyFill="1" applyBorder="1" applyProtection="1"/>
    <xf numFmtId="3" fontId="31" fillId="2" borderId="37" xfId="6" applyNumberFormat="1" applyFill="1" applyBorder="1" applyProtection="1"/>
    <xf numFmtId="3" fontId="31" fillId="2" borderId="42" xfId="6" applyNumberFormat="1" applyFill="1" applyBorder="1" applyProtection="1"/>
    <xf numFmtId="3" fontId="31" fillId="2" borderId="46" xfId="6" applyNumberFormat="1" applyFill="1" applyBorder="1" applyProtection="1"/>
    <xf numFmtId="3" fontId="31" fillId="2" borderId="47" xfId="6" applyNumberFormat="1" applyFill="1" applyBorder="1" applyAlignment="1" applyProtection="1">
      <alignment horizontal="center"/>
    </xf>
    <xf numFmtId="169" fontId="31" fillId="2" borderId="52" xfId="6" applyNumberFormat="1" applyFill="1" applyBorder="1" applyAlignment="1" applyProtection="1">
      <alignment horizontal="center"/>
    </xf>
    <xf numFmtId="3" fontId="31" fillId="2" borderId="53" xfId="6" applyNumberFormat="1" applyFill="1" applyBorder="1" applyProtection="1"/>
    <xf numFmtId="3" fontId="31" fillId="2" borderId="52" xfId="6" applyNumberFormat="1" applyFill="1" applyBorder="1" applyProtection="1"/>
    <xf numFmtId="3" fontId="31" fillId="2" borderId="54" xfId="6" applyNumberFormat="1" applyFill="1" applyBorder="1" applyProtection="1"/>
    <xf numFmtId="0" fontId="0" fillId="4" borderId="0" xfId="0" applyFill="1" applyProtection="1"/>
    <xf numFmtId="4" fontId="31" fillId="21" borderId="27" xfId="6" applyNumberFormat="1" applyAlignment="1" applyProtection="1">
      <alignment horizontal="center"/>
    </xf>
    <xf numFmtId="4" fontId="31" fillId="21" borderId="27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21" borderId="27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3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92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9" borderId="0" xfId="0" applyFill="1" applyProtection="1"/>
    <xf numFmtId="0" fontId="11" fillId="39" borderId="0" xfId="0" applyFont="1" applyFill="1" applyBorder="1" applyProtection="1"/>
    <xf numFmtId="0" fontId="11" fillId="39" borderId="0" xfId="0" applyFont="1" applyFill="1" applyBorder="1" applyAlignment="1" applyProtection="1">
      <alignment horizontal="left"/>
    </xf>
    <xf numFmtId="3" fontId="11" fillId="39" borderId="0" xfId="0" applyNumberFormat="1" applyFont="1" applyFill="1" applyBorder="1" applyAlignment="1" applyProtection="1">
      <alignment horizontal="center" wrapText="1"/>
    </xf>
    <xf numFmtId="165" fontId="11" fillId="39" borderId="0" xfId="2" applyNumberFormat="1" applyFont="1" applyFill="1" applyBorder="1" applyAlignment="1" applyProtection="1">
      <alignment horizontal="center" wrapText="1"/>
    </xf>
    <xf numFmtId="44" fontId="11" fillId="39" borderId="0" xfId="0" applyNumberFormat="1" applyFont="1" applyFill="1" applyBorder="1" applyAlignment="1" applyProtection="1">
      <alignment horizontal="center" wrapText="1"/>
    </xf>
    <xf numFmtId="0" fontId="11" fillId="39" borderId="0" xfId="0" applyFont="1" applyFill="1" applyBorder="1" applyAlignment="1" applyProtection="1">
      <alignment horizontal="center"/>
    </xf>
    <xf numFmtId="44" fontId="11" fillId="39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32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32" xfId="0" applyNumberFormat="1" applyFont="1" applyBorder="1" applyAlignment="1" applyProtection="1">
      <alignment horizontal="center" wrapText="1"/>
    </xf>
    <xf numFmtId="165" fontId="11" fillId="0" borderId="32" xfId="2" applyNumberFormat="1" applyFont="1" applyBorder="1" applyAlignment="1" applyProtection="1">
      <alignment horizontal="center" wrapText="1"/>
    </xf>
    <xf numFmtId="44" fontId="11" fillId="0" borderId="32" xfId="0" applyNumberFormat="1" applyFont="1" applyBorder="1" applyAlignment="1" applyProtection="1">
      <alignment horizontal="center" wrapText="1"/>
    </xf>
    <xf numFmtId="0" fontId="11" fillId="13" borderId="32" xfId="0" applyFont="1" applyFill="1" applyBorder="1" applyProtection="1"/>
    <xf numFmtId="0" fontId="11" fillId="0" borderId="32" xfId="0" applyFont="1" applyBorder="1" applyAlignment="1" applyProtection="1">
      <alignment horizontal="center"/>
    </xf>
    <xf numFmtId="44" fontId="11" fillId="0" borderId="32" xfId="0" applyNumberFormat="1" applyFont="1" applyBorder="1" applyProtection="1"/>
    <xf numFmtId="0" fontId="11" fillId="39" borderId="0" xfId="0" applyFont="1" applyFill="1" applyProtection="1"/>
    <xf numFmtId="0" fontId="11" fillId="39" borderId="32" xfId="0" applyFont="1" applyFill="1" applyBorder="1" applyAlignment="1" applyProtection="1">
      <alignment horizontal="center"/>
    </xf>
    <xf numFmtId="3" fontId="11" fillId="39" borderId="0" xfId="0" applyNumberFormat="1" applyFont="1" applyFill="1" applyAlignment="1" applyProtection="1">
      <alignment horizontal="center" wrapText="1"/>
    </xf>
    <xf numFmtId="165" fontId="11" fillId="39" borderId="0" xfId="2" applyNumberFormat="1" applyFont="1" applyFill="1" applyAlignment="1" applyProtection="1">
      <alignment horizontal="center" wrapText="1"/>
    </xf>
    <xf numFmtId="44" fontId="11" fillId="39" borderId="0" xfId="0" applyNumberFormat="1" applyFont="1" applyFill="1" applyAlignment="1" applyProtection="1">
      <alignment horizontal="center" wrapText="1"/>
    </xf>
    <xf numFmtId="0" fontId="11" fillId="39" borderId="0" xfId="0" applyFont="1" applyFill="1" applyAlignment="1" applyProtection="1">
      <alignment horizontal="center"/>
    </xf>
    <xf numFmtId="44" fontId="11" fillId="39" borderId="0" xfId="0" applyNumberFormat="1" applyFont="1" applyFill="1" applyProtection="1"/>
    <xf numFmtId="0" fontId="0" fillId="4" borderId="17" xfId="0" applyFill="1" applyBorder="1" applyProtection="1"/>
    <xf numFmtId="0" fontId="11" fillId="39" borderId="32" xfId="0" applyFont="1" applyFill="1" applyBorder="1" applyProtection="1"/>
    <xf numFmtId="49" fontId="11" fillId="0" borderId="0" xfId="0" applyNumberFormat="1" applyFont="1" applyProtection="1"/>
    <xf numFmtId="0" fontId="11" fillId="0" borderId="96" xfId="0" applyFont="1" applyBorder="1" applyProtection="1"/>
    <xf numFmtId="0" fontId="11" fillId="0" borderId="94" xfId="0" applyFont="1" applyBorder="1" applyProtection="1"/>
    <xf numFmtId="0" fontId="11" fillId="0" borderId="95" xfId="0" applyFont="1" applyBorder="1" applyProtection="1"/>
    <xf numFmtId="4" fontId="30" fillId="20" borderId="27" xfId="5" applyNumberFormat="1" applyAlignment="1" applyProtection="1">
      <alignment horizontal="center"/>
      <protection locked="0"/>
    </xf>
    <xf numFmtId="0" fontId="0" fillId="40" borderId="4" xfId="0" applyFill="1" applyBorder="1" applyProtection="1"/>
    <xf numFmtId="0" fontId="0" fillId="40" borderId="4" xfId="0" applyFill="1" applyBorder="1" applyAlignment="1" applyProtection="1">
      <alignment horizontal="center"/>
    </xf>
    <xf numFmtId="0" fontId="0" fillId="40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40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40" borderId="0" xfId="0" applyFill="1" applyProtection="1"/>
    <xf numFmtId="0" fontId="0" fillId="6" borderId="0" xfId="0" applyFill="1" applyBorder="1" applyProtection="1"/>
    <xf numFmtId="0" fontId="27" fillId="40" borderId="0" xfId="0" applyFont="1" applyFill="1" applyProtection="1"/>
    <xf numFmtId="0" fontId="16" fillId="40" borderId="0" xfId="0" applyFont="1" applyFill="1" applyProtection="1"/>
    <xf numFmtId="0" fontId="23" fillId="0" borderId="0" xfId="0" applyFont="1" applyProtection="1"/>
    <xf numFmtId="0" fontId="0" fillId="40" borderId="17" xfId="0" applyFill="1" applyBorder="1" applyProtection="1"/>
    <xf numFmtId="0" fontId="0" fillId="0" borderId="32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32" xfId="2" applyFont="1" applyBorder="1" applyAlignment="1" applyProtection="1">
      <alignment horizontal="center" wrapText="1"/>
    </xf>
    <xf numFmtId="4" fontId="11" fillId="0" borderId="32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32" borderId="3" xfId="0" applyFont="1" applyFill="1" applyBorder="1" applyAlignment="1" applyProtection="1">
      <alignment horizontal="center" wrapText="1"/>
    </xf>
    <xf numFmtId="0" fontId="2" fillId="32" borderId="0" xfId="0" applyFont="1" applyFill="1" applyProtection="1"/>
    <xf numFmtId="0" fontId="0" fillId="32" borderId="0" xfId="0" applyFill="1" applyProtection="1"/>
    <xf numFmtId="0" fontId="27" fillId="32" borderId="0" xfId="0" applyFont="1" applyFill="1" applyProtection="1"/>
    <xf numFmtId="0" fontId="16" fillId="32" borderId="0" xfId="0" applyFont="1" applyFill="1" applyProtection="1"/>
    <xf numFmtId="0" fontId="23" fillId="0" borderId="19" xfId="0" applyFont="1" applyBorder="1" applyAlignment="1" applyProtection="1"/>
    <xf numFmtId="0" fontId="0" fillId="32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3" borderId="0" xfId="0" applyFont="1" applyFill="1"/>
    <xf numFmtId="39" fontId="56" fillId="42" borderId="0" xfId="2" applyNumberFormat="1" applyFont="1" applyFill="1"/>
    <xf numFmtId="0" fontId="56" fillId="42" borderId="0" xfId="0" applyFont="1" applyFill="1"/>
    <xf numFmtId="3" fontId="56" fillId="42" borderId="0" xfId="0" applyNumberFormat="1" applyFont="1" applyFill="1"/>
    <xf numFmtId="44" fontId="56" fillId="42" borderId="0" xfId="2" applyFont="1" applyFill="1"/>
    <xf numFmtId="0" fontId="51" fillId="42" borderId="0" xfId="0" applyFont="1" applyFill="1"/>
    <xf numFmtId="49" fontId="57" fillId="42" borderId="0" xfId="0" applyNumberFormat="1" applyFont="1" applyFill="1"/>
    <xf numFmtId="39" fontId="57" fillId="42" borderId="0" xfId="2" applyNumberFormat="1" applyFont="1" applyFill="1"/>
    <xf numFmtId="44" fontId="57" fillId="42" borderId="0" xfId="2" applyFont="1" applyFill="1"/>
    <xf numFmtId="49" fontId="51" fillId="42" borderId="0" xfId="0" applyNumberFormat="1" applyFont="1" applyFill="1"/>
    <xf numFmtId="44" fontId="56" fillId="0" borderId="0" xfId="2" applyFont="1"/>
    <xf numFmtId="44" fontId="56" fillId="43" borderId="0" xfId="2" applyFont="1" applyFill="1"/>
    <xf numFmtId="44" fontId="51" fillId="42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6" borderId="101" xfId="5" applyNumberFormat="1" applyFont="1" applyFill="1" applyBorder="1" applyAlignment="1" applyProtection="1">
      <alignment horizontal="right" vertical="center"/>
      <protection locked="0"/>
    </xf>
    <xf numFmtId="43" fontId="60" fillId="26" borderId="97" xfId="5" applyNumberFormat="1" applyFont="1" applyFill="1" applyBorder="1" applyAlignment="1" applyProtection="1">
      <alignment horizontal="right" vertical="center"/>
      <protection locked="0"/>
    </xf>
    <xf numFmtId="0" fontId="60" fillId="26" borderId="97" xfId="5" applyFont="1" applyFill="1" applyBorder="1" applyAlignment="1" applyProtection="1">
      <alignment horizontal="right" vertical="center"/>
      <protection locked="0"/>
    </xf>
    <xf numFmtId="9" fontId="60" fillId="26" borderId="102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6" borderId="0" xfId="0" applyFill="1" applyAlignment="1" applyProtection="1">
      <alignment horizontal="center"/>
    </xf>
    <xf numFmtId="0" fontId="4" fillId="37" borderId="0" xfId="0" applyFont="1" applyFill="1" applyAlignment="1" applyProtection="1">
      <alignment horizontal="center"/>
    </xf>
    <xf numFmtId="0" fontId="44" fillId="37" borderId="0" xfId="0" applyFont="1" applyFill="1" applyAlignment="1" applyProtection="1">
      <alignment horizontal="center"/>
    </xf>
    <xf numFmtId="0" fontId="3" fillId="36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30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31" borderId="0" xfId="0" applyFont="1" applyFill="1" applyBorder="1" applyProtection="1"/>
    <xf numFmtId="0" fontId="1" fillId="30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7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4" borderId="103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4" xfId="0" applyBorder="1"/>
    <xf numFmtId="10" fontId="7" fillId="30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5" borderId="0" xfId="0" applyFont="1" applyFill="1" applyBorder="1" applyAlignment="1">
      <alignment horizontal="center"/>
    </xf>
    <xf numFmtId="49" fontId="18" fillId="45" borderId="0" xfId="0" applyNumberFormat="1" applyFont="1" applyFill="1" applyAlignment="1">
      <alignment horizontal="center" wrapText="1"/>
    </xf>
    <xf numFmtId="49" fontId="18" fillId="44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6" borderId="0" xfId="0" applyNumberFormat="1" applyFont="1" applyFill="1" applyAlignment="1">
      <alignment horizontal="center" wrapText="1"/>
    </xf>
    <xf numFmtId="173" fontId="18" fillId="45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4" borderId="0" xfId="2" applyNumberFormat="1" applyFont="1" applyFill="1" applyAlignment="1">
      <alignment horizontal="center" wrapText="1"/>
    </xf>
    <xf numFmtId="173" fontId="18" fillId="46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5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7" borderId="17" xfId="1" applyFont="1" applyFill="1" applyBorder="1" applyProtection="1"/>
    <xf numFmtId="173" fontId="62" fillId="0" borderId="0" xfId="2" applyNumberFormat="1" applyFont="1" applyProtection="1"/>
    <xf numFmtId="44" fontId="7" fillId="0" borderId="63" xfId="2" applyFont="1" applyBorder="1"/>
    <xf numFmtId="44" fontId="7" fillId="0" borderId="105" xfId="0" applyNumberFormat="1" applyFont="1" applyFill="1" applyBorder="1" applyProtection="1"/>
    <xf numFmtId="0" fontId="52" fillId="26" borderId="83" xfId="0" applyFont="1" applyFill="1" applyBorder="1" applyProtection="1"/>
    <xf numFmtId="49" fontId="48" fillId="26" borderId="0" xfId="15" applyNumberFormat="1" applyFont="1" applyFill="1" applyBorder="1" applyAlignment="1" applyProtection="1">
      <alignment horizontal="center"/>
      <protection locked="0"/>
    </xf>
    <xf numFmtId="44" fontId="48" fillId="38" borderId="9" xfId="2" applyFont="1" applyFill="1" applyBorder="1" applyProtection="1"/>
    <xf numFmtId="44" fontId="3" fillId="26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32" borderId="103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9" fontId="37" fillId="44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5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6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32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40" xfId="0" applyNumberFormat="1" applyFont="1" applyFill="1" applyBorder="1" applyAlignment="1">
      <alignment horizontal="left"/>
    </xf>
    <xf numFmtId="0" fontId="18" fillId="32" borderId="9" xfId="0" applyFont="1" applyFill="1" applyBorder="1" applyAlignment="1">
      <alignment horizontal="center" vertical="center" textRotation="255"/>
    </xf>
    <xf numFmtId="0" fontId="18" fillId="32" borderId="21" xfId="0" applyFont="1" applyFill="1" applyBorder="1" applyAlignment="1">
      <alignment horizontal="center" vertical="center" textRotation="255"/>
    </xf>
    <xf numFmtId="44" fontId="18" fillId="32" borderId="0" xfId="0" applyNumberFormat="1" applyFont="1" applyFill="1" applyAlignment="1">
      <alignment horizontal="left"/>
    </xf>
    <xf numFmtId="0" fontId="18" fillId="32" borderId="0" xfId="0" applyFont="1" applyFill="1" applyAlignment="1">
      <alignment horizontal="left"/>
    </xf>
    <xf numFmtId="0" fontId="18" fillId="32" borderId="0" xfId="0" applyFont="1" applyFill="1" applyAlignment="1">
      <alignment horizontal="left" wrapText="1"/>
    </xf>
    <xf numFmtId="4" fontId="18" fillId="32" borderId="0" xfId="0" applyNumberFormat="1" applyFont="1" applyFill="1" applyAlignment="1">
      <alignment horizontal="left"/>
    </xf>
    <xf numFmtId="0" fontId="4" fillId="32" borderId="83" xfId="0" applyFont="1" applyFill="1" applyBorder="1" applyAlignment="1" applyProtection="1">
      <alignment horizontal="center" wrapText="1"/>
      <protection locked="0"/>
    </xf>
    <xf numFmtId="0" fontId="4" fillId="32" borderId="84" xfId="0" applyFont="1" applyFill="1" applyBorder="1" applyAlignment="1" applyProtection="1">
      <alignment horizontal="center" wrapText="1"/>
      <protection locked="0"/>
    </xf>
    <xf numFmtId="0" fontId="4" fillId="32" borderId="85" xfId="0" applyFont="1" applyFill="1" applyBorder="1" applyAlignment="1" applyProtection="1">
      <alignment horizontal="center" wrapText="1"/>
      <protection locked="0"/>
    </xf>
    <xf numFmtId="4" fontId="18" fillId="32" borderId="22" xfId="0" applyNumberFormat="1" applyFont="1" applyFill="1" applyBorder="1" applyAlignment="1">
      <alignment horizontal="left"/>
    </xf>
    <xf numFmtId="44" fontId="18" fillId="32" borderId="22" xfId="2" applyFont="1" applyFill="1" applyBorder="1" applyAlignment="1">
      <alignment horizontal="left"/>
    </xf>
    <xf numFmtId="44" fontId="4" fillId="32" borderId="22" xfId="0" applyNumberFormat="1" applyFont="1" applyFill="1" applyBorder="1" applyAlignment="1">
      <alignment horizontal="left"/>
    </xf>
    <xf numFmtId="44" fontId="18" fillId="32" borderId="0" xfId="2" applyFont="1" applyFill="1" applyAlignment="1">
      <alignment horizontal="left"/>
    </xf>
    <xf numFmtId="44" fontId="4" fillId="32" borderId="0" xfId="0" applyNumberFormat="1" applyFont="1" applyFill="1" applyAlignment="1">
      <alignment horizontal="left"/>
    </xf>
    <xf numFmtId="0" fontId="18" fillId="32" borderId="18" xfId="0" applyFont="1" applyFill="1" applyBorder="1" applyAlignment="1">
      <alignment horizontal="left"/>
    </xf>
    <xf numFmtId="4" fontId="18" fillId="32" borderId="18" xfId="0" applyNumberFormat="1" applyFont="1" applyFill="1" applyBorder="1" applyAlignment="1">
      <alignment horizontal="left"/>
    </xf>
    <xf numFmtId="44" fontId="18" fillId="32" borderId="18" xfId="2" applyFont="1" applyFill="1" applyBorder="1" applyAlignment="1">
      <alignment horizontal="left"/>
    </xf>
    <xf numFmtId="9" fontId="21" fillId="32" borderId="40" xfId="0" applyNumberFormat="1" applyFont="1" applyFill="1" applyBorder="1" applyAlignment="1">
      <alignment horizontal="left"/>
    </xf>
    <xf numFmtId="4" fontId="18" fillId="32" borderId="40" xfId="0" applyNumberFormat="1" applyFont="1" applyFill="1" applyBorder="1" applyAlignment="1">
      <alignment horizontal="left"/>
    </xf>
    <xf numFmtId="44" fontId="21" fillId="32" borderId="40" xfId="2" applyFont="1" applyFill="1" applyBorder="1" applyAlignment="1">
      <alignment horizontal="left"/>
    </xf>
    <xf numFmtId="0" fontId="18" fillId="32" borderId="22" xfId="0" applyFont="1" applyFill="1" applyBorder="1" applyAlignment="1">
      <alignment horizontal="left"/>
    </xf>
    <xf numFmtId="9" fontId="18" fillId="32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9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90" xfId="6" applyFill="1" applyBorder="1" applyAlignment="1" applyProtection="1">
      <alignment horizontal="center" vertical="center"/>
    </xf>
    <xf numFmtId="0" fontId="31" fillId="2" borderId="91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6" borderId="80" xfId="5" applyFont="1" applyFill="1" applyBorder="1" applyAlignment="1" applyProtection="1">
      <alignment horizontal="center" vertical="center"/>
      <protection locked="0"/>
    </xf>
    <xf numFmtId="0" fontId="33" fillId="26" borderId="82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6" borderId="80" xfId="5" applyNumberFormat="1" applyFont="1" applyFill="1" applyBorder="1" applyAlignment="1" applyProtection="1">
      <alignment horizontal="center" vertical="center"/>
      <protection locked="0"/>
    </xf>
    <xf numFmtId="9" fontId="27" fillId="26" borderId="82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20" borderId="86" xfId="5" applyFont="1" applyBorder="1" applyAlignment="1" applyProtection="1">
      <alignment horizontal="center" vertical="center"/>
    </xf>
    <xf numFmtId="0" fontId="33" fillId="20" borderId="87" xfId="5" applyFont="1" applyBorder="1" applyAlignment="1" applyProtection="1">
      <alignment horizontal="center" vertical="center"/>
    </xf>
    <xf numFmtId="14" fontId="33" fillId="26" borderId="80" xfId="5" applyNumberFormat="1" applyFont="1" applyFill="1" applyBorder="1" applyAlignment="1" applyProtection="1">
      <alignment horizontal="center" vertical="center"/>
      <protection locked="0"/>
    </xf>
    <xf numFmtId="14" fontId="33" fillId="26" borderId="81" xfId="5" applyNumberFormat="1" applyFont="1" applyFill="1" applyBorder="1" applyAlignment="1" applyProtection="1">
      <alignment horizontal="center" vertical="center"/>
      <protection locked="0"/>
    </xf>
    <xf numFmtId="14" fontId="33" fillId="26" borderId="82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6" borderId="81" xfId="5" applyFont="1" applyFill="1" applyBorder="1" applyAlignment="1" applyProtection="1">
      <alignment horizontal="center" vertical="center"/>
      <protection locked="0"/>
    </xf>
    <xf numFmtId="0" fontId="34" fillId="21" borderId="59" xfId="7" applyBorder="1" applyAlignment="1" applyProtection="1">
      <alignment horizontal="center" vertical="center"/>
    </xf>
    <xf numFmtId="0" fontId="34" fillId="21" borderId="43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20" borderId="55" xfId="5" applyFont="1" applyBorder="1" applyAlignment="1" applyProtection="1">
      <alignment horizontal="center" vertical="center"/>
    </xf>
    <xf numFmtId="0" fontId="33" fillId="20" borderId="44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20" borderId="50" xfId="5" applyFont="1" applyBorder="1" applyAlignment="1" applyProtection="1">
      <alignment horizontal="center" vertical="center"/>
    </xf>
    <xf numFmtId="0" fontId="34" fillId="21" borderId="61" xfId="7" applyBorder="1" applyAlignment="1" applyProtection="1">
      <alignment horizontal="center" vertical="center"/>
    </xf>
    <xf numFmtId="14" fontId="33" fillId="26" borderId="83" xfId="5" applyNumberFormat="1" applyFont="1" applyFill="1" applyBorder="1" applyAlignment="1" applyProtection="1">
      <alignment horizontal="center" vertical="center"/>
      <protection locked="0"/>
    </xf>
    <xf numFmtId="14" fontId="33" fillId="26" borderId="84" xfId="5" applyNumberFormat="1" applyFont="1" applyFill="1" applyBorder="1" applyAlignment="1" applyProtection="1">
      <alignment horizontal="center" vertical="center"/>
      <protection locked="0"/>
    </xf>
    <xf numFmtId="14" fontId="33" fillId="26" borderId="85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32" borderId="13" xfId="0" applyFont="1" applyFill="1" applyBorder="1" applyAlignment="1" applyProtection="1">
      <alignment horizontal="center"/>
    </xf>
    <xf numFmtId="0" fontId="12" fillId="32" borderId="3" xfId="0" applyFont="1" applyFill="1" applyBorder="1" applyAlignment="1" applyProtection="1">
      <alignment horizontal="center"/>
    </xf>
    <xf numFmtId="0" fontId="12" fillId="32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40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40" xfId="2" applyFont="1" applyFill="1" applyBorder="1" applyAlignment="1">
      <alignment horizontal="left"/>
    </xf>
    <xf numFmtId="44" fontId="21" fillId="8" borderId="32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32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40" xfId="0" applyNumberFormat="1" applyFont="1" applyFill="1" applyBorder="1" applyAlignment="1">
      <alignment horizontal="left"/>
    </xf>
    <xf numFmtId="4" fontId="18" fillId="8" borderId="32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32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6" borderId="80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3" xfId="0" applyFont="1" applyFill="1" applyBorder="1" applyAlignment="1" applyProtection="1">
      <alignment horizontal="center" wrapText="1"/>
      <protection locked="0"/>
    </xf>
    <xf numFmtId="0" fontId="4" fillId="8" borderId="84" xfId="0" applyFont="1" applyFill="1" applyBorder="1" applyAlignment="1" applyProtection="1">
      <alignment horizontal="center" wrapText="1"/>
      <protection locked="0"/>
    </xf>
    <xf numFmtId="0" fontId="4" fillId="8" borderId="85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32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32" xfId="0" applyFont="1" applyFill="1" applyBorder="1" applyAlignment="1">
      <alignment horizontal="left"/>
    </xf>
    <xf numFmtId="0" fontId="21" fillId="32" borderId="40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40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32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8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79" xfId="0" applyFont="1" applyBorder="1" applyAlignment="1" applyProtection="1">
      <alignment horizontal="center" wrapText="1"/>
    </xf>
    <xf numFmtId="0" fontId="4" fillId="0" borderId="49" xfId="0" applyFont="1" applyBorder="1" applyAlignment="1" applyProtection="1">
      <alignment horizontal="center" wrapText="1"/>
    </xf>
    <xf numFmtId="0" fontId="4" fillId="0" borderId="33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6" borderId="72" xfId="0" applyFont="1" applyFill="1" applyBorder="1" applyAlignment="1" applyProtection="1">
      <alignment horizontal="center" vertical="center" wrapText="1"/>
    </xf>
    <xf numFmtId="0" fontId="53" fillId="26" borderId="75" xfId="0" applyFont="1" applyFill="1" applyBorder="1" applyAlignment="1" applyProtection="1">
      <alignment horizontal="center" vertical="center" wrapText="1"/>
    </xf>
    <xf numFmtId="0" fontId="53" fillId="26" borderId="73" xfId="0" applyFont="1" applyFill="1" applyBorder="1" applyAlignment="1" applyProtection="1">
      <alignment horizontal="center" vertical="center" wrapText="1"/>
    </xf>
    <xf numFmtId="0" fontId="53" fillId="26" borderId="88" xfId="0" applyFont="1" applyFill="1" applyBorder="1" applyAlignment="1" applyProtection="1">
      <alignment horizontal="center" wrapText="1"/>
    </xf>
    <xf numFmtId="0" fontId="53" fillId="26" borderId="11" xfId="0" applyFont="1" applyFill="1" applyBorder="1" applyAlignment="1" applyProtection="1">
      <alignment horizontal="center" wrapText="1"/>
    </xf>
    <xf numFmtId="0" fontId="53" fillId="26" borderId="88" xfId="0" applyFont="1" applyFill="1" applyBorder="1" applyAlignment="1" applyProtection="1">
      <alignment horizontal="center" vertical="center" wrapText="1"/>
    </xf>
    <xf numFmtId="0" fontId="53" fillId="26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60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4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3" xfId="0" applyFont="1" applyFill="1" applyBorder="1" applyAlignment="1" applyProtection="1">
      <alignment horizontal="center" wrapText="1"/>
      <protection locked="0"/>
    </xf>
    <xf numFmtId="0" fontId="4" fillId="4" borderId="84" xfId="0" applyFont="1" applyFill="1" applyBorder="1" applyAlignment="1" applyProtection="1">
      <alignment horizontal="center" wrapText="1"/>
      <protection locked="0"/>
    </xf>
    <xf numFmtId="0" fontId="4" fillId="4" borderId="85" xfId="0" applyFont="1" applyFill="1" applyBorder="1" applyAlignment="1" applyProtection="1">
      <alignment horizontal="center" wrapText="1"/>
      <protection locked="0"/>
    </xf>
    <xf numFmtId="0" fontId="4" fillId="9" borderId="83" xfId="0" applyFont="1" applyFill="1" applyBorder="1" applyAlignment="1" applyProtection="1">
      <alignment horizontal="center" wrapText="1"/>
      <protection locked="0"/>
    </xf>
    <xf numFmtId="0" fontId="4" fillId="9" borderId="84" xfId="0" applyFont="1" applyFill="1" applyBorder="1" applyAlignment="1" applyProtection="1">
      <alignment horizontal="center" wrapText="1"/>
      <protection locked="0"/>
    </xf>
    <xf numFmtId="0" fontId="4" fillId="9" borderId="85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20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20" borderId="0" xfId="5" applyBorder="1" applyAlignment="1" applyProtection="1">
      <alignment horizontal="center"/>
    </xf>
    <xf numFmtId="0" fontId="2" fillId="40" borderId="20" xfId="0" applyFont="1" applyFill="1" applyBorder="1" applyAlignment="1" applyProtection="1">
      <alignment horizontal="center"/>
    </xf>
    <xf numFmtId="0" fontId="2" fillId="40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32" borderId="20" xfId="0" applyFont="1" applyFill="1" applyBorder="1" applyAlignment="1" applyProtection="1">
      <alignment horizontal="center"/>
    </xf>
    <xf numFmtId="0" fontId="2" fillId="32" borderId="4" xfId="0" applyFont="1" applyFill="1" applyBorder="1" applyAlignment="1" applyProtection="1">
      <alignment horizontal="center"/>
    </xf>
    <xf numFmtId="0" fontId="2" fillId="32" borderId="12" xfId="0" applyFont="1" applyFill="1" applyBorder="1" applyAlignment="1" applyProtection="1">
      <alignment horizontal="center"/>
    </xf>
    <xf numFmtId="0" fontId="20" fillId="2" borderId="98" xfId="0" applyFont="1" applyFill="1" applyBorder="1" applyAlignment="1" applyProtection="1">
      <alignment horizontal="right" vertical="center" wrapText="1"/>
    </xf>
    <xf numFmtId="0" fontId="20" fillId="2" borderId="99" xfId="0" applyFont="1" applyFill="1" applyBorder="1" applyAlignment="1" applyProtection="1">
      <alignment horizontal="right" vertical="center" wrapText="1"/>
    </xf>
    <xf numFmtId="0" fontId="20" fillId="2" borderId="100" xfId="0" applyFont="1" applyFill="1" applyBorder="1" applyAlignment="1" applyProtection="1">
      <alignment horizontal="right" vertical="center" wrapText="1"/>
    </xf>
    <xf numFmtId="0" fontId="28" fillId="25" borderId="0" xfId="12" applyFont="1" applyAlignment="1" applyProtection="1">
      <alignment horizontal="center" vertical="center" wrapText="1"/>
    </xf>
    <xf numFmtId="0" fontId="28" fillId="24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31" borderId="7" xfId="0" applyFont="1" applyFill="1" applyBorder="1" applyAlignment="1" applyProtection="1">
      <alignment horizontal="center"/>
    </xf>
    <xf numFmtId="0" fontId="4" fillId="31" borderId="6" xfId="0" applyFont="1" applyFill="1" applyBorder="1" applyAlignment="1" applyProtection="1">
      <alignment horizontal="center"/>
    </xf>
    <xf numFmtId="0" fontId="4" fillId="31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6" borderId="0" xfId="0" applyFill="1" applyAlignment="1" applyProtection="1">
      <alignment horizontal="center"/>
    </xf>
    <xf numFmtId="0" fontId="4" fillId="37" borderId="0" xfId="0" applyFont="1" applyFill="1" applyAlignment="1" applyProtection="1">
      <alignment horizontal="center"/>
    </xf>
    <xf numFmtId="0" fontId="29" fillId="34" borderId="57" xfId="13" applyBorder="1" applyAlignment="1" applyProtection="1">
      <alignment horizontal="center"/>
    </xf>
    <xf numFmtId="0" fontId="29" fillId="34" borderId="58" xfId="13" applyBorder="1" applyAlignment="1" applyProtection="1">
      <alignment horizontal="center"/>
    </xf>
    <xf numFmtId="0" fontId="44" fillId="37" borderId="0" xfId="0" applyFont="1" applyFill="1" applyAlignment="1" applyProtection="1">
      <alignment horizontal="center"/>
    </xf>
    <xf numFmtId="0" fontId="3" fillId="36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31" borderId="7" xfId="0" applyFont="1" applyFill="1" applyBorder="1" applyAlignment="1" applyProtection="1">
      <alignment horizontal="left"/>
    </xf>
    <xf numFmtId="0" fontId="4" fillId="31" borderId="6" xfId="0" applyFont="1" applyFill="1" applyBorder="1" applyAlignment="1" applyProtection="1">
      <alignment horizontal="left"/>
    </xf>
    <xf numFmtId="0" fontId="4" fillId="31" borderId="8" xfId="0" applyFont="1" applyFill="1" applyBorder="1" applyAlignment="1" applyProtection="1">
      <alignment horizontal="left"/>
    </xf>
    <xf numFmtId="0" fontId="1" fillId="24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5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6" borderId="72" xfId="0" applyFont="1" applyFill="1" applyBorder="1" applyAlignment="1" applyProtection="1">
      <alignment horizontal="center" wrapText="1"/>
    </xf>
    <xf numFmtId="0" fontId="38" fillId="26" borderId="73" xfId="0" applyFont="1" applyFill="1" applyBorder="1" applyAlignment="1" applyProtection="1">
      <alignment horizontal="center" wrapText="1"/>
    </xf>
    <xf numFmtId="0" fontId="4" fillId="0" borderId="65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11" fillId="5" borderId="0" xfId="0" applyFont="1" applyFill="1"/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34"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20">
  <autoFilter ref="A4:J265" xr:uid="{5F772D47-5C35-4BCA-9964-17BAF0D78F4C}"/>
  <tableColumns count="10">
    <tableColumn id="1" xr3:uid="{9CE6401A-4153-4E3F-989C-6A2E329824F2}" name="Area A" dataDxfId="119"/>
    <tableColumn id="2" xr3:uid="{2FDE69FA-DD3E-48BC-8C73-32237AC28E58}" name="Item" dataDxfId="118" dataCellStyle="Input"/>
    <tableColumn id="3" xr3:uid="{73CF198C-4585-4AD2-B478-32B6C1EEEE95}" name="Description" dataDxfId="117" dataCellStyle="Input"/>
    <tableColumn id="4" xr3:uid="{E99A6780-77EC-4B68-B471-60A7CFE5227C}" name="Qty (Feet)" dataDxfId="116" dataCellStyle="Input"/>
    <tableColumn id="5" xr3:uid="{DC29B026-B9E6-4A47-B1BF-569FD92111DF}" name="Unit Count" dataDxfId="115" dataCellStyle="Input"/>
    <tableColumn id="6" xr3:uid="{C34998F0-A6E7-4C04-ABB6-3EDCBA094052}" name="Unit Cost" dataDxfId="114" dataCellStyle="Input"/>
    <tableColumn id="7" xr3:uid="{20D1B0A4-6EBA-401E-841E-2BD4311C8605}" name="Extended Cost" dataDxfId="113" dataCellStyle="Currency">
      <calculatedColumnFormula>F5*E5</calculatedColumnFormula>
    </tableColumn>
    <tableColumn id="8" xr3:uid="{1FDA457F-AE71-48A8-8675-D294256F3254}" name="Coushion Qty" dataDxfId="112"/>
    <tableColumn id="9" xr3:uid="{5C847B2D-6814-4B6F-AB26-BC359C49A31D}" name="Coushion Unit Count" dataDxfId="111">
      <calculatedColumnFormula>ROUNDUP((E5*'Project Materials'!$D$18),0)</calculatedColumnFormula>
    </tableColumn>
    <tableColumn id="10" xr3:uid="{56EB806B-9514-41A0-9C8F-B5029F04BE3B}" name="Adjusted Cost" dataDxfId="110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6" dataDxfId="95" tableBorderDxfId="94">
  <autoFilter ref="A4:J266" xr:uid="{CB91838A-E22C-47FF-A566-FF3D95FD178F}"/>
  <tableColumns count="10">
    <tableColumn id="1" xr3:uid="{F25F0B7F-8BEB-4882-A05B-196F96D68B46}" name="Area B" dataDxfId="93"/>
    <tableColumn id="2" xr3:uid="{2AD1E214-A6CD-4999-8D41-4A304657B471}" name="Item" dataDxfId="92" dataCellStyle="Input"/>
    <tableColumn id="3" xr3:uid="{CC94CD99-A685-4265-9978-048AC13AD203}" name="Description" dataDxfId="91" dataCellStyle="Input"/>
    <tableColumn id="4" xr3:uid="{6BC8D5F1-D4A8-4D4D-9F31-701B3D105E4A}" name="Qty (Feet)" dataDxfId="90" dataCellStyle="Input"/>
    <tableColumn id="5" xr3:uid="{E1D389FA-48AD-46C3-A9D8-A1210BF0F12C}" name="Unit Count" dataDxfId="89" dataCellStyle="Input"/>
    <tableColumn id="6" xr3:uid="{80CE5A85-C8D3-4517-B278-154C60B349E1}" name="Unit Cost" dataDxfId="88" dataCellStyle="Input"/>
    <tableColumn id="7" xr3:uid="{1F6046B9-04A1-4D68-994C-A71916BA7123}" name="Extended Cost" dataDxfId="87" dataCellStyle="Currency"/>
    <tableColumn id="8" xr3:uid="{11A2C954-55CB-4A9F-8102-35C3F01D95B3}" name="Coushion Qty" dataDxfId="86"/>
    <tableColumn id="9" xr3:uid="{0DC92442-E4D5-4750-ABFF-796234C50444}" name="Coushion Unit Count" dataDxfId="85"/>
    <tableColumn id="10" xr3:uid="{AFADB858-A369-4AF0-AF72-1B4EDFAFE49A}" name="Adjusted Cost" dataDxfId="8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70" dataDxfId="69">
  <autoFilter ref="A4:J265" xr:uid="{DC859209-2B74-4825-8302-4BECF9B783F8}"/>
  <tableColumns count="10">
    <tableColumn id="1" xr3:uid="{4D58F2C9-DA07-471C-AA21-5F6B85969551}" name="Area B" dataDxfId="68"/>
    <tableColumn id="2" xr3:uid="{A1EC4D1B-5D72-4F34-A060-7449D713D9EB}" name="Item" dataDxfId="67" dataCellStyle="Input"/>
    <tableColumn id="3" xr3:uid="{35260459-BAD9-4E3A-A4F0-29D524C941CC}" name="Description" dataDxfId="66" dataCellStyle="Input"/>
    <tableColumn id="4" xr3:uid="{A55C3E2C-DFF4-4634-8A93-ADA1F7219F72}" name="Qty (Feet)" dataDxfId="65" dataCellStyle="Input"/>
    <tableColumn id="5" xr3:uid="{E30AE70A-F815-4518-8C01-7E81B0988470}" name="Unit Count" dataDxfId="64" dataCellStyle="Input"/>
    <tableColumn id="6" xr3:uid="{BB36A3D1-0C04-45EC-9ADC-ABF63442355B}" name="Unit Cost" dataDxfId="63" dataCellStyle="Input"/>
    <tableColumn id="7" xr3:uid="{A86F2396-EC43-4D83-850E-A1E53D5220D2}" name="Extended Cost" dataDxfId="62" dataCellStyle="Currency">
      <calculatedColumnFormula>F5*E5</calculatedColumnFormula>
    </tableColumn>
    <tableColumn id="8" xr3:uid="{759830BB-7402-48E5-8FEA-479659D10ADD}" name="Coushion Qty" dataDxfId="61"/>
    <tableColumn id="9" xr3:uid="{EADBA2FA-14EE-4A24-8CEB-FF7D61945EE5}" name="Coushion Unit Count" dataDxfId="60">
      <calculatedColumnFormula>ROUNDUP((E5*'Project Materials'!$L$18),0)</calculatedColumnFormula>
    </tableColumn>
    <tableColumn id="10" xr3:uid="{83D2B6D7-2AA3-4BCA-9940-F215F4FA328B}" name="Adjusted Cost" dataDxfId="59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5" dataDxfId="44">
  <autoFilter ref="A4:J265" xr:uid="{DFB4D55D-8B52-40C6-87DC-FBDCF0806021}"/>
  <tableColumns count="10">
    <tableColumn id="1" xr3:uid="{604BDE15-D7E5-4608-A5AE-B487606FC52A}" name="Area B" dataDxfId="43"/>
    <tableColumn id="2" xr3:uid="{F40E6EDC-D010-4664-B6E7-D40E8B1FEF29}" name="Item" dataDxfId="42" dataCellStyle="Input"/>
    <tableColumn id="3" xr3:uid="{70059973-9823-4A40-837B-33D90FA6F30A}" name="Description" dataDxfId="41" dataCellStyle="Input"/>
    <tableColumn id="4" xr3:uid="{1249BAD9-F3E8-4F09-BB8F-C6D5A3C63D2E}" name="Qty (Feet)" dataDxfId="40" dataCellStyle="Input"/>
    <tableColumn id="5" xr3:uid="{F6C4F3AC-F4D4-429C-8877-7A077DBC6815}" name="Unit Count" dataDxfId="39" dataCellStyle="Input"/>
    <tableColumn id="6" xr3:uid="{BC80C850-82FC-4A72-85D3-0F1F4DB84896}" name="Unit Cost" dataDxfId="38" dataCellStyle="Input"/>
    <tableColumn id="7" xr3:uid="{6509251D-1436-4B48-A690-EE7DFB0F056F}" name="Extended Cost" dataDxfId="37" dataCellStyle="Currency">
      <calculatedColumnFormula>F5*E5</calculatedColumnFormula>
    </tableColumn>
    <tableColumn id="8" xr3:uid="{BDFCF400-6676-47C3-8084-D142B986B4A1}" name="Coushion Qty" dataDxfId="36"/>
    <tableColumn id="9" xr3:uid="{97019B94-4372-4EB7-A889-6AC52E52E6E9}" name="Coushion Unit Count" dataDxfId="35">
      <calculatedColumnFormula>ROUNDUP((E5*'Project Materials'!$L$18),0)</calculatedColumnFormula>
    </tableColumn>
    <tableColumn id="10" xr3:uid="{05CF7E31-D1CC-4110-8B91-F8D4F799127F}" name="Adjusted Cost" dataDxfId="34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20" dataDxfId="19">
  <tableColumns count="10">
    <tableColumn id="1" xr3:uid="{D73B33A6-9375-4FF1-98E5-68E23FF50D87}" name="Grab Rail" dataDxfId="18"/>
    <tableColumn id="2" xr3:uid="{69BD9D66-1CB3-4BA8-A52F-669A48E2D8DA}" name="Item" dataDxfId="17" dataCellStyle="Input"/>
    <tableColumn id="3" xr3:uid="{5FF0CD49-89CD-4A7D-811A-6FBC433B331C}" name="Description" dataDxfId="16" dataCellStyle="Input"/>
    <tableColumn id="4" xr3:uid="{A7BE43F7-F02E-4343-8FBD-7D005BC64EC3}" name="Qty (Feet)" dataDxfId="15" dataCellStyle="Input"/>
    <tableColumn id="5" xr3:uid="{757E4C53-E2CE-4F29-BC56-D7EE2AF82C1C}" name="Unit Count" dataDxfId="14" dataCellStyle="Input"/>
    <tableColumn id="6" xr3:uid="{3459F3DA-B22B-40D5-A2BD-0B8DCEFC17A1}" name="Unit Cost" dataDxfId="13" dataCellStyle="Input"/>
    <tableColumn id="7" xr3:uid="{A6206802-C484-41EF-B1A4-1E7139ABF9A6}" name="Extended Cost" dataDxfId="12" dataCellStyle="Currency">
      <calculatedColumnFormula>F18*E18</calculatedColumnFormula>
    </tableColumn>
    <tableColumn id="8" xr3:uid="{1696A0B1-11A9-4A2B-9C42-5EB45E04FDCC}" name="Coushion Qty LF" dataDxfId="11"/>
    <tableColumn id="9" xr3:uid="{4E5CBF6B-BF74-4CC6-A159-C627E8E9A3A4}" name="Coushion Unit Count" dataDxfId="10">
      <calculatedColumnFormula>ROUNDUP((E18*'Project Materials'!$D$18),0)</calculatedColumnFormula>
    </tableColumn>
    <tableColumn id="10" xr3:uid="{A91C76AC-A20C-4D03-A22E-DF2F30FA61D2}" name="Adjusted Cost" dataDxfId="9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8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7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6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5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D1BB06-6A7B-4B67-8F58-F6C70807AC79}" name="Table1" displayName="Table1" ref="A2:F209" totalsRowShown="0">
  <autoFilter ref="A2:F209" xr:uid="{057FBACF-0E11-4FAD-9E34-36A716E37A0E}"/>
  <tableColumns count="6">
    <tableColumn id="1" xr3:uid="{C146797A-10CF-4061-B2F5-83E81E68DA82}" name="Item"/>
    <tableColumn id="2" xr3:uid="{72CBF997-B7A7-4DA1-8B80-DB75A6048785}" name="Description"/>
    <tableColumn id="3" xr3:uid="{56A1B180-C8D5-46A8-A131-F8D2EEC8519B}" name="Qty (Feet)"/>
    <tableColumn id="4" xr3:uid="{A87A1010-B08F-41DA-91E3-D83FAC875E1C}" name="Unit Count"/>
    <tableColumn id="5" xr3:uid="{E8896109-FDF3-4A25-908B-867CE7B5AF06}" name="Coushion Qty"/>
    <tableColumn id="6" xr3:uid="{ABCD0D28-3330-4CF5-9B6E-197275222B73}" name="Adjusted Qty" dataDxfId="4">
      <calculatedColumnFormula>IF(Table1[[#This Row],[Item]]="","",Table1[[#This Row],[Unit Count]]+Table1[[#This Row],[Coushion Qty]])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8C98BA-A2CE-4860-8773-8019D3CA0F32}" name="Table3" displayName="Table3" ref="H2:M209" totalsRowShown="0" headerRowBorderDxfId="3" tableBorderDxfId="2">
  <autoFilter ref="H2:M209" xr:uid="{4A8FD542-DC1A-456D-8175-E7F0D8B31845}"/>
  <tableColumns count="6">
    <tableColumn id="1" xr3:uid="{6A2EB579-E370-4C8C-8FE7-5F5E7150A39E}" name="Item"/>
    <tableColumn id="2" xr3:uid="{2C73F356-0DB3-4220-8C8E-60F228F4EC06}" name="Description"/>
    <tableColumn id="3" xr3:uid="{48E3B404-1D8F-4106-A803-B2A2CDEEB022}" name="Qty (Feet)"/>
    <tableColumn id="4" xr3:uid="{413D0677-8B3E-4D2E-9B32-CE0767D4EF61}" name="Unit Count"/>
    <tableColumn id="5" xr3:uid="{3C8E87DC-295D-47EE-8CB8-0F03FE533F41}" name="Coushion Qty"/>
    <tableColumn id="6" xr3:uid="{0391EA9B-EE18-4DE6-B991-485F327F4319}" name="Adjusted Qty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A9AFD6-AA75-4AF2-918F-61C4E3A1C8EC}" name="Table5" displayName="Table5" ref="O2:T209" totalsRowShown="0" headerRowBorderDxfId="1" tableBorderDxfId="0">
  <autoFilter ref="O2:T209" xr:uid="{3D9F1524-867C-4048-8034-5C5258A194A8}"/>
  <tableColumns count="6">
    <tableColumn id="1" xr3:uid="{A94B6107-DDE1-4824-AD4A-57494C6AECE8}" name="Item"/>
    <tableColumn id="2" xr3:uid="{D4BCD4DB-C4AF-4D12-990D-E2C6CA581760}" name="Description"/>
    <tableColumn id="3" xr3:uid="{A9D61DB2-A7C1-4550-99A6-164064595238}" name="Qty (Feet)"/>
    <tableColumn id="4" xr3:uid="{2020A12D-C811-45AA-BBD9-EEA98477FC3A}" name="Unit Count"/>
    <tableColumn id="5" xr3:uid="{7A1900ED-AC8F-40CE-9EC6-010BBE02E794}" name="Coushion Qty"/>
    <tableColumn id="6" xr3:uid="{5595BB1A-895F-43BF-8F44-726402F536CE}" name="Adjusted Qty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301"/>
    <col min="2" max="2" width="31.84375" style="301" customWidth="1"/>
    <col min="3" max="3" width="11.53515625" style="301" bestFit="1" customWidth="1"/>
    <col min="4" max="6" width="11.3046875" style="301" customWidth="1"/>
    <col min="7" max="9" width="11.3046875" style="797" customWidth="1"/>
    <col min="10" max="10" width="13.69140625" style="797" bestFit="1" customWidth="1"/>
    <col min="11" max="11" width="11.84375" style="136" customWidth="1"/>
    <col min="12" max="12" width="9.84375" style="136" customWidth="1"/>
    <col min="13" max="13" width="8.84375" style="301"/>
    <col min="14" max="14" width="41.15234375" style="301" bestFit="1" customWidth="1"/>
    <col min="15" max="18" width="11.53515625" style="301" customWidth="1"/>
    <col min="19" max="19" width="11.53515625" style="771" customWidth="1"/>
    <col min="20" max="20" width="13.84375" style="301" customWidth="1"/>
    <col min="21" max="21" width="8" style="301" bestFit="1" customWidth="1"/>
    <col min="22" max="25" width="11.53515625" style="301" customWidth="1"/>
    <col min="26" max="26" width="11.53515625" style="771" customWidth="1"/>
    <col min="27" max="27" width="9.84375" style="301" bestFit="1" customWidth="1"/>
    <col min="28" max="28" width="5.53515625" style="301" customWidth="1"/>
    <col min="29" max="32" width="11.53515625" style="301" customWidth="1"/>
    <col min="33" max="33" width="11.53515625" style="771" customWidth="1"/>
    <col min="34" max="34" width="9.84375" style="301" bestFit="1" customWidth="1"/>
    <col min="35" max="35" width="12.3046875" style="301" bestFit="1" customWidth="1"/>
    <col min="36" max="37" width="9.84375" style="301" bestFit="1" customWidth="1"/>
    <col min="38" max="42" width="8.84375" style="301"/>
    <col min="43" max="43" width="4" style="301" customWidth="1"/>
    <col min="44" max="44" width="9.84375" style="301" customWidth="1"/>
    <col min="45" max="45" width="9.53515625" style="301" bestFit="1" customWidth="1"/>
    <col min="46" max="46" width="14.15234375" style="301" bestFit="1" customWidth="1"/>
    <col min="47" max="47" width="12.3046875" style="301" bestFit="1" customWidth="1"/>
    <col min="48" max="49" width="9.84375" style="301" bestFit="1" customWidth="1"/>
    <col min="50" max="16384" width="8.84375" style="301"/>
  </cols>
  <sheetData>
    <row r="1" spans="1:52" s="698" customFormat="1" ht="16.3" thickBot="1" x14ac:dyDescent="0.45">
      <c r="A1" s="131"/>
      <c r="B1" s="835" t="s">
        <v>491</v>
      </c>
      <c r="C1" s="878" t="str">
        <f>IF('Project Materials'!D2="","",'Project Materials'!D2)</f>
        <v/>
      </c>
      <c r="D1" s="878"/>
      <c r="E1" s="878"/>
      <c r="F1" s="879" t="s">
        <v>490</v>
      </c>
      <c r="G1" s="879"/>
      <c r="H1" s="879"/>
      <c r="I1" s="879"/>
      <c r="J1" s="879"/>
      <c r="K1" s="879"/>
      <c r="L1" s="807"/>
      <c r="M1" s="878" t="str">
        <f>IF('Project Materials'!I2="","",'Project Materials'!I2)</f>
        <v/>
      </c>
      <c r="N1" s="878"/>
      <c r="O1" s="878"/>
      <c r="P1" s="880" t="s">
        <v>492</v>
      </c>
      <c r="Q1" s="880"/>
      <c r="R1" s="881" t="str">
        <f>IF('Project Materials'!N2="","",'Project Materials'!N2)</f>
        <v/>
      </c>
      <c r="S1" s="881"/>
      <c r="T1" s="881"/>
      <c r="U1" s="881"/>
      <c r="Z1" s="771"/>
      <c r="AG1" s="771"/>
    </row>
    <row r="2" spans="1:52" ht="15.9" thickBot="1" x14ac:dyDescent="0.45">
      <c r="A2" s="131"/>
      <c r="B2" s="131"/>
      <c r="C2" s="131"/>
      <c r="D2" s="267" t="s">
        <v>1092</v>
      </c>
      <c r="E2" s="135"/>
      <c r="F2" s="135"/>
      <c r="G2" s="135"/>
      <c r="H2" s="267" t="s">
        <v>1102</v>
      </c>
      <c r="I2" s="135"/>
      <c r="J2" s="135"/>
      <c r="K2" s="135"/>
      <c r="L2" s="135"/>
      <c r="M2" s="135"/>
      <c r="N2" s="131"/>
      <c r="O2" s="135"/>
      <c r="P2" s="135"/>
      <c r="Q2" s="135"/>
      <c r="R2" s="135"/>
      <c r="S2" s="135"/>
      <c r="T2" s="135" t="s">
        <v>9</v>
      </c>
      <c r="U2" s="135"/>
      <c r="V2" s="135"/>
      <c r="W2" s="135"/>
      <c r="X2" s="135"/>
      <c r="Y2" s="135"/>
      <c r="Z2" s="135"/>
    </row>
    <row r="3" spans="1:52" ht="75.75" customHeight="1" x14ac:dyDescent="0.4">
      <c r="A3" s="131"/>
      <c r="B3" s="131"/>
      <c r="C3" s="404" t="s">
        <v>875</v>
      </c>
      <c r="D3" s="822" t="s">
        <v>1094</v>
      </c>
      <c r="E3" s="824" t="s">
        <v>1096</v>
      </c>
      <c r="F3" s="823" t="s">
        <v>1101</v>
      </c>
      <c r="G3" s="825" t="s">
        <v>1095</v>
      </c>
      <c r="H3" s="822" t="s">
        <v>1094</v>
      </c>
      <c r="I3" s="824" t="s">
        <v>1096</v>
      </c>
      <c r="J3" s="823" t="s">
        <v>1101</v>
      </c>
      <c r="K3" s="825" t="s">
        <v>1145</v>
      </c>
      <c r="L3" s="404"/>
      <c r="M3" s="353"/>
      <c r="N3" s="339"/>
      <c r="O3" s="877" t="s">
        <v>1091</v>
      </c>
      <c r="P3" s="877"/>
      <c r="Q3" s="877"/>
      <c r="R3" s="877"/>
      <c r="S3" s="877"/>
      <c r="T3" s="877"/>
      <c r="U3" s="339"/>
      <c r="V3" s="876" t="s">
        <v>1084</v>
      </c>
      <c r="W3" s="876"/>
      <c r="X3" s="876"/>
      <c r="Y3" s="876"/>
      <c r="Z3" s="876"/>
      <c r="AA3" s="876"/>
      <c r="AB3" s="801"/>
      <c r="AI3" s="135"/>
      <c r="AJ3" s="135"/>
      <c r="AK3" s="135"/>
      <c r="AL3" s="135"/>
      <c r="AM3" s="135"/>
      <c r="AN3" s="135"/>
      <c r="AS3" s="135"/>
      <c r="AT3" s="135"/>
      <c r="AU3" s="135"/>
      <c r="AV3" s="135"/>
      <c r="AW3" s="135"/>
      <c r="AX3" s="135"/>
      <c r="AY3" s="135"/>
      <c r="AZ3" s="135"/>
    </row>
    <row r="4" spans="1:52" ht="15.45" x14ac:dyDescent="0.4">
      <c r="A4" s="131"/>
      <c r="B4" s="140" t="s">
        <v>738</v>
      </c>
      <c r="C4" s="141"/>
      <c r="D4" s="131"/>
      <c r="E4" s="251"/>
      <c r="F4" s="251"/>
      <c r="G4" s="251"/>
      <c r="H4" s="251"/>
      <c r="I4" s="251"/>
      <c r="J4" s="251"/>
      <c r="K4" s="251"/>
      <c r="L4" s="135"/>
      <c r="M4" s="354"/>
      <c r="N4" s="306"/>
      <c r="O4" s="360" t="str">
        <f>+'Project Labor'!$C$19</f>
        <v/>
      </c>
      <c r="P4" s="362" t="str">
        <f>+'Project Labor'!$D$19</f>
        <v/>
      </c>
      <c r="Q4" s="364" t="str">
        <f>+'Project Labor'!$E$19</f>
        <v/>
      </c>
      <c r="R4" s="366" t="str">
        <f>+'Project Labor'!$F$19</f>
        <v/>
      </c>
      <c r="S4" s="779" t="s">
        <v>953</v>
      </c>
      <c r="T4" s="340" t="str">
        <f>+'Project Labor'!H19</f>
        <v>Total</v>
      </c>
      <c r="U4" s="341"/>
      <c r="V4" s="361" t="str">
        <f>+'Project Labor'!$C$19</f>
        <v/>
      </c>
      <c r="W4" s="363" t="str">
        <f>+'Project Labor'!$D$19</f>
        <v/>
      </c>
      <c r="X4" s="365" t="str">
        <f>+'Project Labor'!$E$19</f>
        <v/>
      </c>
      <c r="Y4" s="367" t="str">
        <f>+'Project Labor'!$F$19</f>
        <v/>
      </c>
      <c r="Z4" s="779" t="s">
        <v>953</v>
      </c>
      <c r="AA4" s="340" t="str">
        <f>+'Project Labor'!H19</f>
        <v>Total</v>
      </c>
      <c r="AB4" s="802"/>
    </row>
    <row r="5" spans="1:52" ht="15.45" x14ac:dyDescent="0.4">
      <c r="A5" s="131"/>
      <c r="B5" s="140" t="s">
        <v>753</v>
      </c>
      <c r="C5" s="141"/>
      <c r="D5" s="131"/>
      <c r="E5" s="252"/>
      <c r="F5" s="252"/>
      <c r="G5" s="252"/>
      <c r="H5" s="826">
        <f>+T5</f>
        <v>0</v>
      </c>
      <c r="I5" s="827">
        <f>+AA5</f>
        <v>0</v>
      </c>
      <c r="J5" s="828">
        <f>+T27</f>
        <v>0</v>
      </c>
      <c r="K5" s="829">
        <f>+AA27</f>
        <v>0</v>
      </c>
      <c r="L5" s="813" t="s">
        <v>9</v>
      </c>
      <c r="M5" s="354"/>
      <c r="N5" s="140" t="s">
        <v>753</v>
      </c>
      <c r="O5" s="342">
        <f>+(O9+O10+O11+O12+O14+O15+O18)/(1-'Work Area'!$R$19)</f>
        <v>0</v>
      </c>
      <c r="P5" s="342">
        <f>+(P9+P10+P11+P12+P14+P15+P18)/(1-'Work Area'!$R$19)</f>
        <v>0</v>
      </c>
      <c r="Q5" s="342">
        <f>+(Q9+Q10+Q11+Q12+Q14+Q15+Q18)/(1-'Work Area'!$R$19)</f>
        <v>0</v>
      </c>
      <c r="R5" s="342">
        <f>+(R9+R10+R11+R12+R14+R15+R18)/(1-'Work Area'!$R$19)</f>
        <v>0</v>
      </c>
      <c r="S5" s="342">
        <f>+(S9+S10+S11+S12+S14+S15+S18)/(1-'Work Area'!$R$19)</f>
        <v>0</v>
      </c>
      <c r="T5" s="309">
        <f>SUM(O5:S5)</f>
        <v>0</v>
      </c>
      <c r="U5" s="305"/>
      <c r="V5" s="342">
        <f>+(V9+V10+V11+V12+V14+V15+V18)/(1-'Work Area'!$R$20)</f>
        <v>0</v>
      </c>
      <c r="W5" s="342">
        <f>+(W9+W10+W11+W12+W14+W15+W18)/(1-'Work Area'!$R$20)</f>
        <v>0</v>
      </c>
      <c r="X5" s="342">
        <f>+(X9+X10+X11+X12+X14+X15+X18)/(1-'Work Area'!$R$20)</f>
        <v>0</v>
      </c>
      <c r="Y5" s="342">
        <f>+(Y9+Y10+Y11+Y12+Y14+Y15+Y18)/(1-'Work Area'!$R$20)</f>
        <v>0</v>
      </c>
      <c r="Z5" s="342">
        <f>+(Z9+Z10+Z11+Z12+Z14+Z15+Z18)/(1-'Work Area'!$R$20)</f>
        <v>0</v>
      </c>
      <c r="AA5" s="309">
        <f>SUM(V5:Z5)</f>
        <v>0</v>
      </c>
      <c r="AB5" s="803" t="s">
        <v>9</v>
      </c>
    </row>
    <row r="6" spans="1:52" ht="15.9" thickBot="1" x14ac:dyDescent="0.45">
      <c r="A6" s="131"/>
      <c r="B6" s="140" t="s">
        <v>424</v>
      </c>
      <c r="C6" s="141">
        <f>+T6</f>
        <v>0</v>
      </c>
      <c r="D6" s="141">
        <f>+C6</f>
        <v>0</v>
      </c>
      <c r="E6" s="141">
        <f t="shared" ref="E6:G6" si="0">+D6</f>
        <v>0</v>
      </c>
      <c r="F6" s="141">
        <f t="shared" si="0"/>
        <v>0</v>
      </c>
      <c r="G6" s="141">
        <f t="shared" si="0"/>
        <v>0</v>
      </c>
      <c r="H6" s="141">
        <f>+C6</f>
        <v>0</v>
      </c>
      <c r="I6" s="141">
        <f>+H6</f>
        <v>0</v>
      </c>
      <c r="J6" s="141">
        <f t="shared" ref="J6:K6" si="1">+I6</f>
        <v>0</v>
      </c>
      <c r="K6" s="141">
        <f t="shared" si="1"/>
        <v>0</v>
      </c>
      <c r="L6" s="135"/>
      <c r="M6" s="355"/>
      <c r="N6" s="343" t="s">
        <v>752</v>
      </c>
      <c r="O6" s="344">
        <f>'Project Labor'!C23</f>
        <v>0</v>
      </c>
      <c r="P6" s="344">
        <f>'Project Labor'!D23</f>
        <v>0</v>
      </c>
      <c r="Q6" s="344">
        <f>'Project Labor'!E23</f>
        <v>0</v>
      </c>
      <c r="R6" s="344">
        <f>'Project Labor'!F23</f>
        <v>0</v>
      </c>
      <c r="S6" s="344">
        <f>'Project Labor'!G23</f>
        <v>0</v>
      </c>
      <c r="T6" s="309">
        <f>SUM(O6:S6)</f>
        <v>0</v>
      </c>
      <c r="U6" s="305"/>
      <c r="V6" s="344">
        <f>'Project Labor'!C23</f>
        <v>0</v>
      </c>
      <c r="W6" s="344">
        <f>'Project Labor'!D23</f>
        <v>0</v>
      </c>
      <c r="X6" s="344">
        <f>'Project Labor'!E23</f>
        <v>0</v>
      </c>
      <c r="Y6" s="344">
        <f>'Project Labor'!F23</f>
        <v>0</v>
      </c>
      <c r="Z6" s="344">
        <f>'Project Labor'!G23</f>
        <v>0</v>
      </c>
      <c r="AA6" s="309">
        <f t="shared" ref="AA6:AA21" si="2">SUM(V6:Z6)</f>
        <v>0</v>
      </c>
      <c r="AB6" s="804" t="s">
        <v>9</v>
      </c>
    </row>
    <row r="7" spans="1:52" ht="15.9" thickTop="1" x14ac:dyDescent="0.4">
      <c r="A7" s="131"/>
      <c r="B7" s="814" t="s">
        <v>1093</v>
      </c>
      <c r="C7" s="131"/>
      <c r="D7" s="263">
        <f>+T7</f>
        <v>0</v>
      </c>
      <c r="E7" s="263">
        <f>+AA7</f>
        <v>0</v>
      </c>
      <c r="F7" s="263">
        <f>+T29</f>
        <v>0</v>
      </c>
      <c r="G7" s="263">
        <f>+AA29</f>
        <v>0</v>
      </c>
      <c r="H7" s="263">
        <f>+D7</f>
        <v>0</v>
      </c>
      <c r="I7" s="263">
        <f t="shared" ref="I7:K7" si="3">+E7</f>
        <v>0</v>
      </c>
      <c r="J7" s="263">
        <f t="shared" si="3"/>
        <v>0</v>
      </c>
      <c r="K7" s="263">
        <f t="shared" si="3"/>
        <v>0</v>
      </c>
      <c r="L7" s="135"/>
      <c r="M7" s="356"/>
      <c r="N7" s="235" t="s">
        <v>912</v>
      </c>
      <c r="O7" s="403">
        <f t="shared" ref="O7:T7" si="4">IF(O6=0,0,O5/O6)</f>
        <v>0</v>
      </c>
      <c r="P7" s="403">
        <f t="shared" si="4"/>
        <v>0</v>
      </c>
      <c r="Q7" s="403">
        <f t="shared" si="4"/>
        <v>0</v>
      </c>
      <c r="R7" s="403">
        <f t="shared" si="4"/>
        <v>0</v>
      </c>
      <c r="S7" s="403">
        <f t="shared" si="4"/>
        <v>0</v>
      </c>
      <c r="T7" s="403">
        <f t="shared" si="4"/>
        <v>0</v>
      </c>
      <c r="U7" s="305"/>
      <c r="V7" s="403">
        <f t="shared" ref="V7:AA7" si="5">IF(V6=0,0,V5/V6)</f>
        <v>0</v>
      </c>
      <c r="W7" s="403">
        <f t="shared" si="5"/>
        <v>0</v>
      </c>
      <c r="X7" s="403">
        <f t="shared" si="5"/>
        <v>0</v>
      </c>
      <c r="Y7" s="403">
        <f t="shared" si="5"/>
        <v>0</v>
      </c>
      <c r="Z7" s="403">
        <f t="shared" si="5"/>
        <v>0</v>
      </c>
      <c r="AA7" s="403">
        <f t="shared" si="5"/>
        <v>0</v>
      </c>
      <c r="AB7" s="803"/>
    </row>
    <row r="8" spans="1:52" ht="15.45" x14ac:dyDescent="0.4">
      <c r="A8" s="131"/>
      <c r="B8" s="131"/>
      <c r="C8" s="141" t="s">
        <v>9</v>
      </c>
      <c r="D8" s="131"/>
      <c r="E8" s="131"/>
      <c r="F8" s="131"/>
      <c r="G8" s="131"/>
      <c r="H8" s="131"/>
      <c r="I8" s="131"/>
      <c r="J8" s="131"/>
      <c r="K8" s="135"/>
      <c r="L8" s="135"/>
      <c r="M8" s="354"/>
      <c r="N8" s="306"/>
      <c r="O8" s="306"/>
      <c r="P8" s="306"/>
      <c r="Q8" s="306"/>
      <c r="R8" s="306"/>
      <c r="S8" s="306"/>
      <c r="T8" s="309">
        <f>SUM(O8:S8)</f>
        <v>0</v>
      </c>
      <c r="U8" s="305"/>
      <c r="V8" s="306"/>
      <c r="W8" s="306"/>
      <c r="X8" s="306"/>
      <c r="Y8" s="306"/>
      <c r="Z8" s="306"/>
      <c r="AA8" s="309">
        <f t="shared" si="2"/>
        <v>0</v>
      </c>
      <c r="AB8" s="803"/>
    </row>
    <row r="9" spans="1:52" ht="15.45" x14ac:dyDescent="0.4">
      <c r="A9" s="131"/>
      <c r="B9" s="138" t="s">
        <v>1130</v>
      </c>
      <c r="C9" s="263">
        <f t="shared" ref="C9:C16" si="6">IF($C$6=0,0,+T9/$C$6)</f>
        <v>0</v>
      </c>
      <c r="D9" s="265">
        <f>IF($T$5=0,0,+T9/$T$5)</f>
        <v>0</v>
      </c>
      <c r="E9" s="265">
        <f t="shared" ref="E9:E16" si="7">IF($AA$5=0,0,+AA9/$AA$5)</f>
        <v>0</v>
      </c>
      <c r="F9" s="265">
        <f t="shared" ref="F9:F16" si="8">IF($T$27=0,0,+T32/$T$27)</f>
        <v>0</v>
      </c>
      <c r="G9" s="265">
        <f t="shared" ref="G9:G16" si="9">IF($AA$27=0,0,+AA32/$AA$27)</f>
        <v>0</v>
      </c>
      <c r="H9" s="809">
        <f>+T9</f>
        <v>0</v>
      </c>
      <c r="I9" s="809">
        <f>+AA9</f>
        <v>0</v>
      </c>
      <c r="J9" s="809">
        <f>+T32</f>
        <v>0</v>
      </c>
      <c r="K9" s="135">
        <f>+AA32</f>
        <v>0</v>
      </c>
      <c r="L9" s="135"/>
      <c r="M9" s="355"/>
      <c r="N9" s="345" t="s">
        <v>1130</v>
      </c>
      <c r="O9" s="336">
        <f>IF($C$35=1,'Project Labor'!K36,+'Project Labor'!C39)</f>
        <v>0</v>
      </c>
      <c r="P9" s="336">
        <f>IF($C$35=1,'Project Labor'!L36,+'Project Labor'!D39)</f>
        <v>0</v>
      </c>
      <c r="Q9" s="336">
        <f>IF($C$35=1,'Project Labor'!M36,+'Project Labor'!E39)</f>
        <v>0</v>
      </c>
      <c r="R9" s="336">
        <f>IF($C$35=1,'Project Labor'!N36,+'Project Labor'!F39)</f>
        <v>0</v>
      </c>
      <c r="S9" s="336">
        <f>IF($C$35=1,'Project Labor'!O36,+'Project Labor'!G39)</f>
        <v>0</v>
      </c>
      <c r="T9" s="309">
        <f>SUM(O9:S9)</f>
        <v>0</v>
      </c>
      <c r="U9" s="865" t="s">
        <v>9</v>
      </c>
      <c r="V9" s="336">
        <f>IF($C$35=1,'Project Labor'!K36,+'Project Labor'!C39)</f>
        <v>0</v>
      </c>
      <c r="W9" s="336">
        <f>IF($C$35=1,'Project Labor'!L36,+'Project Labor'!D39)</f>
        <v>0</v>
      </c>
      <c r="X9" s="336">
        <f>IF($C$35=1,'Project Labor'!M36,+'Project Labor'!E39)</f>
        <v>0</v>
      </c>
      <c r="Y9" s="336">
        <f>IF($C$35=1,'Project Labor'!N36,+'Project Labor'!F39)</f>
        <v>0</v>
      </c>
      <c r="Z9" s="336">
        <f>IF($C$35=1,'Project Labor'!O36,+'Project Labor'!G39)</f>
        <v>0</v>
      </c>
      <c r="AA9" s="309">
        <f>SUM(V9:Z9)</f>
        <v>0</v>
      </c>
      <c r="AB9" s="803"/>
    </row>
    <row r="10" spans="1:52" ht="15.45" x14ac:dyDescent="0.4">
      <c r="A10" s="131"/>
      <c r="B10" s="138" t="s">
        <v>896</v>
      </c>
      <c r="C10" s="263">
        <f t="shared" si="6"/>
        <v>0</v>
      </c>
      <c r="D10" s="265">
        <f t="shared" ref="D10:D16" si="10">IF($T$5=0,0,+T10/$T$5)</f>
        <v>0</v>
      </c>
      <c r="E10" s="265">
        <f t="shared" si="7"/>
        <v>0</v>
      </c>
      <c r="F10" s="265">
        <f t="shared" si="8"/>
        <v>0</v>
      </c>
      <c r="G10" s="265">
        <f t="shared" si="9"/>
        <v>0</v>
      </c>
      <c r="H10" s="809">
        <f t="shared" ref="H10:H15" si="11">+T10</f>
        <v>0</v>
      </c>
      <c r="I10" s="809">
        <f t="shared" ref="I10:I15" si="12">+AA10</f>
        <v>0</v>
      </c>
      <c r="J10" s="809">
        <f t="shared" ref="J10:J15" si="13">+T33</f>
        <v>0</v>
      </c>
      <c r="K10" s="135">
        <f t="shared" ref="K10:K15" si="14">+AA33</f>
        <v>0</v>
      </c>
      <c r="L10" s="135"/>
      <c r="M10" s="355"/>
      <c r="N10" s="345" t="s">
        <v>910</v>
      </c>
      <c r="O10" s="336">
        <f>IFERROR(SUM('Project Labor'!C49+'Project Labor'!C55),0)</f>
        <v>0</v>
      </c>
      <c r="P10" s="336">
        <f>IFERROR(SUM('Project Labor'!D49+'Project Labor'!D55),0)</f>
        <v>0</v>
      </c>
      <c r="Q10" s="336">
        <f>IFERROR(SUM('Project Labor'!E49+'Project Labor'!E55),0)</f>
        <v>0</v>
      </c>
      <c r="R10" s="336">
        <f>IFERROR(SUM('Project Labor'!F49+'Project Labor'!F55),0)</f>
        <v>0</v>
      </c>
      <c r="S10" s="336">
        <f>IFERROR(SUM('Project Labor'!G49+'Project Labor'!G55),0)</f>
        <v>0</v>
      </c>
      <c r="T10" s="309">
        <f t="shared" ref="T10:T21" si="15">SUM(O10:S10)</f>
        <v>0</v>
      </c>
      <c r="U10" s="305"/>
      <c r="V10" s="336">
        <f>IFERROR(SUM('Project Labor'!C49+'Project Labor'!C55),0)</f>
        <v>0</v>
      </c>
      <c r="W10" s="336">
        <f>IFERROR(SUM('Project Labor'!D49+'Project Labor'!D55),0)</f>
        <v>0</v>
      </c>
      <c r="X10" s="336">
        <f>IFERROR(SUM('Project Labor'!E49+'Project Labor'!E55),0)</f>
        <v>0</v>
      </c>
      <c r="Y10" s="336">
        <f>IFERROR(SUM('Project Labor'!F49+'Project Labor'!F55),0)</f>
        <v>0</v>
      </c>
      <c r="Z10" s="336">
        <f>IFERROR(SUM('Project Labor'!G49+'Project Labor'!G55),0)</f>
        <v>0</v>
      </c>
      <c r="AA10" s="309">
        <f t="shared" si="2"/>
        <v>0</v>
      </c>
      <c r="AB10" s="803"/>
    </row>
    <row r="11" spans="1:52" ht="15.45" x14ac:dyDescent="0.4">
      <c r="A11" s="131"/>
      <c r="B11" s="138" t="s">
        <v>751</v>
      </c>
      <c r="C11" s="264">
        <f t="shared" si="6"/>
        <v>0</v>
      </c>
      <c r="D11" s="265">
        <f t="shared" si="10"/>
        <v>0</v>
      </c>
      <c r="E11" s="265">
        <f t="shared" si="7"/>
        <v>0</v>
      </c>
      <c r="F11" s="265">
        <f t="shared" si="8"/>
        <v>0</v>
      </c>
      <c r="G11" s="265">
        <f t="shared" si="9"/>
        <v>0</v>
      </c>
      <c r="H11" s="809">
        <f t="shared" si="11"/>
        <v>0</v>
      </c>
      <c r="I11" s="809">
        <f t="shared" si="12"/>
        <v>0</v>
      </c>
      <c r="J11" s="809">
        <f t="shared" si="13"/>
        <v>0</v>
      </c>
      <c r="K11" s="135">
        <f t="shared" si="14"/>
        <v>0</v>
      </c>
      <c r="L11" s="135"/>
      <c r="M11" s="355"/>
      <c r="N11" s="343" t="s">
        <v>1132</v>
      </c>
      <c r="O11" s="336">
        <f>'Project Materials'!O43</f>
        <v>0</v>
      </c>
      <c r="P11" s="336">
        <f>'Project Materials'!O56</f>
        <v>0</v>
      </c>
      <c r="Q11" s="336">
        <f>'Project Materials'!O69</f>
        <v>0</v>
      </c>
      <c r="R11" s="336">
        <f>'Project Materials'!O82</f>
        <v>0</v>
      </c>
      <c r="S11" s="336">
        <f>'Grab Rail'!J54</f>
        <v>0</v>
      </c>
      <c r="T11" s="309">
        <f t="shared" si="15"/>
        <v>0</v>
      </c>
      <c r="U11" s="305"/>
      <c r="V11" s="336">
        <f>'Project Materials'!O43</f>
        <v>0</v>
      </c>
      <c r="W11" s="336">
        <f>'Project Materials'!O56</f>
        <v>0</v>
      </c>
      <c r="X11" s="336">
        <f>'Project Materials'!O69</f>
        <v>0</v>
      </c>
      <c r="Y11" s="336">
        <f>'Project Materials'!O82</f>
        <v>0</v>
      </c>
      <c r="Z11" s="336">
        <f>'Grab Rail'!J54</f>
        <v>0</v>
      </c>
      <c r="AA11" s="309">
        <f t="shared" si="2"/>
        <v>0</v>
      </c>
      <c r="AB11" s="803"/>
    </row>
    <row r="12" spans="1:52" ht="15.45" x14ac:dyDescent="0.4">
      <c r="A12" s="131"/>
      <c r="B12" s="138" t="s">
        <v>750</v>
      </c>
      <c r="C12" s="264">
        <f t="shared" si="6"/>
        <v>0</v>
      </c>
      <c r="D12" s="265">
        <f t="shared" si="10"/>
        <v>0</v>
      </c>
      <c r="E12" s="265">
        <f t="shared" si="7"/>
        <v>0</v>
      </c>
      <c r="F12" s="265">
        <f t="shared" si="8"/>
        <v>0</v>
      </c>
      <c r="G12" s="265">
        <f t="shared" si="9"/>
        <v>0</v>
      </c>
      <c r="H12" s="809">
        <f t="shared" si="11"/>
        <v>0</v>
      </c>
      <c r="I12" s="809">
        <f t="shared" si="12"/>
        <v>0</v>
      </c>
      <c r="J12" s="809">
        <f t="shared" si="13"/>
        <v>0</v>
      </c>
      <c r="K12" s="135">
        <f t="shared" si="14"/>
        <v>0</v>
      </c>
      <c r="L12" s="135"/>
      <c r="M12" s="348">
        <f>HLOOKUP($C$32,'Work Area'!$L$17:$Q$25,'Work Area'!$S$24)</f>
        <v>4.3999999999999997E-2</v>
      </c>
      <c r="N12" s="343" t="s">
        <v>749</v>
      </c>
      <c r="O12" s="336">
        <f>+$M$12*O11</f>
        <v>0</v>
      </c>
      <c r="P12" s="336">
        <f t="shared" ref="P12:S12" si="16">+$M$12*P11</f>
        <v>0</v>
      </c>
      <c r="Q12" s="336">
        <f t="shared" si="16"/>
        <v>0</v>
      </c>
      <c r="R12" s="336">
        <f t="shared" si="16"/>
        <v>0</v>
      </c>
      <c r="S12" s="336">
        <f t="shared" si="16"/>
        <v>0</v>
      </c>
      <c r="T12" s="309">
        <f t="shared" si="15"/>
        <v>0</v>
      </c>
      <c r="U12" s="253"/>
      <c r="V12" s="336">
        <f>+$M$12*V11</f>
        <v>0</v>
      </c>
      <c r="W12" s="336">
        <f t="shared" ref="W12" si="17">+$M$12*W11</f>
        <v>0</v>
      </c>
      <c r="X12" s="336">
        <f t="shared" ref="X12" si="18">+$M$12*X11</f>
        <v>0</v>
      </c>
      <c r="Y12" s="336">
        <f t="shared" ref="Y12" si="19">+$M$12*Y11</f>
        <v>0</v>
      </c>
      <c r="Z12" s="336">
        <f t="shared" ref="Z12" si="20">+$M$12*Z11</f>
        <v>0</v>
      </c>
      <c r="AA12" s="309">
        <f t="shared" si="2"/>
        <v>0</v>
      </c>
      <c r="AB12" s="803"/>
    </row>
    <row r="13" spans="1:52" ht="15.45" x14ac:dyDescent="0.4">
      <c r="A13" s="131"/>
      <c r="B13" s="138" t="s">
        <v>748</v>
      </c>
      <c r="C13" s="264">
        <f t="shared" si="6"/>
        <v>0</v>
      </c>
      <c r="D13" s="265">
        <f t="shared" si="10"/>
        <v>0</v>
      </c>
      <c r="E13" s="265">
        <f t="shared" si="7"/>
        <v>0</v>
      </c>
      <c r="F13" s="265">
        <f t="shared" si="8"/>
        <v>0</v>
      </c>
      <c r="G13" s="265">
        <f t="shared" si="9"/>
        <v>0</v>
      </c>
      <c r="H13" s="809">
        <f t="shared" si="11"/>
        <v>0</v>
      </c>
      <c r="I13" s="809">
        <f t="shared" si="12"/>
        <v>0</v>
      </c>
      <c r="J13" s="809">
        <f t="shared" si="13"/>
        <v>0</v>
      </c>
      <c r="K13" s="135">
        <f t="shared" si="14"/>
        <v>0</v>
      </c>
      <c r="L13" s="135"/>
      <c r="M13" s="346">
        <v>0</v>
      </c>
      <c r="N13" s="343" t="s">
        <v>747</v>
      </c>
      <c r="O13" s="336">
        <f>+$M$13*O5</f>
        <v>0</v>
      </c>
      <c r="P13" s="336">
        <f>+$M$13*P5</f>
        <v>0</v>
      </c>
      <c r="Q13" s="336">
        <f>+$M$13*Q5</f>
        <v>0</v>
      </c>
      <c r="R13" s="336">
        <f>+$M$13*R5</f>
        <v>0</v>
      </c>
      <c r="S13" s="336">
        <f>+$M$13*S5</f>
        <v>0</v>
      </c>
      <c r="T13" s="309">
        <f t="shared" si="15"/>
        <v>0</v>
      </c>
      <c r="U13" s="305"/>
      <c r="V13" s="336">
        <f>+$M$13*V5</f>
        <v>0</v>
      </c>
      <c r="W13" s="336">
        <f>+$M$13*W5</f>
        <v>0</v>
      </c>
      <c r="X13" s="336">
        <f>+$M$13*X5</f>
        <v>0</v>
      </c>
      <c r="Y13" s="336">
        <f>+$M$13*Y5</f>
        <v>0</v>
      </c>
      <c r="Z13" s="336">
        <f>+$M$13*Z5</f>
        <v>0</v>
      </c>
      <c r="AA13" s="309">
        <f t="shared" si="2"/>
        <v>0</v>
      </c>
      <c r="AB13" s="803"/>
    </row>
    <row r="14" spans="1:52" ht="15.45" x14ac:dyDescent="0.4">
      <c r="A14" s="133"/>
      <c r="B14" s="138" t="s">
        <v>1121</v>
      </c>
      <c r="C14" s="264">
        <f t="shared" si="6"/>
        <v>0</v>
      </c>
      <c r="D14" s="265">
        <f t="shared" si="10"/>
        <v>0</v>
      </c>
      <c r="E14" s="265">
        <f t="shared" si="7"/>
        <v>0</v>
      </c>
      <c r="F14" s="265">
        <f t="shared" si="8"/>
        <v>0</v>
      </c>
      <c r="G14" s="265">
        <f t="shared" si="9"/>
        <v>0</v>
      </c>
      <c r="H14" s="809">
        <f t="shared" si="11"/>
        <v>0</v>
      </c>
      <c r="I14" s="809">
        <f t="shared" si="12"/>
        <v>0</v>
      </c>
      <c r="J14" s="809">
        <f t="shared" si="13"/>
        <v>0</v>
      </c>
      <c r="K14" s="135">
        <f t="shared" si="14"/>
        <v>0</v>
      </c>
      <c r="L14" s="135"/>
      <c r="M14" s="355"/>
      <c r="N14" s="235" t="s">
        <v>1121</v>
      </c>
      <c r="O14" s="336">
        <f>IF($T$11=0,0,+ROUND(O11/$T$11*'Project Labor'!$J$8,0))</f>
        <v>0</v>
      </c>
      <c r="P14" s="336">
        <f>IF($T$11=0,0,+ROUND(P11/$T$11*'Project Labor'!$J$8,0))</f>
        <v>0</v>
      </c>
      <c r="Q14" s="336">
        <f>IF($T$11=0,0,+ROUND(Q11/$T$11*'Project Labor'!$J$8,0))</f>
        <v>0</v>
      </c>
      <c r="R14" s="336">
        <f>IF($T$11=0,0,+ROUND(R11/$T$11*'Project Labor'!$J$8,0))</f>
        <v>0</v>
      </c>
      <c r="S14" s="336">
        <f>IF($T$11=0,0,+ROUND(S11/$T$11*'Project Labor'!$J$8,0))</f>
        <v>0</v>
      </c>
      <c r="T14" s="309">
        <f t="shared" si="15"/>
        <v>0</v>
      </c>
      <c r="U14" s="305"/>
      <c r="V14" s="336">
        <f>IF($AA$11=0,0,+ROUND(V11/$AA$11*'Project Labor'!$J$8,0))</f>
        <v>0</v>
      </c>
      <c r="W14" s="336">
        <f>IF($AA$11=0,0,+ROUND(W11/$AA$11*'Project Labor'!$J$8,0))</f>
        <v>0</v>
      </c>
      <c r="X14" s="336">
        <f>IF($AA$11=0,0,+ROUND(X11/$AA$11*'Project Labor'!$J$8,0))</f>
        <v>0</v>
      </c>
      <c r="Y14" s="336">
        <f>IF($AA$11=0,0,+ROUND(Y11/$AA$11*'Project Labor'!$J$8,0))</f>
        <v>0</v>
      </c>
      <c r="Z14" s="336">
        <f>IF($AA$11=0,0,+ROUND(Z11/$AA$11*'Project Labor'!$J$8,0))</f>
        <v>0</v>
      </c>
      <c r="AA14" s="309">
        <f t="shared" si="2"/>
        <v>0</v>
      </c>
      <c r="AB14" s="803"/>
    </row>
    <row r="15" spans="1:52" ht="15.45" x14ac:dyDescent="0.4">
      <c r="A15" s="131"/>
      <c r="B15" s="138" t="s">
        <v>746</v>
      </c>
      <c r="C15" s="155">
        <f t="shared" si="6"/>
        <v>0</v>
      </c>
      <c r="D15" s="266">
        <f t="shared" si="10"/>
        <v>0</v>
      </c>
      <c r="E15" s="266">
        <f t="shared" si="7"/>
        <v>0</v>
      </c>
      <c r="F15" s="266">
        <f t="shared" si="8"/>
        <v>0</v>
      </c>
      <c r="G15" s="266">
        <f t="shared" si="9"/>
        <v>0</v>
      </c>
      <c r="H15" s="811">
        <f t="shared" si="11"/>
        <v>0</v>
      </c>
      <c r="I15" s="811">
        <f t="shared" si="12"/>
        <v>0</v>
      </c>
      <c r="J15" s="811">
        <f t="shared" si="13"/>
        <v>0</v>
      </c>
      <c r="K15" s="146">
        <f t="shared" si="14"/>
        <v>0</v>
      </c>
      <c r="L15" s="135"/>
      <c r="M15" s="854">
        <v>0.16</v>
      </c>
      <c r="N15" s="345" t="s">
        <v>1133</v>
      </c>
      <c r="O15" s="142">
        <f>+$M15*O9</f>
        <v>0</v>
      </c>
      <c r="P15" s="142">
        <f>+$M15*P9</f>
        <v>0</v>
      </c>
      <c r="Q15" s="142">
        <f>+$M15*Q9</f>
        <v>0</v>
      </c>
      <c r="R15" s="142">
        <f>+$M15*R9</f>
        <v>0</v>
      </c>
      <c r="S15" s="142">
        <f>+$M15*S9</f>
        <v>0</v>
      </c>
      <c r="T15" s="309">
        <f t="shared" si="15"/>
        <v>0</v>
      </c>
      <c r="U15" s="305"/>
      <c r="V15" s="142">
        <f>+$M15*V9</f>
        <v>0</v>
      </c>
      <c r="W15" s="142">
        <f>+$M15*W9</f>
        <v>0</v>
      </c>
      <c r="X15" s="142">
        <f>+$M15*X9</f>
        <v>0</v>
      </c>
      <c r="Y15" s="142">
        <f>+$M15*Y9</f>
        <v>0</v>
      </c>
      <c r="Z15" s="142">
        <f>+$M15*Z9</f>
        <v>0</v>
      </c>
      <c r="AA15" s="309">
        <f t="shared" si="2"/>
        <v>0</v>
      </c>
      <c r="AB15" s="803"/>
    </row>
    <row r="16" spans="1:52" ht="15.45" x14ac:dyDescent="0.4">
      <c r="A16" s="131"/>
      <c r="B16" s="140" t="s">
        <v>745</v>
      </c>
      <c r="C16" s="263">
        <f t="shared" si="6"/>
        <v>0</v>
      </c>
      <c r="D16" s="265">
        <f t="shared" si="10"/>
        <v>0</v>
      </c>
      <c r="E16" s="265">
        <f t="shared" si="7"/>
        <v>0</v>
      </c>
      <c r="F16" s="265">
        <f t="shared" si="8"/>
        <v>0</v>
      </c>
      <c r="G16" s="265">
        <f t="shared" si="9"/>
        <v>0</v>
      </c>
      <c r="H16" s="810">
        <f>SUM(H9:H15)</f>
        <v>0</v>
      </c>
      <c r="I16" s="810">
        <f t="shared" ref="I16:K16" si="21">SUM(I9:I15)</f>
        <v>0</v>
      </c>
      <c r="J16" s="810">
        <f t="shared" si="21"/>
        <v>0</v>
      </c>
      <c r="K16" s="810">
        <f t="shared" si="21"/>
        <v>0</v>
      </c>
      <c r="L16" s="135"/>
      <c r="M16" s="357"/>
      <c r="N16" s="347" t="s">
        <v>876</v>
      </c>
      <c r="O16" s="342">
        <f>SUM(O9:O15)</f>
        <v>0</v>
      </c>
      <c r="P16" s="342">
        <f>SUM(P9:P15)</f>
        <v>0</v>
      </c>
      <c r="Q16" s="342">
        <f>SUM(Q9:Q15)</f>
        <v>0</v>
      </c>
      <c r="R16" s="342">
        <f>SUM(R9:R15)</f>
        <v>0</v>
      </c>
      <c r="S16" s="342">
        <f>SUM(S9:S15)</f>
        <v>0</v>
      </c>
      <c r="T16" s="309">
        <f>SUM(O16:S16)</f>
        <v>0</v>
      </c>
      <c r="U16" s="305"/>
      <c r="V16" s="342">
        <f>SUM(V9:V15)</f>
        <v>0</v>
      </c>
      <c r="W16" s="342">
        <f>SUM(W9:W15)</f>
        <v>0</v>
      </c>
      <c r="X16" s="342">
        <f>SUM(X9:X15)</f>
        <v>0</v>
      </c>
      <c r="Y16" s="342">
        <f>SUM(Y9:Y15)</f>
        <v>0</v>
      </c>
      <c r="Z16" s="342">
        <f>SUM(Z9:Z15)</f>
        <v>0</v>
      </c>
      <c r="AA16" s="309">
        <f t="shared" si="2"/>
        <v>0</v>
      </c>
      <c r="AB16" s="803"/>
    </row>
    <row r="17" spans="1:29" ht="15.45" x14ac:dyDescent="0.4">
      <c r="A17" s="131"/>
      <c r="B17" s="131"/>
      <c r="C17" s="141"/>
      <c r="D17" s="131"/>
      <c r="E17" s="131"/>
      <c r="F17" s="131"/>
      <c r="G17" s="131"/>
      <c r="H17" s="131"/>
      <c r="I17" s="131"/>
      <c r="J17" s="131"/>
      <c r="K17" s="135"/>
      <c r="L17" s="135"/>
      <c r="M17" s="335"/>
      <c r="N17" s="343"/>
      <c r="O17" s="306"/>
      <c r="P17" s="306"/>
      <c r="Q17" s="306"/>
      <c r="R17" s="306"/>
      <c r="S17" s="306"/>
      <c r="T17" s="309">
        <f t="shared" si="15"/>
        <v>0</v>
      </c>
      <c r="U17" s="305"/>
      <c r="V17" s="306"/>
      <c r="W17" s="306"/>
      <c r="X17" s="306"/>
      <c r="Y17" s="306"/>
      <c r="Z17" s="306"/>
      <c r="AA17" s="309">
        <f t="shared" si="2"/>
        <v>0</v>
      </c>
      <c r="AB17" s="803"/>
    </row>
    <row r="18" spans="1:29" ht="15.45" x14ac:dyDescent="0.4">
      <c r="A18" s="141" t="s">
        <v>9</v>
      </c>
      <c r="B18" s="140" t="s">
        <v>744</v>
      </c>
      <c r="C18" s="263">
        <f>IF($C$6=0,0,+T18/$C$6)</f>
        <v>0</v>
      </c>
      <c r="D18" s="265">
        <f>IF($T$5=0,0,+T18/$T$5)</f>
        <v>0</v>
      </c>
      <c r="E18" s="265">
        <f>IF($AA$5=0,0,+AA18/$AA$5)</f>
        <v>0</v>
      </c>
      <c r="F18" s="265">
        <f>IF($T$27=0,0,+T41/$T$27)</f>
        <v>0</v>
      </c>
      <c r="G18" s="265">
        <f>IF($AA$27=0,0,+AA41/$AA$27)</f>
        <v>0</v>
      </c>
      <c r="H18" s="808">
        <f>+T18</f>
        <v>0</v>
      </c>
      <c r="I18" s="808">
        <f>+AA18</f>
        <v>0</v>
      </c>
      <c r="J18" s="808">
        <f>+T41</f>
        <v>0</v>
      </c>
      <c r="K18" s="808">
        <f>+AA41</f>
        <v>0</v>
      </c>
      <c r="L18" s="135"/>
      <c r="M18" s="348">
        <f>+'Work Area'!$Q$19</f>
        <v>0.78129999999999999</v>
      </c>
      <c r="N18" s="343" t="s">
        <v>911</v>
      </c>
      <c r="O18" s="342">
        <f>+(O15+O14+O12+O11+O9)*$M$18</f>
        <v>0</v>
      </c>
      <c r="P18" s="342">
        <f>+(P15+P14+P12+P11+P9)*$M$18</f>
        <v>0</v>
      </c>
      <c r="Q18" s="342">
        <f>+(Q15+Q14+Q12+Q11+Q9)*$M$18</f>
        <v>0</v>
      </c>
      <c r="R18" s="342">
        <f>+(R15+R14+R12+R11+R9)*$M$18</f>
        <v>0</v>
      </c>
      <c r="S18" s="342">
        <f>+(S15+S14+S12+S11+S9)*$M$18</f>
        <v>0</v>
      </c>
      <c r="T18" s="309">
        <f t="shared" si="15"/>
        <v>0</v>
      </c>
      <c r="U18" s="790">
        <f>+'Work Area'!$Q$20</f>
        <v>0.62329999999999997</v>
      </c>
      <c r="V18" s="342">
        <f>+(V15+V14+V12+V11+V9)*$U$18</f>
        <v>0</v>
      </c>
      <c r="W18" s="342">
        <f t="shared" ref="W18:Z18" si="22">+(W15+W14+W12+W11+W9)*$U$18</f>
        <v>0</v>
      </c>
      <c r="X18" s="342">
        <f t="shared" si="22"/>
        <v>0</v>
      </c>
      <c r="Y18" s="342">
        <f t="shared" si="22"/>
        <v>0</v>
      </c>
      <c r="Z18" s="342">
        <f t="shared" si="22"/>
        <v>0</v>
      </c>
      <c r="AA18" s="309">
        <f t="shared" si="2"/>
        <v>0</v>
      </c>
      <c r="AB18" s="803"/>
    </row>
    <row r="19" spans="1:29" ht="15.45" x14ac:dyDescent="0.4">
      <c r="A19" s="141" t="s">
        <v>9</v>
      </c>
      <c r="B19" s="131"/>
      <c r="C19" s="141"/>
      <c r="D19" s="131"/>
      <c r="E19" s="131"/>
      <c r="F19" s="131"/>
      <c r="G19" s="131"/>
      <c r="H19" s="813" t="s">
        <v>9</v>
      </c>
      <c r="I19" s="812" t="s">
        <v>9</v>
      </c>
      <c r="J19" s="812" t="s">
        <v>9</v>
      </c>
      <c r="K19" s="131"/>
      <c r="L19" s="135"/>
      <c r="M19" s="355"/>
      <c r="N19" s="306"/>
      <c r="O19" s="359" t="s">
        <v>9</v>
      </c>
      <c r="P19" s="306"/>
      <c r="Q19" s="306"/>
      <c r="R19" s="306"/>
      <c r="S19" s="306"/>
      <c r="T19" s="309">
        <f t="shared" si="15"/>
        <v>0</v>
      </c>
      <c r="U19" s="305"/>
      <c r="V19" s="305"/>
      <c r="W19" s="306"/>
      <c r="X19" s="306"/>
      <c r="Y19" s="306"/>
      <c r="Z19" s="306"/>
      <c r="AA19" s="309">
        <f t="shared" si="2"/>
        <v>0</v>
      </c>
      <c r="AB19" s="803"/>
    </row>
    <row r="20" spans="1:29" ht="15.45" x14ac:dyDescent="0.4">
      <c r="A20" s="131"/>
      <c r="B20" s="140" t="s">
        <v>743</v>
      </c>
      <c r="C20" s="263">
        <f>IF($C$6=0,0,+T20/$C$6)</f>
        <v>0</v>
      </c>
      <c r="D20" s="265">
        <f>IF($T$5=0,0,+T20/$T$5)</f>
        <v>0</v>
      </c>
      <c r="E20" s="265">
        <f>IF($AA$5=0,0,+AA20/$AA$5)</f>
        <v>0</v>
      </c>
      <c r="F20" s="265">
        <f>IF($T$27=0,0,+T43/$T$27)</f>
        <v>0</v>
      </c>
      <c r="G20" s="265">
        <f>IF($AA$27=0,0,+AA43/$AA$27)</f>
        <v>0</v>
      </c>
      <c r="H20" s="812">
        <f>+H16+H18</f>
        <v>0</v>
      </c>
      <c r="I20" s="812">
        <f t="shared" ref="I20:K20" si="23">+I16+I18</f>
        <v>0</v>
      </c>
      <c r="J20" s="812">
        <f t="shared" si="23"/>
        <v>0</v>
      </c>
      <c r="K20" s="812">
        <f t="shared" si="23"/>
        <v>0</v>
      </c>
      <c r="L20" s="135"/>
      <c r="M20" s="355"/>
      <c r="N20" s="306"/>
      <c r="O20" s="342">
        <f>+O18+O16</f>
        <v>0</v>
      </c>
      <c r="P20" s="342">
        <f>+P18+P16</f>
        <v>0</v>
      </c>
      <c r="Q20" s="342">
        <f>+Q18+Q16</f>
        <v>0</v>
      </c>
      <c r="R20" s="342">
        <f>+R18+R16</f>
        <v>0</v>
      </c>
      <c r="S20" s="342">
        <f>+S18+S16</f>
        <v>0</v>
      </c>
      <c r="T20" s="309">
        <f t="shared" si="15"/>
        <v>0</v>
      </c>
      <c r="U20" s="305"/>
      <c r="V20" s="342">
        <f>+V18+V16</f>
        <v>0</v>
      </c>
      <c r="W20" s="342">
        <f>+W18+W16</f>
        <v>0</v>
      </c>
      <c r="X20" s="342">
        <f>+X18+X16</f>
        <v>0</v>
      </c>
      <c r="Y20" s="342">
        <f>+Y18+Y16</f>
        <v>0</v>
      </c>
      <c r="Z20" s="342">
        <f>+Z18+Z16</f>
        <v>0</v>
      </c>
      <c r="AA20" s="309">
        <f t="shared" si="2"/>
        <v>0</v>
      </c>
      <c r="AB20" s="803"/>
    </row>
    <row r="21" spans="1:29" ht="15.45" x14ac:dyDescent="0.4">
      <c r="A21" s="131"/>
      <c r="B21" s="140" t="s">
        <v>742</v>
      </c>
      <c r="C21" s="141"/>
      <c r="D21" s="141"/>
      <c r="E21" s="141"/>
      <c r="F21" s="141"/>
      <c r="G21" s="141"/>
      <c r="H21" s="808">
        <f>+H5-H20</f>
        <v>0</v>
      </c>
      <c r="I21" s="808">
        <f t="shared" ref="I21:K21" si="24">+I5-I20</f>
        <v>0</v>
      </c>
      <c r="J21" s="808">
        <f t="shared" si="24"/>
        <v>0</v>
      </c>
      <c r="K21" s="808">
        <f t="shared" si="24"/>
        <v>0</v>
      </c>
      <c r="L21" s="135"/>
      <c r="M21" s="354"/>
      <c r="N21" s="306"/>
      <c r="O21" s="342">
        <f>+O5-O20</f>
        <v>0</v>
      </c>
      <c r="P21" s="342">
        <f>+P5-P20</f>
        <v>0</v>
      </c>
      <c r="Q21" s="342">
        <f>+Q5-Q20</f>
        <v>0</v>
      </c>
      <c r="R21" s="342">
        <f>+R5-R20</f>
        <v>0</v>
      </c>
      <c r="S21" s="342">
        <f>+S5-S20</f>
        <v>0</v>
      </c>
      <c r="T21" s="309">
        <f t="shared" si="15"/>
        <v>0</v>
      </c>
      <c r="U21" s="305"/>
      <c r="V21" s="342">
        <f>+V5-V20</f>
        <v>0</v>
      </c>
      <c r="W21" s="342">
        <f>+W5-W20</f>
        <v>0</v>
      </c>
      <c r="X21" s="342">
        <f>+X5-X20</f>
        <v>0</v>
      </c>
      <c r="Y21" s="342">
        <f>+Y5-Y20</f>
        <v>0</v>
      </c>
      <c r="Z21" s="342">
        <f>+Z5-Z20</f>
        <v>0</v>
      </c>
      <c r="AA21" s="309">
        <f t="shared" si="2"/>
        <v>0</v>
      </c>
      <c r="AB21" s="803"/>
    </row>
    <row r="22" spans="1:29" ht="15.45" x14ac:dyDescent="0.4">
      <c r="A22" s="131"/>
      <c r="B22" s="140" t="s">
        <v>741</v>
      </c>
      <c r="C22" s="141"/>
      <c r="D22" s="265" t="str">
        <f>+T22</f>
        <v xml:space="preserve"> </v>
      </c>
      <c r="E22" s="265" t="str">
        <f>+AA22</f>
        <v xml:space="preserve"> </v>
      </c>
      <c r="F22" s="265" t="str">
        <f>+T45</f>
        <v xml:space="preserve"> </v>
      </c>
      <c r="G22" s="135"/>
      <c r="H22" s="813">
        <f>IF(H5=0,0,+H21/H5)</f>
        <v>0</v>
      </c>
      <c r="I22" s="813">
        <f t="shared" ref="I22:K22" si="25">IF(I5=0,0,+I21/I5)</f>
        <v>0</v>
      </c>
      <c r="J22" s="813">
        <f t="shared" si="25"/>
        <v>0</v>
      </c>
      <c r="K22" s="813">
        <f t="shared" si="25"/>
        <v>0</v>
      </c>
      <c r="L22" s="135"/>
      <c r="M22" s="354"/>
      <c r="N22" s="306"/>
      <c r="O22" s="349">
        <f>IF(+O5=0,0,+O21/O5)</f>
        <v>0</v>
      </c>
      <c r="P22" s="349">
        <f>IF(+P5=0,0,+P21/P5)</f>
        <v>0</v>
      </c>
      <c r="Q22" s="349">
        <f>IF(+Q5=0,0,+Q21/Q5)</f>
        <v>0</v>
      </c>
      <c r="R22" s="349">
        <f>IF(+R5=0,0,+R21/R5)</f>
        <v>0</v>
      </c>
      <c r="S22" s="349">
        <f>IF(+S5=0,0,+S21/S5)</f>
        <v>0</v>
      </c>
      <c r="T22" s="309" t="s">
        <v>9</v>
      </c>
      <c r="U22" s="305"/>
      <c r="V22" s="349">
        <f>IF(+V5=0,0,+V21/V5)</f>
        <v>0</v>
      </c>
      <c r="W22" s="349">
        <f>IF(+W5=0,0,+W21/W5)</f>
        <v>0</v>
      </c>
      <c r="X22" s="349">
        <f>IF(+X5=0,0,+X21/X5)</f>
        <v>0</v>
      </c>
      <c r="Y22" s="349">
        <f>IF(+Y5=0,0,+Y21/Y5)</f>
        <v>0</v>
      </c>
      <c r="Z22" s="349">
        <f>IF(+Z5=0,0,+Z21/Z5)</f>
        <v>0</v>
      </c>
      <c r="AA22" s="309" t="s">
        <v>9</v>
      </c>
      <c r="AB22" s="803"/>
    </row>
    <row r="23" spans="1:29" ht="15.9" thickBot="1" x14ac:dyDescent="0.45">
      <c r="A23" s="131"/>
      <c r="B23" s="140" t="s">
        <v>878</v>
      </c>
      <c r="C23" s="138"/>
      <c r="D23" s="813">
        <f>100%-D16</f>
        <v>1</v>
      </c>
      <c r="E23" s="813">
        <f>100%-E16</f>
        <v>1</v>
      </c>
      <c r="F23" s="813">
        <f>100%-F16</f>
        <v>1</v>
      </c>
      <c r="G23" s="813">
        <f>100%-G16</f>
        <v>1</v>
      </c>
      <c r="H23" s="813">
        <f>+D23</f>
        <v>1</v>
      </c>
      <c r="I23" s="813">
        <f t="shared" ref="I23:K23" si="26">+E23</f>
        <v>1</v>
      </c>
      <c r="J23" s="813">
        <f t="shared" si="26"/>
        <v>1</v>
      </c>
      <c r="K23" s="813">
        <f t="shared" si="26"/>
        <v>1</v>
      </c>
      <c r="L23" s="138"/>
      <c r="M23" s="358"/>
      <c r="N23" s="350"/>
      <c r="O23" s="350"/>
      <c r="P23" s="350"/>
      <c r="Q23" s="350"/>
      <c r="R23" s="350"/>
      <c r="S23" s="350"/>
      <c r="T23" s="351"/>
      <c r="U23" s="351"/>
      <c r="V23" s="351"/>
      <c r="W23" s="351"/>
      <c r="X23" s="351"/>
      <c r="Y23" s="351"/>
      <c r="Z23" s="351"/>
      <c r="AA23" s="352"/>
      <c r="AB23" s="805"/>
    </row>
    <row r="24" spans="1:29" ht="15.9" thickBot="1" x14ac:dyDescent="0.45">
      <c r="B24" s="138"/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352"/>
      <c r="N24" s="352"/>
      <c r="O24" s="138"/>
      <c r="P24" s="138"/>
      <c r="Q24" s="138"/>
      <c r="R24" s="138"/>
      <c r="S24" s="138"/>
      <c r="T24" s="135"/>
      <c r="U24" s="352"/>
      <c r="V24" s="135"/>
      <c r="W24" s="135"/>
      <c r="X24" s="135"/>
      <c r="Y24" s="135"/>
      <c r="Z24" s="135"/>
    </row>
    <row r="25" spans="1:29" ht="15.45" x14ac:dyDescent="0.4">
      <c r="B25" s="140"/>
      <c r="C25" s="138" t="s">
        <v>9</v>
      </c>
      <c r="D25" s="138"/>
      <c r="E25" s="138"/>
      <c r="F25" s="138"/>
      <c r="G25" s="138"/>
      <c r="H25" s="138"/>
      <c r="I25" s="138"/>
      <c r="J25" s="138"/>
      <c r="K25" s="138"/>
      <c r="L25" s="138"/>
      <c r="M25" s="354"/>
      <c r="N25" s="138"/>
      <c r="O25" s="875" t="s">
        <v>1089</v>
      </c>
      <c r="P25" s="875"/>
      <c r="Q25" s="875"/>
      <c r="R25" s="875"/>
      <c r="S25" s="875"/>
      <c r="T25" s="875"/>
      <c r="U25" s="138"/>
      <c r="V25" s="882" t="s">
        <v>1146</v>
      </c>
      <c r="W25" s="882"/>
      <c r="X25" s="882"/>
      <c r="Y25" s="882"/>
      <c r="Z25" s="882"/>
      <c r="AA25" s="882"/>
      <c r="AB25" s="801"/>
    </row>
    <row r="26" spans="1:29" ht="15.45" x14ac:dyDescent="0.4">
      <c r="B26" s="792" t="s">
        <v>1072</v>
      </c>
      <c r="C26" s="788" t="s">
        <v>1078</v>
      </c>
      <c r="D26" s="138" t="s">
        <v>9</v>
      </c>
      <c r="E26" s="138"/>
      <c r="F26" s="138"/>
      <c r="G26" s="138"/>
      <c r="H26" s="138"/>
      <c r="I26" s="138"/>
      <c r="J26" s="138"/>
      <c r="K26" s="138"/>
      <c r="L26" s="138"/>
      <c r="M26" s="354"/>
      <c r="N26" s="796"/>
      <c r="O26" s="361" t="str">
        <f>+'Project Labor'!$C$19</f>
        <v/>
      </c>
      <c r="P26" s="363" t="str">
        <f>+'Project Labor'!$D$19</f>
        <v/>
      </c>
      <c r="Q26" s="365" t="str">
        <f>+'Project Labor'!$E$19</f>
        <v/>
      </c>
      <c r="R26" s="367" t="str">
        <f>+'Project Labor'!$F$19</f>
        <v/>
      </c>
      <c r="S26" s="779" t="s">
        <v>953</v>
      </c>
      <c r="T26" s="340" t="str">
        <f>+'Project Labor'!$H$19</f>
        <v>Total</v>
      </c>
      <c r="U26" s="305"/>
      <c r="V26" s="361" t="str">
        <f>+'Project Labor'!$C$19</f>
        <v/>
      </c>
      <c r="W26" s="363" t="str">
        <f>+'Project Labor'!$D$19</f>
        <v/>
      </c>
      <c r="X26" s="365" t="str">
        <f>+'Project Labor'!$E$19</f>
        <v/>
      </c>
      <c r="Y26" s="367" t="str">
        <f>+'Project Labor'!$F$19</f>
        <v/>
      </c>
      <c r="Z26" s="779" t="s">
        <v>953</v>
      </c>
      <c r="AA26" s="340" t="str">
        <f>+'Project Labor'!$H$19</f>
        <v>Total</v>
      </c>
      <c r="AB26" s="802"/>
    </row>
    <row r="27" spans="1:29" ht="15.45" x14ac:dyDescent="0.4">
      <c r="B27" s="328" t="s">
        <v>1075</v>
      </c>
      <c r="C27" s="815">
        <v>1</v>
      </c>
      <c r="D27" s="777"/>
      <c r="E27" s="301" t="s">
        <v>9</v>
      </c>
      <c r="H27" s="838"/>
      <c r="I27" s="838"/>
      <c r="J27" s="838"/>
      <c r="K27" s="838"/>
      <c r="L27" s="137"/>
      <c r="M27" s="354"/>
      <c r="N27" s="140" t="s">
        <v>753</v>
      </c>
      <c r="O27" s="342">
        <f>+(O32+O33+O34+O35+O37+O38+O41)/(1-'Work Area'!$R$21)</f>
        <v>0</v>
      </c>
      <c r="P27" s="342">
        <f>+(P32+P33+P34+P35+P37+P38+P41)/(1-'Work Area'!$R$21)</f>
        <v>0</v>
      </c>
      <c r="Q27" s="342">
        <f>+(Q32+Q33+Q34+Q35+Q37+Q38+Q41)/(1-'Work Area'!$R$21)</f>
        <v>0</v>
      </c>
      <c r="R27" s="342">
        <f>+(R32+R33+R34+R35+R37+R38+R41)/(1-'Work Area'!$R$21)</f>
        <v>0</v>
      </c>
      <c r="S27" s="342">
        <f>+(S32+S33+S34+S35+S37+S38+S41)/(1-'Work Area'!$R$21)</f>
        <v>0</v>
      </c>
      <c r="T27" s="309">
        <f>SUM(O27:S27)</f>
        <v>0</v>
      </c>
      <c r="U27" s="253"/>
      <c r="V27" s="342">
        <f>+(V32+V33+V34+V35+V37+V38+V41)/(1-'Work Area'!$R$22)</f>
        <v>0</v>
      </c>
      <c r="W27" s="342">
        <f>+(W32+W33+W34+W35+W37+W38+W41)/(1-'Work Area'!$R$22)</f>
        <v>0</v>
      </c>
      <c r="X27" s="342">
        <f>+(X32+X33+X34+X35+X37+X38+X41)/(1-'Work Area'!$R$22)</f>
        <v>0</v>
      </c>
      <c r="Y27" s="342">
        <f>+(Y32+Y33+Y34+Y35+Y37+Y38+Y41)/(1-'Work Area'!$R$22)</f>
        <v>0</v>
      </c>
      <c r="Z27" s="342">
        <f>+(Z32+Z33+Z34+Z35+Z37+Z38+Z41)/(1-'Work Area'!$R$22)</f>
        <v>0</v>
      </c>
      <c r="AA27" s="309">
        <f>SUM(V27:Z27)</f>
        <v>0</v>
      </c>
      <c r="AB27" s="803" t="s">
        <v>9</v>
      </c>
    </row>
    <row r="28" spans="1:29" ht="15.9" thickBot="1" x14ac:dyDescent="0.45">
      <c r="B28" s="328" t="s">
        <v>1073</v>
      </c>
      <c r="C28" s="815">
        <v>2</v>
      </c>
      <c r="D28" s="777"/>
      <c r="F28" s="301" t="s">
        <v>9</v>
      </c>
      <c r="G28" s="838"/>
      <c r="H28" s="838"/>
      <c r="I28" s="838"/>
      <c r="J28" s="838"/>
      <c r="K28" s="838"/>
      <c r="L28" s="137"/>
      <c r="M28" s="354"/>
      <c r="O28" s="344">
        <f>'Project Labor'!C23</f>
        <v>0</v>
      </c>
      <c r="P28" s="344">
        <f>'Project Labor'!D23</f>
        <v>0</v>
      </c>
      <c r="Q28" s="344">
        <f>'Project Labor'!E23</f>
        <v>0</v>
      </c>
      <c r="R28" s="344">
        <f>'Project Labor'!F23</f>
        <v>0</v>
      </c>
      <c r="S28" s="344">
        <f>'Project Labor'!G23</f>
        <v>0</v>
      </c>
      <c r="T28" s="309">
        <f t="shared" ref="T28:T30" si="27">SUM(O28:S28)</f>
        <v>0</v>
      </c>
      <c r="U28" s="253"/>
      <c r="V28" s="344">
        <f>'Project Labor'!C23</f>
        <v>0</v>
      </c>
      <c r="W28" s="344">
        <f>'Project Labor'!D23</f>
        <v>0</v>
      </c>
      <c r="X28" s="344">
        <f>'Project Labor'!E23</f>
        <v>0</v>
      </c>
      <c r="Y28" s="344">
        <f>'Project Labor'!F23</f>
        <v>0</v>
      </c>
      <c r="Z28" s="344">
        <f>'Project Labor'!G23</f>
        <v>0</v>
      </c>
      <c r="AA28" s="309">
        <f t="shared" ref="AA28:AA30" si="28">SUM(V28:Z28)</f>
        <v>0</v>
      </c>
      <c r="AB28" s="804" t="s">
        <v>9</v>
      </c>
    </row>
    <row r="29" spans="1:29" ht="15.9" thickTop="1" x14ac:dyDescent="0.4">
      <c r="B29" s="328" t="s">
        <v>1074</v>
      </c>
      <c r="C29" s="815">
        <v>3</v>
      </c>
      <c r="D29" s="777"/>
      <c r="K29" s="137"/>
      <c r="L29" s="137"/>
      <c r="M29" s="354"/>
      <c r="N29" s="343" t="s">
        <v>752</v>
      </c>
      <c r="O29" s="403">
        <f t="shared" ref="O29:T29" si="29">IF(O28=0,0,O27/O28)</f>
        <v>0</v>
      </c>
      <c r="P29" s="403">
        <f t="shared" si="29"/>
        <v>0</v>
      </c>
      <c r="Q29" s="403">
        <f t="shared" si="29"/>
        <v>0</v>
      </c>
      <c r="R29" s="403">
        <f t="shared" si="29"/>
        <v>0</v>
      </c>
      <c r="S29" s="403">
        <f t="shared" si="29"/>
        <v>0</v>
      </c>
      <c r="T29" s="403">
        <f t="shared" si="29"/>
        <v>0</v>
      </c>
      <c r="U29" s="253"/>
      <c r="V29" s="403">
        <f t="shared" ref="V29:AA29" si="30">IF(V28=0,0,V27/V28)</f>
        <v>0</v>
      </c>
      <c r="W29" s="403">
        <f t="shared" si="30"/>
        <v>0</v>
      </c>
      <c r="X29" s="403">
        <f t="shared" si="30"/>
        <v>0</v>
      </c>
      <c r="Y29" s="403">
        <f t="shared" si="30"/>
        <v>0</v>
      </c>
      <c r="Z29" s="403">
        <f t="shared" si="30"/>
        <v>0</v>
      </c>
      <c r="AA29" s="403">
        <f t="shared" si="30"/>
        <v>0</v>
      </c>
      <c r="AB29" s="803"/>
    </row>
    <row r="30" spans="1:29" ht="15.45" x14ac:dyDescent="0.4">
      <c r="B30" s="328" t="s">
        <v>1081</v>
      </c>
      <c r="C30" s="815">
        <v>4</v>
      </c>
      <c r="D30" s="777"/>
      <c r="K30" s="137"/>
      <c r="L30" s="137"/>
      <c r="M30" s="354"/>
      <c r="N30" s="235" t="s">
        <v>912</v>
      </c>
      <c r="O30" s="306"/>
      <c r="P30" s="306"/>
      <c r="Q30" s="306"/>
      <c r="R30" s="306"/>
      <c r="S30" s="306"/>
      <c r="T30" s="309">
        <f t="shared" si="27"/>
        <v>0</v>
      </c>
      <c r="U30" s="253"/>
      <c r="V30" s="306"/>
      <c r="W30" s="306"/>
      <c r="X30" s="306"/>
      <c r="Y30" s="306"/>
      <c r="Z30" s="306"/>
      <c r="AA30" s="309">
        <f t="shared" si="28"/>
        <v>0</v>
      </c>
      <c r="AB30" s="803"/>
    </row>
    <row r="31" spans="1:29" ht="15.45" x14ac:dyDescent="0.4">
      <c r="B31" s="820" t="s">
        <v>1100</v>
      </c>
      <c r="C31" s="815">
        <v>5</v>
      </c>
      <c r="D31" s="791"/>
      <c r="E31" s="18"/>
      <c r="F31" s="18"/>
      <c r="G31" s="18"/>
      <c r="H31" s="18"/>
      <c r="I31" s="18"/>
      <c r="J31" s="18"/>
      <c r="K31" s="137"/>
      <c r="L31" s="137"/>
      <c r="M31" s="354"/>
      <c r="N31" s="797"/>
      <c r="T31" s="309" t="s">
        <v>9</v>
      </c>
      <c r="U31" s="253"/>
      <c r="AB31" s="803"/>
      <c r="AC31" s="797"/>
    </row>
    <row r="32" spans="1:29" ht="15.45" x14ac:dyDescent="0.4">
      <c r="B32" s="821" t="s">
        <v>1077</v>
      </c>
      <c r="C32" s="794">
        <v>2</v>
      </c>
      <c r="D32" s="321"/>
      <c r="E32" s="131"/>
      <c r="F32" s="131"/>
      <c r="G32" s="131"/>
      <c r="H32" s="131"/>
      <c r="I32" s="131"/>
      <c r="J32" s="131"/>
      <c r="K32" s="137"/>
      <c r="L32" s="137"/>
      <c r="M32" s="355"/>
      <c r="N32" s="345" t="s">
        <v>1130</v>
      </c>
      <c r="O32" s="336">
        <f>IF($C$35=1,'Project Labor'!K36,+'Project Labor'!C39)</f>
        <v>0</v>
      </c>
      <c r="P32" s="336">
        <f>IF($C$35=1,'Project Labor'!L36,+'Project Labor'!D39)</f>
        <v>0</v>
      </c>
      <c r="Q32" s="336">
        <f>IF($C$35=1,'Project Labor'!M36,+'Project Labor'!E39)</f>
        <v>0</v>
      </c>
      <c r="R32" s="336">
        <f>IF($C$35=1,'Project Labor'!N36,+'Project Labor'!F39)</f>
        <v>0</v>
      </c>
      <c r="S32" s="336">
        <f>IF($C$35=1,'Project Labor'!O36,+'Project Labor'!G39)</f>
        <v>0</v>
      </c>
      <c r="T32" s="309">
        <f t="shared" ref="T32:T44" si="31">SUM(O32:S32)</f>
        <v>0</v>
      </c>
      <c r="U32" s="253"/>
      <c r="V32" s="336">
        <f>IF($C$35=1,'Project Labor'!K36,+'Project Labor'!C39)</f>
        <v>0</v>
      </c>
      <c r="W32" s="336">
        <f>IF($C$35=1,'Project Labor'!L36,+'Project Labor'!D39)</f>
        <v>0</v>
      </c>
      <c r="X32" s="336">
        <f>IF($C$35=1,'Project Labor'!M36,+'Project Labor'!E39)</f>
        <v>0</v>
      </c>
      <c r="Y32" s="336">
        <f>IF($C$35=1,'Project Labor'!N36,+'Project Labor'!F39)</f>
        <v>0</v>
      </c>
      <c r="Z32" s="336">
        <f>IF($C$35=1,'Project Labor'!O36,+'Project Labor'!G39)</f>
        <v>0</v>
      </c>
      <c r="AA32" s="309">
        <f t="shared" ref="AA32:AA44" si="32">SUM(V32:Z32)</f>
        <v>0</v>
      </c>
      <c r="AB32" s="803"/>
    </row>
    <row r="33" spans="2:28" ht="15.45" x14ac:dyDescent="0.4">
      <c r="B33" s="138"/>
      <c r="C33" s="132"/>
      <c r="D33" s="132"/>
      <c r="E33" s="139"/>
      <c r="F33" s="132"/>
      <c r="G33" s="132"/>
      <c r="H33" s="132"/>
      <c r="I33" s="132"/>
      <c r="J33" s="132"/>
      <c r="K33" s="137"/>
      <c r="L33" s="137"/>
      <c r="M33" s="355"/>
      <c r="N33" s="345" t="s">
        <v>910</v>
      </c>
      <c r="O33" s="336">
        <f>IFERROR(SUM('Project Labor'!C49+'Project Labor'!C55),0)</f>
        <v>0</v>
      </c>
      <c r="P33" s="336">
        <f>IFERROR(SUM('Project Labor'!D49+'Project Labor'!D55),0)</f>
        <v>0</v>
      </c>
      <c r="Q33" s="336">
        <f>IFERROR(SUM('Project Labor'!E49+'Project Labor'!E55),0)</f>
        <v>0</v>
      </c>
      <c r="R33" s="336">
        <f>IFERROR(SUM('Project Labor'!F49+'Project Labor'!F55),0)</f>
        <v>0</v>
      </c>
      <c r="S33" s="336">
        <f>IFERROR(SUM('Project Labor'!G49+'Project Labor'!G55),0)</f>
        <v>0</v>
      </c>
      <c r="T33" s="309">
        <f t="shared" si="31"/>
        <v>0</v>
      </c>
      <c r="U33" s="253"/>
      <c r="V33" s="336">
        <f>IFERROR(SUM('Project Labor'!C49+'Project Labor'!C55),0)</f>
        <v>0</v>
      </c>
      <c r="W33" s="336">
        <f>IFERROR(SUM('Project Labor'!D49+'Project Labor'!D55),0)</f>
        <v>0</v>
      </c>
      <c r="X33" s="336">
        <f>IFERROR(SUM('Project Labor'!E49+'Project Labor'!E55),0)</f>
        <v>0</v>
      </c>
      <c r="Y33" s="336">
        <f>IFERROR(SUM('Project Labor'!F49+'Project Labor'!F55),0)</f>
        <v>0</v>
      </c>
      <c r="Z33" s="336">
        <f>IFERROR(SUM('Project Labor'!G49+'Project Labor'!G55),0)</f>
        <v>0</v>
      </c>
      <c r="AA33" s="309">
        <f t="shared" si="32"/>
        <v>0</v>
      </c>
      <c r="AB33" s="803"/>
    </row>
    <row r="34" spans="2:28" ht="15.45" x14ac:dyDescent="0.4">
      <c r="C34" s="788" t="s">
        <v>1123</v>
      </c>
      <c r="K34" s="137"/>
      <c r="L34" s="137"/>
      <c r="M34" s="355"/>
      <c r="N34" s="343" t="s">
        <v>1132</v>
      </c>
      <c r="O34" s="336">
        <f>'Project Materials'!O43</f>
        <v>0</v>
      </c>
      <c r="P34" s="336">
        <f>'Project Materials'!O56</f>
        <v>0</v>
      </c>
      <c r="Q34" s="336">
        <f>'Project Materials'!O69</f>
        <v>0</v>
      </c>
      <c r="R34" s="336">
        <f>'Project Materials'!O82</f>
        <v>0</v>
      </c>
      <c r="S34" s="336">
        <f>'Grab Rail'!J54</f>
        <v>0</v>
      </c>
      <c r="T34" s="309">
        <f t="shared" si="31"/>
        <v>0</v>
      </c>
      <c r="U34" s="253"/>
      <c r="V34" s="336">
        <f>'Project Materials'!O43</f>
        <v>0</v>
      </c>
      <c r="W34" s="336">
        <f>'Project Materials'!O56</f>
        <v>0</v>
      </c>
      <c r="X34" s="336">
        <f>'Project Materials'!O69</f>
        <v>0</v>
      </c>
      <c r="Y34" s="336">
        <f>'Project Materials'!O82</f>
        <v>0</v>
      </c>
      <c r="Z34" s="336">
        <f>'Grab Rail'!J54</f>
        <v>0</v>
      </c>
      <c r="AA34" s="309">
        <f t="shared" si="32"/>
        <v>0</v>
      </c>
      <c r="AB34" s="803"/>
    </row>
    <row r="35" spans="2:28" ht="15.45" x14ac:dyDescent="0.4">
      <c r="B35" s="140" t="s">
        <v>1122</v>
      </c>
      <c r="C35" s="853">
        <v>0</v>
      </c>
      <c r="K35" s="137"/>
      <c r="L35" s="137"/>
      <c r="M35" s="357"/>
      <c r="N35" s="343" t="s">
        <v>749</v>
      </c>
      <c r="O35" s="336">
        <f>+$M$12*O34</f>
        <v>0</v>
      </c>
      <c r="P35" s="336">
        <f t="shared" ref="P35" si="33">+$M$12*P34</f>
        <v>0</v>
      </c>
      <c r="Q35" s="336">
        <f t="shared" ref="Q35" si="34">+$M$12*Q34</f>
        <v>0</v>
      </c>
      <c r="R35" s="336">
        <f t="shared" ref="R35" si="35">+$M$12*R34</f>
        <v>0</v>
      </c>
      <c r="S35" s="336">
        <f t="shared" ref="S35" si="36">+$M$12*S34</f>
        <v>0</v>
      </c>
      <c r="T35" s="309">
        <f t="shared" si="31"/>
        <v>0</v>
      </c>
      <c r="U35" s="253"/>
      <c r="V35" s="336">
        <f>+$M$12*V34</f>
        <v>0</v>
      </c>
      <c r="W35" s="336">
        <f t="shared" ref="W35" si="37">+$M$12*W34</f>
        <v>0</v>
      </c>
      <c r="X35" s="336">
        <f t="shared" ref="X35" si="38">+$M$12*X34</f>
        <v>0</v>
      </c>
      <c r="Y35" s="336">
        <f t="shared" ref="Y35" si="39">+$M$12*Y34</f>
        <v>0</v>
      </c>
      <c r="Z35" s="336">
        <f t="shared" ref="Z35" si="40">+$M$12*Z34</f>
        <v>0</v>
      </c>
      <c r="AA35" s="309">
        <f t="shared" si="32"/>
        <v>0</v>
      </c>
      <c r="AB35" s="803"/>
    </row>
    <row r="36" spans="2:28" ht="15.45" x14ac:dyDescent="0.4">
      <c r="B36" s="138" t="s">
        <v>1124</v>
      </c>
      <c r="K36" s="137"/>
      <c r="L36" s="137"/>
      <c r="M36" s="346">
        <f>+M13</f>
        <v>0</v>
      </c>
      <c r="N36" s="343" t="s">
        <v>747</v>
      </c>
      <c r="O36" s="336">
        <f>+$M$13*O27</f>
        <v>0</v>
      </c>
      <c r="P36" s="336">
        <f>+$M$13*P27</f>
        <v>0</v>
      </c>
      <c r="Q36" s="336">
        <f>+$M$13*Q27</f>
        <v>0</v>
      </c>
      <c r="R36" s="336">
        <f>+$M$13*R27</f>
        <v>0</v>
      </c>
      <c r="S36" s="336">
        <f>+$M$13*S27</f>
        <v>0</v>
      </c>
      <c r="T36" s="309">
        <f t="shared" si="31"/>
        <v>0</v>
      </c>
      <c r="U36" s="253"/>
      <c r="V36" s="336">
        <f>+$M$13*V27</f>
        <v>0</v>
      </c>
      <c r="W36" s="336">
        <f>+$M$13*W27</f>
        <v>0</v>
      </c>
      <c r="X36" s="336">
        <f>+$M$13*X27</f>
        <v>0</v>
      </c>
      <c r="Y36" s="336">
        <f>+$M$13*Y27</f>
        <v>0</v>
      </c>
      <c r="Z36" s="336">
        <f>+$M$13*Z27</f>
        <v>0</v>
      </c>
      <c r="AA36" s="309">
        <f t="shared" si="32"/>
        <v>0</v>
      </c>
      <c r="AB36" s="803"/>
    </row>
    <row r="37" spans="2:28" ht="15.45" x14ac:dyDescent="0.4">
      <c r="B37" s="138" t="s">
        <v>1125</v>
      </c>
      <c r="K37" s="137"/>
      <c r="L37" s="137"/>
      <c r="M37" s="355"/>
      <c r="N37" s="235" t="s">
        <v>1121</v>
      </c>
      <c r="O37" s="336">
        <f>IF($T$34=0,0,+ROUND(O34/$T$34*'Project Labor'!$J$8,0))</f>
        <v>0</v>
      </c>
      <c r="P37" s="336">
        <f>IF($T$34=0,0,+ROUND(P34/$T$34*'Project Labor'!$J$8,0))</f>
        <v>0</v>
      </c>
      <c r="Q37" s="336">
        <f>IF($T$34=0,0,+ROUND(Q34/$T$34*'Project Labor'!$J$8,0))</f>
        <v>0</v>
      </c>
      <c r="R37" s="336">
        <f>IF($T$34=0,0,+ROUND(R34/$T$34*'Project Labor'!$J$8,0))</f>
        <v>0</v>
      </c>
      <c r="S37" s="336">
        <f>IF($T$34=0,0,+ROUND(S34/$T$34*'Project Labor'!$J$8,0))</f>
        <v>0</v>
      </c>
      <c r="T37" s="309">
        <f t="shared" si="31"/>
        <v>0</v>
      </c>
      <c r="U37" s="253"/>
      <c r="V37" s="336">
        <f>+IF($AA$34=0,0,ROUND(V34/$AA$34*'Project Labor'!$J$8,0))</f>
        <v>0</v>
      </c>
      <c r="W37" s="336">
        <f>+IF($AA$34=0,0,ROUND(W34/$AA$34*'Project Labor'!$J$8,0))</f>
        <v>0</v>
      </c>
      <c r="X37" s="336">
        <f>+IF($AA$34=0,0,ROUND(X34/$AA$34*'Project Labor'!$J$8,0))</f>
        <v>0</v>
      </c>
      <c r="Y37" s="336">
        <f>+IF($AA$34=0,0,ROUND(Y34/$AA$34*'Project Labor'!$J$8,0))</f>
        <v>0</v>
      </c>
      <c r="Z37" s="336">
        <f>+IF($AA$34=0,0,ROUND(Z34/$AA$34*'Project Labor'!$J$8,0))</f>
        <v>0</v>
      </c>
      <c r="AA37" s="309">
        <f t="shared" si="32"/>
        <v>0</v>
      </c>
      <c r="AB37" s="803"/>
    </row>
    <row r="38" spans="2:28" ht="15.45" x14ac:dyDescent="0.4">
      <c r="B38" s="138"/>
      <c r="K38" s="137"/>
      <c r="L38" s="137"/>
      <c r="M38" s="348">
        <f>+M15</f>
        <v>0.16</v>
      </c>
      <c r="N38" s="345" t="s">
        <v>1133</v>
      </c>
      <c r="O38" s="142">
        <f>+$M15*O32</f>
        <v>0</v>
      </c>
      <c r="P38" s="142">
        <f>+$M15*P32</f>
        <v>0</v>
      </c>
      <c r="Q38" s="142">
        <f>+$M15*Q32</f>
        <v>0</v>
      </c>
      <c r="R38" s="142">
        <f>+$M15*R32</f>
        <v>0</v>
      </c>
      <c r="S38" s="142">
        <f>+$M15*S32</f>
        <v>0</v>
      </c>
      <c r="T38" s="309">
        <f t="shared" si="31"/>
        <v>0</v>
      </c>
      <c r="U38" s="253"/>
      <c r="V38" s="142">
        <f>+$M15*V32</f>
        <v>0</v>
      </c>
      <c r="W38" s="142">
        <f>+$M15*W32</f>
        <v>0</v>
      </c>
      <c r="X38" s="142">
        <f>+$M15*X32</f>
        <v>0</v>
      </c>
      <c r="Y38" s="142">
        <f>+$M15*Y32</f>
        <v>0</v>
      </c>
      <c r="Z38" s="142">
        <f>+$M15*Z32</f>
        <v>0</v>
      </c>
      <c r="AA38" s="309">
        <f t="shared" si="32"/>
        <v>0</v>
      </c>
      <c r="AB38" s="803"/>
    </row>
    <row r="39" spans="2:28" ht="15.45" x14ac:dyDescent="0.4">
      <c r="M39" s="357"/>
      <c r="N39" s="347" t="s">
        <v>876</v>
      </c>
      <c r="O39" s="342">
        <f>SUM(O32:O38)</f>
        <v>0</v>
      </c>
      <c r="P39" s="342">
        <f>SUM(P32:P38)</f>
        <v>0</v>
      </c>
      <c r="Q39" s="342">
        <f>SUM(Q32:Q38)</f>
        <v>0</v>
      </c>
      <c r="R39" s="342">
        <f>SUM(R32:R38)</f>
        <v>0</v>
      </c>
      <c r="S39" s="342">
        <f>SUM(S32:S38)</f>
        <v>0</v>
      </c>
      <c r="T39" s="309">
        <f t="shared" si="31"/>
        <v>0</v>
      </c>
      <c r="U39" s="253"/>
      <c r="V39" s="342">
        <f>SUM(V32:V38)</f>
        <v>0</v>
      </c>
      <c r="W39" s="342">
        <f>SUM(W32:W38)</f>
        <v>0</v>
      </c>
      <c r="X39" s="342">
        <f>SUM(X32:X38)</f>
        <v>0</v>
      </c>
      <c r="Y39" s="342">
        <f>SUM(Y32:Y38)</f>
        <v>0</v>
      </c>
      <c r="Z39" s="342">
        <f>SUM(Z32:Z38)</f>
        <v>0</v>
      </c>
      <c r="AA39" s="309">
        <f t="shared" si="32"/>
        <v>0</v>
      </c>
      <c r="AB39" s="803"/>
    </row>
    <row r="40" spans="2:28" ht="15.45" x14ac:dyDescent="0.4">
      <c r="M40" s="335"/>
      <c r="N40" s="343"/>
      <c r="O40" s="306"/>
      <c r="P40" s="306"/>
      <c r="Q40" s="306"/>
      <c r="R40" s="306"/>
      <c r="S40" s="306"/>
      <c r="T40" s="309">
        <f t="shared" si="31"/>
        <v>0</v>
      </c>
      <c r="U40" s="253"/>
      <c r="V40" s="306"/>
      <c r="W40" s="306"/>
      <c r="X40" s="306"/>
      <c r="Y40" s="306"/>
      <c r="Z40" s="306"/>
      <c r="AA40" s="309">
        <f t="shared" si="32"/>
        <v>0</v>
      </c>
      <c r="AB40" s="803"/>
    </row>
    <row r="41" spans="2:28" ht="15.45" x14ac:dyDescent="0.4">
      <c r="M41" s="806">
        <f>+'Work Area'!$Q$21</f>
        <v>0.44500000000000001</v>
      </c>
      <c r="N41" s="343" t="s">
        <v>911</v>
      </c>
      <c r="O41" s="342">
        <f>+(O38+O37+O35+O34+O32)*$M$41</f>
        <v>0</v>
      </c>
      <c r="P41" s="342">
        <f t="shared" ref="P41:S41" si="41">+(P38+P37+P35+P34+P32)*$M$41</f>
        <v>0</v>
      </c>
      <c r="Q41" s="342">
        <f t="shared" si="41"/>
        <v>0</v>
      </c>
      <c r="R41" s="342">
        <f t="shared" si="41"/>
        <v>0</v>
      </c>
      <c r="S41" s="342">
        <f t="shared" si="41"/>
        <v>0</v>
      </c>
      <c r="T41" s="309">
        <f t="shared" si="31"/>
        <v>0</v>
      </c>
      <c r="U41" s="790">
        <f>+'Work Area'!$Q$22</f>
        <v>0.1</v>
      </c>
      <c r="V41" s="342">
        <f>+(V38+V37+V35+V34+V32)*$U$41</f>
        <v>0</v>
      </c>
      <c r="W41" s="342">
        <f t="shared" ref="W41:Y41" si="42">+(W38+W37+W35+W34+W32)*$U$41</f>
        <v>0</v>
      </c>
      <c r="X41" s="342">
        <f t="shared" si="42"/>
        <v>0</v>
      </c>
      <c r="Y41" s="342">
        <f t="shared" si="42"/>
        <v>0</v>
      </c>
      <c r="Z41" s="342">
        <f>+(Z38+Z37+Z35+Z34+Z32)*$U$18</f>
        <v>0</v>
      </c>
      <c r="AA41" s="309">
        <f t="shared" si="32"/>
        <v>0</v>
      </c>
      <c r="AB41" s="803"/>
    </row>
    <row r="42" spans="2:28" ht="15.45" x14ac:dyDescent="0.4">
      <c r="M42" s="355"/>
      <c r="N42" s="797"/>
      <c r="O42" s="305"/>
      <c r="P42" s="306"/>
      <c r="Q42" s="306"/>
      <c r="R42" s="306"/>
      <c r="S42" s="306"/>
      <c r="T42" s="309">
        <f t="shared" si="31"/>
        <v>0</v>
      </c>
      <c r="U42" s="253"/>
      <c r="V42" s="305"/>
      <c r="W42" s="306"/>
      <c r="X42" s="306"/>
      <c r="Y42" s="306"/>
      <c r="Z42" s="306"/>
      <c r="AA42" s="309">
        <f t="shared" si="32"/>
        <v>0</v>
      </c>
      <c r="AB42" s="803"/>
    </row>
    <row r="43" spans="2:28" ht="15.45" x14ac:dyDescent="0.4">
      <c r="M43" s="355"/>
      <c r="N43" s="338"/>
      <c r="O43" s="342">
        <f>+O41+O39</f>
        <v>0</v>
      </c>
      <c r="P43" s="342">
        <f>+P41+P39</f>
        <v>0</v>
      </c>
      <c r="Q43" s="342">
        <f>+Q41+Q39</f>
        <v>0</v>
      </c>
      <c r="R43" s="342">
        <f>+R41+R39</f>
        <v>0</v>
      </c>
      <c r="S43" s="342">
        <f>+S41+S39</f>
        <v>0</v>
      </c>
      <c r="T43" s="309">
        <f t="shared" si="31"/>
        <v>0</v>
      </c>
      <c r="U43" s="253"/>
      <c r="V43" s="342">
        <f>+V41+V39</f>
        <v>0</v>
      </c>
      <c r="W43" s="342">
        <f>+W41+W39</f>
        <v>0</v>
      </c>
      <c r="X43" s="342">
        <f>+X41+X39</f>
        <v>0</v>
      </c>
      <c r="Y43" s="342">
        <f>+Y41+Y39</f>
        <v>0</v>
      </c>
      <c r="Z43" s="342">
        <f>+Z41+Z39</f>
        <v>0</v>
      </c>
      <c r="AA43" s="309">
        <f t="shared" si="32"/>
        <v>0</v>
      </c>
      <c r="AB43" s="803"/>
    </row>
    <row r="44" spans="2:28" ht="15.45" x14ac:dyDescent="0.4">
      <c r="M44" s="354"/>
      <c r="N44" s="337"/>
      <c r="O44" s="342">
        <f>+O27-O43</f>
        <v>0</v>
      </c>
      <c r="P44" s="342">
        <f>+P27-P43</f>
        <v>0</v>
      </c>
      <c r="Q44" s="342">
        <f>+Q27-Q43</f>
        <v>0</v>
      </c>
      <c r="R44" s="342">
        <f>+R27-R43</f>
        <v>0</v>
      </c>
      <c r="S44" s="342">
        <f>+S27-S43</f>
        <v>0</v>
      </c>
      <c r="T44" s="309">
        <f t="shared" si="31"/>
        <v>0</v>
      </c>
      <c r="U44" s="253"/>
      <c r="V44" s="342">
        <f>+V27-V43</f>
        <v>0</v>
      </c>
      <c r="W44" s="342">
        <f>+W27-W43</f>
        <v>0</v>
      </c>
      <c r="X44" s="342">
        <f>+X27-X43</f>
        <v>0</v>
      </c>
      <c r="Y44" s="342">
        <f>+Y27-Y43</f>
        <v>0</v>
      </c>
      <c r="Z44" s="342">
        <f>+Z27-Z43</f>
        <v>0</v>
      </c>
      <c r="AA44" s="309">
        <f t="shared" si="32"/>
        <v>0</v>
      </c>
      <c r="AB44" s="803"/>
    </row>
    <row r="45" spans="2:28" ht="15.45" x14ac:dyDescent="0.4">
      <c r="M45" s="354"/>
      <c r="N45" s="338"/>
      <c r="O45" s="349">
        <f>IF(+O27=0,0,+O44/O27)</f>
        <v>0</v>
      </c>
      <c r="P45" s="349">
        <f>IF(+P27=0,0,+P44/P27)</f>
        <v>0</v>
      </c>
      <c r="Q45" s="349">
        <f>IF(+Q27=0,0,+Q44/Q27)</f>
        <v>0</v>
      </c>
      <c r="R45" s="349">
        <f>IF(+R27=0,0,+R44/R27)</f>
        <v>0</v>
      </c>
      <c r="S45" s="349">
        <f>IF(+S27=0,0,+S44/S27)</f>
        <v>0</v>
      </c>
      <c r="T45" s="309" t="s">
        <v>9</v>
      </c>
      <c r="U45" s="253"/>
      <c r="V45" s="349">
        <f>IF(+V27=0,0,+V44/V27)</f>
        <v>0</v>
      </c>
      <c r="W45" s="349">
        <f>IF(+W27=0,0,+W44/W27)</f>
        <v>0</v>
      </c>
      <c r="X45" s="349">
        <f>IF(+X27=0,0,+X44/X27)</f>
        <v>0</v>
      </c>
      <c r="Y45" s="349">
        <f>IF(+Y27=0,0,+Y44/Y27)</f>
        <v>0</v>
      </c>
      <c r="Z45" s="349">
        <f>IF(+Z27=0,0,+Z44/Z27)</f>
        <v>0</v>
      </c>
      <c r="AA45" s="309" t="s">
        <v>9</v>
      </c>
      <c r="AB45" s="803"/>
    </row>
    <row r="46" spans="2:28" ht="15.9" thickBot="1" x14ac:dyDescent="0.45">
      <c r="M46" s="358"/>
      <c r="N46" s="352"/>
      <c r="O46" s="352"/>
      <c r="P46" s="352"/>
      <c r="Q46" s="352"/>
      <c r="R46" s="352"/>
      <c r="S46" s="352"/>
      <c r="T46" s="352"/>
      <c r="U46" s="352"/>
      <c r="V46" s="351"/>
      <c r="W46" s="351"/>
      <c r="X46" s="351"/>
      <c r="Y46" s="351"/>
      <c r="Z46" s="351"/>
      <c r="AA46" s="352"/>
      <c r="AB46" s="805"/>
    </row>
    <row r="47" spans="2:28" x14ac:dyDescent="0.4">
      <c r="N47" s="334"/>
      <c r="O47" s="334"/>
      <c r="P47" s="334"/>
      <c r="Q47" s="334"/>
      <c r="R47" s="334"/>
      <c r="S47" s="334"/>
      <c r="T47" s="334"/>
      <c r="U47" s="334"/>
      <c r="V47" s="334"/>
    </row>
    <row r="48" spans="2:28" x14ac:dyDescent="0.4">
      <c r="N48" s="334"/>
      <c r="O48" s="334"/>
      <c r="P48" s="334"/>
      <c r="Q48" s="334"/>
      <c r="R48" s="334"/>
      <c r="S48" s="334"/>
      <c r="T48" s="334"/>
      <c r="U48" s="334"/>
      <c r="V48" s="334"/>
    </row>
    <row r="49" spans="14:22" x14ac:dyDescent="0.4">
      <c r="N49" s="334"/>
      <c r="O49" s="334"/>
      <c r="P49" s="334"/>
      <c r="Q49" s="334"/>
      <c r="R49" s="334"/>
      <c r="S49" s="334"/>
      <c r="T49" s="334"/>
      <c r="U49" s="334"/>
      <c r="V49" s="334"/>
    </row>
    <row r="50" spans="14:22" x14ac:dyDescent="0.4">
      <c r="N50" s="334"/>
      <c r="O50" s="334"/>
      <c r="P50" s="334"/>
      <c r="Q50" s="334"/>
      <c r="R50" s="334"/>
      <c r="S50" s="334"/>
      <c r="T50" s="334"/>
      <c r="U50" s="334"/>
      <c r="V50" s="334"/>
    </row>
    <row r="51" spans="14:22" x14ac:dyDescent="0.4">
      <c r="N51" s="334"/>
      <c r="O51" s="334"/>
      <c r="P51" s="334"/>
      <c r="Q51" s="334"/>
      <c r="R51" s="334"/>
      <c r="S51" s="334"/>
      <c r="T51" s="334"/>
      <c r="U51" s="334"/>
      <c r="V51" s="334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P26" sqref="P26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16" t="s">
        <v>909</v>
      </c>
      <c r="B1" s="517"/>
      <c r="C1" s="518"/>
      <c r="D1" s="517"/>
      <c r="E1" s="518"/>
      <c r="F1" s="517"/>
      <c r="G1" s="518"/>
      <c r="H1" s="517"/>
      <c r="I1" s="517"/>
      <c r="J1" s="517"/>
      <c r="K1" s="517"/>
      <c r="L1" s="517"/>
      <c r="M1" s="517"/>
      <c r="N1" s="517"/>
      <c r="O1" s="519"/>
      <c r="P1" s="519"/>
      <c r="Q1" s="519"/>
      <c r="R1" s="519"/>
      <c r="S1" s="519"/>
      <c r="T1" s="517"/>
      <c r="U1" s="517"/>
      <c r="V1" s="517"/>
      <c r="W1" s="517"/>
      <c r="X1" s="517"/>
      <c r="Y1" s="517"/>
      <c r="Z1" s="517"/>
      <c r="AA1" s="517"/>
      <c r="AB1" s="517"/>
      <c r="AC1" s="26"/>
      <c r="AD1" s="26"/>
      <c r="AE1" s="26"/>
    </row>
    <row r="2" spans="1:38" ht="23.7" customHeight="1" thickBot="1" x14ac:dyDescent="0.5">
      <c r="A2" s="520" t="s">
        <v>913</v>
      </c>
      <c r="B2" s="880" t="s">
        <v>491</v>
      </c>
      <c r="C2" s="880"/>
      <c r="D2" s="940"/>
      <c r="E2" s="964"/>
      <c r="F2" s="941"/>
      <c r="G2" s="879" t="s">
        <v>490</v>
      </c>
      <c r="H2" s="879"/>
      <c r="I2" s="940"/>
      <c r="J2" s="964"/>
      <c r="K2" s="941"/>
      <c r="L2" s="880" t="s">
        <v>492</v>
      </c>
      <c r="M2" s="880"/>
      <c r="N2" s="955"/>
      <c r="O2" s="956"/>
      <c r="P2" s="957"/>
      <c r="Q2" s="880" t="s">
        <v>715</v>
      </c>
      <c r="R2" s="880"/>
      <c r="S2" s="983"/>
      <c r="T2" s="984"/>
      <c r="U2" s="985"/>
      <c r="V2" s="521"/>
      <c r="W2" s="521"/>
      <c r="X2" s="521"/>
      <c r="Y2" s="522"/>
      <c r="Z2" s="517"/>
      <c r="AA2" s="517"/>
      <c r="AB2" s="517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17"/>
      <c r="B3" s="975" t="str">
        <f>IF(C25="","Area A",C25)</f>
        <v>Area A</v>
      </c>
      <c r="C3" s="976"/>
      <c r="D3" s="977"/>
      <c r="E3" s="978"/>
      <c r="F3" s="972" t="str">
        <f>IF(C26="","Area B",C26)</f>
        <v>Area B</v>
      </c>
      <c r="G3" s="973"/>
      <c r="H3" s="973"/>
      <c r="I3" s="974"/>
      <c r="J3" s="967" t="str">
        <f>IF(C27="","Area C",C27)</f>
        <v>Area C</v>
      </c>
      <c r="K3" s="968"/>
      <c r="L3" s="969"/>
      <c r="M3" s="969"/>
      <c r="N3" s="992" t="str">
        <f>IF(C28="","Area D",C28)</f>
        <v>Area D</v>
      </c>
      <c r="O3" s="993"/>
      <c r="P3" s="993"/>
      <c r="Q3" s="994"/>
      <c r="R3" s="987" t="s">
        <v>468</v>
      </c>
      <c r="S3" s="988"/>
      <c r="T3" s="988"/>
      <c r="U3" s="988"/>
      <c r="V3" s="989"/>
      <c r="W3" s="989"/>
      <c r="X3" s="989"/>
      <c r="Y3" s="990"/>
      <c r="Z3" s="523">
        <f ca="1">TODAY()</f>
        <v>44260</v>
      </c>
      <c r="AA3" s="524"/>
      <c r="AB3" s="524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17"/>
      <c r="B4" s="979" t="s">
        <v>463</v>
      </c>
      <c r="C4" s="980"/>
      <c r="D4" s="981" t="s">
        <v>420</v>
      </c>
      <c r="E4" s="971"/>
      <c r="F4" s="979" t="s">
        <v>463</v>
      </c>
      <c r="G4" s="980"/>
      <c r="H4" s="970" t="s">
        <v>420</v>
      </c>
      <c r="I4" s="971"/>
      <c r="J4" s="979" t="s">
        <v>463</v>
      </c>
      <c r="K4" s="980"/>
      <c r="L4" s="970" t="s">
        <v>420</v>
      </c>
      <c r="M4" s="971"/>
      <c r="N4" s="979" t="s">
        <v>463</v>
      </c>
      <c r="O4" s="980"/>
      <c r="P4" s="981" t="s">
        <v>420</v>
      </c>
      <c r="Q4" s="971"/>
      <c r="R4" s="1088"/>
      <c r="S4" s="1088"/>
      <c r="T4" s="1088"/>
      <c r="U4" s="1088"/>
      <c r="V4" s="1088"/>
      <c r="W4" s="1088"/>
      <c r="X4" s="1088"/>
      <c r="Y4" s="1089"/>
      <c r="Z4" s="523" t="e">
        <f>DATE(E20,C20,1)</f>
        <v>#NUM!</v>
      </c>
      <c r="AA4" s="523" t="e">
        <f>DATE(I20,G20,1)</f>
        <v>#NUM!</v>
      </c>
      <c r="AB4" s="523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17"/>
      <c r="B5" s="926" t="s">
        <v>483</v>
      </c>
      <c r="C5" s="927"/>
      <c r="D5" s="982">
        <f>IF('Area A'!B29&lt;&gt;"none",14.16,8.25)</f>
        <v>14.16</v>
      </c>
      <c r="E5" s="966"/>
      <c r="F5" s="926" t="s">
        <v>483</v>
      </c>
      <c r="G5" s="927"/>
      <c r="H5" s="965">
        <f>IF('Area B'!B29&lt;&gt;"none",14.16,8.25)</f>
        <v>8.25</v>
      </c>
      <c r="I5" s="966"/>
      <c r="J5" s="926" t="s">
        <v>483</v>
      </c>
      <c r="K5" s="927"/>
      <c r="L5" s="965">
        <f>IF('Area C'!B29&lt;&gt;"none",14.16,8.25)</f>
        <v>8.25</v>
      </c>
      <c r="M5" s="966"/>
      <c r="N5" s="926" t="s">
        <v>483</v>
      </c>
      <c r="O5" s="927"/>
      <c r="P5" s="982">
        <f>IF('Area D'!B29&lt;&gt;"none",14.16,8.25)</f>
        <v>8.25</v>
      </c>
      <c r="Q5" s="966"/>
      <c r="R5" s="1090"/>
      <c r="S5" s="1090"/>
      <c r="T5" s="1090"/>
      <c r="U5" s="1090"/>
      <c r="V5" s="1090"/>
      <c r="W5" s="1090"/>
      <c r="X5" s="1090"/>
      <c r="Y5" s="1091"/>
      <c r="Z5" s="517"/>
      <c r="AA5" s="517"/>
      <c r="AB5" s="517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17"/>
      <c r="B6" s="926" t="s">
        <v>805</v>
      </c>
      <c r="C6" s="927"/>
      <c r="D6" s="953" t="s">
        <v>446</v>
      </c>
      <c r="E6" s="954"/>
      <c r="F6" s="926" t="s">
        <v>713</v>
      </c>
      <c r="G6" s="927"/>
      <c r="H6" s="953" t="s">
        <v>446</v>
      </c>
      <c r="I6" s="954"/>
      <c r="J6" s="926" t="s">
        <v>713</v>
      </c>
      <c r="K6" s="927"/>
      <c r="L6" s="953" t="s">
        <v>446</v>
      </c>
      <c r="M6" s="954"/>
      <c r="N6" s="926" t="s">
        <v>713</v>
      </c>
      <c r="O6" s="927"/>
      <c r="P6" s="953" t="s">
        <v>446</v>
      </c>
      <c r="Q6" s="954"/>
      <c r="R6" s="1090"/>
      <c r="S6" s="1090"/>
      <c r="T6" s="1090"/>
      <c r="U6" s="1090"/>
      <c r="V6" s="1090"/>
      <c r="W6" s="1090"/>
      <c r="X6" s="1090"/>
      <c r="Y6" s="1091"/>
      <c r="Z6" s="517"/>
      <c r="AA6" s="517"/>
      <c r="AB6" s="517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84" t="s">
        <v>914</v>
      </c>
      <c r="B7" s="926" t="s">
        <v>809</v>
      </c>
      <c r="C7" s="939"/>
      <c r="D7" s="1031"/>
      <c r="E7" s="941"/>
      <c r="F7" s="939" t="s">
        <v>809</v>
      </c>
      <c r="G7" s="939"/>
      <c r="H7" s="940"/>
      <c r="I7" s="941"/>
      <c r="J7" s="939" t="s">
        <v>809</v>
      </c>
      <c r="K7" s="939"/>
      <c r="L7" s="940"/>
      <c r="M7" s="941"/>
      <c r="N7" s="939" t="s">
        <v>809</v>
      </c>
      <c r="O7" s="939"/>
      <c r="P7" s="940"/>
      <c r="Q7" s="941"/>
      <c r="R7" s="1090"/>
      <c r="S7" s="1090"/>
      <c r="T7" s="1090"/>
      <c r="U7" s="1090"/>
      <c r="V7" s="1090"/>
      <c r="W7" s="1090"/>
      <c r="X7" s="1090"/>
      <c r="Y7" s="1091"/>
      <c r="Z7" s="517"/>
      <c r="AA7" s="524" t="s">
        <v>419</v>
      </c>
      <c r="AB7" s="517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85"/>
      <c r="B8" s="926" t="s">
        <v>720</v>
      </c>
      <c r="C8" s="939"/>
      <c r="D8" s="940"/>
      <c r="E8" s="941"/>
      <c r="F8" s="939" t="s">
        <v>720</v>
      </c>
      <c r="G8" s="939"/>
      <c r="H8" s="940"/>
      <c r="I8" s="941"/>
      <c r="J8" s="939" t="s">
        <v>720</v>
      </c>
      <c r="K8" s="939"/>
      <c r="L8" s="940"/>
      <c r="M8" s="941"/>
      <c r="N8" s="939" t="s">
        <v>720</v>
      </c>
      <c r="O8" s="939"/>
      <c r="P8" s="940"/>
      <c r="Q8" s="941"/>
      <c r="R8" s="1090"/>
      <c r="S8" s="1090"/>
      <c r="T8" s="1090"/>
      <c r="U8" s="1090"/>
      <c r="V8" s="1090"/>
      <c r="W8" s="1090"/>
      <c r="X8" s="1090"/>
      <c r="Y8" s="1091"/>
      <c r="Z8" s="517"/>
      <c r="AA8" s="524" t="s">
        <v>420</v>
      </c>
      <c r="AB8" s="517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25"/>
      <c r="B9" s="926" t="s">
        <v>695</v>
      </c>
      <c r="C9" s="927"/>
      <c r="D9" s="925" t="str">
        <f>IFERROR(ROUNDUP(O25/D7,0),"-")</f>
        <v>-</v>
      </c>
      <c r="E9" s="925"/>
      <c r="F9" s="926" t="s">
        <v>695</v>
      </c>
      <c r="G9" s="927"/>
      <c r="H9" s="925" t="str">
        <f>IFERROR(ROUNDUP(O26/H7,0),"-")</f>
        <v>-</v>
      </c>
      <c r="I9" s="925"/>
      <c r="J9" s="926" t="s">
        <v>695</v>
      </c>
      <c r="K9" s="927"/>
      <c r="L9" s="925" t="str">
        <f>IFERROR(ROUNDUP(O27/L7,0),"-")</f>
        <v>-</v>
      </c>
      <c r="M9" s="925"/>
      <c r="N9" s="926" t="s">
        <v>695</v>
      </c>
      <c r="O9" s="927"/>
      <c r="P9" s="928" t="str">
        <f>IFERROR(ROUNDUP(O28/P7,0),"-")</f>
        <v>-</v>
      </c>
      <c r="Q9" s="929"/>
      <c r="R9" s="1090"/>
      <c r="S9" s="1090"/>
      <c r="T9" s="1090"/>
      <c r="U9" s="1090"/>
      <c r="V9" s="1090"/>
      <c r="W9" s="1090"/>
      <c r="X9" s="1090"/>
      <c r="Y9" s="1091"/>
      <c r="Z9" s="517"/>
      <c r="AA9" s="517"/>
      <c r="AB9" s="517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20" t="s">
        <v>915</v>
      </c>
      <c r="B10" s="926" t="s">
        <v>462</v>
      </c>
      <c r="C10" s="939"/>
      <c r="D10" s="940"/>
      <c r="E10" s="941"/>
      <c r="F10" s="939" t="s">
        <v>462</v>
      </c>
      <c r="G10" s="939"/>
      <c r="H10" s="940"/>
      <c r="I10" s="941"/>
      <c r="J10" s="939" t="s">
        <v>462</v>
      </c>
      <c r="K10" s="939"/>
      <c r="L10" s="940"/>
      <c r="M10" s="941"/>
      <c r="N10" s="939" t="s">
        <v>462</v>
      </c>
      <c r="O10" s="939"/>
      <c r="P10" s="940"/>
      <c r="Q10" s="941"/>
      <c r="R10" s="1090"/>
      <c r="S10" s="1090"/>
      <c r="T10" s="1090"/>
      <c r="U10" s="1090"/>
      <c r="V10" s="1090"/>
      <c r="W10" s="1090"/>
      <c r="X10" s="1090"/>
      <c r="Y10" s="1091"/>
      <c r="Z10" s="517"/>
      <c r="AA10" s="517"/>
      <c r="AB10" s="517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17"/>
      <c r="B11" s="926" t="s">
        <v>461</v>
      </c>
      <c r="C11" s="927"/>
      <c r="D11" s="1037">
        <f>R25</f>
        <v>0</v>
      </c>
      <c r="E11" s="1038"/>
      <c r="F11" s="926" t="s">
        <v>461</v>
      </c>
      <c r="G11" s="927"/>
      <c r="H11" s="1035">
        <f>R26</f>
        <v>0</v>
      </c>
      <c r="I11" s="945"/>
      <c r="J11" s="942" t="s">
        <v>461</v>
      </c>
      <c r="K11" s="943"/>
      <c r="L11" s="1035">
        <f>R27</f>
        <v>0</v>
      </c>
      <c r="M11" s="945"/>
      <c r="N11" s="942" t="s">
        <v>461</v>
      </c>
      <c r="O11" s="943"/>
      <c r="P11" s="944">
        <f>R28</f>
        <v>0</v>
      </c>
      <c r="Q11" s="945"/>
      <c r="R11" s="1090"/>
      <c r="S11" s="1090"/>
      <c r="T11" s="1090"/>
      <c r="U11" s="1090"/>
      <c r="V11" s="1090"/>
      <c r="W11" s="1090"/>
      <c r="X11" s="1090"/>
      <c r="Y11" s="1091"/>
      <c r="Z11" s="517"/>
      <c r="AA11" s="517"/>
      <c r="AB11" s="517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17"/>
      <c r="B12" s="946" t="s">
        <v>441</v>
      </c>
      <c r="C12" s="947"/>
      <c r="D12" s="948">
        <f>IFERROR(IF(Q25=0,((D11/D13)*D10)/144,(R25*D10)/144),0)</f>
        <v>0</v>
      </c>
      <c r="E12" s="949"/>
      <c r="F12" s="946" t="s">
        <v>441</v>
      </c>
      <c r="G12" s="947"/>
      <c r="H12" s="948">
        <f>IFERROR(IF(Q26=0,((H11/H13)*H10)/144,(R26*H10)/144),0)</f>
        <v>0</v>
      </c>
      <c r="I12" s="949"/>
      <c r="J12" s="946" t="s">
        <v>441</v>
      </c>
      <c r="K12" s="947"/>
      <c r="L12" s="1034">
        <f>IFERROR(IF(Q27=0,((L11/L13)*L10)/144,(R27*L10)/144),0)</f>
        <v>0</v>
      </c>
      <c r="M12" s="949"/>
      <c r="N12" s="946" t="s">
        <v>441</v>
      </c>
      <c r="O12" s="947"/>
      <c r="P12" s="948">
        <f>IFERROR(IF(Q28=0,((P11/P13)*P10)/144,(R28*P10)/144),0)</f>
        <v>0</v>
      </c>
      <c r="Q12" s="949"/>
      <c r="R12" s="1090"/>
      <c r="S12" s="1090"/>
      <c r="T12" s="1090"/>
      <c r="U12" s="1090"/>
      <c r="V12" s="1090"/>
      <c r="W12" s="1090"/>
      <c r="X12" s="1090"/>
      <c r="Y12" s="1091"/>
      <c r="Z12" s="517"/>
      <c r="AA12" s="517"/>
      <c r="AB12" s="517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17"/>
      <c r="B13" s="946" t="s">
        <v>504</v>
      </c>
      <c r="C13" s="947"/>
      <c r="D13" s="952">
        <f>IF(Q25=0,ROUNDUP(O25/4,0)*P25,($N$25-1)*$P$25)</f>
        <v>0</v>
      </c>
      <c r="E13" s="924"/>
      <c r="F13" s="946" t="s">
        <v>504</v>
      </c>
      <c r="G13" s="947"/>
      <c r="H13" s="1025">
        <f>IF(Q26=0,ROUNDUP(O26/4,0)*P26,($N$26-1)*$P$26)</f>
        <v>0</v>
      </c>
      <c r="I13" s="1026"/>
      <c r="J13" s="946" t="s">
        <v>504</v>
      </c>
      <c r="K13" s="947"/>
      <c r="L13" s="923">
        <f>IF(Q27=0,ROUNDUP(O27/4,0)*P27,($N$27-1)*$P$27)</f>
        <v>0</v>
      </c>
      <c r="M13" s="924"/>
      <c r="N13" s="946" t="s">
        <v>504</v>
      </c>
      <c r="O13" s="947"/>
      <c r="P13" s="952">
        <f>IF(Q28=0,ROUNDUP(O28/4,0)*P28,($N$28-1)*$P$28)</f>
        <v>0</v>
      </c>
      <c r="Q13" s="924"/>
      <c r="R13" s="1090"/>
      <c r="S13" s="1090"/>
      <c r="T13" s="1090"/>
      <c r="U13" s="1090"/>
      <c r="V13" s="1090"/>
      <c r="W13" s="1090"/>
      <c r="X13" s="1090"/>
      <c r="Y13" s="1091"/>
      <c r="Z13" s="517"/>
      <c r="AA13" s="517"/>
      <c r="AB13" s="517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17"/>
      <c r="B14" s="937" t="s">
        <v>424</v>
      </c>
      <c r="C14" s="938"/>
      <c r="D14" s="961">
        <f>O25*P25</f>
        <v>0</v>
      </c>
      <c r="E14" s="962"/>
      <c r="F14" s="937" t="s">
        <v>424</v>
      </c>
      <c r="G14" s="938"/>
      <c r="H14" s="1036">
        <f>O26*P26</f>
        <v>0</v>
      </c>
      <c r="I14" s="962"/>
      <c r="J14" s="937" t="s">
        <v>424</v>
      </c>
      <c r="K14" s="938"/>
      <c r="L14" s="1036">
        <f>O27*P27</f>
        <v>0</v>
      </c>
      <c r="M14" s="962"/>
      <c r="N14" s="937" t="s">
        <v>424</v>
      </c>
      <c r="O14" s="938"/>
      <c r="P14" s="961">
        <f>O28*P28</f>
        <v>0</v>
      </c>
      <c r="Q14" s="962"/>
      <c r="R14" s="1090"/>
      <c r="S14" s="1090"/>
      <c r="T14" s="1090"/>
      <c r="U14" s="1090"/>
      <c r="V14" s="1090"/>
      <c r="W14" s="1090"/>
      <c r="X14" s="1090"/>
      <c r="Y14" s="1091"/>
      <c r="Z14" s="517"/>
      <c r="AA14" s="517"/>
      <c r="AB14" s="517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25"/>
      <c r="B15" s="937" t="s">
        <v>477</v>
      </c>
      <c r="C15" s="938"/>
      <c r="D15" s="930" t="str">
        <f>IFERROR(K43/D14,"")</f>
        <v/>
      </c>
      <c r="E15" s="931"/>
      <c r="F15" s="937" t="s">
        <v>477</v>
      </c>
      <c r="G15" s="938"/>
      <c r="H15" s="1042" t="str">
        <f>IFERROR(K56/H14,"")</f>
        <v/>
      </c>
      <c r="I15" s="1043"/>
      <c r="J15" s="937" t="s">
        <v>477</v>
      </c>
      <c r="K15" s="938"/>
      <c r="L15" s="963" t="str">
        <f>IFERROR(K69/L14,"")</f>
        <v/>
      </c>
      <c r="M15" s="931"/>
      <c r="N15" s="937" t="s">
        <v>477</v>
      </c>
      <c r="O15" s="938"/>
      <c r="P15" s="930" t="str">
        <f>IFERROR(O69/P14,"")</f>
        <v/>
      </c>
      <c r="Q15" s="931"/>
      <c r="R15" s="1090"/>
      <c r="S15" s="1090"/>
      <c r="T15" s="1090"/>
      <c r="U15" s="1090"/>
      <c r="V15" s="1090"/>
      <c r="W15" s="1090"/>
      <c r="X15" s="1090"/>
      <c r="Y15" s="1091"/>
      <c r="Z15" s="517"/>
      <c r="AA15" s="517"/>
      <c r="AB15" s="517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86" t="s">
        <v>916</v>
      </c>
      <c r="B16" s="937" t="s">
        <v>651</v>
      </c>
      <c r="C16" s="932"/>
      <c r="D16" s="950"/>
      <c r="E16" s="951"/>
      <c r="F16" s="932" t="s">
        <v>651</v>
      </c>
      <c r="G16" s="932"/>
      <c r="H16" s="950"/>
      <c r="I16" s="951"/>
      <c r="J16" s="932" t="s">
        <v>651</v>
      </c>
      <c r="K16" s="932"/>
      <c r="L16" s="950"/>
      <c r="M16" s="951"/>
      <c r="N16" s="932" t="s">
        <v>651</v>
      </c>
      <c r="O16" s="932"/>
      <c r="P16" s="950"/>
      <c r="Q16" s="951"/>
      <c r="R16" s="1090"/>
      <c r="S16" s="1090"/>
      <c r="T16" s="1090"/>
      <c r="U16" s="1090"/>
      <c r="V16" s="1090"/>
      <c r="W16" s="1090"/>
      <c r="X16" s="1090"/>
      <c r="Y16" s="1091"/>
      <c r="Z16" s="517"/>
      <c r="AA16" s="517"/>
      <c r="AB16" s="517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87"/>
      <c r="B17" s="937" t="s">
        <v>652</v>
      </c>
      <c r="C17" s="932"/>
      <c r="D17" s="950"/>
      <c r="E17" s="951"/>
      <c r="F17" s="932" t="s">
        <v>806</v>
      </c>
      <c r="G17" s="932"/>
      <c r="H17" s="950"/>
      <c r="I17" s="951"/>
      <c r="J17" s="932" t="s">
        <v>806</v>
      </c>
      <c r="K17" s="932"/>
      <c r="L17" s="950"/>
      <c r="M17" s="951"/>
      <c r="N17" s="932" t="s">
        <v>806</v>
      </c>
      <c r="O17" s="932"/>
      <c r="P17" s="950"/>
      <c r="Q17" s="951"/>
      <c r="R17" s="1090"/>
      <c r="S17" s="1090"/>
      <c r="T17" s="1090"/>
      <c r="U17" s="1090"/>
      <c r="V17" s="1090"/>
      <c r="W17" s="1090"/>
      <c r="X17" s="1090"/>
      <c r="Y17" s="1091"/>
      <c r="Z17" s="517"/>
      <c r="AA17" s="517"/>
      <c r="AB17" s="517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87"/>
      <c r="B18" s="937" t="s">
        <v>493</v>
      </c>
      <c r="C18" s="932"/>
      <c r="D18" s="950"/>
      <c r="E18" s="951"/>
      <c r="F18" s="932" t="s">
        <v>493</v>
      </c>
      <c r="G18" s="932"/>
      <c r="H18" s="950"/>
      <c r="I18" s="951"/>
      <c r="J18" s="932" t="s">
        <v>493</v>
      </c>
      <c r="K18" s="932"/>
      <c r="L18" s="950"/>
      <c r="M18" s="951"/>
      <c r="N18" s="932" t="s">
        <v>493</v>
      </c>
      <c r="O18" s="932"/>
      <c r="P18" s="950"/>
      <c r="Q18" s="951"/>
      <c r="R18" s="1090"/>
      <c r="S18" s="1090"/>
      <c r="T18" s="1090"/>
      <c r="U18" s="1090"/>
      <c r="V18" s="1090"/>
      <c r="W18" s="1090"/>
      <c r="X18" s="1090"/>
      <c r="Y18" s="1091"/>
      <c r="Z18" s="517"/>
      <c r="AA18" s="517"/>
      <c r="AB18" s="517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87"/>
      <c r="B19" s="937" t="s">
        <v>487</v>
      </c>
      <c r="C19" s="932"/>
      <c r="D19" s="950">
        <v>0.04</v>
      </c>
      <c r="E19" s="951"/>
      <c r="F19" s="1030" t="s">
        <v>487</v>
      </c>
      <c r="G19" s="1030"/>
      <c r="H19" s="950">
        <v>0.04</v>
      </c>
      <c r="I19" s="951"/>
      <c r="J19" s="932" t="s">
        <v>487</v>
      </c>
      <c r="K19" s="932"/>
      <c r="L19" s="950">
        <v>0.04</v>
      </c>
      <c r="M19" s="951"/>
      <c r="N19" s="932" t="s">
        <v>487</v>
      </c>
      <c r="O19" s="932"/>
      <c r="P19" s="950">
        <v>0.04</v>
      </c>
      <c r="Q19" s="951"/>
      <c r="R19" s="1092"/>
      <c r="S19" s="1092"/>
      <c r="T19" s="1092"/>
      <c r="U19" s="1092"/>
      <c r="V19" s="1092"/>
      <c r="W19" s="1092"/>
      <c r="X19" s="1092"/>
      <c r="Y19" s="1093"/>
      <c r="Z19" s="517"/>
      <c r="AA19" s="517"/>
      <c r="AB19" s="517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25"/>
      <c r="B20" s="526" t="s">
        <v>496</v>
      </c>
      <c r="C20" s="527"/>
      <c r="D20" s="528" t="s">
        <v>486</v>
      </c>
      <c r="E20" s="529"/>
      <c r="F20" s="526" t="s">
        <v>496</v>
      </c>
      <c r="G20" s="530"/>
      <c r="H20" s="528" t="s">
        <v>486</v>
      </c>
      <c r="I20" s="529"/>
      <c r="J20" s="526" t="s">
        <v>496</v>
      </c>
      <c r="K20" s="527"/>
      <c r="L20" s="528" t="s">
        <v>486</v>
      </c>
      <c r="M20" s="529"/>
      <c r="N20" s="526" t="s">
        <v>496</v>
      </c>
      <c r="O20" s="527"/>
      <c r="P20" s="528" t="s">
        <v>486</v>
      </c>
      <c r="Q20" s="529"/>
      <c r="R20" s="531"/>
      <c r="S20" s="532"/>
      <c r="T20" s="532"/>
      <c r="U20" s="532"/>
      <c r="V20" s="532"/>
      <c r="W20" s="532"/>
      <c r="X20" s="532"/>
      <c r="Y20" s="533"/>
      <c r="Z20" s="517"/>
      <c r="AA20" s="517"/>
      <c r="AB20" s="517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25"/>
      <c r="B21" s="1096" t="s">
        <v>488</v>
      </c>
      <c r="C21" s="1097"/>
      <c r="D21" s="1032" t="str">
        <f ca="1">IFERROR(ROUNDUP((Z4-Z3)/30,0),"")</f>
        <v/>
      </c>
      <c r="E21" s="1033"/>
      <c r="F21" s="1096" t="s">
        <v>488</v>
      </c>
      <c r="G21" s="1097"/>
      <c r="H21" s="1032" t="str">
        <f ca="1">IFERROR(ROUNDUP((AA4-Z3)/30,0),"")</f>
        <v/>
      </c>
      <c r="I21" s="1033"/>
      <c r="J21" s="1096" t="s">
        <v>488</v>
      </c>
      <c r="K21" s="1097"/>
      <c r="L21" s="1032" t="str">
        <f ca="1">IFERROR(ROUNDUP((AB4-Z3)/30,0),"")</f>
        <v/>
      </c>
      <c r="M21" s="1033"/>
      <c r="N21" s="1079" t="s">
        <v>488</v>
      </c>
      <c r="O21" s="1080"/>
      <c r="P21" s="1098">
        <f>IFERROR(ROUNDUP((AF4-AD3)/30,0),"")</f>
        <v>0</v>
      </c>
      <c r="Q21" s="1099"/>
      <c r="R21" s="534"/>
      <c r="S21" s="535"/>
      <c r="T21" s="535"/>
      <c r="U21" s="535"/>
      <c r="V21" s="535"/>
      <c r="W21" s="535"/>
      <c r="X21" s="535"/>
      <c r="Y21" s="536"/>
      <c r="Z21" s="517"/>
      <c r="AA21" s="517"/>
      <c r="AB21" s="517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83"/>
      <c r="C22" s="180"/>
      <c r="D22" s="181"/>
      <c r="E22" s="180"/>
      <c r="F22" s="231"/>
      <c r="G22" s="180"/>
      <c r="H22" s="181"/>
      <c r="I22" s="182"/>
      <c r="J22" s="183"/>
      <c r="K22" s="184"/>
      <c r="L22" s="184"/>
      <c r="M22" s="185"/>
      <c r="N22" s="190"/>
      <c r="O22" s="191"/>
      <c r="P22" s="192"/>
      <c r="Q22" s="193"/>
      <c r="R22" s="193"/>
      <c r="S22" s="184"/>
      <c r="T22" s="184"/>
      <c r="U22" s="184"/>
      <c r="V22" s="232"/>
      <c r="W22" s="184"/>
      <c r="X22" s="184"/>
      <c r="Y22" s="185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17"/>
      <c r="B23" s="537"/>
      <c r="C23" s="538"/>
      <c r="D23" s="538"/>
      <c r="E23" s="538"/>
      <c r="F23" s="539"/>
      <c r="G23" s="540"/>
      <c r="H23" s="539"/>
      <c r="I23" s="539"/>
      <c r="J23" s="1100" t="s">
        <v>800</v>
      </c>
      <c r="K23" s="1101"/>
      <c r="L23" s="1101"/>
      <c r="M23" s="1101"/>
      <c r="N23" s="1102"/>
      <c r="O23" s="1073" t="s">
        <v>427</v>
      </c>
      <c r="P23" s="1075" t="s">
        <v>428</v>
      </c>
      <c r="Q23" s="1077" t="s">
        <v>366</v>
      </c>
      <c r="R23" s="1071" t="s">
        <v>717</v>
      </c>
      <c r="S23" s="1070" t="s">
        <v>426</v>
      </c>
      <c r="T23" s="1070"/>
      <c r="U23" s="1070"/>
      <c r="V23" s="1071" t="s">
        <v>447</v>
      </c>
      <c r="W23" s="1071" t="s">
        <v>466</v>
      </c>
      <c r="X23" s="1094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18"/>
      <c r="B24" s="541" t="s">
        <v>362</v>
      </c>
      <c r="C24" s="1069" t="s">
        <v>801</v>
      </c>
      <c r="D24" s="1069"/>
      <c r="E24" s="1069"/>
      <c r="F24" s="542" t="s">
        <v>464</v>
      </c>
      <c r="G24" s="543" t="s">
        <v>465</v>
      </c>
      <c r="H24" s="542" t="s">
        <v>718</v>
      </c>
      <c r="I24" s="542" t="s">
        <v>719</v>
      </c>
      <c r="J24" s="544" t="s">
        <v>364</v>
      </c>
      <c r="K24" s="545" t="s">
        <v>365</v>
      </c>
      <c r="L24" s="545" t="s">
        <v>710</v>
      </c>
      <c r="M24" s="545" t="s">
        <v>709</v>
      </c>
      <c r="N24" s="546" t="s">
        <v>367</v>
      </c>
      <c r="O24" s="1074"/>
      <c r="P24" s="1076"/>
      <c r="Q24" s="1078"/>
      <c r="R24" s="1072"/>
      <c r="S24" s="547" t="s">
        <v>364</v>
      </c>
      <c r="T24" s="547" t="s">
        <v>365</v>
      </c>
      <c r="U24" s="547" t="s">
        <v>810</v>
      </c>
      <c r="V24" s="1072"/>
      <c r="W24" s="1072"/>
      <c r="X24" s="1095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81" t="s">
        <v>917</v>
      </c>
      <c r="B25" s="688" t="s">
        <v>1</v>
      </c>
      <c r="C25" s="1103"/>
      <c r="D25" s="1104"/>
      <c r="E25" s="1105"/>
      <c r="F25" s="386"/>
      <c r="G25" s="387"/>
      <c r="H25" s="388"/>
      <c r="I25" s="388"/>
      <c r="J25" s="386"/>
      <c r="K25" s="386"/>
      <c r="L25" s="386"/>
      <c r="M25" s="386"/>
      <c r="N25" s="548">
        <f>SUM(J25:M25)</f>
        <v>0</v>
      </c>
      <c r="O25" s="384">
        <v>0</v>
      </c>
      <c r="P25" s="385">
        <v>0</v>
      </c>
      <c r="Q25" s="549">
        <f>+P25*N25</f>
        <v>0</v>
      </c>
      <c r="R25" s="550">
        <f>IF(Q25=0,O25*12,IF(O25=0,0,O25/(N25-1))*12)</f>
        <v>0</v>
      </c>
      <c r="S25" s="551">
        <f t="shared" ref="S25:T27" si="0">+$P25*J25</f>
        <v>0</v>
      </c>
      <c r="T25" s="551">
        <f t="shared" si="0"/>
        <v>0</v>
      </c>
      <c r="U25" s="551">
        <f>+$P25*(M25+L25)</f>
        <v>0</v>
      </c>
      <c r="V25" s="551">
        <f>(O25*3)*P25</f>
        <v>0</v>
      </c>
      <c r="W25" s="551">
        <f t="shared" ref="W25:X27" si="1">+F25*$P25</f>
        <v>0</v>
      </c>
      <c r="X25" s="552">
        <f t="shared" si="1"/>
        <v>0</v>
      </c>
      <c r="Y25" s="18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82"/>
      <c r="B26" s="689" t="s">
        <v>2</v>
      </c>
      <c r="C26" s="1106"/>
      <c r="D26" s="1107"/>
      <c r="E26" s="1108"/>
      <c r="F26" s="386"/>
      <c r="G26" s="387"/>
      <c r="H26" s="388"/>
      <c r="I26" s="388"/>
      <c r="J26" s="386"/>
      <c r="K26" s="386"/>
      <c r="L26" s="386"/>
      <c r="M26" s="386"/>
      <c r="N26" s="553">
        <f>SUM(J26:M26)</f>
        <v>0</v>
      </c>
      <c r="O26" s="384">
        <v>0</v>
      </c>
      <c r="P26" s="385">
        <v>0</v>
      </c>
      <c r="Q26" s="554">
        <f>+P26*N26</f>
        <v>0</v>
      </c>
      <c r="R26" s="555">
        <f>IF(Q26=0,O26*12,IF(O26=0,0,O26/(N26-1))*12)</f>
        <v>0</v>
      </c>
      <c r="S26" s="556">
        <f t="shared" si="0"/>
        <v>0</v>
      </c>
      <c r="T26" s="556">
        <f t="shared" si="0"/>
        <v>0</v>
      </c>
      <c r="U26" s="556">
        <f>+$P26*M26</f>
        <v>0</v>
      </c>
      <c r="V26" s="557">
        <f>(O26*3)*P26</f>
        <v>0</v>
      </c>
      <c r="W26" s="556">
        <f t="shared" si="1"/>
        <v>0</v>
      </c>
      <c r="X26" s="558">
        <f t="shared" si="1"/>
        <v>0</v>
      </c>
      <c r="Y26" s="187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82"/>
      <c r="B27" s="690" t="s">
        <v>3</v>
      </c>
      <c r="C27" s="1039"/>
      <c r="D27" s="1040"/>
      <c r="E27" s="1041"/>
      <c r="F27" s="386"/>
      <c r="G27" s="387"/>
      <c r="H27" s="388"/>
      <c r="I27" s="388"/>
      <c r="J27" s="386"/>
      <c r="K27" s="386"/>
      <c r="L27" s="386"/>
      <c r="M27" s="386"/>
      <c r="N27" s="553">
        <f>SUM(J27:M27)</f>
        <v>0</v>
      </c>
      <c r="O27" s="384">
        <v>0</v>
      </c>
      <c r="P27" s="385">
        <v>0</v>
      </c>
      <c r="Q27" s="554">
        <f>+P27*N27</f>
        <v>0</v>
      </c>
      <c r="R27" s="555">
        <f>IF(Q27=0,O27*12,IF(O27=0,0,O27/(N27-1))*12)</f>
        <v>0</v>
      </c>
      <c r="S27" s="556">
        <f t="shared" si="0"/>
        <v>0</v>
      </c>
      <c r="T27" s="556">
        <f t="shared" si="0"/>
        <v>0</v>
      </c>
      <c r="U27" s="556">
        <f>+$P27*M27</f>
        <v>0</v>
      </c>
      <c r="V27" s="557">
        <f>(O27*3)*P27</f>
        <v>0</v>
      </c>
      <c r="W27" s="556">
        <f t="shared" si="1"/>
        <v>0</v>
      </c>
      <c r="X27" s="558">
        <f t="shared" si="1"/>
        <v>0</v>
      </c>
      <c r="Y27" s="188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83"/>
      <c r="B28" s="691" t="s">
        <v>799</v>
      </c>
      <c r="C28" s="907"/>
      <c r="D28" s="908"/>
      <c r="E28" s="909"/>
      <c r="F28" s="386"/>
      <c r="G28" s="389"/>
      <c r="H28" s="388"/>
      <c r="I28" s="388"/>
      <c r="J28" s="386"/>
      <c r="K28" s="386"/>
      <c r="L28" s="386"/>
      <c r="M28" s="386"/>
      <c r="N28" s="559">
        <f>SUM(J28:M28)</f>
        <v>0</v>
      </c>
      <c r="O28" s="384">
        <v>0</v>
      </c>
      <c r="P28" s="385">
        <v>0</v>
      </c>
      <c r="Q28" s="560">
        <f>+P28*N28</f>
        <v>0</v>
      </c>
      <c r="R28" s="561">
        <f>IF(Q28=0,O28*12,IF(O28=0,0,O28/(N28-1))*12)</f>
        <v>0</v>
      </c>
      <c r="S28" s="562">
        <f>+$P28*J28</f>
        <v>0</v>
      </c>
      <c r="T28" s="562">
        <f>+$P28*K28</f>
        <v>0</v>
      </c>
      <c r="U28" s="562">
        <f>+$P28*M28</f>
        <v>0</v>
      </c>
      <c r="V28" s="563">
        <f>(O28*3)*P28</f>
        <v>0</v>
      </c>
      <c r="W28" s="562">
        <f>+F28*$P28</f>
        <v>0</v>
      </c>
      <c r="X28" s="564">
        <f>+G28*$P28</f>
        <v>0</v>
      </c>
      <c r="Y28" s="189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83"/>
      <c r="C29" s="376"/>
      <c r="D29" s="377"/>
      <c r="E29" s="376"/>
      <c r="F29" s="375"/>
      <c r="G29" s="376"/>
      <c r="H29" s="377"/>
      <c r="I29" s="378"/>
      <c r="J29" s="379"/>
      <c r="K29" s="380"/>
      <c r="L29" s="380"/>
      <c r="M29" s="381"/>
      <c r="N29" s="302"/>
      <c r="O29" s="382"/>
      <c r="P29" s="383"/>
      <c r="Q29" s="193"/>
      <c r="R29" s="193"/>
      <c r="S29" s="184"/>
      <c r="T29" s="184"/>
      <c r="U29" s="184"/>
      <c r="V29" s="232"/>
      <c r="W29" s="184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20" customFormat="1" ht="33" customHeight="1" thickBot="1" x14ac:dyDescent="0.45">
      <c r="A30" s="119"/>
      <c r="B30" s="179" t="s">
        <v>362</v>
      </c>
      <c r="C30" s="1059" t="s">
        <v>416</v>
      </c>
      <c r="D30" s="1059"/>
      <c r="E30" s="1059" t="s">
        <v>475</v>
      </c>
      <c r="F30" s="1059"/>
      <c r="G30" s="1059"/>
      <c r="H30" s="178" t="s">
        <v>480</v>
      </c>
      <c r="I30" s="1021" t="s">
        <v>485</v>
      </c>
      <c r="J30" s="1021"/>
      <c r="K30" s="1020" t="s">
        <v>476</v>
      </c>
      <c r="L30" s="1020"/>
      <c r="M30" s="1021" t="s">
        <v>499</v>
      </c>
      <c r="N30" s="1021"/>
      <c r="O30" s="1051" t="s">
        <v>503</v>
      </c>
      <c r="P30" s="1051"/>
      <c r="Q30" s="62" t="s">
        <v>661</v>
      </c>
      <c r="R30" s="117"/>
      <c r="S30" s="117"/>
      <c r="T30" s="118"/>
      <c r="U30" s="118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</row>
    <row r="31" spans="1:37" s="120" customFormat="1" ht="6.75" customHeight="1" thickBot="1" x14ac:dyDescent="0.45">
      <c r="A31" s="119"/>
      <c r="B31" s="205"/>
      <c r="C31" s="206"/>
      <c r="D31" s="207"/>
      <c r="E31" s="208" t="s">
        <v>9</v>
      </c>
      <c r="F31" s="205"/>
      <c r="G31" s="208"/>
      <c r="H31" s="205"/>
      <c r="I31" s="205"/>
      <c r="J31" s="205"/>
      <c r="K31" s="933"/>
      <c r="L31" s="933"/>
      <c r="M31" s="933"/>
      <c r="N31" s="933"/>
      <c r="O31" s="933"/>
      <c r="P31" s="933"/>
      <c r="Q31" s="933"/>
      <c r="R31" s="933"/>
      <c r="S31" s="933"/>
      <c r="T31" s="933"/>
      <c r="U31" s="933"/>
      <c r="V31" s="933"/>
      <c r="W31" s="234"/>
      <c r="X31" s="122"/>
      <c r="Y31" s="122"/>
      <c r="Z31" s="122"/>
      <c r="AA31" s="122"/>
      <c r="AB31" s="122"/>
      <c r="AC31" s="122"/>
      <c r="AD31" s="122"/>
      <c r="AE31" s="122"/>
      <c r="AF31" s="119"/>
      <c r="AG31" s="119"/>
      <c r="AH31" s="119"/>
      <c r="AI31" s="119"/>
      <c r="AJ31" s="119"/>
    </row>
    <row r="32" spans="1:37" s="120" customFormat="1" ht="30" customHeight="1" x14ac:dyDescent="0.35">
      <c r="A32" s="119"/>
      <c r="B32" s="1067" t="e">
        <f>#REF!</f>
        <v>#REF!</v>
      </c>
      <c r="C32" s="1028" t="s">
        <v>0</v>
      </c>
      <c r="D32" s="1028"/>
      <c r="E32" s="1028" t="str">
        <f>CONCATENATE(IF('Area A'!B5="None","",'Area A'!B5), "   ",,IF('Area A'!B7="None","",'Area A'!B7))</f>
        <v xml:space="preserve">TR200 Blk   </v>
      </c>
      <c r="F32" s="1028"/>
      <c r="G32" s="1028"/>
      <c r="H32" s="113" t="s">
        <v>481</v>
      </c>
      <c r="I32" s="893" t="str">
        <f>CONCATENATE(IF('Area A'!$B$5="None","",'Area A'!$D$5), "   ",,IF('Area A'!$B$7="None","",'Area A'!$D$7))</f>
        <v xml:space="preserve">0   </v>
      </c>
      <c r="J32" s="893"/>
      <c r="K32" s="934">
        <f>'Area A'!G5+'Area A'!G7</f>
        <v>0</v>
      </c>
      <c r="L32" s="934"/>
      <c r="M32" s="893" t="str">
        <f>CONCATENATE(IF('Area A'!$B$5="None","",'Area A'!$H$5), "   ",,IF('Area A'!$B$7="None","",'Area A'!$H$7))</f>
        <v xml:space="preserve">0   </v>
      </c>
      <c r="N32" s="893"/>
      <c r="O32" s="959">
        <f>'Area A'!J5+'Area A'!J7</f>
        <v>0</v>
      </c>
      <c r="P32" s="960"/>
      <c r="Q32" s="123">
        <f>IFERROR(O32/O43,0)</f>
        <v>0</v>
      </c>
      <c r="R32" s="986">
        <f>IFERROR((O32+O33)/O43,0)</f>
        <v>0</v>
      </c>
      <c r="S32" s="121"/>
      <c r="T32" s="116"/>
      <c r="U32" s="116"/>
      <c r="V32" s="116"/>
      <c r="W32" s="116"/>
      <c r="X32" s="116"/>
      <c r="Y32" s="121"/>
      <c r="Z32" s="121"/>
      <c r="AA32" s="121"/>
      <c r="AB32" s="121"/>
      <c r="AC32" s="121"/>
      <c r="AD32" s="121"/>
      <c r="AE32" s="121"/>
      <c r="AF32" s="121"/>
      <c r="AG32" s="121"/>
      <c r="AH32" s="119"/>
      <c r="AI32" s="119"/>
      <c r="AJ32" s="119"/>
    </row>
    <row r="33" spans="1:36" s="120" customFormat="1" ht="30" customHeight="1" x14ac:dyDescent="0.35">
      <c r="A33" s="119"/>
      <c r="B33" s="1067"/>
      <c r="C33" s="1028" t="s">
        <v>413</v>
      </c>
      <c r="D33" s="1028"/>
      <c r="E33" s="1028" t="str">
        <f>CONCATENATE(IF('Area A'!B6="None","",'Area A'!B6), "    ",,IF('Area A'!B8="None","",'Area A'!B8))</f>
        <v xml:space="preserve">BR100- Blk    </v>
      </c>
      <c r="F33" s="1028"/>
      <c r="G33" s="1028"/>
      <c r="H33" s="113" t="s">
        <v>481</v>
      </c>
      <c r="I33" s="893" t="str">
        <f>CONCATENATE(IF('Area A'!$B$6="None","",'Area A'!$D$6), "   ",,IF('Area A'!$B$8="None","",'Area A'!$D$8))</f>
        <v xml:space="preserve">0   </v>
      </c>
      <c r="J33" s="893"/>
      <c r="K33" s="934">
        <f>'Area A'!G6+'Area A'!G8</f>
        <v>0</v>
      </c>
      <c r="L33" s="934"/>
      <c r="M33" s="893" t="str">
        <f>CONCATENATE(IF('Area A'!$B$6="None","",'Area A'!$H$6), "   ",,IF('Area A'!$B$8="None","",'Area A'!$H$8))</f>
        <v xml:space="preserve">0   </v>
      </c>
      <c r="N33" s="893"/>
      <c r="O33" s="1053">
        <f>'Area A'!J6+'Area A'!J8</f>
        <v>0</v>
      </c>
      <c r="P33" s="1054"/>
      <c r="Q33" s="123">
        <f>IFERROR(O33/O43,0)</f>
        <v>0</v>
      </c>
      <c r="R33" s="986"/>
      <c r="S33" s="121"/>
      <c r="T33" s="116"/>
      <c r="U33" s="116"/>
      <c r="V33" s="116"/>
      <c r="W33" s="116"/>
      <c r="X33" s="116"/>
      <c r="Y33" s="121"/>
      <c r="Z33" s="121"/>
      <c r="AA33" s="121"/>
      <c r="AB33" s="121"/>
      <c r="AC33" s="121"/>
      <c r="AD33" s="121"/>
      <c r="AE33" s="121"/>
      <c r="AF33" s="121"/>
      <c r="AG33" s="121"/>
      <c r="AH33" s="119"/>
      <c r="AI33" s="119"/>
      <c r="AJ33" s="119"/>
    </row>
    <row r="34" spans="1:36" s="120" customFormat="1" ht="30" customHeight="1" x14ac:dyDescent="0.35">
      <c r="A34" s="119"/>
      <c r="B34" s="1067"/>
      <c r="C34" s="1028" t="s">
        <v>4</v>
      </c>
      <c r="D34" s="1028"/>
      <c r="E34" s="1063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1063"/>
      <c r="G34" s="1063"/>
      <c r="H34" s="113" t="s">
        <v>481</v>
      </c>
      <c r="I34" s="893" t="str">
        <f>CONCATENATE(IF('Area A'!B12="None","",'Area A'!D12)," ",IF('Area A'!B15="none","",'Area A'!E15))</f>
        <v xml:space="preserve"> 0</v>
      </c>
      <c r="J34" s="893"/>
      <c r="K34" s="934">
        <f>'Area A'!G19</f>
        <v>0</v>
      </c>
      <c r="L34" s="934"/>
      <c r="M34" s="893" t="str">
        <f>CONCATENATE(IF('Area A'!$B$12="None","",'Area A'!$H$12)," ",IF('Area A'!B15="None","",'Area A'!H15))</f>
        <v xml:space="preserve"> 0</v>
      </c>
      <c r="N34" s="893"/>
      <c r="O34" s="959">
        <f>'Area A'!J19</f>
        <v>0</v>
      </c>
      <c r="P34" s="960"/>
      <c r="Q34" s="121"/>
      <c r="R34" s="121"/>
      <c r="S34" s="121"/>
      <c r="T34" s="116"/>
      <c r="U34" s="116"/>
      <c r="V34" s="116"/>
      <c r="W34" s="116"/>
      <c r="X34" s="116"/>
      <c r="Y34" s="121"/>
      <c r="Z34" s="121"/>
      <c r="AA34" s="121"/>
      <c r="AB34" s="121"/>
      <c r="AC34" s="121"/>
      <c r="AD34" s="121"/>
      <c r="AE34" s="121"/>
      <c r="AF34" s="121"/>
      <c r="AG34" s="121"/>
      <c r="AH34" s="119"/>
      <c r="AI34" s="119"/>
      <c r="AJ34" s="119"/>
    </row>
    <row r="35" spans="1:36" s="120" customFormat="1" ht="30" customHeight="1" x14ac:dyDescent="0.35">
      <c r="A35" s="119"/>
      <c r="B35" s="1067"/>
      <c r="C35" s="1028" t="s">
        <v>6</v>
      </c>
      <c r="D35" s="1028"/>
      <c r="E35" s="1028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28"/>
      <c r="G35" s="1028"/>
      <c r="H35" s="113" t="s">
        <v>482</v>
      </c>
      <c r="I35" s="893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93"/>
      <c r="K35" s="934">
        <f>'Area A'!G26</f>
        <v>0</v>
      </c>
      <c r="L35" s="934"/>
      <c r="M35" s="893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93"/>
      <c r="O35" s="959">
        <f>'Area A'!J26</f>
        <v>0</v>
      </c>
      <c r="P35" s="960"/>
      <c r="Q35" s="121"/>
      <c r="R35" s="121"/>
      <c r="S35" s="121"/>
      <c r="T35" s="116"/>
      <c r="U35" s="116"/>
      <c r="V35" s="116"/>
      <c r="W35" s="116"/>
      <c r="X35" s="116"/>
      <c r="Y35" s="121"/>
      <c r="Z35" s="121"/>
      <c r="AA35" s="121"/>
      <c r="AB35" s="121"/>
      <c r="AC35" s="121"/>
      <c r="AD35" s="121"/>
      <c r="AE35" s="121"/>
      <c r="AF35" s="121"/>
      <c r="AG35" s="121"/>
      <c r="AH35" s="119"/>
      <c r="AI35" s="119"/>
      <c r="AJ35" s="119"/>
    </row>
    <row r="36" spans="1:36" s="120" customFormat="1" ht="30" customHeight="1" x14ac:dyDescent="0.35">
      <c r="A36" s="119"/>
      <c r="B36" s="1067"/>
      <c r="C36" s="1028" t="s">
        <v>8</v>
      </c>
      <c r="D36" s="1028"/>
      <c r="E36" s="1028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1028"/>
      <c r="G36" s="1028"/>
      <c r="H36" s="113" t="s">
        <v>484</v>
      </c>
      <c r="I36" s="895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895"/>
      <c r="K36" s="934">
        <f>'Area A'!G37</f>
        <v>0</v>
      </c>
      <c r="L36" s="934"/>
      <c r="M36" s="895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895"/>
      <c r="O36" s="959">
        <f>'Area A'!J37</f>
        <v>0</v>
      </c>
      <c r="P36" s="960"/>
      <c r="Q36" s="121"/>
      <c r="R36" s="121"/>
      <c r="S36" s="121"/>
      <c r="T36" s="116"/>
      <c r="U36" s="116"/>
      <c r="V36" s="116"/>
      <c r="W36" s="116"/>
      <c r="X36" s="116"/>
      <c r="Y36" s="121"/>
      <c r="Z36" s="121"/>
      <c r="AA36" s="121"/>
      <c r="AB36" s="121"/>
      <c r="AC36" s="121"/>
      <c r="AD36" s="121"/>
      <c r="AE36" s="121"/>
      <c r="AF36" s="121"/>
      <c r="AG36" s="121"/>
      <c r="AH36" s="119"/>
      <c r="AI36" s="119"/>
      <c r="AJ36" s="119"/>
    </row>
    <row r="37" spans="1:36" s="120" customFormat="1" ht="19.5" customHeight="1" x14ac:dyDescent="0.35">
      <c r="A37" s="119"/>
      <c r="B37" s="1067"/>
      <c r="C37" s="1028" t="s">
        <v>363</v>
      </c>
      <c r="D37" s="1028"/>
      <c r="E37" s="1028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1028"/>
      <c r="G37" s="1028"/>
      <c r="H37" s="113" t="s">
        <v>482</v>
      </c>
      <c r="I37" s="893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93"/>
      <c r="K37" s="934">
        <f>'Area A'!G44</f>
        <v>0</v>
      </c>
      <c r="L37" s="934"/>
      <c r="M37" s="893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93"/>
      <c r="O37" s="959">
        <f>'Area A'!J44</f>
        <v>0</v>
      </c>
      <c r="P37" s="960"/>
      <c r="Q37" s="121"/>
      <c r="R37" s="121"/>
      <c r="S37" s="121"/>
      <c r="T37" s="116"/>
      <c r="U37" s="116"/>
      <c r="V37" s="116"/>
      <c r="W37" s="116"/>
      <c r="X37" s="116"/>
      <c r="Y37" s="121"/>
      <c r="Z37" s="121"/>
      <c r="AA37" s="121"/>
      <c r="AB37" s="121"/>
      <c r="AC37" s="121"/>
      <c r="AD37" s="121"/>
      <c r="AE37" s="121"/>
      <c r="AF37" s="121"/>
      <c r="AG37" s="121"/>
      <c r="AH37" s="119"/>
      <c r="AI37" s="119"/>
      <c r="AJ37" s="119"/>
    </row>
    <row r="38" spans="1:36" s="120" customFormat="1" ht="19.5" customHeight="1" x14ac:dyDescent="0.35">
      <c r="A38" s="119"/>
      <c r="B38" s="1067"/>
      <c r="C38" s="1028" t="s">
        <v>7</v>
      </c>
      <c r="D38" s="1028"/>
      <c r="E38" s="1028"/>
      <c r="F38" s="1028"/>
      <c r="G38" s="1028"/>
      <c r="H38" s="113"/>
      <c r="I38" s="893"/>
      <c r="J38" s="893"/>
      <c r="K38" s="934">
        <f>'Area A'!G196</f>
        <v>0</v>
      </c>
      <c r="L38" s="934"/>
      <c r="M38" s="114"/>
      <c r="N38" s="114"/>
      <c r="O38" s="959">
        <f>'Area A'!J196</f>
        <v>0</v>
      </c>
      <c r="P38" s="960"/>
      <c r="Q38" s="121"/>
      <c r="R38" s="121"/>
      <c r="S38" s="121"/>
      <c r="T38" s="116"/>
      <c r="U38" s="116"/>
      <c r="V38" s="116"/>
      <c r="W38" s="116"/>
      <c r="X38" s="116"/>
      <c r="Y38" s="121"/>
      <c r="Z38" s="121"/>
      <c r="AA38" s="121"/>
      <c r="AB38" s="121"/>
      <c r="AC38" s="121"/>
      <c r="AD38" s="121"/>
      <c r="AE38" s="121"/>
      <c r="AF38" s="121"/>
      <c r="AG38" s="121"/>
      <c r="AH38" s="119"/>
      <c r="AI38" s="119"/>
      <c r="AJ38" s="119"/>
    </row>
    <row r="39" spans="1:36" s="120" customFormat="1" ht="19.5" customHeight="1" x14ac:dyDescent="0.35">
      <c r="A39" s="119"/>
      <c r="B39" s="1067"/>
      <c r="C39" s="1028" t="s">
        <v>429</v>
      </c>
      <c r="D39" s="1028"/>
      <c r="E39" s="1028"/>
      <c r="F39" s="1028"/>
      <c r="G39" s="1028"/>
      <c r="H39" s="113"/>
      <c r="I39" s="893"/>
      <c r="J39" s="893"/>
      <c r="K39" s="934">
        <f>'Area A'!G266</f>
        <v>0</v>
      </c>
      <c r="L39" s="934"/>
      <c r="M39" s="114"/>
      <c r="N39" s="114"/>
      <c r="O39" s="959">
        <f>'Area A'!J266</f>
        <v>0</v>
      </c>
      <c r="P39" s="960"/>
      <c r="Q39" s="121"/>
      <c r="R39" s="121"/>
      <c r="S39" s="121"/>
      <c r="T39" s="116"/>
      <c r="U39" s="116"/>
      <c r="V39" s="116"/>
      <c r="W39" s="116"/>
      <c r="X39" s="116"/>
      <c r="Y39" s="121"/>
      <c r="Z39" s="121"/>
      <c r="AA39" s="121"/>
      <c r="AB39" s="121"/>
      <c r="AC39" s="121"/>
      <c r="AD39" s="121"/>
      <c r="AE39" s="121"/>
      <c r="AF39" s="121"/>
      <c r="AG39" s="121"/>
      <c r="AH39" s="119"/>
      <c r="AI39" s="119"/>
      <c r="AJ39" s="119"/>
    </row>
    <row r="40" spans="1:36" s="120" customFormat="1" ht="19.5" customHeight="1" x14ac:dyDescent="0.35">
      <c r="A40" s="119"/>
      <c r="B40" s="1067"/>
      <c r="C40" s="1028" t="s">
        <v>430</v>
      </c>
      <c r="D40" s="1028"/>
      <c r="E40" s="1028"/>
      <c r="F40" s="1028"/>
      <c r="G40" s="1028"/>
      <c r="H40" s="113"/>
      <c r="I40" s="893"/>
      <c r="J40" s="893"/>
      <c r="K40" s="935">
        <f>IF(D4="no",0,SUM(D14)*D5)</f>
        <v>0</v>
      </c>
      <c r="L40" s="935"/>
      <c r="M40" s="114"/>
      <c r="N40" s="114"/>
      <c r="O40" s="959">
        <f>K40</f>
        <v>0</v>
      </c>
      <c r="P40" s="960"/>
      <c r="Q40" s="121"/>
      <c r="R40" s="121"/>
      <c r="S40" s="121"/>
      <c r="T40" s="116"/>
      <c r="U40" s="116"/>
      <c r="V40" s="116"/>
      <c r="W40" s="116"/>
      <c r="X40" s="116"/>
      <c r="Y40" s="121"/>
      <c r="Z40" s="121"/>
      <c r="AA40" s="121"/>
      <c r="AB40" s="121"/>
      <c r="AC40" s="121"/>
      <c r="AD40" s="121"/>
      <c r="AE40" s="121"/>
      <c r="AF40" s="121"/>
      <c r="AG40" s="121"/>
      <c r="AH40" s="119"/>
      <c r="AI40" s="119"/>
      <c r="AJ40" s="119"/>
    </row>
    <row r="41" spans="1:36" s="120" customFormat="1" ht="19.5" customHeight="1" thickBot="1" x14ac:dyDescent="0.45">
      <c r="A41" s="119"/>
      <c r="B41" s="1068"/>
      <c r="C41" s="1058" t="s">
        <v>431</v>
      </c>
      <c r="D41" s="1058"/>
      <c r="E41" s="1058"/>
      <c r="F41" s="1058"/>
      <c r="G41" s="1058"/>
      <c r="H41" s="115"/>
      <c r="I41" s="1027"/>
      <c r="J41" s="1027"/>
      <c r="K41" s="936">
        <f>SUM(K32:K40)</f>
        <v>0</v>
      </c>
      <c r="L41" s="936"/>
      <c r="M41" s="54"/>
      <c r="N41" s="54"/>
      <c r="O41" s="936">
        <f>SUM(O32:O40)</f>
        <v>0</v>
      </c>
      <c r="P41" s="936"/>
      <c r="Q41" s="121"/>
      <c r="R41" s="121"/>
      <c r="S41" s="121"/>
      <c r="T41" s="40"/>
      <c r="U41" s="40"/>
      <c r="V41" s="40"/>
      <c r="W41" s="116"/>
      <c r="X41" s="116"/>
      <c r="Y41" s="121"/>
      <c r="Z41" s="121"/>
      <c r="AA41" s="121"/>
      <c r="AB41" s="121"/>
      <c r="AC41" s="121"/>
      <c r="AD41" s="121"/>
      <c r="AE41" s="121"/>
      <c r="AF41" s="121"/>
      <c r="AG41" s="121"/>
      <c r="AH41" s="119"/>
      <c r="AI41" s="119"/>
      <c r="AJ41" s="119"/>
    </row>
    <row r="42" spans="1:36" s="120" customFormat="1" ht="19.5" customHeight="1" thickTop="1" x14ac:dyDescent="0.35">
      <c r="A42" s="119"/>
      <c r="B42" s="53"/>
      <c r="C42" s="1028" t="s">
        <v>494</v>
      </c>
      <c r="D42" s="1028"/>
      <c r="E42" s="1062">
        <f>D19</f>
        <v>0.04</v>
      </c>
      <c r="F42" s="1062"/>
      <c r="G42" s="1062"/>
      <c r="H42" s="113"/>
      <c r="I42" s="896"/>
      <c r="J42" s="896"/>
      <c r="K42" s="1009">
        <f>SUM(K41*$E$42)</f>
        <v>0</v>
      </c>
      <c r="L42" s="1009"/>
      <c r="M42" s="55"/>
      <c r="N42" s="55"/>
      <c r="O42" s="1009">
        <f>SUM(O41*$E$42)</f>
        <v>0</v>
      </c>
      <c r="P42" s="1009"/>
      <c r="Q42" s="121"/>
      <c r="R42" s="121"/>
      <c r="S42" s="121"/>
      <c r="T42" s="116"/>
      <c r="U42" s="116"/>
      <c r="V42" s="116"/>
      <c r="W42" s="116"/>
      <c r="X42" s="116"/>
      <c r="Y42" s="121"/>
      <c r="Z42" s="121"/>
      <c r="AA42" s="121"/>
      <c r="AB42" s="121"/>
      <c r="AC42" s="121"/>
      <c r="AD42" s="121"/>
      <c r="AE42" s="121"/>
      <c r="AF42" s="121"/>
      <c r="AG42" s="121"/>
      <c r="AH42" s="119"/>
      <c r="AI42" s="119"/>
      <c r="AJ42" s="119"/>
    </row>
    <row r="43" spans="1:36" s="126" customFormat="1" ht="19.5" customHeight="1" thickBot="1" x14ac:dyDescent="0.5">
      <c r="A43" s="209"/>
      <c r="B43" s="202"/>
      <c r="C43" s="1044" t="s">
        <v>367</v>
      </c>
      <c r="D43" s="1044"/>
      <c r="E43" s="1064"/>
      <c r="F43" s="1064"/>
      <c r="G43" s="1064"/>
      <c r="H43" s="203"/>
      <c r="I43" s="884"/>
      <c r="J43" s="884"/>
      <c r="K43" s="1010">
        <f>SUM(K41:L42)</f>
        <v>0</v>
      </c>
      <c r="L43" s="1010"/>
      <c r="M43" s="204"/>
      <c r="N43" s="204"/>
      <c r="O43" s="1010">
        <f>SUM(O41:P42)</f>
        <v>0</v>
      </c>
      <c r="P43" s="1010"/>
      <c r="Q43" s="125"/>
      <c r="R43" s="125"/>
      <c r="S43" s="125"/>
      <c r="T43" s="116"/>
      <c r="U43" s="116"/>
      <c r="V43" s="116"/>
      <c r="W43" s="40"/>
      <c r="X43" s="40"/>
      <c r="Y43" s="125"/>
      <c r="Z43" s="125"/>
      <c r="AA43" s="125"/>
      <c r="AB43" s="125"/>
      <c r="AC43" s="125"/>
      <c r="AD43" s="125"/>
      <c r="AE43" s="125"/>
      <c r="AF43" s="125"/>
      <c r="AG43" s="125"/>
      <c r="AH43" s="209"/>
      <c r="AI43" s="209"/>
      <c r="AJ43" s="209"/>
    </row>
    <row r="44" spans="1:36" s="120" customFormat="1" ht="6.65" customHeight="1" thickBot="1" x14ac:dyDescent="0.45">
      <c r="A44" s="119"/>
      <c r="B44" s="200"/>
      <c r="C44" s="898"/>
      <c r="D44" s="898"/>
      <c r="E44" s="898"/>
      <c r="F44" s="898"/>
      <c r="G44" s="898"/>
      <c r="H44" s="200"/>
      <c r="I44" s="885"/>
      <c r="J44" s="885"/>
      <c r="K44" s="898"/>
      <c r="L44" s="898"/>
      <c r="M44" s="898"/>
      <c r="N44" s="898"/>
      <c r="O44" s="898"/>
      <c r="P44" s="898"/>
      <c r="Q44" s="933"/>
      <c r="R44" s="933"/>
      <c r="S44" s="121"/>
      <c r="T44" s="116"/>
      <c r="U44" s="116"/>
      <c r="V44" s="116"/>
      <c r="W44" s="116"/>
      <c r="X44" s="116"/>
      <c r="Y44" s="121"/>
      <c r="Z44" s="121"/>
      <c r="AA44" s="121"/>
      <c r="AB44" s="121"/>
      <c r="AC44" s="121"/>
      <c r="AD44" s="121"/>
      <c r="AE44" s="121"/>
      <c r="AF44" s="121"/>
      <c r="AG44" s="121"/>
      <c r="AH44" s="119"/>
      <c r="AI44" s="119"/>
      <c r="AJ44" s="119"/>
    </row>
    <row r="45" spans="1:36" s="120" customFormat="1" ht="30" customHeight="1" x14ac:dyDescent="0.35">
      <c r="A45" s="119"/>
      <c r="B45" s="1055" t="e">
        <f>#REF!</f>
        <v>#REF!</v>
      </c>
      <c r="C45" s="1029" t="s">
        <v>0</v>
      </c>
      <c r="D45" s="1029"/>
      <c r="E45" s="1029" t="str">
        <f>CONCATENATE(IF('Area B'!B5="None","",'Area B'!B5), "   ",,IF('Area B'!B7="None","",'Area B'!B7))</f>
        <v xml:space="preserve">   </v>
      </c>
      <c r="F45" s="1029"/>
      <c r="G45" s="1029"/>
      <c r="H45" s="236" t="s">
        <v>481</v>
      </c>
      <c r="I45" s="886" t="str">
        <f>CONCATENATE(IF('Area B'!$B$5="None","",'Area B'!$D$5), "   ",,IF('Area B'!$B$7="None","",'Area B'!$D$7))</f>
        <v xml:space="preserve">   </v>
      </c>
      <c r="J45" s="886"/>
      <c r="K45" s="1066">
        <f>'Area B'!G5+'Area B'!G7</f>
        <v>0</v>
      </c>
      <c r="L45" s="1066"/>
      <c r="M45" s="886" t="str">
        <f>CONCATENATE(IF('Area B'!$B$5="None","",'Area B'!$H$5), "   ",,IF('Area B'!$B$7="None","",'Area B'!$H$7))</f>
        <v xml:space="preserve">   </v>
      </c>
      <c r="N45" s="886"/>
      <c r="O45" s="1052">
        <f>'Area B'!J5+'Area B'!J7</f>
        <v>0</v>
      </c>
      <c r="P45" s="1052"/>
      <c r="Q45" s="123">
        <f>IFERROR(O45/O56,0)</f>
        <v>0</v>
      </c>
      <c r="R45" s="986">
        <f>IFERROR((O45+O46)/O56,0)</f>
        <v>0</v>
      </c>
      <c r="S45" s="121"/>
      <c r="T45" s="116"/>
      <c r="U45" s="116"/>
      <c r="V45" s="116"/>
      <c r="W45" s="116"/>
      <c r="X45" s="116"/>
      <c r="Y45" s="121"/>
      <c r="Z45" s="121"/>
      <c r="AA45" s="121"/>
      <c r="AB45" s="121"/>
      <c r="AC45" s="121"/>
      <c r="AD45" s="121"/>
      <c r="AE45" s="121"/>
      <c r="AF45" s="121"/>
      <c r="AG45" s="121"/>
      <c r="AH45" s="119"/>
      <c r="AI45" s="119"/>
      <c r="AJ45" s="119"/>
    </row>
    <row r="46" spans="1:36" s="120" customFormat="1" ht="30" customHeight="1" x14ac:dyDescent="0.35">
      <c r="A46" s="119"/>
      <c r="B46" s="1056"/>
      <c r="C46" s="888" t="s">
        <v>413</v>
      </c>
      <c r="D46" s="888"/>
      <c r="E46" s="888" t="str">
        <f>CONCATENATE(IF('Area B'!B6="None","",'Area B'!B6), "   ",,IF('Area B'!B8="None","",'Area B'!B8))</f>
        <v xml:space="preserve">   </v>
      </c>
      <c r="F46" s="888"/>
      <c r="G46" s="888"/>
      <c r="H46" s="236" t="s">
        <v>481</v>
      </c>
      <c r="I46" s="991" t="str">
        <f>CONCATENATE(IF('Area B'!$B$6="None","",'Area B'!$D$6), "   ",,IF('Area B'!$B$8="None","",'Area B'!$D$8))</f>
        <v xml:space="preserve">   </v>
      </c>
      <c r="J46" s="991"/>
      <c r="K46" s="890">
        <f>'Area B'!G6+'Area B'!G8</f>
        <v>0</v>
      </c>
      <c r="L46" s="890"/>
      <c r="M46" s="991" t="str">
        <f>CONCATENATE(IF('Area B'!$B$6="None","",'Area B'!$H$6), "   ",,IF('Area B'!$B$8="None","",'Area B'!$H$8))</f>
        <v xml:space="preserve">   </v>
      </c>
      <c r="N46" s="991"/>
      <c r="O46" s="958">
        <f>'Area B'!J6+'Area B'!J8</f>
        <v>0</v>
      </c>
      <c r="P46" s="958"/>
      <c r="Q46" s="123">
        <f>IFERROR(O46/O56,0)</f>
        <v>0</v>
      </c>
      <c r="R46" s="986"/>
      <c r="S46" s="121"/>
      <c r="T46" s="116"/>
      <c r="U46" s="116"/>
      <c r="V46" s="116"/>
      <c r="W46" s="116"/>
      <c r="X46" s="116"/>
      <c r="Y46" s="121"/>
      <c r="Z46" s="121"/>
      <c r="AA46" s="121"/>
      <c r="AB46" s="121"/>
      <c r="AC46" s="121"/>
      <c r="AD46" s="121"/>
      <c r="AE46" s="121"/>
      <c r="AF46" s="121"/>
      <c r="AG46" s="121"/>
      <c r="AH46" s="119"/>
      <c r="AI46" s="119"/>
      <c r="AJ46" s="119"/>
    </row>
    <row r="47" spans="1:36" s="120" customFormat="1" ht="30" customHeight="1" x14ac:dyDescent="0.35">
      <c r="A47" s="119"/>
      <c r="B47" s="1056"/>
      <c r="C47" s="888" t="s">
        <v>4</v>
      </c>
      <c r="D47" s="888"/>
      <c r="E47" s="1061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61"/>
      <c r="G47" s="1061"/>
      <c r="H47" s="236" t="s">
        <v>481</v>
      </c>
      <c r="I47" s="991" t="str">
        <f>CONCATENATE(IF('Area B'!$B$12="None","",'Area B'!$D$12)," ",IF('Area B'!B15="None","",'Area B'!E15))</f>
        <v xml:space="preserve"> </v>
      </c>
      <c r="J47" s="991"/>
      <c r="K47" s="890">
        <f>'Area B'!G19</f>
        <v>0</v>
      </c>
      <c r="L47" s="890"/>
      <c r="M47" s="991" t="str">
        <f>CONCATENATE(IF('Area B'!$B$12="None","",'Area B'!$H$12)," ",IF('Area B'!B15="None","",'Area B'!H15))</f>
        <v xml:space="preserve"> </v>
      </c>
      <c r="N47" s="991"/>
      <c r="O47" s="958">
        <f>'Area B'!J19</f>
        <v>0</v>
      </c>
      <c r="P47" s="958"/>
      <c r="Q47" s="121"/>
      <c r="R47" s="121"/>
      <c r="S47" s="121"/>
      <c r="T47" s="116"/>
      <c r="U47" s="116"/>
      <c r="V47" s="116"/>
      <c r="W47" s="116"/>
      <c r="X47" s="116"/>
      <c r="Y47" s="121"/>
      <c r="Z47" s="121"/>
      <c r="AA47" s="121"/>
      <c r="AB47" s="121"/>
      <c r="AC47" s="121"/>
      <c r="AD47" s="121"/>
      <c r="AE47" s="121"/>
      <c r="AF47" s="121"/>
      <c r="AG47" s="121"/>
      <c r="AH47" s="119"/>
      <c r="AI47" s="119"/>
      <c r="AJ47" s="119"/>
    </row>
    <row r="48" spans="1:36" s="120" customFormat="1" ht="30" customHeight="1" x14ac:dyDescent="0.35">
      <c r="A48" s="119"/>
      <c r="B48" s="1056"/>
      <c r="C48" s="888" t="s">
        <v>6</v>
      </c>
      <c r="D48" s="888"/>
      <c r="E48" s="888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88"/>
      <c r="G48" s="888"/>
      <c r="H48" s="236" t="s">
        <v>482</v>
      </c>
      <c r="I48" s="991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91"/>
      <c r="K48" s="890">
        <f>'Area B'!G26</f>
        <v>0</v>
      </c>
      <c r="L48" s="890"/>
      <c r="M48" s="991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91"/>
      <c r="O48" s="958">
        <f>'Area B'!J26</f>
        <v>0</v>
      </c>
      <c r="P48" s="958"/>
      <c r="Q48" s="121"/>
      <c r="R48" s="121"/>
      <c r="S48" s="121"/>
      <c r="T48" s="116"/>
      <c r="U48" s="116"/>
      <c r="V48" s="116"/>
      <c r="W48" s="116"/>
      <c r="X48" s="116"/>
      <c r="Y48" s="121"/>
      <c r="Z48" s="121"/>
      <c r="AA48" s="121"/>
      <c r="AB48" s="121"/>
      <c r="AC48" s="121"/>
      <c r="AD48" s="121"/>
      <c r="AE48" s="121"/>
      <c r="AF48" s="121"/>
      <c r="AG48" s="121"/>
      <c r="AH48" s="119"/>
      <c r="AI48" s="119"/>
      <c r="AJ48" s="119"/>
    </row>
    <row r="49" spans="1:36" s="120" customFormat="1" ht="30" customHeight="1" x14ac:dyDescent="0.35">
      <c r="A49" s="119"/>
      <c r="B49" s="1056"/>
      <c r="C49" s="888" t="s">
        <v>8</v>
      </c>
      <c r="D49" s="888"/>
      <c r="E49" s="888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88"/>
      <c r="G49" s="888"/>
      <c r="H49" s="236" t="s">
        <v>484</v>
      </c>
      <c r="I49" s="991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91"/>
      <c r="K49" s="890">
        <f>'Area B'!G37</f>
        <v>0</v>
      </c>
      <c r="L49" s="890"/>
      <c r="M49" s="991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91"/>
      <c r="O49" s="958">
        <f>'Area B'!J37</f>
        <v>0</v>
      </c>
      <c r="P49" s="958"/>
      <c r="Q49" s="121"/>
      <c r="R49" s="121"/>
      <c r="S49" s="121"/>
      <c r="T49" s="116"/>
      <c r="U49" s="116"/>
      <c r="V49" s="116"/>
      <c r="W49" s="116"/>
      <c r="X49" s="116"/>
      <c r="Y49" s="121"/>
      <c r="Z49" s="121"/>
      <c r="AA49" s="121"/>
      <c r="AB49" s="121"/>
      <c r="AC49" s="121"/>
      <c r="AD49" s="121"/>
      <c r="AE49" s="121"/>
      <c r="AF49" s="121"/>
      <c r="AG49" s="121"/>
      <c r="AH49" s="119"/>
      <c r="AI49" s="119"/>
      <c r="AJ49" s="119"/>
    </row>
    <row r="50" spans="1:36" s="120" customFormat="1" ht="19.5" customHeight="1" x14ac:dyDescent="0.35">
      <c r="A50" s="119"/>
      <c r="B50" s="1056"/>
      <c r="C50" s="888" t="s">
        <v>363</v>
      </c>
      <c r="D50" s="888"/>
      <c r="E50" s="888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88"/>
      <c r="G50" s="888"/>
      <c r="H50" s="236" t="s">
        <v>482</v>
      </c>
      <c r="I50" s="991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91"/>
      <c r="K50" s="890">
        <f>'Area B'!G44</f>
        <v>0</v>
      </c>
      <c r="L50" s="890"/>
      <c r="M50" s="991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91"/>
      <c r="O50" s="958">
        <f>'Area B'!J44</f>
        <v>0</v>
      </c>
      <c r="P50" s="958"/>
      <c r="Q50" s="121"/>
      <c r="R50" s="121"/>
      <c r="S50" s="121"/>
      <c r="T50" s="116"/>
      <c r="U50" s="116"/>
      <c r="V50" s="116"/>
      <c r="W50" s="116"/>
      <c r="X50" s="116"/>
      <c r="Y50" s="121"/>
      <c r="Z50" s="121"/>
      <c r="AA50" s="121"/>
      <c r="AB50" s="121"/>
      <c r="AC50" s="121"/>
      <c r="AD50" s="121"/>
      <c r="AE50" s="121"/>
      <c r="AF50" s="121"/>
      <c r="AG50" s="121"/>
      <c r="AH50" s="119"/>
      <c r="AI50" s="119"/>
      <c r="AJ50" s="119"/>
    </row>
    <row r="51" spans="1:36" s="120" customFormat="1" ht="19.5" customHeight="1" x14ac:dyDescent="0.35">
      <c r="A51" s="119"/>
      <c r="B51" s="1056"/>
      <c r="C51" s="888" t="s">
        <v>7</v>
      </c>
      <c r="D51" s="888"/>
      <c r="E51" s="888"/>
      <c r="F51" s="888"/>
      <c r="G51" s="888"/>
      <c r="H51" s="236"/>
      <c r="I51" s="991"/>
      <c r="J51" s="991"/>
      <c r="K51" s="890">
        <f>'Area B'!G196</f>
        <v>0</v>
      </c>
      <c r="L51" s="890"/>
      <c r="M51" s="991"/>
      <c r="N51" s="991"/>
      <c r="O51" s="958">
        <f>'Area B'!J196</f>
        <v>0</v>
      </c>
      <c r="P51" s="958"/>
      <c r="Q51" s="121"/>
      <c r="R51" s="121"/>
      <c r="S51" s="121"/>
      <c r="T51" s="116"/>
      <c r="U51" s="116"/>
      <c r="V51" s="116"/>
      <c r="W51" s="116"/>
      <c r="X51" s="116"/>
      <c r="Y51" s="121"/>
      <c r="Z51" s="121"/>
      <c r="AA51" s="121"/>
      <c r="AB51" s="121"/>
      <c r="AC51" s="121"/>
      <c r="AD51" s="121"/>
      <c r="AE51" s="121"/>
      <c r="AF51" s="121"/>
      <c r="AG51" s="121"/>
      <c r="AH51" s="119"/>
      <c r="AI51" s="119"/>
      <c r="AJ51" s="119"/>
    </row>
    <row r="52" spans="1:36" s="120" customFormat="1" ht="19.5" customHeight="1" x14ac:dyDescent="0.35">
      <c r="A52" s="119"/>
      <c r="B52" s="1056"/>
      <c r="C52" s="888" t="s">
        <v>429</v>
      </c>
      <c r="D52" s="888"/>
      <c r="E52" s="888"/>
      <c r="F52" s="888"/>
      <c r="G52" s="888"/>
      <c r="H52" s="236"/>
      <c r="I52" s="991"/>
      <c r="J52" s="991"/>
      <c r="K52" s="890">
        <f>'Area B'!G266</f>
        <v>0</v>
      </c>
      <c r="L52" s="890"/>
      <c r="M52" s="991"/>
      <c r="N52" s="991"/>
      <c r="O52" s="958">
        <f>'Area B'!J266</f>
        <v>0</v>
      </c>
      <c r="P52" s="958"/>
      <c r="Q52" s="121"/>
      <c r="R52" s="121"/>
      <c r="S52" s="121"/>
      <c r="T52" s="116"/>
      <c r="U52" s="116"/>
      <c r="V52" s="116"/>
      <c r="W52" s="116"/>
      <c r="X52" s="116"/>
      <c r="Y52" s="121"/>
      <c r="Z52" s="121"/>
      <c r="AA52" s="121"/>
      <c r="AB52" s="121"/>
      <c r="AC52" s="121"/>
      <c r="AD52" s="121"/>
      <c r="AE52" s="121"/>
      <c r="AF52" s="121"/>
      <c r="AG52" s="121"/>
      <c r="AH52" s="119"/>
      <c r="AI52" s="119"/>
      <c r="AJ52" s="119"/>
    </row>
    <row r="53" spans="1:36" s="120" customFormat="1" ht="19.5" customHeight="1" x14ac:dyDescent="0.35">
      <c r="A53" s="119"/>
      <c r="B53" s="1056"/>
      <c r="C53" s="888" t="s">
        <v>430</v>
      </c>
      <c r="D53" s="888"/>
      <c r="E53" s="888"/>
      <c r="F53" s="888"/>
      <c r="G53" s="888"/>
      <c r="H53" s="236"/>
      <c r="I53" s="991"/>
      <c r="J53" s="991"/>
      <c r="K53" s="1065">
        <f>IF(H4="no",0,SUM(H14)*H5)</f>
        <v>0</v>
      </c>
      <c r="L53" s="1065"/>
      <c r="M53" s="991"/>
      <c r="N53" s="991"/>
      <c r="O53" s="958">
        <f>K53</f>
        <v>0</v>
      </c>
      <c r="P53" s="958"/>
      <c r="Q53" s="121"/>
      <c r="R53" s="121"/>
      <c r="S53" s="121"/>
      <c r="T53" s="116"/>
      <c r="U53" s="116"/>
      <c r="V53" s="116"/>
      <c r="W53" s="116"/>
      <c r="X53" s="116"/>
      <c r="Y53" s="121"/>
      <c r="Z53" s="121"/>
      <c r="AA53" s="121"/>
      <c r="AB53" s="121"/>
      <c r="AC53" s="121"/>
      <c r="AD53" s="121"/>
      <c r="AE53" s="121"/>
      <c r="AF53" s="121"/>
      <c r="AG53" s="121"/>
      <c r="AH53" s="119"/>
      <c r="AI53" s="119"/>
      <c r="AJ53" s="119"/>
    </row>
    <row r="54" spans="1:36" s="120" customFormat="1" ht="19.5" customHeight="1" thickBot="1" x14ac:dyDescent="0.4">
      <c r="A54" s="119"/>
      <c r="B54" s="1057"/>
      <c r="C54" s="1060" t="s">
        <v>431</v>
      </c>
      <c r="D54" s="1060"/>
      <c r="E54" s="1060"/>
      <c r="F54" s="1060"/>
      <c r="G54" s="1060"/>
      <c r="H54" s="237"/>
      <c r="I54" s="1005"/>
      <c r="J54" s="1005"/>
      <c r="K54" s="891">
        <f>SUM(K45:K53)</f>
        <v>0</v>
      </c>
      <c r="L54" s="891"/>
      <c r="M54" s="1005"/>
      <c r="N54" s="1005"/>
      <c r="O54" s="891">
        <f>SUM(O45:O53)</f>
        <v>0</v>
      </c>
      <c r="P54" s="891"/>
      <c r="Q54" s="121"/>
      <c r="R54" s="121"/>
      <c r="S54" s="121"/>
      <c r="T54" s="116"/>
      <c r="U54" s="116"/>
      <c r="V54" s="116"/>
      <c r="W54" s="116"/>
      <c r="X54" s="116"/>
      <c r="Y54" s="121"/>
      <c r="Z54" s="121"/>
      <c r="AA54" s="121"/>
      <c r="AB54" s="121"/>
      <c r="AC54" s="121"/>
      <c r="AD54" s="121"/>
      <c r="AE54" s="121"/>
      <c r="AF54" s="121"/>
      <c r="AG54" s="121"/>
      <c r="AH54" s="119"/>
      <c r="AI54" s="119"/>
      <c r="AJ54" s="119"/>
    </row>
    <row r="55" spans="1:36" s="120" customFormat="1" ht="19.5" customHeight="1" thickTop="1" x14ac:dyDescent="0.35">
      <c r="A55" s="119"/>
      <c r="B55" s="56"/>
      <c r="C55" s="1049" t="s">
        <v>494</v>
      </c>
      <c r="D55" s="1049"/>
      <c r="E55" s="899">
        <f>H19</f>
        <v>0.04</v>
      </c>
      <c r="F55" s="899"/>
      <c r="G55" s="899"/>
      <c r="H55" s="236"/>
      <c r="I55" s="1011"/>
      <c r="J55" s="1011"/>
      <c r="K55" s="1014">
        <f>SUM(K54*E55)</f>
        <v>0</v>
      </c>
      <c r="L55" s="1014"/>
      <c r="M55" s="57"/>
      <c r="N55" s="57"/>
      <c r="O55" s="1006">
        <f>O54*E55</f>
        <v>0</v>
      </c>
      <c r="P55" s="1006"/>
      <c r="Q55" s="121"/>
      <c r="R55" s="121"/>
      <c r="S55" s="121"/>
      <c r="T55" s="116"/>
      <c r="U55" s="116"/>
      <c r="V55" s="116"/>
      <c r="W55" s="116"/>
      <c r="X55" s="116"/>
      <c r="Y55" s="121"/>
      <c r="Z55" s="121"/>
      <c r="AA55" s="121"/>
      <c r="AB55" s="121"/>
      <c r="AC55" s="121"/>
      <c r="AD55" s="121"/>
      <c r="AE55" s="121"/>
      <c r="AF55" s="121"/>
      <c r="AG55" s="121"/>
      <c r="AH55" s="119"/>
      <c r="AI55" s="119"/>
      <c r="AJ55" s="119"/>
    </row>
    <row r="56" spans="1:36" s="120" customFormat="1" ht="19.5" customHeight="1" thickBot="1" x14ac:dyDescent="0.45">
      <c r="A56" s="119"/>
      <c r="B56" s="197"/>
      <c r="C56" s="1050" t="s">
        <v>367</v>
      </c>
      <c r="D56" s="1050"/>
      <c r="E56" s="900"/>
      <c r="F56" s="900"/>
      <c r="G56" s="900"/>
      <c r="H56" s="198"/>
      <c r="I56" s="1012"/>
      <c r="J56" s="1012"/>
      <c r="K56" s="1007">
        <f>SUM(K54:L55)</f>
        <v>0</v>
      </c>
      <c r="L56" s="1007"/>
      <c r="M56" s="199"/>
      <c r="N56" s="199"/>
      <c r="O56" s="1007">
        <f>SUM(O54:P55)</f>
        <v>0</v>
      </c>
      <c r="P56" s="1007"/>
      <c r="Q56" s="121"/>
      <c r="R56" s="121"/>
      <c r="S56" s="121"/>
      <c r="T56" s="116"/>
      <c r="U56" s="116"/>
      <c r="V56" s="116"/>
      <c r="W56" s="116"/>
      <c r="X56" s="116"/>
      <c r="Y56" s="121"/>
      <c r="Z56" s="121"/>
      <c r="AA56" s="121"/>
      <c r="AB56" s="121"/>
      <c r="AC56" s="121"/>
      <c r="AD56" s="121"/>
      <c r="AE56" s="121"/>
      <c r="AF56" s="121"/>
      <c r="AG56" s="121"/>
      <c r="AH56" s="119"/>
      <c r="AI56" s="119"/>
      <c r="AJ56" s="119"/>
    </row>
    <row r="57" spans="1:36" s="120" customFormat="1" ht="6.65" customHeight="1" thickBot="1" x14ac:dyDescent="0.45">
      <c r="A57" s="119"/>
      <c r="B57" s="200"/>
      <c r="C57" s="898"/>
      <c r="D57" s="898"/>
      <c r="E57" s="898"/>
      <c r="F57" s="898"/>
      <c r="G57" s="898"/>
      <c r="H57" s="200"/>
      <c r="I57" s="885"/>
      <c r="J57" s="885"/>
      <c r="K57" s="898"/>
      <c r="L57" s="898"/>
      <c r="M57" s="898"/>
      <c r="N57" s="898"/>
      <c r="O57" s="898"/>
      <c r="P57" s="898"/>
      <c r="Q57" s="933"/>
      <c r="R57" s="933"/>
      <c r="S57" s="121"/>
      <c r="T57" s="116"/>
      <c r="U57" s="116"/>
      <c r="V57" s="116"/>
      <c r="W57" s="116"/>
      <c r="X57" s="116"/>
      <c r="Y57" s="121"/>
      <c r="Z57" s="121"/>
      <c r="AA57" s="121"/>
      <c r="AB57" s="121"/>
      <c r="AC57" s="121"/>
      <c r="AD57" s="121"/>
      <c r="AE57" s="121"/>
      <c r="AF57" s="121"/>
      <c r="AG57" s="121"/>
      <c r="AH57" s="119"/>
      <c r="AI57" s="119"/>
      <c r="AJ57" s="119"/>
    </row>
    <row r="58" spans="1:36" s="120" customFormat="1" ht="32.25" customHeight="1" x14ac:dyDescent="0.35">
      <c r="A58" s="119"/>
      <c r="B58" s="1023" t="e">
        <f>#REF!</f>
        <v>#REF!</v>
      </c>
      <c r="C58" s="887" t="s">
        <v>0</v>
      </c>
      <c r="D58" s="887"/>
      <c r="E58" s="887" t="str">
        <f>CONCATENATE(IF('Area C'!$B$5="None","",'Area C'!$B$5), "   ",IF('Area C'!$B$7="None","",'Area C'!$B$7))</f>
        <v xml:space="preserve">TR200 Blk   </v>
      </c>
      <c r="F58" s="887"/>
      <c r="G58" s="887"/>
      <c r="H58" s="160" t="s">
        <v>481</v>
      </c>
      <c r="I58" s="883" t="str">
        <f>CONCATENATE(IF('Area C'!$B$5="None","",'Area C'!$D$5), "   ",,IF('Area C'!$B$7="None","",'Area C'!$D$7))</f>
        <v xml:space="preserve">0   </v>
      </c>
      <c r="J58" s="883"/>
      <c r="K58" s="894">
        <f>'Area C'!$G$5+'Area C'!$G$7</f>
        <v>0</v>
      </c>
      <c r="L58" s="894"/>
      <c r="M58" s="883" t="str">
        <f>CONCATENATE(IF('Area C'!$B$5="None","",'Area C'!$H$5), "   ",,IF('Area C'!$B$7="None","",'Area C'!$H$7))</f>
        <v xml:space="preserve">0   </v>
      </c>
      <c r="N58" s="883"/>
      <c r="O58" s="1004">
        <f>'Area C'!$J$5+'Area C'!$J$7</f>
        <v>0</v>
      </c>
      <c r="P58" s="1004"/>
      <c r="Q58" s="123">
        <f>IFERROR(O58/O69,0)</f>
        <v>0</v>
      </c>
      <c r="R58" s="986">
        <f>IFERROR((O58+O59)/O69,0)</f>
        <v>0</v>
      </c>
      <c r="S58" s="121"/>
      <c r="T58" s="116"/>
      <c r="U58" s="116"/>
      <c r="V58" s="116"/>
      <c r="W58" s="116"/>
      <c r="X58" s="116"/>
      <c r="Y58" s="121"/>
      <c r="Z58" s="121"/>
      <c r="AA58" s="121"/>
      <c r="AB58" s="121"/>
      <c r="AC58" s="121"/>
      <c r="AD58" s="121"/>
      <c r="AE58" s="121"/>
      <c r="AF58" s="121"/>
      <c r="AG58" s="121"/>
      <c r="AH58" s="119"/>
      <c r="AI58" s="119"/>
      <c r="AJ58" s="119"/>
    </row>
    <row r="59" spans="1:36" s="120" customFormat="1" ht="32.25" customHeight="1" x14ac:dyDescent="0.35">
      <c r="A59" s="119"/>
      <c r="B59" s="1023"/>
      <c r="C59" s="887" t="s">
        <v>413</v>
      </c>
      <c r="D59" s="887"/>
      <c r="E59" s="887" t="str">
        <f>CONCATENATE(IF('Area C'!$B$6="None","",'Area C'!$B$6), "   ",IF('Area C'!$B$8="None","",'Area C'!$B$8))</f>
        <v xml:space="preserve">BR200- Blk   </v>
      </c>
      <c r="F59" s="887"/>
      <c r="G59" s="887"/>
      <c r="H59" s="160" t="s">
        <v>481</v>
      </c>
      <c r="I59" s="883" t="str">
        <f>CONCATENATE(IF('Area C'!$B$6="None","",'Area C'!$D$6), "   ",,IF('Area C'!$B$8="None","",'Area C'!$D$8))</f>
        <v xml:space="preserve">0   </v>
      </c>
      <c r="J59" s="883"/>
      <c r="K59" s="894">
        <f>'Area C'!$G$6+'Area C'!$G$8</f>
        <v>0</v>
      </c>
      <c r="L59" s="894"/>
      <c r="M59" s="883" t="str">
        <f>CONCATENATE(IF('Area C'!$B$6="None","",'Area C'!$H$6), "   ",,IF('Area C'!$B$8="None","",'Area C'!$H$8))</f>
        <v xml:space="preserve">0   </v>
      </c>
      <c r="N59" s="883"/>
      <c r="O59" s="998">
        <f>'Area C'!$J$6+'Area C'!$J$8</f>
        <v>0</v>
      </c>
      <c r="P59" s="998"/>
      <c r="Q59" s="123">
        <f>IFERROR(O59/O69,0)</f>
        <v>0</v>
      </c>
      <c r="R59" s="986"/>
      <c r="S59" s="121"/>
      <c r="T59" s="116"/>
      <c r="U59" s="116"/>
      <c r="V59" s="116"/>
      <c r="W59" s="116"/>
      <c r="X59" s="116"/>
      <c r="Y59" s="121"/>
      <c r="Z59" s="121"/>
      <c r="AA59" s="121"/>
      <c r="AB59" s="121"/>
      <c r="AC59" s="121"/>
      <c r="AD59" s="121"/>
      <c r="AE59" s="121"/>
      <c r="AF59" s="121"/>
      <c r="AG59" s="121"/>
      <c r="AH59" s="119"/>
      <c r="AI59" s="119"/>
      <c r="AJ59" s="119"/>
    </row>
    <row r="60" spans="1:36" s="120" customFormat="1" ht="32.25" customHeight="1" x14ac:dyDescent="0.4">
      <c r="A60" s="119"/>
      <c r="B60" s="1023"/>
      <c r="C60" s="887" t="s">
        <v>4</v>
      </c>
      <c r="D60" s="887"/>
      <c r="E60" s="897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97"/>
      <c r="G60" s="897"/>
      <c r="H60" s="160" t="s">
        <v>481</v>
      </c>
      <c r="I60" s="883" t="str">
        <f>CONCATENATE(IF('Area C'!$B$12="None","",'Area C'!$D$12)," ",IF('Area C'!$B$15="None","",'Area C'!$E$15))</f>
        <v xml:space="preserve"> 0</v>
      </c>
      <c r="J60" s="883"/>
      <c r="K60" s="894">
        <f>'Area C'!$G$19</f>
        <v>0</v>
      </c>
      <c r="L60" s="894"/>
      <c r="M60" s="883" t="str">
        <f>CONCATENATE(IF('Area C'!$B$12="None","",'Area C'!$H$12)," ",IF('Area C'!$B$15="None","",'Area C'!$H$15))</f>
        <v xml:space="preserve"> 0</v>
      </c>
      <c r="N60" s="883"/>
      <c r="O60" s="998">
        <f>'Area C'!$J$19</f>
        <v>0</v>
      </c>
      <c r="P60" s="998"/>
      <c r="Q60" s="121"/>
      <c r="R60" s="121"/>
      <c r="S60" s="121"/>
      <c r="T60" s="122"/>
      <c r="U60" s="122"/>
      <c r="V60" s="116"/>
      <c r="W60" s="116"/>
      <c r="X60" s="116"/>
      <c r="Y60" s="121"/>
      <c r="Z60" s="121"/>
      <c r="AA60" s="121"/>
      <c r="AB60" s="121"/>
      <c r="AC60" s="121"/>
      <c r="AD60" s="121"/>
      <c r="AE60" s="121"/>
      <c r="AF60" s="121"/>
      <c r="AG60" s="121"/>
      <c r="AH60" s="119"/>
      <c r="AI60" s="119"/>
      <c r="AJ60" s="119"/>
    </row>
    <row r="61" spans="1:36" s="120" customFormat="1" ht="32.25" customHeight="1" x14ac:dyDescent="0.35">
      <c r="A61" s="119"/>
      <c r="B61" s="1023"/>
      <c r="C61" s="887" t="s">
        <v>6</v>
      </c>
      <c r="D61" s="887"/>
      <c r="E61" s="887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87"/>
      <c r="G61" s="887"/>
      <c r="H61" s="160" t="s">
        <v>482</v>
      </c>
      <c r="I61" s="883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83"/>
      <c r="K61" s="894">
        <f>'Area C'!$G$26</f>
        <v>0</v>
      </c>
      <c r="L61" s="894"/>
      <c r="M61" s="883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83"/>
      <c r="O61" s="998">
        <f>'Area C'!$J$26</f>
        <v>0</v>
      </c>
      <c r="P61" s="998"/>
      <c r="Q61" s="121"/>
      <c r="R61" s="121"/>
      <c r="S61" s="121"/>
      <c r="T61" s="116"/>
      <c r="U61" s="116"/>
      <c r="V61" s="116"/>
      <c r="W61" s="116"/>
      <c r="X61" s="116"/>
      <c r="Y61" s="121"/>
      <c r="Z61" s="121"/>
      <c r="AA61" s="121"/>
      <c r="AB61" s="121"/>
      <c r="AC61" s="121"/>
      <c r="AD61" s="121"/>
      <c r="AE61" s="121"/>
      <c r="AF61" s="121"/>
      <c r="AG61" s="121"/>
      <c r="AH61" s="119"/>
      <c r="AI61" s="119"/>
      <c r="AJ61" s="119"/>
    </row>
    <row r="62" spans="1:36" s="120" customFormat="1" ht="32.25" customHeight="1" x14ac:dyDescent="0.35">
      <c r="A62" s="119"/>
      <c r="B62" s="1023"/>
      <c r="C62" s="887" t="s">
        <v>8</v>
      </c>
      <c r="D62" s="887"/>
      <c r="E62" s="887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87"/>
      <c r="G62" s="887"/>
      <c r="H62" s="160" t="s">
        <v>484</v>
      </c>
      <c r="I62" s="883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883"/>
      <c r="K62" s="894">
        <f>'Area C'!$G$37</f>
        <v>0</v>
      </c>
      <c r="L62" s="894"/>
      <c r="M62" s="883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83"/>
      <c r="O62" s="998">
        <f>'Area C'!$J$37</f>
        <v>0</v>
      </c>
      <c r="P62" s="998"/>
      <c r="Q62" s="119"/>
      <c r="R62" s="119"/>
      <c r="S62" s="119"/>
      <c r="T62" s="116"/>
      <c r="U62" s="116"/>
      <c r="V62" s="116"/>
      <c r="W62" s="116"/>
      <c r="X62" s="116"/>
      <c r="Y62" s="121"/>
      <c r="Z62" s="121"/>
      <c r="AA62" s="121"/>
      <c r="AB62" s="121"/>
      <c r="AC62" s="121"/>
      <c r="AD62" s="121"/>
      <c r="AE62" s="121"/>
      <c r="AF62" s="121"/>
      <c r="AG62" s="121"/>
      <c r="AH62" s="119"/>
      <c r="AI62" s="119"/>
      <c r="AJ62" s="119"/>
    </row>
    <row r="63" spans="1:36" s="120" customFormat="1" ht="21" customHeight="1" x14ac:dyDescent="0.35">
      <c r="A63" s="119"/>
      <c r="B63" s="1023"/>
      <c r="C63" s="887" t="s">
        <v>363</v>
      </c>
      <c r="D63" s="887"/>
      <c r="E63" s="887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87"/>
      <c r="G63" s="887"/>
      <c r="H63" s="160" t="s">
        <v>482</v>
      </c>
      <c r="I63" s="883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83"/>
      <c r="K63" s="894">
        <f>'Area C'!G57</f>
        <v>0</v>
      </c>
      <c r="L63" s="894"/>
      <c r="M63" s="883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83"/>
      <c r="O63" s="998">
        <f>'Area C'!$J$44</f>
        <v>0</v>
      </c>
      <c r="P63" s="998"/>
      <c r="Q63" s="121"/>
      <c r="R63" s="121"/>
      <c r="S63" s="121"/>
      <c r="T63" s="116"/>
      <c r="U63" s="116"/>
      <c r="V63" s="116"/>
      <c r="W63" s="116"/>
      <c r="X63" s="116"/>
      <c r="Y63" s="121"/>
      <c r="Z63" s="121"/>
      <c r="AA63" s="121"/>
      <c r="AB63" s="121"/>
      <c r="AC63" s="121"/>
      <c r="AD63" s="121"/>
      <c r="AE63" s="121"/>
      <c r="AF63" s="121"/>
      <c r="AG63" s="121"/>
      <c r="AH63" s="119"/>
      <c r="AI63" s="119"/>
      <c r="AJ63" s="119"/>
    </row>
    <row r="64" spans="1:36" s="120" customFormat="1" ht="21" customHeight="1" x14ac:dyDescent="0.35">
      <c r="A64" s="119"/>
      <c r="B64" s="1023"/>
      <c r="C64" s="887" t="s">
        <v>7</v>
      </c>
      <c r="D64" s="887"/>
      <c r="E64" s="887"/>
      <c r="F64" s="887"/>
      <c r="G64" s="887"/>
      <c r="H64" s="160"/>
      <c r="I64" s="883"/>
      <c r="J64" s="883"/>
      <c r="K64" s="894">
        <f>'Area C'!G196</f>
        <v>0</v>
      </c>
      <c r="L64" s="894"/>
      <c r="M64" s="883"/>
      <c r="N64" s="883"/>
      <c r="O64" s="998">
        <f>'Area C'!$J$196</f>
        <v>0</v>
      </c>
      <c r="P64" s="998"/>
      <c r="Q64" s="121"/>
      <c r="R64" s="121"/>
      <c r="S64" s="121"/>
      <c r="T64" s="116"/>
      <c r="U64" s="116"/>
      <c r="V64" s="116"/>
      <c r="W64" s="116"/>
      <c r="X64" s="116"/>
      <c r="Y64" s="121"/>
      <c r="Z64" s="121"/>
      <c r="AA64" s="121"/>
      <c r="AB64" s="121"/>
      <c r="AC64" s="121"/>
      <c r="AD64" s="121"/>
      <c r="AE64" s="121"/>
      <c r="AF64" s="121"/>
      <c r="AG64" s="121"/>
      <c r="AH64" s="119"/>
      <c r="AI64" s="119"/>
      <c r="AJ64" s="119"/>
    </row>
    <row r="65" spans="1:38" s="120" customFormat="1" ht="21" customHeight="1" x14ac:dyDescent="0.35">
      <c r="A65" s="119"/>
      <c r="B65" s="1023"/>
      <c r="C65" s="887" t="s">
        <v>429</v>
      </c>
      <c r="D65" s="887"/>
      <c r="E65" s="887"/>
      <c r="F65" s="887"/>
      <c r="G65" s="887"/>
      <c r="H65" s="160"/>
      <c r="I65" s="883"/>
      <c r="J65" s="883"/>
      <c r="K65" s="894">
        <f>'Area C'!G266</f>
        <v>0</v>
      </c>
      <c r="L65" s="894"/>
      <c r="M65" s="883"/>
      <c r="N65" s="883"/>
      <c r="O65" s="998">
        <f>'Area C'!$J$266</f>
        <v>0</v>
      </c>
      <c r="P65" s="998"/>
      <c r="Q65" s="121"/>
      <c r="R65" s="121"/>
      <c r="S65" s="121"/>
      <c r="T65" s="116"/>
      <c r="U65" s="116"/>
      <c r="V65" s="116"/>
      <c r="W65" s="116"/>
      <c r="X65" s="116"/>
      <c r="Y65" s="121"/>
      <c r="Z65" s="121"/>
      <c r="AA65" s="121"/>
      <c r="AB65" s="121"/>
      <c r="AC65" s="121"/>
      <c r="AD65" s="121"/>
      <c r="AE65" s="121"/>
      <c r="AF65" s="121"/>
      <c r="AG65" s="121"/>
      <c r="AH65" s="119"/>
      <c r="AI65" s="119"/>
      <c r="AJ65" s="119"/>
    </row>
    <row r="66" spans="1:38" s="120" customFormat="1" ht="21" customHeight="1" x14ac:dyDescent="0.35">
      <c r="A66" s="119"/>
      <c r="B66" s="1023"/>
      <c r="C66" s="887" t="s">
        <v>430</v>
      </c>
      <c r="D66" s="887"/>
      <c r="E66" s="887"/>
      <c r="F66" s="887"/>
      <c r="G66" s="887"/>
      <c r="H66" s="160"/>
      <c r="I66" s="883"/>
      <c r="J66" s="883"/>
      <c r="K66" s="1015">
        <f>IF(L4="no",0,SUM(L14)*L5)</f>
        <v>0</v>
      </c>
      <c r="L66" s="1015"/>
      <c r="M66" s="883"/>
      <c r="N66" s="883"/>
      <c r="O66" s="998">
        <f>K66</f>
        <v>0</v>
      </c>
      <c r="P66" s="998"/>
      <c r="Q66" s="121"/>
      <c r="R66" s="121"/>
      <c r="S66" s="121"/>
      <c r="T66" s="116"/>
      <c r="U66" s="116"/>
      <c r="V66" s="116"/>
      <c r="W66" s="116"/>
      <c r="X66" s="116"/>
      <c r="Y66" s="121"/>
      <c r="Z66" s="121"/>
      <c r="AA66" s="121"/>
      <c r="AB66" s="121"/>
      <c r="AC66" s="121"/>
      <c r="AD66" s="121"/>
      <c r="AE66" s="121"/>
      <c r="AF66" s="121"/>
      <c r="AG66" s="121"/>
      <c r="AH66" s="119"/>
      <c r="AI66" s="119"/>
      <c r="AJ66" s="119"/>
    </row>
    <row r="67" spans="1:38" s="120" customFormat="1" ht="21" customHeight="1" thickBot="1" x14ac:dyDescent="0.4">
      <c r="A67" s="119"/>
      <c r="B67" s="1024"/>
      <c r="C67" s="1018" t="s">
        <v>431</v>
      </c>
      <c r="D67" s="1018"/>
      <c r="E67" s="1018"/>
      <c r="F67" s="1018"/>
      <c r="G67" s="1018"/>
      <c r="H67" s="161"/>
      <c r="I67" s="1003"/>
      <c r="J67" s="1003"/>
      <c r="K67" s="1000">
        <f>SUM(K58:K66)</f>
        <v>0</v>
      </c>
      <c r="L67" s="1000"/>
      <c r="M67" s="1003"/>
      <c r="N67" s="1003"/>
      <c r="O67" s="1000">
        <f>SUM(O58:O66)</f>
        <v>0</v>
      </c>
      <c r="P67" s="1000"/>
      <c r="Q67" s="121"/>
      <c r="R67" s="121"/>
      <c r="S67" s="121"/>
      <c r="T67" s="116"/>
      <c r="U67" s="116"/>
      <c r="V67" s="116"/>
      <c r="W67" s="116"/>
      <c r="X67" s="116"/>
      <c r="Y67" s="121"/>
      <c r="Z67" s="121"/>
      <c r="AA67" s="121"/>
      <c r="AB67" s="121"/>
      <c r="AC67" s="121"/>
      <c r="AD67" s="121"/>
      <c r="AE67" s="121"/>
      <c r="AF67" s="121"/>
      <c r="AG67" s="121"/>
      <c r="AH67" s="119"/>
      <c r="AI67" s="119"/>
      <c r="AJ67" s="119"/>
    </row>
    <row r="68" spans="1:38" s="120" customFormat="1" ht="21" customHeight="1" thickTop="1" x14ac:dyDescent="0.35">
      <c r="A68" s="119"/>
      <c r="B68" s="58"/>
      <c r="C68" s="1046" t="s">
        <v>494</v>
      </c>
      <c r="D68" s="1046"/>
      <c r="E68" s="889">
        <f>L19</f>
        <v>0.04</v>
      </c>
      <c r="F68" s="889"/>
      <c r="G68" s="889"/>
      <c r="H68" s="160"/>
      <c r="I68" s="1017"/>
      <c r="J68" s="1017"/>
      <c r="K68" s="892">
        <f>SUM(K58:L65)*E68</f>
        <v>0</v>
      </c>
      <c r="L68" s="892"/>
      <c r="M68" s="59"/>
      <c r="N68" s="59"/>
      <c r="O68" s="1001">
        <f>O67*E68</f>
        <v>0</v>
      </c>
      <c r="P68" s="1001"/>
      <c r="Q68" s="121"/>
      <c r="R68" s="121"/>
      <c r="S68" s="121"/>
      <c r="T68" s="116"/>
      <c r="U68" s="116"/>
      <c r="V68" s="116"/>
      <c r="W68" s="116"/>
      <c r="X68" s="116"/>
      <c r="Y68" s="121"/>
      <c r="Z68" s="121"/>
      <c r="AA68" s="121"/>
      <c r="AB68" s="121"/>
      <c r="AC68" s="121"/>
      <c r="AD68" s="121"/>
      <c r="AE68" s="121"/>
      <c r="AF68" s="121"/>
      <c r="AG68" s="121"/>
      <c r="AH68" s="119"/>
      <c r="AI68" s="119"/>
      <c r="AJ68" s="119"/>
    </row>
    <row r="69" spans="1:38" s="120" customFormat="1" ht="21" customHeight="1" thickBot="1" x14ac:dyDescent="0.45">
      <c r="A69" s="119"/>
      <c r="B69" s="194"/>
      <c r="C69" s="1047" t="s">
        <v>367</v>
      </c>
      <c r="D69" s="1047"/>
      <c r="E69" s="1016"/>
      <c r="F69" s="1016"/>
      <c r="G69" s="1016"/>
      <c r="H69" s="195"/>
      <c r="I69" s="1013"/>
      <c r="J69" s="1013"/>
      <c r="K69" s="1008">
        <f>SUM(K67:L68)</f>
        <v>0</v>
      </c>
      <c r="L69" s="1008"/>
      <c r="M69" s="196"/>
      <c r="N69" s="196"/>
      <c r="O69" s="1002">
        <f>SUM(O67:P68)</f>
        <v>0</v>
      </c>
      <c r="P69" s="1002"/>
      <c r="Q69" s="121"/>
      <c r="R69" s="121"/>
      <c r="S69" s="121"/>
      <c r="T69" s="121"/>
      <c r="U69" s="119"/>
      <c r="V69" s="119"/>
      <c r="W69" s="116"/>
      <c r="X69" s="116"/>
      <c r="Y69" s="121"/>
      <c r="Z69" s="121"/>
      <c r="AA69" s="121"/>
      <c r="AB69" s="121"/>
      <c r="AC69" s="121"/>
      <c r="AD69" s="121"/>
      <c r="AE69" s="121"/>
      <c r="AF69" s="121"/>
      <c r="AG69" s="121"/>
      <c r="AH69" s="119"/>
      <c r="AI69" s="119"/>
      <c r="AJ69" s="119"/>
    </row>
    <row r="70" spans="1:38" s="120" customFormat="1" ht="6.65" customHeight="1" thickBot="1" x14ac:dyDescent="0.4">
      <c r="A70" s="119"/>
      <c r="B70" s="898"/>
      <c r="C70" s="898"/>
      <c r="D70" s="898"/>
      <c r="E70" s="898"/>
      <c r="F70" s="898"/>
      <c r="G70" s="898"/>
      <c r="H70" s="898"/>
      <c r="I70" s="898"/>
      <c r="J70" s="898"/>
      <c r="K70" s="898"/>
      <c r="L70" s="898"/>
      <c r="M70" s="898"/>
      <c r="N70" s="898"/>
      <c r="O70" s="898"/>
      <c r="P70" s="898"/>
      <c r="Q70" s="898"/>
      <c r="R70" s="200"/>
      <c r="S70" s="121"/>
      <c r="T70" s="121"/>
      <c r="U70" s="121"/>
      <c r="V70" s="121"/>
      <c r="W70" s="116"/>
      <c r="X70" s="116"/>
      <c r="Y70" s="121"/>
      <c r="Z70" s="121"/>
      <c r="AA70" s="121"/>
      <c r="AB70" s="121"/>
      <c r="AC70" s="121"/>
      <c r="AD70" s="121"/>
      <c r="AE70" s="121"/>
      <c r="AF70" s="121"/>
      <c r="AG70" s="121"/>
      <c r="AH70" s="119"/>
      <c r="AI70" s="119"/>
      <c r="AJ70" s="119"/>
    </row>
    <row r="71" spans="1:38" s="120" customFormat="1" ht="31.4" customHeight="1" x14ac:dyDescent="0.35">
      <c r="A71" s="119"/>
      <c r="B71" s="901" t="e">
        <f>#REF!</f>
        <v>#REF!</v>
      </c>
      <c r="C71" s="904" t="s">
        <v>0</v>
      </c>
      <c r="D71" s="904"/>
      <c r="E71" s="904" t="str">
        <f>CONCATENATE(IF('Area D'!$B$5="None","",'Area D'!$B$5), "   ",IF('Area D'!$B$7="None","",'Area D'!$B$7))</f>
        <v xml:space="preserve">TR200 Blk   </v>
      </c>
      <c r="F71" s="904"/>
      <c r="G71" s="904"/>
      <c r="H71" s="368" t="s">
        <v>481</v>
      </c>
      <c r="I71" s="906" t="str">
        <f>CONCATENATE(IF('Area D'!$B$5="None","",'Area D'!$D$5), "   ",,IF('Area D'!$B$7="None","",'Area D'!$D$7))</f>
        <v xml:space="preserve">0   </v>
      </c>
      <c r="J71" s="906"/>
      <c r="K71" s="903">
        <f>'Area D'!$G$5+'Area D'!$G$7</f>
        <v>0</v>
      </c>
      <c r="L71" s="903"/>
      <c r="M71" s="906" t="str">
        <f>CONCATENATE(IF('Area D'!$B$5="None","",'Area D'!$H$5), "   ",,IF('Area D'!$B$7="None","",'Area D'!$H$7))</f>
        <v xml:space="preserve">0   </v>
      </c>
      <c r="N71" s="906"/>
      <c r="O71" s="914">
        <f>'Area D'!$J$5+'Area D'!$J$7</f>
        <v>0</v>
      </c>
      <c r="P71" s="914"/>
      <c r="Q71" s="123">
        <f>IFERROR(O71/O82,0)</f>
        <v>0</v>
      </c>
      <c r="R71" s="986">
        <f>IFERROR((O71+O72)/O82,0)</f>
        <v>0</v>
      </c>
      <c r="S71" s="121"/>
      <c r="T71" s="121"/>
      <c r="U71" s="121"/>
      <c r="V71" s="121"/>
      <c r="W71" s="119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</row>
    <row r="72" spans="1:38" s="120" customFormat="1" ht="31.4" customHeight="1" x14ac:dyDescent="0.35">
      <c r="A72" s="119"/>
      <c r="B72" s="901"/>
      <c r="C72" s="904" t="s">
        <v>413</v>
      </c>
      <c r="D72" s="904"/>
      <c r="E72" s="904" t="str">
        <f>CONCATENATE(IF('Area D'!$B$6="None","",'Area D'!$B$6), "   ",IF('Area D'!$B$8="None","",'Area D'!$B$8))</f>
        <v xml:space="preserve">BR200- Blk   </v>
      </c>
      <c r="F72" s="904"/>
      <c r="G72" s="904"/>
      <c r="H72" s="368" t="s">
        <v>481</v>
      </c>
      <c r="I72" s="906" t="str">
        <f>CONCATENATE(IF('Area D'!$B$6="None","",'Area D'!$D$6), "   ",,IF('Area D'!$B$8="None","",'Area D'!$D$8))</f>
        <v xml:space="preserve">0   </v>
      </c>
      <c r="J72" s="906"/>
      <c r="K72" s="903">
        <f>'Area D'!$G$6+'Area D'!$G$8</f>
        <v>0</v>
      </c>
      <c r="L72" s="903"/>
      <c r="M72" s="906" t="str">
        <f>CONCATENATE(IF('Area D'!$B$6="None","",'Area D'!$H$6), "   ",,IF('Area D'!$B$8="None","",'Area D'!$H$8))</f>
        <v xml:space="preserve">0   </v>
      </c>
      <c r="N72" s="906"/>
      <c r="O72" s="914">
        <f>'Area D'!$J$6+'Area D'!$J$8</f>
        <v>0</v>
      </c>
      <c r="P72" s="914"/>
      <c r="Q72" s="123">
        <f>IFERROR(O72/O82,0)</f>
        <v>0</v>
      </c>
      <c r="R72" s="986"/>
      <c r="S72" s="116"/>
      <c r="T72" s="121"/>
      <c r="U72" s="121"/>
      <c r="V72" s="121"/>
      <c r="W72" s="121"/>
      <c r="X72" s="121"/>
      <c r="Y72" s="121"/>
      <c r="Z72" s="121"/>
      <c r="AA72" s="121"/>
      <c r="AB72" s="121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</row>
    <row r="73" spans="1:38" s="120" customFormat="1" ht="31.4" customHeight="1" x14ac:dyDescent="0.35">
      <c r="A73" s="119"/>
      <c r="B73" s="901"/>
      <c r="C73" s="904" t="s">
        <v>4</v>
      </c>
      <c r="D73" s="904"/>
      <c r="E73" s="905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905"/>
      <c r="G73" s="905"/>
      <c r="H73" s="368" t="s">
        <v>481</v>
      </c>
      <c r="I73" s="906" t="str">
        <f>CONCATENATE(IF('Area D'!$B$12="None","",'Area D'!$D$12)," ",IF('Area D'!$B$15="None","",'Area D'!$E$15))</f>
        <v xml:space="preserve"> 0</v>
      </c>
      <c r="J73" s="906"/>
      <c r="K73" s="903">
        <f>'Area D'!$G$19</f>
        <v>0</v>
      </c>
      <c r="L73" s="903"/>
      <c r="M73" s="906" t="str">
        <f>CONCATENATE(IF('Area D'!$B$12="None","",'Area D'!$H$12)," ",IF('Area D'!$B$15="None","",'Area D'!$H$15))</f>
        <v xml:space="preserve"> 0</v>
      </c>
      <c r="N73" s="906"/>
      <c r="O73" s="914">
        <f>'Area D'!$J$19</f>
        <v>0</v>
      </c>
      <c r="P73" s="914"/>
      <c r="Q73" s="121"/>
      <c r="R73" s="121"/>
      <c r="S73" s="159"/>
      <c r="T73" s="121"/>
      <c r="U73" s="121"/>
      <c r="V73" s="121"/>
      <c r="W73" s="121"/>
      <c r="X73" s="121"/>
      <c r="Y73" s="121"/>
      <c r="Z73" s="121"/>
      <c r="AA73" s="121"/>
      <c r="AB73" s="121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</row>
    <row r="74" spans="1:38" s="120" customFormat="1" ht="31.4" customHeight="1" x14ac:dyDescent="0.35">
      <c r="A74" s="119"/>
      <c r="B74" s="901"/>
      <c r="C74" s="904" t="s">
        <v>6</v>
      </c>
      <c r="D74" s="904"/>
      <c r="E74" s="904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904"/>
      <c r="G74" s="904"/>
      <c r="H74" s="368" t="s">
        <v>482</v>
      </c>
      <c r="I74" s="906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906"/>
      <c r="K74" s="903">
        <f>'Area D'!$G$26</f>
        <v>0</v>
      </c>
      <c r="L74" s="903"/>
      <c r="M74" s="906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906"/>
      <c r="O74" s="914">
        <f>'Area D'!$J$26</f>
        <v>0</v>
      </c>
      <c r="P74" s="914"/>
      <c r="Q74" s="121"/>
      <c r="R74" s="121"/>
      <c r="S74" s="159"/>
      <c r="T74" s="121"/>
      <c r="U74" s="121"/>
      <c r="V74" s="121"/>
      <c r="W74" s="121"/>
      <c r="X74" s="121"/>
      <c r="Y74" s="121"/>
      <c r="Z74" s="121"/>
      <c r="AA74" s="121"/>
      <c r="AB74" s="121"/>
      <c r="AC74" s="119"/>
      <c r="AD74" s="119"/>
      <c r="AE74" s="119"/>
      <c r="AF74" s="119"/>
      <c r="AG74" s="119"/>
      <c r="AH74" s="119"/>
      <c r="AI74" s="119"/>
      <c r="AJ74" s="119"/>
    </row>
    <row r="75" spans="1:38" s="120" customFormat="1" ht="31.4" customHeight="1" x14ac:dyDescent="0.35">
      <c r="A75" s="119"/>
      <c r="B75" s="901"/>
      <c r="C75" s="904" t="s">
        <v>8</v>
      </c>
      <c r="D75" s="904"/>
      <c r="E75" s="904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904"/>
      <c r="G75" s="904"/>
      <c r="H75" s="368" t="s">
        <v>484</v>
      </c>
      <c r="I75" s="906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906"/>
      <c r="K75" s="903">
        <f>'Area D'!$G$37</f>
        <v>0</v>
      </c>
      <c r="L75" s="903"/>
      <c r="M75" s="906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906"/>
      <c r="O75" s="914">
        <f>'Area D'!$J$37</f>
        <v>0</v>
      </c>
      <c r="P75" s="914"/>
      <c r="Q75" s="119"/>
      <c r="R75" s="119"/>
      <c r="S75" s="159"/>
      <c r="T75" s="121"/>
      <c r="U75" s="121"/>
      <c r="V75" s="121"/>
      <c r="W75" s="121"/>
      <c r="X75" s="121"/>
      <c r="Y75" s="121"/>
      <c r="Z75" s="121"/>
      <c r="AA75" s="121"/>
      <c r="AB75" s="121"/>
      <c r="AC75" s="119"/>
      <c r="AD75" s="119"/>
      <c r="AE75" s="119"/>
      <c r="AF75" s="119"/>
      <c r="AG75" s="119"/>
      <c r="AH75" s="119"/>
      <c r="AI75" s="119"/>
      <c r="AJ75" s="119"/>
    </row>
    <row r="76" spans="1:38" s="120" customFormat="1" ht="21" customHeight="1" x14ac:dyDescent="0.35">
      <c r="A76" s="119"/>
      <c r="B76" s="901"/>
      <c r="C76" s="904" t="s">
        <v>363</v>
      </c>
      <c r="D76" s="904"/>
      <c r="E76" s="904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904"/>
      <c r="G76" s="904"/>
      <c r="H76" s="368" t="s">
        <v>482</v>
      </c>
      <c r="I76" s="906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906"/>
      <c r="K76" s="903">
        <f>'Area D'!$G$44</f>
        <v>0</v>
      </c>
      <c r="L76" s="903"/>
      <c r="M76" s="906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906"/>
      <c r="O76" s="914">
        <f>'Area D'!$J$44</f>
        <v>0</v>
      </c>
      <c r="P76" s="914"/>
      <c r="Q76" s="121"/>
      <c r="R76" s="121"/>
      <c r="S76" s="159"/>
      <c r="T76" s="121"/>
      <c r="U76" s="121"/>
      <c r="V76" s="121"/>
      <c r="W76" s="121"/>
      <c r="X76" s="121"/>
      <c r="Y76" s="121"/>
      <c r="Z76" s="121"/>
      <c r="AA76" s="121"/>
      <c r="AB76" s="121"/>
      <c r="AC76" s="119"/>
      <c r="AD76" s="119"/>
      <c r="AE76" s="119"/>
      <c r="AF76" s="119"/>
      <c r="AG76" s="119"/>
      <c r="AH76" s="119"/>
      <c r="AI76" s="119"/>
      <c r="AJ76" s="119"/>
    </row>
    <row r="77" spans="1:38" s="120" customFormat="1" ht="21" customHeight="1" x14ac:dyDescent="0.35">
      <c r="A77" s="119"/>
      <c r="B77" s="901"/>
      <c r="C77" s="904" t="s">
        <v>7</v>
      </c>
      <c r="D77" s="904"/>
      <c r="E77" s="904"/>
      <c r="F77" s="904"/>
      <c r="G77" s="904"/>
      <c r="H77" s="368"/>
      <c r="I77" s="906"/>
      <c r="J77" s="906"/>
      <c r="K77" s="903">
        <f>'Area D'!$G$160</f>
        <v>0</v>
      </c>
      <c r="L77" s="903"/>
      <c r="M77" s="906"/>
      <c r="N77" s="906"/>
      <c r="O77" s="914">
        <f>'Area D'!$J$196</f>
        <v>0</v>
      </c>
      <c r="P77" s="914"/>
      <c r="Q77" s="121"/>
      <c r="R77" s="121"/>
      <c r="S77" s="159"/>
      <c r="T77" s="121"/>
      <c r="U77" s="121"/>
      <c r="V77" s="121"/>
      <c r="W77" s="121"/>
      <c r="X77" s="121"/>
      <c r="Y77" s="121"/>
      <c r="Z77" s="121"/>
      <c r="AA77" s="121"/>
      <c r="AB77" s="121"/>
      <c r="AC77" s="119"/>
      <c r="AD77" s="119"/>
      <c r="AE77" s="119"/>
      <c r="AF77" s="119"/>
      <c r="AG77" s="119"/>
      <c r="AH77" s="119"/>
      <c r="AI77" s="119"/>
      <c r="AJ77" s="119"/>
    </row>
    <row r="78" spans="1:38" s="120" customFormat="1" ht="21" customHeight="1" x14ac:dyDescent="0.35">
      <c r="A78" s="119"/>
      <c r="B78" s="901"/>
      <c r="C78" s="904" t="s">
        <v>429</v>
      </c>
      <c r="D78" s="904"/>
      <c r="E78" s="904"/>
      <c r="F78" s="904"/>
      <c r="G78" s="904"/>
      <c r="H78" s="368"/>
      <c r="I78" s="906"/>
      <c r="J78" s="906"/>
      <c r="K78" s="903">
        <f>'Area D'!$G$196</f>
        <v>0</v>
      </c>
      <c r="L78" s="903"/>
      <c r="M78" s="906"/>
      <c r="N78" s="906"/>
      <c r="O78" s="914">
        <f>'Area D'!$J$266</f>
        <v>0</v>
      </c>
      <c r="P78" s="914"/>
      <c r="Q78" s="121"/>
      <c r="R78" s="121"/>
      <c r="S78" s="159"/>
      <c r="T78" s="121"/>
      <c r="U78" s="121"/>
      <c r="V78" s="121"/>
      <c r="W78" s="121"/>
      <c r="X78" s="121"/>
      <c r="Y78" s="121"/>
      <c r="Z78" s="121"/>
      <c r="AA78" s="121"/>
      <c r="AB78" s="121"/>
      <c r="AC78" s="119"/>
      <c r="AD78" s="119"/>
      <c r="AE78" s="119"/>
      <c r="AF78" s="119"/>
      <c r="AG78" s="119"/>
      <c r="AH78" s="119"/>
      <c r="AI78" s="119"/>
      <c r="AJ78" s="119"/>
    </row>
    <row r="79" spans="1:38" s="120" customFormat="1" ht="21" customHeight="1" x14ac:dyDescent="0.35">
      <c r="A79" s="119"/>
      <c r="B79" s="901"/>
      <c r="C79" s="904" t="s">
        <v>430</v>
      </c>
      <c r="D79" s="904"/>
      <c r="E79" s="904"/>
      <c r="F79" s="904"/>
      <c r="G79" s="904"/>
      <c r="H79" s="368"/>
      <c r="I79" s="906"/>
      <c r="J79" s="906"/>
      <c r="K79" s="913">
        <f>IF(P4="no",0,SUM(P14)*P5)</f>
        <v>0</v>
      </c>
      <c r="L79" s="913"/>
      <c r="M79" s="906"/>
      <c r="N79" s="906"/>
      <c r="O79" s="914">
        <f>K79</f>
        <v>0</v>
      </c>
      <c r="P79" s="914"/>
      <c r="Q79" s="121"/>
      <c r="R79" s="121"/>
      <c r="S79" s="159"/>
      <c r="T79" s="121"/>
      <c r="U79" s="121"/>
      <c r="V79" s="121"/>
      <c r="W79" s="121"/>
      <c r="X79" s="121"/>
      <c r="Y79" s="121"/>
      <c r="Z79" s="121"/>
      <c r="AA79" s="121"/>
      <c r="AB79" s="121"/>
      <c r="AC79" s="119"/>
      <c r="AD79" s="119"/>
      <c r="AE79" s="119"/>
      <c r="AF79" s="119"/>
      <c r="AG79" s="119"/>
      <c r="AH79" s="119"/>
      <c r="AI79" s="119"/>
      <c r="AJ79" s="119"/>
    </row>
    <row r="80" spans="1:38" s="120" customFormat="1" ht="21" customHeight="1" thickBot="1" x14ac:dyDescent="0.4">
      <c r="A80" s="119"/>
      <c r="B80" s="902"/>
      <c r="C80" s="915" t="s">
        <v>431</v>
      </c>
      <c r="D80" s="915"/>
      <c r="E80" s="915"/>
      <c r="F80" s="915"/>
      <c r="G80" s="915"/>
      <c r="H80" s="369"/>
      <c r="I80" s="916"/>
      <c r="J80" s="916"/>
      <c r="K80" s="917">
        <f>SUM(K71:K79)</f>
        <v>0</v>
      </c>
      <c r="L80" s="917"/>
      <c r="M80" s="916"/>
      <c r="N80" s="916"/>
      <c r="O80" s="917">
        <f>SUM(O71:O79)</f>
        <v>0</v>
      </c>
      <c r="P80" s="917"/>
      <c r="Q80" s="121"/>
      <c r="R80" s="121"/>
      <c r="S80" s="159"/>
      <c r="T80" s="121"/>
      <c r="U80" s="121"/>
      <c r="V80" s="121"/>
      <c r="W80" s="121"/>
      <c r="X80" s="121"/>
      <c r="Y80" s="121"/>
      <c r="Z80" s="121"/>
      <c r="AA80" s="121"/>
      <c r="AB80" s="121"/>
      <c r="AC80" s="119"/>
      <c r="AD80" s="119"/>
      <c r="AE80" s="119"/>
      <c r="AF80" s="119"/>
      <c r="AG80" s="119"/>
      <c r="AH80" s="119"/>
      <c r="AI80" s="119"/>
      <c r="AJ80" s="119"/>
    </row>
    <row r="81" spans="1:36" s="120" customFormat="1" ht="21" customHeight="1" thickTop="1" x14ac:dyDescent="0.35">
      <c r="A81" s="119"/>
      <c r="B81" s="370"/>
      <c r="C81" s="921" t="s">
        <v>494</v>
      </c>
      <c r="D81" s="921"/>
      <c r="E81" s="922">
        <f>P19</f>
        <v>0.04</v>
      </c>
      <c r="F81" s="922"/>
      <c r="G81" s="922"/>
      <c r="H81" s="368"/>
      <c r="I81" s="910"/>
      <c r="J81" s="910"/>
      <c r="K81" s="911">
        <f>SUM(K71:L78)*E81</f>
        <v>0</v>
      </c>
      <c r="L81" s="911"/>
      <c r="M81" s="371"/>
      <c r="N81" s="371"/>
      <c r="O81" s="912">
        <f>O80*E81</f>
        <v>0</v>
      </c>
      <c r="P81" s="912"/>
      <c r="Q81" s="121"/>
      <c r="R81" s="121"/>
      <c r="S81" s="159"/>
      <c r="T81" s="121"/>
      <c r="U81" s="121"/>
      <c r="V81" s="121"/>
      <c r="W81" s="121"/>
      <c r="X81" s="121"/>
      <c r="Y81" s="121"/>
      <c r="Z81" s="121"/>
      <c r="AA81" s="121"/>
      <c r="AB81" s="121"/>
      <c r="AC81" s="119"/>
      <c r="AD81" s="119"/>
      <c r="AE81" s="119"/>
      <c r="AF81" s="119"/>
      <c r="AG81" s="119"/>
      <c r="AH81" s="119"/>
      <c r="AI81" s="119"/>
      <c r="AJ81" s="119"/>
    </row>
    <row r="82" spans="1:36" s="120" customFormat="1" ht="21" customHeight="1" thickBot="1" x14ac:dyDescent="0.45">
      <c r="A82" s="119"/>
      <c r="B82" s="372"/>
      <c r="C82" s="1048" t="s">
        <v>367</v>
      </c>
      <c r="D82" s="1048"/>
      <c r="E82" s="918"/>
      <c r="F82" s="918"/>
      <c r="G82" s="918"/>
      <c r="H82" s="373"/>
      <c r="I82" s="919"/>
      <c r="J82" s="919"/>
      <c r="K82" s="920">
        <f>SUM(K80:L81)</f>
        <v>0</v>
      </c>
      <c r="L82" s="920"/>
      <c r="M82" s="374"/>
      <c r="N82" s="374"/>
      <c r="O82" s="920">
        <f>SUM(O80:P81)</f>
        <v>0</v>
      </c>
      <c r="P82" s="920"/>
      <c r="Q82" s="121"/>
      <c r="R82" s="121"/>
      <c r="S82" s="159"/>
      <c r="T82" s="121"/>
      <c r="U82" s="121"/>
      <c r="V82" s="121"/>
      <c r="W82" s="121"/>
      <c r="X82" s="121"/>
      <c r="Y82" s="121"/>
      <c r="Z82" s="121"/>
      <c r="AA82" s="121"/>
      <c r="AB82" s="121"/>
      <c r="AC82" s="119"/>
      <c r="AD82" s="119"/>
      <c r="AE82" s="119"/>
      <c r="AF82" s="119"/>
      <c r="AG82" s="119"/>
      <c r="AH82" s="119"/>
      <c r="AI82" s="119"/>
      <c r="AJ82" s="119"/>
    </row>
    <row r="83" spans="1:36" s="120" customFormat="1" ht="15.45" thickBot="1" x14ac:dyDescent="0.4">
      <c r="A83" s="119"/>
      <c r="B83" s="212"/>
      <c r="C83" s="898"/>
      <c r="D83" s="898"/>
      <c r="E83" s="201"/>
      <c r="F83" s="201"/>
      <c r="G83" s="201"/>
      <c r="H83" s="201"/>
      <c r="I83" s="885"/>
      <c r="J83" s="885"/>
      <c r="K83" s="898"/>
      <c r="L83" s="898"/>
      <c r="M83" s="898"/>
      <c r="N83" s="898"/>
      <c r="O83" s="898"/>
      <c r="P83" s="898"/>
      <c r="Q83" s="121"/>
      <c r="R83" s="121"/>
      <c r="S83" s="159"/>
      <c r="T83" s="121"/>
      <c r="U83" s="121"/>
      <c r="V83" s="121"/>
      <c r="W83" s="121"/>
      <c r="X83" s="121"/>
      <c r="Y83" s="121"/>
      <c r="Z83" s="121"/>
      <c r="AA83" s="121"/>
      <c r="AB83" s="121"/>
      <c r="AC83" s="119"/>
      <c r="AD83" s="119"/>
      <c r="AE83" s="119"/>
      <c r="AF83" s="119"/>
      <c r="AG83" s="119"/>
      <c r="AH83" s="119"/>
      <c r="AI83" s="119"/>
      <c r="AJ83" s="119"/>
    </row>
    <row r="84" spans="1:36" s="120" customFormat="1" ht="20.149999999999999" thickBot="1" x14ac:dyDescent="0.5">
      <c r="A84" s="119"/>
      <c r="B84" s="121"/>
      <c r="C84" s="1045" t="s">
        <v>489</v>
      </c>
      <c r="D84" s="1045"/>
      <c r="E84" s="127"/>
      <c r="F84" s="127"/>
      <c r="G84" s="127"/>
      <c r="H84" s="127"/>
      <c r="I84" s="1022"/>
      <c r="J84" s="1022"/>
      <c r="K84" s="999">
        <f>K43+K56+K69+K82</f>
        <v>0</v>
      </c>
      <c r="L84" s="999"/>
      <c r="M84" s="996"/>
      <c r="N84" s="996"/>
      <c r="O84" s="999">
        <f>O43+O56+O69+O82</f>
        <v>0</v>
      </c>
      <c r="P84" s="999"/>
      <c r="Q84" s="121"/>
      <c r="R84" s="121"/>
      <c r="S84" s="159"/>
      <c r="T84" s="121"/>
      <c r="U84" s="121"/>
      <c r="V84" s="121"/>
      <c r="W84" s="121"/>
      <c r="X84" s="121"/>
      <c r="Y84" s="121"/>
      <c r="Z84" s="121"/>
      <c r="AA84" s="121"/>
      <c r="AB84" s="121"/>
      <c r="AC84" s="119"/>
      <c r="AD84" s="119"/>
      <c r="AE84" s="119"/>
      <c r="AF84" s="119"/>
      <c r="AG84" s="119"/>
      <c r="AH84" s="119"/>
      <c r="AI84" s="119"/>
      <c r="AJ84" s="119"/>
    </row>
    <row r="85" spans="1:36" s="120" customFormat="1" ht="15.9" thickTop="1" thickBot="1" x14ac:dyDescent="0.4">
      <c r="A85" s="119"/>
      <c r="B85" s="121"/>
      <c r="C85" s="41"/>
      <c r="D85" s="128"/>
      <c r="E85" s="41"/>
      <c r="F85" s="128"/>
      <c r="G85" s="41"/>
      <c r="H85" s="128"/>
      <c r="I85" s="1019"/>
      <c r="J85" s="1019"/>
      <c r="K85" s="995"/>
      <c r="L85" s="995"/>
      <c r="M85" s="997"/>
      <c r="N85" s="997"/>
      <c r="O85" s="995"/>
      <c r="P85" s="995"/>
      <c r="Q85" s="121"/>
      <c r="R85" s="121"/>
      <c r="S85" s="159"/>
      <c r="T85" s="121"/>
      <c r="U85" s="121"/>
      <c r="V85" s="121"/>
      <c r="W85" s="121"/>
      <c r="X85" s="121"/>
      <c r="Y85" s="121"/>
      <c r="Z85" s="121"/>
      <c r="AA85" s="121"/>
      <c r="AB85" s="121"/>
      <c r="AC85" s="119"/>
      <c r="AD85" s="119"/>
      <c r="AE85" s="119"/>
      <c r="AF85" s="119"/>
      <c r="AG85" s="119"/>
      <c r="AH85" s="119"/>
      <c r="AI85" s="119"/>
      <c r="AJ85" s="119"/>
    </row>
    <row r="86" spans="1:36" s="120" customFormat="1" ht="15" x14ac:dyDescent="0.35">
      <c r="A86" s="119"/>
      <c r="B86" s="121"/>
      <c r="C86" s="31"/>
      <c r="D86" s="121"/>
      <c r="E86" s="31"/>
      <c r="F86" s="121"/>
      <c r="G86" s="31"/>
      <c r="H86" s="121"/>
      <c r="I86" s="50"/>
      <c r="J86" s="50"/>
      <c r="K86" s="121"/>
      <c r="L86" s="121"/>
      <c r="M86" s="121"/>
      <c r="N86" s="121"/>
      <c r="O86" s="162"/>
      <c r="P86" s="162"/>
      <c r="Q86" s="162"/>
      <c r="R86" s="162"/>
      <c r="S86" s="162"/>
      <c r="T86" s="121"/>
      <c r="U86" s="121"/>
      <c r="V86" s="121"/>
      <c r="W86" s="121"/>
      <c r="X86" s="121"/>
      <c r="Y86" s="121"/>
      <c r="Z86" s="121"/>
      <c r="AA86" s="121"/>
      <c r="AB86" s="121"/>
      <c r="AC86" s="119"/>
      <c r="AD86" s="119"/>
      <c r="AE86" s="119"/>
      <c r="AF86" s="119"/>
      <c r="AG86" s="119"/>
      <c r="AH86" s="119"/>
      <c r="AI86" s="119"/>
      <c r="AJ86" s="119"/>
    </row>
    <row r="87" spans="1:36" s="120" customFormat="1" ht="15" x14ac:dyDescent="0.35">
      <c r="A87" s="119"/>
      <c r="B87" s="121"/>
      <c r="C87" s="31"/>
      <c r="D87" s="121"/>
      <c r="E87" s="31"/>
      <c r="F87" s="121"/>
      <c r="G87" s="31"/>
      <c r="H87" s="121"/>
      <c r="I87" s="50"/>
      <c r="J87" s="50"/>
      <c r="K87" s="121"/>
      <c r="L87" s="121"/>
      <c r="M87" s="121"/>
      <c r="N87" s="121"/>
      <c r="O87" s="162"/>
      <c r="P87" s="162"/>
      <c r="Q87" s="162"/>
      <c r="R87" s="162"/>
      <c r="S87" s="162"/>
      <c r="T87" s="121"/>
      <c r="U87" s="121"/>
      <c r="V87" s="121"/>
      <c r="W87" s="121"/>
      <c r="X87" s="121"/>
      <c r="Y87" s="121"/>
      <c r="Z87" s="121"/>
      <c r="AA87" s="121"/>
      <c r="AB87" s="121"/>
      <c r="AC87" s="119"/>
      <c r="AD87" s="119"/>
      <c r="AE87" s="119"/>
      <c r="AF87" s="119"/>
      <c r="AG87" s="119"/>
      <c r="AH87" s="119"/>
      <c r="AI87" s="119"/>
      <c r="AJ87" s="119"/>
    </row>
    <row r="88" spans="1:36" s="120" customFormat="1" ht="15" x14ac:dyDescent="0.35">
      <c r="A88" s="119"/>
      <c r="B88" s="121"/>
      <c r="C88" s="31"/>
      <c r="D88" s="121"/>
      <c r="E88" s="31"/>
      <c r="F88" s="121"/>
      <c r="G88" s="31"/>
      <c r="H88" s="121"/>
      <c r="I88" s="50"/>
      <c r="J88" s="50"/>
      <c r="K88" s="121"/>
      <c r="L88" s="121"/>
      <c r="M88" s="121"/>
      <c r="N88" s="121"/>
      <c r="O88" s="162"/>
      <c r="P88" s="162"/>
      <c r="Q88" s="162"/>
      <c r="R88" s="162"/>
      <c r="S88" s="162"/>
      <c r="T88" s="121"/>
      <c r="U88" s="121"/>
      <c r="V88" s="121"/>
      <c r="W88" s="121"/>
      <c r="X88" s="121"/>
      <c r="Y88" s="121"/>
      <c r="Z88" s="121"/>
      <c r="AA88" s="121"/>
      <c r="AB88" s="121"/>
      <c r="AC88" s="119"/>
      <c r="AD88" s="119"/>
      <c r="AE88" s="119"/>
      <c r="AF88" s="119"/>
      <c r="AG88" s="119"/>
      <c r="AH88" s="119"/>
      <c r="AI88" s="119"/>
      <c r="AJ88" s="119"/>
    </row>
    <row r="89" spans="1:36" s="120" customFormat="1" ht="15" x14ac:dyDescent="0.35">
      <c r="A89" s="119"/>
      <c r="B89" s="121"/>
      <c r="C89" s="31"/>
      <c r="D89" s="121"/>
      <c r="E89" s="31"/>
      <c r="F89" s="121"/>
      <c r="G89" s="31"/>
      <c r="H89" s="121"/>
      <c r="I89" s="50"/>
      <c r="J89" s="50"/>
      <c r="K89" s="121"/>
      <c r="L89" s="121"/>
      <c r="M89" s="121"/>
      <c r="N89" s="121"/>
      <c r="O89" s="162"/>
      <c r="P89" s="162"/>
      <c r="Q89" s="162"/>
      <c r="R89" s="162"/>
      <c r="S89" s="162"/>
      <c r="T89" s="121"/>
      <c r="U89" s="121"/>
      <c r="V89" s="121"/>
      <c r="W89" s="121"/>
      <c r="X89" s="121"/>
      <c r="Y89" s="121"/>
      <c r="Z89" s="121"/>
      <c r="AA89" s="121"/>
      <c r="AB89" s="121"/>
      <c r="AC89" s="119"/>
      <c r="AD89" s="119"/>
      <c r="AE89" s="119"/>
      <c r="AF89" s="119"/>
      <c r="AG89" s="119"/>
      <c r="AH89" s="119"/>
      <c r="AI89" s="119"/>
      <c r="AJ89" s="119"/>
    </row>
    <row r="90" spans="1:36" s="120" customFormat="1" ht="15" x14ac:dyDescent="0.35">
      <c r="A90" s="119"/>
      <c r="B90" s="121"/>
      <c r="C90" s="31"/>
      <c r="D90" s="121"/>
      <c r="E90" s="31"/>
      <c r="F90" s="121"/>
      <c r="G90" s="31"/>
      <c r="H90" s="121"/>
      <c r="I90" s="50"/>
      <c r="J90" s="50"/>
      <c r="K90" s="121"/>
      <c r="L90" s="121"/>
      <c r="M90" s="121"/>
      <c r="N90" s="121"/>
      <c r="O90" s="162"/>
      <c r="P90" s="162"/>
      <c r="Q90" s="162"/>
      <c r="R90" s="162"/>
      <c r="S90" s="162"/>
      <c r="T90" s="121"/>
      <c r="U90" s="121"/>
      <c r="V90" s="121"/>
      <c r="W90" s="121"/>
      <c r="X90" s="121"/>
      <c r="Y90" s="121"/>
      <c r="Z90" s="121"/>
      <c r="AA90" s="121"/>
      <c r="AB90" s="121"/>
      <c r="AC90" s="119"/>
      <c r="AD90" s="119"/>
      <c r="AE90" s="119"/>
      <c r="AF90" s="119"/>
      <c r="AG90" s="119"/>
      <c r="AH90" s="119"/>
      <c r="AI90" s="119"/>
      <c r="AJ90" s="119"/>
    </row>
    <row r="91" spans="1:36" s="120" customFormat="1" ht="15" x14ac:dyDescent="0.35">
      <c r="A91" s="119"/>
      <c r="B91" s="121"/>
      <c r="C91" s="31"/>
      <c r="D91" s="121"/>
      <c r="E91" s="31"/>
      <c r="F91" s="121"/>
      <c r="G91" s="31"/>
      <c r="H91" s="121"/>
      <c r="I91" s="50"/>
      <c r="J91" s="50"/>
      <c r="K91" s="121"/>
      <c r="L91" s="121"/>
      <c r="M91" s="121"/>
      <c r="N91" s="121"/>
      <c r="O91" s="162"/>
      <c r="P91" s="162"/>
      <c r="Q91" s="162"/>
      <c r="R91" s="162"/>
      <c r="S91" s="162"/>
      <c r="T91" s="121"/>
      <c r="U91" s="121"/>
      <c r="V91" s="121"/>
      <c r="W91" s="121"/>
      <c r="X91" s="121"/>
      <c r="Y91" s="121"/>
      <c r="Z91" s="121"/>
      <c r="AA91" s="121"/>
      <c r="AB91" s="121"/>
      <c r="AC91" s="119"/>
      <c r="AD91" s="119"/>
      <c r="AE91" s="119"/>
      <c r="AF91" s="119"/>
      <c r="AG91" s="119"/>
      <c r="AH91" s="119"/>
      <c r="AI91" s="119"/>
      <c r="AJ91" s="119"/>
    </row>
    <row r="92" spans="1:36" s="120" customFormat="1" ht="15" x14ac:dyDescent="0.35">
      <c r="A92" s="119"/>
      <c r="B92" s="121"/>
      <c r="C92" s="31"/>
      <c r="D92" s="121"/>
      <c r="E92" s="31"/>
      <c r="F92" s="121"/>
      <c r="G92" s="31"/>
      <c r="H92" s="121"/>
      <c r="I92" s="50"/>
      <c r="J92" s="50"/>
      <c r="K92" s="121"/>
      <c r="L92" s="121"/>
      <c r="M92" s="121"/>
      <c r="N92" s="121"/>
      <c r="O92" s="162"/>
      <c r="P92" s="162"/>
      <c r="Q92" s="162"/>
      <c r="R92" s="162"/>
      <c r="S92" s="162"/>
      <c r="T92" s="121"/>
      <c r="U92" s="121"/>
      <c r="V92" s="121"/>
      <c r="W92" s="121"/>
      <c r="X92" s="121"/>
      <c r="Y92" s="121"/>
      <c r="Z92" s="121"/>
      <c r="AA92" s="121"/>
      <c r="AB92" s="121"/>
      <c r="AC92" s="119"/>
      <c r="AD92" s="119"/>
      <c r="AE92" s="119"/>
      <c r="AF92" s="119"/>
      <c r="AG92" s="119"/>
      <c r="AH92" s="119"/>
      <c r="AI92" s="119"/>
      <c r="AJ92" s="119"/>
    </row>
    <row r="93" spans="1:36" s="120" customFormat="1" ht="15" x14ac:dyDescent="0.35">
      <c r="A93" s="119"/>
      <c r="B93" s="121"/>
      <c r="C93" s="31"/>
      <c r="D93" s="121"/>
      <c r="E93" s="31"/>
      <c r="F93" s="121"/>
      <c r="G93" s="31"/>
      <c r="H93" s="121"/>
      <c r="I93" s="50"/>
      <c r="J93" s="50"/>
      <c r="K93" s="121"/>
      <c r="L93" s="121"/>
      <c r="M93" s="121"/>
      <c r="N93" s="121"/>
      <c r="O93" s="162"/>
      <c r="P93" s="162"/>
      <c r="Q93" s="162"/>
      <c r="R93" s="162"/>
      <c r="S93" s="162"/>
      <c r="T93" s="121"/>
      <c r="U93" s="121"/>
      <c r="V93" s="121"/>
      <c r="W93" s="121"/>
      <c r="X93" s="121"/>
      <c r="Y93" s="121"/>
      <c r="Z93" s="121"/>
      <c r="AA93" s="121"/>
      <c r="AB93" s="121"/>
      <c r="AC93" s="119"/>
      <c r="AD93" s="119"/>
      <c r="AE93" s="119"/>
      <c r="AF93" s="119"/>
      <c r="AG93" s="119"/>
      <c r="AH93" s="119"/>
      <c r="AI93" s="119"/>
      <c r="AJ93" s="119"/>
    </row>
    <row r="94" spans="1:36" s="120" customFormat="1" ht="15" x14ac:dyDescent="0.35">
      <c r="A94" s="119"/>
      <c r="B94" s="121"/>
      <c r="C94" s="31"/>
      <c r="D94" s="121"/>
      <c r="E94" s="31"/>
      <c r="F94" s="121"/>
      <c r="G94" s="31"/>
      <c r="H94" s="121"/>
      <c r="I94" s="50"/>
      <c r="J94" s="50"/>
      <c r="K94" s="121"/>
      <c r="L94" s="121"/>
      <c r="M94" s="121"/>
      <c r="N94" s="121"/>
      <c r="O94" s="162"/>
      <c r="P94" s="162"/>
      <c r="Q94" s="162"/>
      <c r="R94" s="162"/>
      <c r="S94" s="162"/>
      <c r="T94" s="121"/>
      <c r="U94" s="121"/>
      <c r="V94" s="121"/>
      <c r="W94" s="121"/>
      <c r="X94" s="121"/>
      <c r="Y94" s="121"/>
      <c r="Z94" s="121"/>
      <c r="AA94" s="121"/>
      <c r="AB94" s="121"/>
      <c r="AC94" s="119"/>
      <c r="AD94" s="119"/>
      <c r="AE94" s="119"/>
      <c r="AF94" s="119"/>
      <c r="AG94" s="119"/>
      <c r="AH94" s="119"/>
      <c r="AI94" s="119"/>
      <c r="AJ94" s="119"/>
    </row>
    <row r="95" spans="1:36" s="120" customFormat="1" ht="15" x14ac:dyDescent="0.35">
      <c r="A95" s="119"/>
      <c r="B95" s="121"/>
      <c r="C95" s="31"/>
      <c r="D95" s="121"/>
      <c r="E95" s="31"/>
      <c r="F95" s="121"/>
      <c r="G95" s="31"/>
      <c r="H95" s="121"/>
      <c r="I95" s="50"/>
      <c r="J95" s="50"/>
      <c r="K95" s="121"/>
      <c r="L95" s="121"/>
      <c r="M95" s="121"/>
      <c r="N95" s="121"/>
      <c r="O95" s="162"/>
      <c r="P95" s="162"/>
      <c r="Q95" s="162"/>
      <c r="R95" s="162"/>
      <c r="S95" s="162"/>
      <c r="T95" s="121"/>
      <c r="U95" s="121"/>
      <c r="V95" s="121"/>
      <c r="W95" s="121"/>
      <c r="X95" s="121"/>
      <c r="Y95" s="121"/>
      <c r="Z95" s="121"/>
      <c r="AA95" s="121"/>
      <c r="AB95" s="121"/>
      <c r="AC95" s="119"/>
      <c r="AD95" s="119"/>
      <c r="AE95" s="119"/>
      <c r="AF95" s="119"/>
      <c r="AG95" s="119"/>
      <c r="AH95" s="119"/>
      <c r="AI95" s="119"/>
      <c r="AJ95" s="119"/>
    </row>
    <row r="96" spans="1:36" s="120" customFormat="1" ht="15" x14ac:dyDescent="0.35">
      <c r="A96" s="119"/>
      <c r="B96" s="121"/>
      <c r="C96" s="31"/>
      <c r="D96" s="121"/>
      <c r="E96" s="31"/>
      <c r="F96" s="121"/>
      <c r="G96" s="31"/>
      <c r="H96" s="121"/>
      <c r="I96" s="50"/>
      <c r="J96" s="50"/>
      <c r="K96" s="121"/>
      <c r="L96" s="121"/>
      <c r="M96" s="121"/>
      <c r="N96" s="121"/>
      <c r="O96" s="162"/>
      <c r="P96" s="162"/>
      <c r="Q96" s="162"/>
      <c r="R96" s="162"/>
      <c r="S96" s="162"/>
      <c r="T96" s="121"/>
      <c r="U96" s="121"/>
      <c r="V96" s="121"/>
      <c r="W96" s="121"/>
      <c r="X96" s="121"/>
      <c r="Y96" s="121"/>
      <c r="Z96" s="121"/>
      <c r="AA96" s="121"/>
      <c r="AB96" s="121"/>
      <c r="AC96" s="119"/>
      <c r="AD96" s="119"/>
      <c r="AE96" s="119"/>
      <c r="AF96" s="119"/>
      <c r="AG96" s="119"/>
      <c r="AH96" s="119"/>
      <c r="AI96" s="119"/>
      <c r="AJ96" s="119"/>
    </row>
    <row r="97" spans="1:36" s="120" customFormat="1" ht="15" x14ac:dyDescent="0.35">
      <c r="A97" s="119"/>
      <c r="B97" s="121"/>
      <c r="C97" s="31"/>
      <c r="D97" s="121"/>
      <c r="E97" s="31"/>
      <c r="F97" s="121"/>
      <c r="G97" s="31"/>
      <c r="H97" s="121"/>
      <c r="I97" s="50"/>
      <c r="J97" s="50"/>
      <c r="K97" s="121"/>
      <c r="L97" s="121"/>
      <c r="M97" s="121"/>
      <c r="N97" s="121"/>
      <c r="O97" s="162"/>
      <c r="P97" s="162"/>
      <c r="Q97" s="162"/>
      <c r="R97" s="162"/>
      <c r="S97" s="162"/>
      <c r="T97" s="121"/>
      <c r="U97" s="121"/>
      <c r="V97" s="121"/>
      <c r="W97" s="121"/>
      <c r="X97" s="121"/>
      <c r="Y97" s="121"/>
      <c r="Z97" s="121"/>
      <c r="AA97" s="121"/>
      <c r="AB97" s="121"/>
      <c r="AC97" s="119"/>
      <c r="AD97" s="119"/>
      <c r="AE97" s="119"/>
      <c r="AF97" s="119"/>
      <c r="AG97" s="119"/>
      <c r="AH97" s="119"/>
      <c r="AI97" s="119"/>
      <c r="AJ97" s="119"/>
    </row>
    <row r="98" spans="1:36" s="120" customFormat="1" ht="15" x14ac:dyDescent="0.35">
      <c r="A98" s="119"/>
      <c r="B98" s="121"/>
      <c r="C98" s="31"/>
      <c r="D98" s="121"/>
      <c r="E98" s="31"/>
      <c r="F98" s="121"/>
      <c r="G98" s="31"/>
      <c r="H98" s="121"/>
      <c r="I98" s="50"/>
      <c r="J98" s="50"/>
      <c r="K98" s="121"/>
      <c r="L98" s="121"/>
      <c r="M98" s="121"/>
      <c r="N98" s="121"/>
      <c r="O98" s="162"/>
      <c r="P98" s="162"/>
      <c r="Q98" s="162"/>
      <c r="R98" s="162"/>
      <c r="S98" s="162"/>
      <c r="T98" s="121"/>
      <c r="U98" s="121"/>
      <c r="V98" s="121"/>
      <c r="W98" s="121"/>
      <c r="X98" s="121"/>
      <c r="Y98" s="121"/>
      <c r="Z98" s="121"/>
      <c r="AA98" s="121"/>
      <c r="AB98" s="121"/>
      <c r="AC98" s="119"/>
      <c r="AD98" s="119"/>
      <c r="AE98" s="119"/>
      <c r="AF98" s="119"/>
      <c r="AG98" s="119"/>
      <c r="AH98" s="119"/>
      <c r="AI98" s="119"/>
      <c r="AJ98" s="119"/>
    </row>
    <row r="99" spans="1:36" s="120" customFormat="1" ht="15" x14ac:dyDescent="0.35">
      <c r="A99" s="119"/>
      <c r="B99" s="121"/>
      <c r="C99" s="31"/>
      <c r="D99" s="121"/>
      <c r="E99" s="31"/>
      <c r="F99" s="121"/>
      <c r="G99" s="31"/>
      <c r="H99" s="121"/>
      <c r="I99" s="50"/>
      <c r="J99" s="50"/>
      <c r="K99" s="121"/>
      <c r="L99" s="121"/>
      <c r="M99" s="121"/>
      <c r="N99" s="121"/>
      <c r="O99" s="162"/>
      <c r="P99" s="162"/>
      <c r="Q99" s="162"/>
      <c r="R99" s="162"/>
      <c r="S99" s="162"/>
      <c r="T99" s="121"/>
      <c r="U99" s="121"/>
      <c r="V99" s="121"/>
      <c r="W99" s="121"/>
      <c r="X99" s="121"/>
      <c r="Y99" s="121"/>
      <c r="Z99" s="121"/>
      <c r="AA99" s="121"/>
      <c r="AB99" s="121"/>
      <c r="AC99" s="119"/>
      <c r="AD99" s="119"/>
      <c r="AE99" s="119"/>
      <c r="AF99" s="119"/>
      <c r="AG99" s="119"/>
      <c r="AH99" s="119"/>
      <c r="AI99" s="119"/>
      <c r="AJ99" s="119"/>
    </row>
    <row r="100" spans="1:36" s="120" customFormat="1" ht="15" x14ac:dyDescent="0.35">
      <c r="A100" s="119"/>
      <c r="B100" s="121"/>
      <c r="C100" s="31"/>
      <c r="D100" s="121"/>
      <c r="E100" s="31"/>
      <c r="F100" s="121"/>
      <c r="G100" s="31"/>
      <c r="H100" s="121"/>
      <c r="I100" s="50"/>
      <c r="J100" s="50"/>
      <c r="K100" s="121"/>
      <c r="L100" s="121"/>
      <c r="M100" s="121"/>
      <c r="N100" s="121"/>
      <c r="O100" s="162"/>
      <c r="P100" s="162"/>
      <c r="Q100" s="162"/>
      <c r="R100" s="162"/>
      <c r="S100" s="162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19"/>
      <c r="AD100" s="119"/>
      <c r="AE100" s="119"/>
      <c r="AF100" s="119"/>
      <c r="AG100" s="119"/>
      <c r="AH100" s="119"/>
      <c r="AI100" s="119"/>
      <c r="AJ100" s="119"/>
    </row>
    <row r="101" spans="1:36" s="120" customFormat="1" ht="15" x14ac:dyDescent="0.35">
      <c r="A101" s="119"/>
      <c r="B101" s="121"/>
      <c r="C101" s="31"/>
      <c r="D101" s="121"/>
      <c r="E101" s="31"/>
      <c r="F101" s="121"/>
      <c r="G101" s="31"/>
      <c r="H101" s="121"/>
      <c r="I101" s="50"/>
      <c r="J101" s="50"/>
      <c r="K101" s="121"/>
      <c r="L101" s="121"/>
      <c r="M101" s="121"/>
      <c r="N101" s="121"/>
      <c r="O101" s="162"/>
      <c r="P101" s="162"/>
      <c r="Q101" s="162"/>
      <c r="R101" s="162"/>
      <c r="S101" s="162"/>
      <c r="T101" s="210"/>
      <c r="U101" s="210"/>
      <c r="V101" s="210"/>
      <c r="W101" s="121"/>
      <c r="X101" s="121"/>
      <c r="Y101" s="121"/>
      <c r="Z101" s="121"/>
      <c r="AA101" s="121"/>
      <c r="AB101" s="121"/>
      <c r="AC101" s="119"/>
      <c r="AD101" s="119"/>
      <c r="AE101" s="119"/>
      <c r="AF101" s="119"/>
      <c r="AG101" s="119"/>
      <c r="AH101" s="119"/>
      <c r="AI101" s="119"/>
      <c r="AJ101" s="119"/>
    </row>
    <row r="102" spans="1:36" s="120" customFormat="1" ht="15" x14ac:dyDescent="0.35">
      <c r="A102" s="119"/>
      <c r="B102" s="121"/>
      <c r="C102" s="31"/>
      <c r="D102" s="121"/>
      <c r="E102" s="31"/>
      <c r="F102" s="121"/>
      <c r="G102" s="31"/>
      <c r="H102" s="121"/>
      <c r="I102" s="50"/>
      <c r="J102" s="50"/>
      <c r="K102" s="121"/>
      <c r="L102" s="121"/>
      <c r="M102" s="121"/>
      <c r="N102" s="121"/>
      <c r="O102" s="162"/>
      <c r="P102" s="162"/>
      <c r="Q102" s="162"/>
      <c r="R102" s="162"/>
      <c r="S102" s="162"/>
      <c r="T102" s="210"/>
      <c r="U102" s="210"/>
      <c r="V102" s="210"/>
      <c r="W102" s="121"/>
      <c r="X102" s="121"/>
      <c r="Y102" s="121"/>
      <c r="Z102" s="121"/>
      <c r="AA102" s="121"/>
      <c r="AB102" s="121"/>
      <c r="AC102" s="119"/>
      <c r="AD102" s="119"/>
      <c r="AE102" s="119"/>
      <c r="AF102" s="119"/>
      <c r="AG102" s="119"/>
      <c r="AH102" s="119"/>
      <c r="AI102" s="119"/>
      <c r="AJ102" s="119"/>
    </row>
    <row r="103" spans="1:36" ht="15" x14ac:dyDescent="0.35">
      <c r="A103" s="26"/>
      <c r="B103" s="210"/>
      <c r="C103" s="31"/>
      <c r="D103" s="121"/>
      <c r="E103" s="31"/>
      <c r="F103" s="121"/>
      <c r="G103" s="31"/>
      <c r="H103" s="121"/>
      <c r="I103" s="50"/>
      <c r="J103" s="50"/>
      <c r="K103" s="121"/>
      <c r="L103" s="121"/>
      <c r="M103" s="121"/>
      <c r="N103" s="121"/>
      <c r="O103" s="162"/>
      <c r="P103" s="162"/>
      <c r="Q103" s="162"/>
      <c r="R103" s="162"/>
      <c r="S103" s="162"/>
      <c r="T103" s="210"/>
      <c r="U103" s="210"/>
      <c r="V103" s="210"/>
      <c r="W103" s="210"/>
      <c r="X103" s="210"/>
      <c r="Y103" s="210"/>
      <c r="Z103" s="210"/>
      <c r="AA103" s="210"/>
      <c r="AB103" s="210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210"/>
      <c r="C104" s="31"/>
      <c r="D104" s="121"/>
      <c r="E104" s="31"/>
      <c r="F104" s="121"/>
      <c r="G104" s="31"/>
      <c r="H104" s="121"/>
      <c r="I104" s="50"/>
      <c r="J104" s="50"/>
      <c r="K104" s="121"/>
      <c r="L104" s="121"/>
      <c r="M104" s="121"/>
      <c r="N104" s="121"/>
      <c r="O104" s="162"/>
      <c r="P104" s="162"/>
      <c r="Q104" s="162"/>
      <c r="R104" s="162"/>
      <c r="S104" s="162"/>
      <c r="T104" s="210"/>
      <c r="U104" s="210"/>
      <c r="V104" s="210"/>
      <c r="W104" s="210"/>
      <c r="X104" s="210"/>
      <c r="Y104" s="210"/>
      <c r="Z104" s="210"/>
      <c r="AA104" s="210"/>
      <c r="AB104" s="210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210"/>
      <c r="C105" s="31"/>
      <c r="D105" s="121"/>
      <c r="E105" s="31"/>
      <c r="F105" s="121"/>
      <c r="G105" s="31"/>
      <c r="H105" s="121"/>
      <c r="I105" s="211"/>
      <c r="J105" s="211"/>
      <c r="K105" s="121"/>
      <c r="L105" s="121"/>
      <c r="M105" s="121"/>
      <c r="N105" s="121"/>
      <c r="O105" s="162"/>
      <c r="P105" s="162"/>
      <c r="Q105" s="162"/>
      <c r="R105" s="162"/>
      <c r="S105" s="162"/>
      <c r="T105" s="210"/>
      <c r="U105" s="210"/>
      <c r="V105" s="210"/>
      <c r="W105" s="210"/>
      <c r="X105" s="210"/>
      <c r="Y105" s="210"/>
      <c r="Z105" s="210"/>
      <c r="AA105" s="210"/>
      <c r="AB105" s="210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24"/>
      <c r="E106" s="24"/>
      <c r="F106" s="124"/>
      <c r="G106" s="24"/>
      <c r="H106" s="124"/>
      <c r="I106" s="129"/>
      <c r="J106" s="129"/>
      <c r="K106" s="124"/>
      <c r="L106" s="124"/>
      <c r="M106" s="124"/>
      <c r="N106" s="124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24"/>
      <c r="E107" s="24"/>
      <c r="F107" s="124"/>
      <c r="G107" s="24"/>
      <c r="H107" s="124"/>
      <c r="I107" s="129"/>
      <c r="J107" s="129"/>
      <c r="K107" s="124"/>
      <c r="L107" s="124"/>
      <c r="M107" s="124"/>
      <c r="N107" s="124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24"/>
      <c r="E108" s="24"/>
      <c r="F108" s="124"/>
      <c r="G108" s="24"/>
      <c r="H108" s="124"/>
      <c r="I108" s="129"/>
      <c r="J108" s="129"/>
      <c r="K108" s="124"/>
      <c r="L108" s="124"/>
      <c r="M108" s="124"/>
      <c r="N108" s="124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24"/>
      <c r="E109" s="24"/>
      <c r="F109" s="124"/>
      <c r="G109" s="24"/>
      <c r="H109" s="124"/>
      <c r="I109" s="129"/>
      <c r="J109" s="129"/>
      <c r="K109" s="124"/>
      <c r="L109" s="124"/>
      <c r="M109" s="124"/>
      <c r="N109" s="124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24"/>
      <c r="E110" s="24"/>
      <c r="F110" s="124"/>
      <c r="G110" s="24"/>
      <c r="H110" s="124"/>
      <c r="I110" s="129"/>
      <c r="J110" s="129"/>
      <c r="K110" s="124"/>
      <c r="L110" s="124"/>
      <c r="M110" s="124"/>
      <c r="N110" s="124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24"/>
      <c r="E111" s="24"/>
      <c r="F111" s="124"/>
      <c r="G111" s="24"/>
      <c r="H111" s="124"/>
      <c r="I111" s="129"/>
      <c r="J111" s="129"/>
      <c r="K111" s="124"/>
      <c r="L111" s="124"/>
      <c r="M111" s="124"/>
      <c r="N111" s="124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24"/>
      <c r="E112" s="24"/>
      <c r="F112" s="124"/>
      <c r="G112" s="24"/>
      <c r="H112" s="124"/>
      <c r="I112" s="129"/>
      <c r="J112" s="129"/>
      <c r="K112" s="124"/>
      <c r="L112" s="124"/>
      <c r="M112" s="124"/>
      <c r="N112" s="124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24"/>
      <c r="E113" s="24"/>
      <c r="F113" s="124"/>
      <c r="G113" s="24"/>
      <c r="H113" s="124"/>
      <c r="I113" s="129"/>
      <c r="J113" s="129"/>
      <c r="K113" s="124"/>
      <c r="L113" s="124"/>
      <c r="M113" s="124"/>
      <c r="N113" s="124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24"/>
      <c r="E114" s="24"/>
      <c r="F114" s="124"/>
      <c r="G114" s="24"/>
      <c r="H114" s="124"/>
      <c r="I114" s="129"/>
      <c r="J114" s="129"/>
      <c r="K114" s="124"/>
      <c r="L114" s="124"/>
      <c r="M114" s="124"/>
      <c r="N114" s="124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24"/>
      <c r="E115" s="24"/>
      <c r="F115" s="124"/>
      <c r="G115" s="24"/>
      <c r="H115" s="124"/>
      <c r="I115" s="129"/>
      <c r="J115" s="129"/>
      <c r="K115" s="124"/>
      <c r="L115" s="124"/>
      <c r="M115" s="124"/>
      <c r="N115" s="124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24"/>
      <c r="E116" s="24"/>
      <c r="F116" s="124"/>
      <c r="G116" s="24"/>
      <c r="H116" s="124"/>
      <c r="I116" s="129"/>
      <c r="J116" s="129"/>
      <c r="K116" s="124"/>
      <c r="L116" s="124"/>
      <c r="M116" s="124"/>
      <c r="N116" s="124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881</v>
      </c>
    </row>
    <row r="195" spans="2:2" x14ac:dyDescent="0.35">
      <c r="B195" s="17" t="s">
        <v>882</v>
      </c>
    </row>
    <row r="196" spans="2:2" x14ac:dyDescent="0.35">
      <c r="B196" s="17" t="s">
        <v>883</v>
      </c>
    </row>
    <row r="197" spans="2:2" x14ac:dyDescent="0.35">
      <c r="B197" s="17" t="s">
        <v>804</v>
      </c>
    </row>
    <row r="198" spans="2:2" x14ac:dyDescent="0.35">
      <c r="B198" s="17" t="s">
        <v>803</v>
      </c>
    </row>
    <row r="199" spans="2:2" x14ac:dyDescent="0.35">
      <c r="B199" s="17" t="s">
        <v>802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29" sqref="B29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111" customFormat="1" ht="15" thickBot="1" x14ac:dyDescent="0.45">
      <c r="A1" s="1111" t="str">
        <f>IF('Project Materials'!C25="","",'Project Materials'!C25)</f>
        <v/>
      </c>
      <c r="B1" s="1112"/>
      <c r="C1" s="1112"/>
      <c r="D1" s="1112"/>
      <c r="E1" s="1112"/>
      <c r="F1" s="1112"/>
      <c r="G1" s="1112"/>
      <c r="H1" s="238"/>
      <c r="I1" s="239"/>
      <c r="J1" s="238"/>
      <c r="K1" s="240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13" t="str">
        <f>IF(ISBLANK('Project Materials'!I2),"",'Project Materials'!I2)</f>
        <v/>
      </c>
      <c r="E2" s="1113"/>
      <c r="F2" s="35" t="s">
        <v>492</v>
      </c>
      <c r="G2" s="42" t="str">
        <f>IF(ISBLANK('Project Materials'!N2),"",'Project Materials'!N2)</f>
        <v/>
      </c>
      <c r="H2" s="1116"/>
      <c r="I2" s="1116"/>
      <c r="J2" s="1116"/>
    </row>
    <row r="3" spans="1:67" ht="15.9" x14ac:dyDescent="0.45">
      <c r="A3" s="1117" t="s">
        <v>479</v>
      </c>
      <c r="B3" s="1117"/>
      <c r="C3" s="1117"/>
      <c r="D3" s="1117"/>
      <c r="E3" s="1117"/>
      <c r="F3" s="1117"/>
      <c r="G3" s="1117"/>
      <c r="H3" s="1117"/>
      <c r="I3" s="1117"/>
      <c r="J3" s="1117"/>
    </row>
    <row r="4" spans="1:67" ht="43.75" x14ac:dyDescent="0.4">
      <c r="A4" s="29" t="s">
        <v>432</v>
      </c>
      <c r="B4" s="300" t="s">
        <v>11</v>
      </c>
      <c r="C4" s="300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716</v>
      </c>
      <c r="J4" s="14" t="s">
        <v>500</v>
      </c>
      <c r="K4" s="130" t="s">
        <v>870</v>
      </c>
      <c r="L4" s="1110" t="s">
        <v>867</v>
      </c>
      <c r="M4" s="1110"/>
      <c r="N4" s="241"/>
      <c r="O4" s="241"/>
    </row>
    <row r="5" spans="1:67" x14ac:dyDescent="0.4">
      <c r="A5" s="565" t="s">
        <v>0</v>
      </c>
      <c r="B5" s="390" t="s">
        <v>256</v>
      </c>
      <c r="C5" s="79" t="str">
        <f>VLOOKUP(B5,'Item List'!B:AH,2,FALSE)</f>
        <v>Top Rail 200 ( 20' )- Black</v>
      </c>
      <c r="D5" s="566">
        <f>IF(B5="none",0,SUM('Project Materials'!$O$25*'Project Materials'!$P$25))</f>
        <v>0</v>
      </c>
      <c r="E5" s="567">
        <f>IF(K5="",(CEILING(('Project Materials'!$O$25/20),L5)*'Project Materials'!$P$25),(CEILING(('Project Materials'!$O$25/K5),L5)*'Project Materials'!$P$25))</f>
        <v>0</v>
      </c>
      <c r="F5" s="568">
        <f>IF(K5&gt;0,K5/20*(VLOOKUP(B5,'Item List'!B:AH,4,FALSE)),IF(B5="None",0,VLOOKUP(B5,'Item List'!B:AH,4,FALSE)))</f>
        <v>60.93</v>
      </c>
      <c r="G5" s="569">
        <f>F5*E5</f>
        <v>0</v>
      </c>
      <c r="H5" s="570">
        <f>ROUNDUP(D5*'Project Materials'!$D$16,0)</f>
        <v>0</v>
      </c>
      <c r="I5" s="571">
        <f>ROUNDUP(IF(B5="none",0,(SUM(H5/VLOOKUP(B5,'Item List'!B:AH,3,FALSE)))),0)</f>
        <v>0</v>
      </c>
      <c r="J5" s="572">
        <f>G5+(I5*F5)</f>
        <v>0</v>
      </c>
      <c r="K5" s="659"/>
      <c r="L5" s="1114">
        <v>0.5</v>
      </c>
      <c r="M5" s="1114"/>
      <c r="N5" s="243" t="s">
        <v>868</v>
      </c>
      <c r="O5" s="1115"/>
      <c r="P5" s="1115"/>
    </row>
    <row r="6" spans="1:67" x14ac:dyDescent="0.4">
      <c r="A6" s="565" t="s">
        <v>413</v>
      </c>
      <c r="B6" s="390" t="s">
        <v>22</v>
      </c>
      <c r="C6" s="79" t="str">
        <f>VLOOKUP(B6,'Item List'!B:AH,2,FALSE)</f>
        <v>Series 100 Bottom Rail (20')- Black</v>
      </c>
      <c r="D6" s="566">
        <f>IF(B6="none",0,SUM('Project Materials'!$O$25*'Project Materials'!$P$25))</f>
        <v>0</v>
      </c>
      <c r="E6" s="567">
        <f>IFERROR(CEILING(IF(K6="",(CEILING(('Project Materials'!$O$25/VLOOKUP(B6,'Item List'!B:AM,3,FALSE)),L6)*'Project Materials'!$P$25),(CEILING(('Project Materials'!$O$25/K6),L6)*'Project Materials'!$P$25)),L6),0)</f>
        <v>0</v>
      </c>
      <c r="F6" s="568">
        <f>IF(B6="None",0,VLOOKUP(B6,'Item List'!B:AH,4,FALSE))</f>
        <v>25.81</v>
      </c>
      <c r="G6" s="569">
        <f>F6*E6</f>
        <v>0</v>
      </c>
      <c r="H6" s="570">
        <f>ROUNDUP(D6*'Project Materials'!$D$16,0)</f>
        <v>0</v>
      </c>
      <c r="I6" s="571">
        <f>ROUNDUP(IF(B6="none",0,(SUM(H6/VLOOKUP(B6,'Item List'!B:AH,3,FALSE)))),0)</f>
        <v>0</v>
      </c>
      <c r="J6" s="572">
        <f>G6+(I6*F6)</f>
        <v>0</v>
      </c>
      <c r="K6" s="659"/>
      <c r="L6" s="1114">
        <v>0.25</v>
      </c>
      <c r="M6" s="1114"/>
      <c r="N6" s="243" t="s">
        <v>869</v>
      </c>
    </row>
    <row r="7" spans="1:67" x14ac:dyDescent="0.4">
      <c r="A7" s="565" t="s">
        <v>871</v>
      </c>
      <c r="B7" s="390" t="s">
        <v>418</v>
      </c>
      <c r="C7" s="79" t="str">
        <f>VLOOKUP(B7,'Item List'!B:AH,2,FALSE)</f>
        <v>None</v>
      </c>
      <c r="D7" s="566">
        <f>IF(B7="none",0,SUM('Project Materials'!$O$25*'Project Materials'!$P$25))</f>
        <v>0</v>
      </c>
      <c r="E7" s="573">
        <f>IF(K7="",(CEILING(('Project Materials'!$O$25/20),0.5)*'Project Materials'!$P$25),(CEILING(('Project Materials'!$O$25/K7),0.5)*'Project Materials'!$P$25))</f>
        <v>0</v>
      </c>
      <c r="F7" s="568">
        <f>IF(B7="None",0,VLOOKUP(B7,'Item List'!B:AH,4,FALSE))</f>
        <v>0</v>
      </c>
      <c r="G7" s="569">
        <f>F7*E7</f>
        <v>0</v>
      </c>
      <c r="H7" s="570">
        <f>ROUNDUP(D7*'Project Materials'!$D$16,0)</f>
        <v>0</v>
      </c>
      <c r="I7" s="571">
        <f>ROUNDUP(IF(B7="none",0,(SUM(H7/VLOOKUP(B7,'Item List'!B:AH,3,FALSE)))),0)</f>
        <v>0</v>
      </c>
      <c r="J7" s="572">
        <f>G7+(I7*F7)</f>
        <v>0</v>
      </c>
      <c r="K7" s="659"/>
    </row>
    <row r="8" spans="1:67" x14ac:dyDescent="0.4">
      <c r="A8" s="565" t="s">
        <v>413</v>
      </c>
      <c r="B8" s="390" t="s">
        <v>418</v>
      </c>
      <c r="C8" s="79" t="str">
        <f>VLOOKUP(B8,'Item List'!B:AH,2,FALSE)</f>
        <v>None</v>
      </c>
      <c r="D8" s="566">
        <f>IF(B8="none",0,SUM('Project Materials'!$O$25*'Project Materials'!$P$25))</f>
        <v>0</v>
      </c>
      <c r="E8" s="573">
        <f>CEILING(IF(K8="",(CEILING(('Project Materials'!$O$25/20),0.25)*'Project Materials'!$P$25),(CEILING(('Project Materials'!$O$25/K8),0.25)*'Project Materials'!$P$25)),0.5)</f>
        <v>0</v>
      </c>
      <c r="F8" s="568">
        <f>IF(B8="None",0,VLOOKUP(B8,'Item List'!B:AH,4,FALSE))</f>
        <v>0</v>
      </c>
      <c r="G8" s="569">
        <f>F8*E8</f>
        <v>0</v>
      </c>
      <c r="H8" s="570">
        <f>ROUNDUP(D8*'Project Materials'!$D$16,0)</f>
        <v>0</v>
      </c>
      <c r="I8" s="571">
        <f>ROUNDUP(IF(B8="none",0,(SUM(H8/VLOOKUP(B8,'Item List'!B:AH,3,FALSE)))),0)</f>
        <v>0</v>
      </c>
      <c r="J8" s="572">
        <f>G8+(I8*F8)</f>
        <v>0</v>
      </c>
      <c r="K8" s="659"/>
    </row>
    <row r="9" spans="1:67" ht="15" thickBot="1" x14ac:dyDescent="0.45">
      <c r="A9" s="574"/>
      <c r="B9" s="575"/>
      <c r="C9" s="574"/>
      <c r="D9" s="576"/>
      <c r="E9" s="576"/>
      <c r="F9" s="577"/>
      <c r="G9" s="399">
        <f>SUM(G5:G8)</f>
        <v>0</v>
      </c>
      <c r="H9" s="399"/>
      <c r="I9" s="399"/>
      <c r="J9" s="399">
        <f>SUM(J5:J8)</f>
        <v>0</v>
      </c>
    </row>
    <row r="10" spans="1:67" ht="16.3" thickTop="1" x14ac:dyDescent="0.45">
      <c r="A10" s="578" t="s">
        <v>4</v>
      </c>
      <c r="B10" s="578"/>
      <c r="C10" s="578"/>
      <c r="D10" s="578"/>
      <c r="E10" s="578"/>
      <c r="F10" s="578"/>
      <c r="G10" s="578"/>
      <c r="H10" s="578"/>
      <c r="I10" s="578"/>
      <c r="J10" s="578"/>
    </row>
    <row r="11" spans="1:67" x14ac:dyDescent="0.4">
      <c r="A11" s="579" t="s">
        <v>432</v>
      </c>
      <c r="B11" s="84" t="s">
        <v>11</v>
      </c>
      <c r="C11" s="84" t="s">
        <v>12</v>
      </c>
      <c r="D11" s="580" t="s">
        <v>435</v>
      </c>
      <c r="E11" s="581" t="s">
        <v>436</v>
      </c>
      <c r="F11" s="582" t="s">
        <v>437</v>
      </c>
      <c r="G11" s="583" t="s">
        <v>425</v>
      </c>
      <c r="H11" s="583" t="s">
        <v>501</v>
      </c>
      <c r="I11" s="584" t="s">
        <v>502</v>
      </c>
      <c r="J11" s="583" t="s">
        <v>500</v>
      </c>
    </row>
    <row r="12" spans="1:67" x14ac:dyDescent="0.4">
      <c r="A12" s="585" t="s">
        <v>700</v>
      </c>
      <c r="B12" s="390" t="s">
        <v>418</v>
      </c>
      <c r="C12" s="79" t="str">
        <f>VLOOKUP(B12,'Item List'!B:AJ,2,FALSE)</f>
        <v>None</v>
      </c>
      <c r="D12" s="586">
        <f>IF(B12="None",0,SUM('Project Materials'!K25*('Project Materials'!H25/12))*'Project Materials'!P25)</f>
        <v>0</v>
      </c>
      <c r="E12" s="571">
        <f>IFERROR(IF(B12="none",0,'Project Materials'!K25/(ROUNDDOWN(1/('Project Materials'!$H$25/(VLOOKUP('Area A'!B12,'Item List'!B:AJ,3,FALSE)*12)),0)))*'Project Materials'!P25,0)</f>
        <v>0</v>
      </c>
      <c r="F12" s="568">
        <f>VLOOKUP(B12,'Item List'!B:AJ,4,FALSE)</f>
        <v>0</v>
      </c>
      <c r="G12" s="569">
        <f t="shared" ref="G12:G18" si="0">F12*E12</f>
        <v>0</v>
      </c>
      <c r="H12" s="570">
        <f>ROUNDUP(D12*'Project Materials'!$D$17,0)</f>
        <v>0</v>
      </c>
      <c r="I12" s="571">
        <f>ROUNDUP(IF(B12="none",0,(SUM(H12/VLOOKUP(B12,'Item List'!B:AH,3,FALSE)))),0)</f>
        <v>0</v>
      </c>
      <c r="J12" s="572">
        <f>G12+(I12*F12)</f>
        <v>0</v>
      </c>
    </row>
    <row r="13" spans="1:67" s="111" customFormat="1" x14ac:dyDescent="0.4">
      <c r="A13" s="585" t="s">
        <v>701</v>
      </c>
      <c r="B13" s="390" t="s">
        <v>418</v>
      </c>
      <c r="C13" s="79" t="str">
        <f>VLOOKUP(B13,'Item List'!B:AJ,2,FALSE)</f>
        <v>None</v>
      </c>
      <c r="D13" s="586">
        <f>IF(B13="None",0,SUM('Project Materials'!J25*('Project Materials'!H25/12))*'Project Materials'!P25)</f>
        <v>0</v>
      </c>
      <c r="E13" s="571">
        <f>IFERROR(IF(B13="none",0,'Project Materials'!J25/(ROUNDDOWN(1/('Project Materials'!$H$25/(VLOOKUP('Area A'!B13,'Item List'!B:AJ,3,FALSE)*12)),0)))*'Project Materials'!P25,0)</f>
        <v>0</v>
      </c>
      <c r="F13" s="568">
        <f>VLOOKUP(B13,'Item List'!B:AJ,4,FALSE)</f>
        <v>0</v>
      </c>
      <c r="G13" s="569">
        <f t="shared" si="0"/>
        <v>0</v>
      </c>
      <c r="H13" s="570">
        <f>ROUNDUP(D13*'Project Materials'!$D$17,0)</f>
        <v>0</v>
      </c>
      <c r="I13" s="571">
        <f>ROUNDUP(IF(B13="none",0,(SUM(H13/VLOOKUP(B13,'Item List'!B:AH,3,FALSE)))),0)</f>
        <v>0</v>
      </c>
      <c r="J13" s="572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111" customFormat="1" x14ac:dyDescent="0.4">
      <c r="A14" s="585" t="s">
        <v>702</v>
      </c>
      <c r="B14" s="390" t="s">
        <v>418</v>
      </c>
      <c r="C14" s="79" t="str">
        <f>VLOOKUP(B14,'Item List'!B:AJ,2,FALSE)</f>
        <v>None</v>
      </c>
      <c r="D14" s="586">
        <f>IF(B14="None",0,SUM('Project Materials'!M25*('Project Materials'!H25/12))*'Project Materials'!P25)</f>
        <v>0</v>
      </c>
      <c r="E14" s="571">
        <f>IFERROR(IF(B14="none",0,('Project Materials'!L25+'Project Materials'!M25)/(ROUNDDOWN(1/('Project Materials'!$H$25/(VLOOKUP('Area A'!B14,'Item List'!B:AJ,3,FALSE)*12)),0)))*'Project Materials'!P25,0)</f>
        <v>0</v>
      </c>
      <c r="F14" s="568">
        <f>VLOOKUP(B14,'Item List'!B:AJ,4,FALSE)</f>
        <v>0</v>
      </c>
      <c r="G14" s="569">
        <f t="shared" si="0"/>
        <v>0</v>
      </c>
      <c r="H14" s="570">
        <f>ROUNDUP(D14*'Project Materials'!$D$17,0)</f>
        <v>0</v>
      </c>
      <c r="I14" s="571">
        <f>ROUNDUP(IF(B14="none",0,(SUM(H14/VLOOKUP(B14,'Item List'!B:AH,3,FALSE)))),0)</f>
        <v>0</v>
      </c>
      <c r="J14" s="572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85" t="s">
        <v>703</v>
      </c>
      <c r="B15" s="390" t="s">
        <v>402</v>
      </c>
      <c r="C15" s="79" t="str">
        <f>VLOOKUP(B15,'Item List'!B:AJ,2,FALSE)</f>
        <v>56" Fascia Post- Black</v>
      </c>
      <c r="D15" s="587"/>
      <c r="E15" s="588">
        <f>IF(B15="None",0,SUM('Project Materials'!K25*'Project Materials'!P25))</f>
        <v>0</v>
      </c>
      <c r="F15" s="568">
        <f>VLOOKUP(B15,'Item List'!B:AJ,4,FALSE)</f>
        <v>21.5</v>
      </c>
      <c r="G15" s="569">
        <f t="shared" si="0"/>
        <v>0</v>
      </c>
      <c r="H15" s="570">
        <f>ROUNDUP(E15*'Project Materials'!$D$17,0)</f>
        <v>0</v>
      </c>
      <c r="I15" s="589"/>
      <c r="J15" s="572">
        <f>G15+(H15*F15)</f>
        <v>0</v>
      </c>
    </row>
    <row r="16" spans="1:67" s="111" customFormat="1" x14ac:dyDescent="0.4">
      <c r="A16" s="585" t="s">
        <v>704</v>
      </c>
      <c r="B16" s="390" t="s">
        <v>402</v>
      </c>
      <c r="C16" s="79" t="str">
        <f>VLOOKUP(B16,'Item List'!B:AJ,2,FALSE)</f>
        <v>56" Fascia Post- Black</v>
      </c>
      <c r="D16" s="587"/>
      <c r="E16" s="588">
        <f>IF(B16="None",0,SUM('Project Materials'!J25*'Project Materials'!P25))</f>
        <v>0</v>
      </c>
      <c r="F16" s="568">
        <f>VLOOKUP(B16,'Item List'!B:AJ,4,FALSE)</f>
        <v>21.5</v>
      </c>
      <c r="G16" s="569">
        <f t="shared" si="0"/>
        <v>0</v>
      </c>
      <c r="H16" s="570">
        <f>ROUNDUP(E16*'Project Materials'!$D$17,0)</f>
        <v>0</v>
      </c>
      <c r="I16" s="589"/>
      <c r="J16" s="572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111" customFormat="1" x14ac:dyDescent="0.4">
      <c r="A17" s="585" t="s">
        <v>711</v>
      </c>
      <c r="B17" s="390" t="s">
        <v>402</v>
      </c>
      <c r="C17" s="79" t="str">
        <f>VLOOKUP(B17,'Item List'!B:AJ,2,FALSE)</f>
        <v>56" Fascia Post- Black</v>
      </c>
      <c r="D17" s="587"/>
      <c r="E17" s="588">
        <f>IF(B17="None",0,SUM('Project Materials'!L25*'Project Materials'!P25))</f>
        <v>0</v>
      </c>
      <c r="F17" s="568">
        <f>VLOOKUP(B17,'Item List'!B:AJ,4,FALSE)</f>
        <v>21.5</v>
      </c>
      <c r="G17" s="569">
        <f t="shared" si="0"/>
        <v>0</v>
      </c>
      <c r="H17" s="570">
        <f>ROUNDUP(E17*'Project Materials'!$D$17,0)</f>
        <v>0</v>
      </c>
      <c r="I17" s="589"/>
      <c r="J17" s="572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85" t="s">
        <v>712</v>
      </c>
      <c r="B18" s="390" t="s">
        <v>402</v>
      </c>
      <c r="C18" s="79" t="str">
        <f>VLOOKUP(B18,'Item List'!B:AJ,2,FALSE)</f>
        <v>56" Fascia Post- Black</v>
      </c>
      <c r="D18" s="587"/>
      <c r="E18" s="588">
        <f>IF(B18="None",0,SUM('Project Materials'!M25*'Project Materials'!P25))</f>
        <v>0</v>
      </c>
      <c r="F18" s="568">
        <f>VLOOKUP(B18,'Item List'!B:AJ,4,FALSE)</f>
        <v>21.5</v>
      </c>
      <c r="G18" s="569">
        <f t="shared" si="0"/>
        <v>0</v>
      </c>
      <c r="H18" s="570">
        <f>ROUNDUP(E18*'Project Materials'!$D$17,0)</f>
        <v>0</v>
      </c>
      <c r="I18" s="589"/>
      <c r="J18" s="572">
        <f>G18+(H18*F18)</f>
        <v>0</v>
      </c>
    </row>
    <row r="19" spans="1:67" ht="15" thickBot="1" x14ac:dyDescent="0.45">
      <c r="A19" s="574" t="s">
        <v>714</v>
      </c>
      <c r="B19" s="575"/>
      <c r="C19" s="574"/>
      <c r="D19" s="590"/>
      <c r="E19" s="398">
        <f>SUM(E12:E18)</f>
        <v>0</v>
      </c>
      <c r="F19" s="591"/>
      <c r="G19" s="399">
        <f>SUM(G12:G18)</f>
        <v>0</v>
      </c>
      <c r="H19" s="591"/>
      <c r="I19" s="591"/>
      <c r="J19" s="399">
        <f>SUM(J12:J18)</f>
        <v>0</v>
      </c>
    </row>
    <row r="20" spans="1:67" ht="16.3" thickTop="1" x14ac:dyDescent="0.45">
      <c r="A20" s="578" t="s">
        <v>6</v>
      </c>
      <c r="B20" s="578"/>
      <c r="C20" s="578"/>
      <c r="D20" s="578"/>
      <c r="E20" s="578"/>
      <c r="F20" s="578"/>
      <c r="G20" s="578"/>
      <c r="H20" s="578"/>
      <c r="I20" s="578"/>
      <c r="J20" s="578"/>
    </row>
    <row r="21" spans="1:67" x14ac:dyDescent="0.4">
      <c r="A21" s="592" t="s">
        <v>432</v>
      </c>
      <c r="B21" s="593" t="s">
        <v>11</v>
      </c>
      <c r="C21" s="593" t="s">
        <v>12</v>
      </c>
      <c r="D21" s="593"/>
      <c r="E21" s="584" t="s">
        <v>436</v>
      </c>
      <c r="F21" s="594" t="s">
        <v>437</v>
      </c>
      <c r="G21" s="583" t="s">
        <v>425</v>
      </c>
      <c r="H21" s="583" t="s">
        <v>501</v>
      </c>
      <c r="I21" s="584" t="s">
        <v>502</v>
      </c>
      <c r="J21" s="583" t="s">
        <v>500</v>
      </c>
      <c r="L21" s="1109"/>
      <c r="M21" s="1109"/>
      <c r="N21" s="1109"/>
      <c r="O21" s="1109"/>
    </row>
    <row r="22" spans="1:67" x14ac:dyDescent="0.4">
      <c r="A22" s="585" t="s">
        <v>6</v>
      </c>
      <c r="B22" s="390" t="s">
        <v>293</v>
      </c>
      <c r="C22" s="595" t="str">
        <f>VLOOKUP(B22,'Item List'!B:AH,2,FALSE)</f>
        <v>Intermediate Fascia Mount Bracket 6", with bottom plate, six screws- Black</v>
      </c>
      <c r="D22" s="79"/>
      <c r="E22" s="588">
        <f>VLOOKUP(B22,'Item List'!B:AJ,33,FALSE)</f>
        <v>0</v>
      </c>
      <c r="F22" s="568">
        <f>IF(B22="None",0,VLOOKUP(B22,'Item List'!B:AH,4,FALSE))</f>
        <v>15.96</v>
      </c>
      <c r="G22" s="569">
        <f>F22*E22</f>
        <v>0</v>
      </c>
      <c r="H22" s="79"/>
      <c r="I22" s="596">
        <f>ROUNDUP((E22*'Project Materials'!$D$18),0)</f>
        <v>0</v>
      </c>
      <c r="J22" s="572">
        <f>G22+(I22*F22)</f>
        <v>0</v>
      </c>
    </row>
    <row r="23" spans="1:67" x14ac:dyDescent="0.4">
      <c r="A23" s="585" t="s">
        <v>6</v>
      </c>
      <c r="B23" s="390" t="s">
        <v>301</v>
      </c>
      <c r="C23" s="595" t="str">
        <f>VLOOKUP(B23,'Item List'!B:AH,2,FALSE)</f>
        <v>Outside Corner Fascia Mount Bracket 6"- with bottom plate &amp; six screws- Black</v>
      </c>
      <c r="D23" s="79"/>
      <c r="E23" s="588">
        <f>VLOOKUP(B23,'Item List'!B:AJ,33,FALSE)</f>
        <v>0</v>
      </c>
      <c r="F23" s="568">
        <f>IF(B23="None",0,VLOOKUP(B23,'Item List'!B:AH,4,FALSE))</f>
        <v>18.71</v>
      </c>
      <c r="G23" s="569">
        <f>F23*E23</f>
        <v>0</v>
      </c>
      <c r="H23" s="79"/>
      <c r="I23" s="596">
        <f>ROUNDUP((E23*'Project Materials'!$D$18),0)</f>
        <v>0</v>
      </c>
      <c r="J23" s="572">
        <f>G23+(I23*F23)</f>
        <v>0</v>
      </c>
    </row>
    <row r="24" spans="1:67" x14ac:dyDescent="0.4">
      <c r="A24" s="585" t="s">
        <v>6</v>
      </c>
      <c r="B24" s="390" t="s">
        <v>418</v>
      </c>
      <c r="C24" s="595" t="str">
        <f>VLOOKUP(B24,'Item List'!B:AH,2,FALSE)</f>
        <v>None</v>
      </c>
      <c r="D24" s="79"/>
      <c r="E24" s="588">
        <f>VLOOKUP(B24,'Item List'!B:AJ,33,FALSE)</f>
        <v>0</v>
      </c>
      <c r="F24" s="568">
        <f>IF(B24="None",0,VLOOKUP(B24,'Item List'!B:AH,4,FALSE))</f>
        <v>0</v>
      </c>
      <c r="G24" s="569">
        <f>F24*E24</f>
        <v>0</v>
      </c>
      <c r="H24" s="79"/>
      <c r="I24" s="596">
        <f>ROUNDUP((E24*'Project Materials'!$D$18),0)</f>
        <v>0</v>
      </c>
      <c r="J24" s="572">
        <f>G24+(I24*F24)</f>
        <v>0</v>
      </c>
    </row>
    <row r="25" spans="1:67" x14ac:dyDescent="0.4">
      <c r="A25" s="585" t="s">
        <v>6</v>
      </c>
      <c r="B25" s="390" t="s">
        <v>418</v>
      </c>
      <c r="C25" s="597" t="str">
        <f>VLOOKUP(B25,'Item List'!B:AH,2,FALSE)</f>
        <v>None</v>
      </c>
      <c r="D25" s="598"/>
      <c r="E25" s="588">
        <f>VLOOKUP(B25,'Item List'!B:AJ,33,FALSE)</f>
        <v>0</v>
      </c>
      <c r="F25" s="568">
        <f>IF(B25="None",0,VLOOKUP(B25,'Item List'!B:AH,4,FALSE))</f>
        <v>0</v>
      </c>
      <c r="G25" s="569">
        <f>F25*E25</f>
        <v>0</v>
      </c>
      <c r="H25" s="79"/>
      <c r="I25" s="596">
        <f>ROUNDUP((E25*'Project Materials'!$D$18),0)</f>
        <v>0</v>
      </c>
      <c r="J25" s="572">
        <f>G25+(I25*F25)</f>
        <v>0</v>
      </c>
    </row>
    <row r="26" spans="1:67" ht="15" thickBot="1" x14ac:dyDescent="0.45">
      <c r="A26" s="574"/>
      <c r="B26" s="575"/>
      <c r="C26" s="574"/>
      <c r="D26" s="599"/>
      <c r="E26" s="398">
        <f>SUM(E22:E25)</f>
        <v>0</v>
      </c>
      <c r="F26" s="577"/>
      <c r="G26" s="399">
        <f>SUM(G22:G25)</f>
        <v>0</v>
      </c>
      <c r="H26" s="577"/>
      <c r="I26" s="577"/>
      <c r="J26" s="399">
        <f>SUM(J22:J25)</f>
        <v>0</v>
      </c>
    </row>
    <row r="27" spans="1:67" ht="16.3" thickTop="1" x14ac:dyDescent="0.45">
      <c r="A27" s="578" t="s">
        <v>8</v>
      </c>
      <c r="B27" s="578"/>
      <c r="C27" s="578"/>
      <c r="D27" s="578"/>
      <c r="E27" s="578"/>
      <c r="F27" s="578"/>
      <c r="G27" s="578"/>
      <c r="H27" s="578"/>
      <c r="I27" s="578"/>
      <c r="J27" s="578"/>
      <c r="K27" s="52"/>
    </row>
    <row r="28" spans="1:67" x14ac:dyDescent="0.4">
      <c r="A28" s="592" t="s">
        <v>432</v>
      </c>
      <c r="B28" s="84" t="s">
        <v>11</v>
      </c>
      <c r="C28" s="84" t="s">
        <v>12</v>
      </c>
      <c r="D28" s="600" t="s">
        <v>484</v>
      </c>
      <c r="E28" s="584" t="s">
        <v>436</v>
      </c>
      <c r="F28" s="594" t="s">
        <v>437</v>
      </c>
      <c r="G28" s="601" t="s">
        <v>425</v>
      </c>
      <c r="H28" s="583" t="s">
        <v>501</v>
      </c>
      <c r="I28" s="584" t="s">
        <v>502</v>
      </c>
      <c r="J28" s="583" t="s">
        <v>500</v>
      </c>
    </row>
    <row r="29" spans="1:67" x14ac:dyDescent="0.4">
      <c r="A29" s="565" t="s">
        <v>443</v>
      </c>
      <c r="B29" s="390" t="s">
        <v>522</v>
      </c>
      <c r="C29" s="79" t="str">
        <f>VLOOKUP(B29,'Item List'!B:AH,2,FALSE)</f>
        <v>5/8" X 5/8" Picket - 36 1/8"-  For 42" High Top Rails- Black</v>
      </c>
      <c r="D29" s="586">
        <f>ROUNDUP(IF(B29="None",0,SUM('Project Materials'!$V$25*'Project Materials'!$I$25)/12),0)</f>
        <v>0</v>
      </c>
      <c r="E29" s="588">
        <f>IF(B29="None",0,ROUNDUP(SUM(('Project Materials'!O25*'Project Materials'!P25)*VLOOKUP(B29,'Item List'!B:AJ,3,FALSE)),0))</f>
        <v>0</v>
      </c>
      <c r="F29" s="568">
        <f>IF(B29="None",0,VLOOKUP(B29,'Item List'!B:AH,4,FALSE))</f>
        <v>1.62</v>
      </c>
      <c r="G29" s="569">
        <f>F29*E29</f>
        <v>0</v>
      </c>
      <c r="H29" s="570">
        <f>ROUNDUP(D29*'Project Materials'!$D$17,0)</f>
        <v>0</v>
      </c>
      <c r="I29" s="571">
        <f>ROUNDUP(IF(B29="none",0,(SUM(H29/VLOOKUP(B29,'Item List'!B:AH,3,FALSE)))),0)</f>
        <v>0</v>
      </c>
      <c r="J29" s="572">
        <f>G29+(I29*F29)</f>
        <v>0</v>
      </c>
    </row>
    <row r="30" spans="1:67" x14ac:dyDescent="0.4">
      <c r="A30" s="565" t="s">
        <v>443</v>
      </c>
      <c r="B30" s="390" t="s">
        <v>418</v>
      </c>
      <c r="C30" s="79" t="str">
        <f>VLOOKUP(B30,'Item List'!B:AH,2,FALSE)</f>
        <v>None</v>
      </c>
      <c r="D30" s="586">
        <f>IF(B30="None",0,SUM('Project Materials'!$V$25*'Project Materials'!$I$25)/12)</f>
        <v>0</v>
      </c>
      <c r="E30" s="588">
        <f>IF(B30="None",0,ROUNDUP(SUM('Project Materials'!O25*VLOOKUP(B30,'Item List'!B:AJ,3,FALSE)),0))</f>
        <v>0</v>
      </c>
      <c r="F30" s="568">
        <f>IF(B30="None",0,VLOOKUP(B30,'Item List'!B:AH,4,FALSE))</f>
        <v>0</v>
      </c>
      <c r="G30" s="569">
        <f>F30*E30</f>
        <v>0</v>
      </c>
      <c r="H30" s="570">
        <f>ROUNDUP(D30*'Project Materials'!$D$17,0)</f>
        <v>0</v>
      </c>
      <c r="I30" s="571">
        <f>ROUNDUP(IF(B30="none",0,(SUM(H30/VLOOKUP(B30,'Item List'!B:AH,3,FALSE)))),0)</f>
        <v>0</v>
      </c>
      <c r="J30" s="572">
        <f>G30+(I30*F30)</f>
        <v>0</v>
      </c>
    </row>
    <row r="31" spans="1:67" x14ac:dyDescent="0.4">
      <c r="A31" s="565" t="s">
        <v>444</v>
      </c>
      <c r="B31" s="390" t="s">
        <v>418</v>
      </c>
      <c r="C31" s="79" t="str">
        <f>VLOOKUP(B31,'Item List'!B:AH,2,FALSE)</f>
        <v>None</v>
      </c>
      <c r="D31" s="586">
        <f>ROUNDUP(IF(B31="None",0,'Project Materials'!D12*'Project Materials'!D13),1)</f>
        <v>0</v>
      </c>
      <c r="E31" s="571"/>
      <c r="F31" s="568">
        <f>IF(B31="None",0,VLOOKUP(B31,'Item List'!B:AH,4,FALSE))</f>
        <v>0</v>
      </c>
      <c r="G31" s="569">
        <f>D31*F31</f>
        <v>0</v>
      </c>
      <c r="H31" s="570">
        <f>ROUNDUP(D31*'Project Materials'!$D$18,0)</f>
        <v>0</v>
      </c>
      <c r="I31" s="602"/>
      <c r="J31" s="572">
        <f>G31+(H31*F31)</f>
        <v>0</v>
      </c>
    </row>
    <row r="32" spans="1:67" x14ac:dyDescent="0.4">
      <c r="A32" s="565" t="s">
        <v>497</v>
      </c>
      <c r="B32" s="390" t="s">
        <v>418</v>
      </c>
      <c r="C32" s="79" t="str">
        <f>VLOOKUP(B32,'Item List'!B:AH,2,FALSE)</f>
        <v>None</v>
      </c>
      <c r="D32" s="603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71"/>
      <c r="F32" s="568">
        <f>IF(B32="None",0,VLOOKUP(B32,'Item List'!B:AH,4,FALSE))</f>
        <v>0</v>
      </c>
      <c r="G32" s="569">
        <f>D32*F32</f>
        <v>0</v>
      </c>
      <c r="H32" s="570">
        <f>ROUNDUP(D32*'Project Materials'!$D$18,0)</f>
        <v>0</v>
      </c>
      <c r="I32" s="602"/>
      <c r="J32" s="572">
        <f>G32+(H32*F32)</f>
        <v>0</v>
      </c>
    </row>
    <row r="33" spans="1:10" x14ac:dyDescent="0.4">
      <c r="A33" s="565" t="s">
        <v>445</v>
      </c>
      <c r="B33" s="390" t="s">
        <v>418</v>
      </c>
      <c r="C33" s="79" t="str">
        <f>VLOOKUP(B33,'Item List'!B:AH,2,FALSE)</f>
        <v>None</v>
      </c>
      <c r="D33" s="586" t="str">
        <f>IF(B33="None","",(('Project Materials'!$D$7+2)*'Project Materials'!$D$8*'Project Materials'!D9)*'Project Materials'!$P$25)</f>
        <v/>
      </c>
      <c r="E33" s="571">
        <f>IF(B33="None",0,(ROUNDUP((D33/(VLOOKUP(B33,'Item List'!B:AJ,3,FALSE))),0)))</f>
        <v>0</v>
      </c>
      <c r="F33" s="568">
        <f>IF(B33="None",0,VLOOKUP(B33,'Item List'!B:AH,4,FALSE))</f>
        <v>0</v>
      </c>
      <c r="G33" s="569">
        <f>F33*E33</f>
        <v>0</v>
      </c>
      <c r="H33" s="604"/>
      <c r="I33" s="571">
        <f>ROUNDUP(IF(B33="none",0,(SUM(H33/VLOOKUP(B33,'Item List'!B:AH,3,FALSE)))),0)</f>
        <v>0</v>
      </c>
      <c r="J33" s="572">
        <f>G33+(I33*F33)</f>
        <v>0</v>
      </c>
    </row>
    <row r="34" spans="1:10" x14ac:dyDescent="0.4">
      <c r="A34" s="565" t="s">
        <v>445</v>
      </c>
      <c r="B34" s="390" t="s">
        <v>418</v>
      </c>
      <c r="C34" s="79" t="str">
        <f>VLOOKUP(B34,'Item List'!B:AH,2,FALSE)</f>
        <v>None</v>
      </c>
      <c r="D34" s="586" t="str">
        <f>IF(B34="None","",(('Project Materials'!$D$7+2)*'Project Materials'!$D$8*'Project Materials'!D9)*'Project Materials'!$P$25)</f>
        <v/>
      </c>
      <c r="E34" s="571">
        <f>IF(B34="None",0,(ROUNDUP((D34/(VLOOKUP(B34,'Item List'!B:AJ,3,FALSE))),0)))</f>
        <v>0</v>
      </c>
      <c r="F34" s="568">
        <f>IF(B34="None",0,VLOOKUP(B34,'Item List'!B:AH,4,FALSE))</f>
        <v>0</v>
      </c>
      <c r="G34" s="569">
        <f>F34*E34</f>
        <v>0</v>
      </c>
      <c r="H34" s="604"/>
      <c r="I34" s="571">
        <f>ROUNDUP(IF(B34="none",0,(SUM(H34/VLOOKUP(B34,'Item List'!B:AH,3,FALSE)))),0)</f>
        <v>0</v>
      </c>
      <c r="J34" s="572">
        <f>G34+(I34*F34)</f>
        <v>0</v>
      </c>
    </row>
    <row r="35" spans="1:10" x14ac:dyDescent="0.4">
      <c r="A35" s="565" t="s">
        <v>885</v>
      </c>
      <c r="B35" s="390" t="s">
        <v>418</v>
      </c>
      <c r="C35" s="79" t="str">
        <f>VLOOKUP(B35,'Item List'!B:AH,2,FALSE)</f>
        <v>None</v>
      </c>
      <c r="D35" s="571"/>
      <c r="E35" s="588">
        <f>IF(B35="none",0,ROUNDUP(('Project Materials'!D14*3)/ROUNDDOWN(259/'Project Materials'!I25,0),0))</f>
        <v>0</v>
      </c>
      <c r="F35" s="568">
        <f>IF(B35="None",0,VLOOKUP(B35,'Item List'!B:AH,4,FALSE))</f>
        <v>0</v>
      </c>
      <c r="G35" s="569">
        <f>F35*E35</f>
        <v>0</v>
      </c>
      <c r="H35" s="604"/>
      <c r="I35" s="586">
        <f>ROUNDUP(E35*'Project Materials'!$D$18,0)</f>
        <v>0</v>
      </c>
      <c r="J35" s="572">
        <f>G35+(I35*F35)</f>
        <v>0</v>
      </c>
    </row>
    <row r="36" spans="1:10" x14ac:dyDescent="0.4">
      <c r="A36" s="565" t="s">
        <v>446</v>
      </c>
      <c r="B36" s="390" t="s">
        <v>418</v>
      </c>
      <c r="C36" s="79" t="str">
        <f>VLOOKUP(B36,'Item List'!B:AH,2,FALSE)</f>
        <v>None</v>
      </c>
      <c r="D36" s="587"/>
      <c r="E36" s="605"/>
      <c r="F36" s="568">
        <f>IF(B36="None",0,VLOOKUP(B36,'Item List'!B:AH,4,FALSE))</f>
        <v>0</v>
      </c>
      <c r="G36" s="569">
        <f>F36*E36</f>
        <v>0</v>
      </c>
      <c r="H36" s="604"/>
      <c r="I36" s="586">
        <f>ROUNDUP(E36*'Project Materials'!$D$18,0)</f>
        <v>0</v>
      </c>
      <c r="J36" s="572">
        <f>G36+(I36*F36)</f>
        <v>0</v>
      </c>
    </row>
    <row r="37" spans="1:10" ht="15" thickBot="1" x14ac:dyDescent="0.45">
      <c r="A37" s="574"/>
      <c r="B37" s="575"/>
      <c r="C37" s="574"/>
      <c r="D37" s="576"/>
      <c r="E37" s="400"/>
      <c r="F37" s="577"/>
      <c r="G37" s="399">
        <f>SUM(G29:G36)</f>
        <v>0</v>
      </c>
      <c r="H37" s="577"/>
      <c r="I37" s="577"/>
      <c r="J37" s="399">
        <f>SUM(J29:J36)</f>
        <v>0</v>
      </c>
    </row>
    <row r="38" spans="1:10" ht="16.3" thickTop="1" x14ac:dyDescent="0.45">
      <c r="A38" s="578" t="s">
        <v>363</v>
      </c>
      <c r="B38" s="578"/>
      <c r="C38" s="578"/>
      <c r="D38" s="578"/>
      <c r="E38" s="578"/>
      <c r="F38" s="578"/>
      <c r="G38" s="578"/>
      <c r="H38" s="578"/>
      <c r="I38" s="578"/>
      <c r="J38" s="578"/>
    </row>
    <row r="39" spans="1:10" x14ac:dyDescent="0.4">
      <c r="A39" s="579" t="s">
        <v>432</v>
      </c>
      <c r="B39" s="84" t="s">
        <v>11</v>
      </c>
      <c r="C39" s="84" t="s">
        <v>12</v>
      </c>
      <c r="D39" s="84"/>
      <c r="E39" s="581" t="s">
        <v>436</v>
      </c>
      <c r="F39" s="582" t="s">
        <v>437</v>
      </c>
      <c r="G39" s="583" t="s">
        <v>425</v>
      </c>
      <c r="H39" s="583" t="s">
        <v>501</v>
      </c>
      <c r="I39" s="584" t="s">
        <v>502</v>
      </c>
      <c r="J39" s="583" t="s">
        <v>500</v>
      </c>
    </row>
    <row r="40" spans="1:10" x14ac:dyDescent="0.4">
      <c r="A40" s="565" t="s">
        <v>438</v>
      </c>
      <c r="B40" s="79" t="str">
        <f>VLOOKUP('Area A'!B5,'Item List'!B:AH,5,FALSE)</f>
        <v>200EP POW Blk</v>
      </c>
      <c r="C40" s="79" t="str">
        <f>VLOOKUP(B40,'Item List'!B:AH,2,FALSE)</f>
        <v>Top Rail End Plate w/Screws- Black</v>
      </c>
      <c r="D40" s="79"/>
      <c r="E40" s="571">
        <f>IF(B40="none",0,'Project Materials'!$W$25)</f>
        <v>0</v>
      </c>
      <c r="F40" s="568">
        <f>IF(B40="None",0,VLOOKUP(B40,'Item List'!B:AH,4,FALSE))</f>
        <v>1.25</v>
      </c>
      <c r="G40" s="569">
        <f>F40*E40</f>
        <v>0</v>
      </c>
      <c r="H40" s="606"/>
      <c r="I40" s="607">
        <f>ROUNDUP((E40*'Project Materials'!$D$18),0)</f>
        <v>0</v>
      </c>
      <c r="J40" s="572">
        <f>G40+(I40*F40)</f>
        <v>0</v>
      </c>
    </row>
    <row r="41" spans="1:10" x14ac:dyDescent="0.4">
      <c r="A41" s="565" t="s">
        <v>439</v>
      </c>
      <c r="B41" s="79" t="str">
        <f>VLOOKUP('Area A'!B6,'Item List'!B:AH,5,FALSE)</f>
        <v>None</v>
      </c>
      <c r="C41" s="79" t="str">
        <f>VLOOKUP(B41,'Item List'!B:AH,2,FALSE)</f>
        <v>None</v>
      </c>
      <c r="D41" s="79"/>
      <c r="E41" s="571">
        <f>IF(B41="none",0,'Project Materials'!$X$25)</f>
        <v>0</v>
      </c>
      <c r="F41" s="568">
        <f>IF(B41="None",0,VLOOKUP(B41,'Item List'!B:AH,4,FALSE))</f>
        <v>0</v>
      </c>
      <c r="G41" s="569">
        <f>F41*E41</f>
        <v>0</v>
      </c>
      <c r="H41" s="606"/>
      <c r="I41" s="607">
        <f>ROUNDUP((E41*'Project Materials'!$D$18),0)</f>
        <v>0</v>
      </c>
      <c r="J41" s="572">
        <f>G41+(I41*F41)</f>
        <v>0</v>
      </c>
    </row>
    <row r="42" spans="1:10" x14ac:dyDescent="0.4">
      <c r="A42" s="565" t="s">
        <v>438</v>
      </c>
      <c r="B42" s="79" t="str">
        <f>VLOOKUP('Area A'!B7,'Item List'!B:AH,5,FALSE)</f>
        <v>None</v>
      </c>
      <c r="C42" s="79" t="str">
        <f>VLOOKUP(B42,'Item List'!B:AH,2,FALSE)</f>
        <v>None</v>
      </c>
      <c r="D42" s="79"/>
      <c r="E42" s="571">
        <f>IF(B42="none",0,'Project Materials'!$W$25)</f>
        <v>0</v>
      </c>
      <c r="F42" s="568">
        <f>IF(B42="None",0,VLOOKUP(B42,'Item List'!B:AH,4,FALSE))</f>
        <v>0</v>
      </c>
      <c r="G42" s="569">
        <f>F42*E42</f>
        <v>0</v>
      </c>
      <c r="H42" s="606"/>
      <c r="I42" s="607">
        <f>ROUNDUP((E42*'Project Materials'!$D$18),0)</f>
        <v>0</v>
      </c>
      <c r="J42" s="572">
        <f>G42+(I42*F42)</f>
        <v>0</v>
      </c>
    </row>
    <row r="43" spans="1:10" x14ac:dyDescent="0.4">
      <c r="A43" s="565" t="s">
        <v>439</v>
      </c>
      <c r="B43" s="79" t="str">
        <f>VLOOKUP('Area A'!B8,'Item List'!B:AH,5,FALSE)</f>
        <v>None</v>
      </c>
      <c r="C43" s="598" t="str">
        <f>VLOOKUP(B43,'Item List'!B:AH,2,FALSE)</f>
        <v>None</v>
      </c>
      <c r="D43" s="598"/>
      <c r="E43" s="571">
        <f>IF(B43="none",0,'Project Materials'!$X$25)</f>
        <v>0</v>
      </c>
      <c r="F43" s="568">
        <f>IF(B43="None",0,VLOOKUP(B43,'Item List'!B:AH,4,FALSE))</f>
        <v>0</v>
      </c>
      <c r="G43" s="569">
        <f>F43*E43</f>
        <v>0</v>
      </c>
      <c r="H43" s="606"/>
      <c r="I43" s="607">
        <f>ROUNDUP((E43*'Project Materials'!$D$18),0)</f>
        <v>0</v>
      </c>
      <c r="J43" s="572">
        <f>G43+(I43*F43)</f>
        <v>0</v>
      </c>
    </row>
    <row r="44" spans="1:10" ht="15" thickBot="1" x14ac:dyDescent="0.45">
      <c r="A44" s="574"/>
      <c r="B44" s="574"/>
      <c r="C44" s="574"/>
      <c r="D44" s="599"/>
      <c r="E44" s="400"/>
      <c r="F44" s="577"/>
      <c r="G44" s="399">
        <f>SUM(G40:G43)</f>
        <v>0</v>
      </c>
      <c r="H44" s="400"/>
      <c r="I44" s="577"/>
      <c r="J44" s="399">
        <f>SUM(J40:J43)</f>
        <v>0</v>
      </c>
    </row>
    <row r="45" spans="1:10" ht="16.3" thickTop="1" x14ac:dyDescent="0.45">
      <c r="A45" s="578" t="s">
        <v>7</v>
      </c>
      <c r="B45" s="578"/>
      <c r="C45" s="578"/>
      <c r="D45" s="578"/>
      <c r="E45" s="578"/>
      <c r="F45" s="578"/>
      <c r="G45" s="578"/>
      <c r="H45" s="578"/>
      <c r="I45" s="578"/>
      <c r="J45" s="578"/>
    </row>
    <row r="46" spans="1:10" x14ac:dyDescent="0.4">
      <c r="A46" s="579" t="s">
        <v>432</v>
      </c>
      <c r="B46" s="593" t="s">
        <v>11</v>
      </c>
      <c r="C46" s="593" t="s">
        <v>12</v>
      </c>
      <c r="D46" s="593"/>
      <c r="E46" s="584" t="s">
        <v>436</v>
      </c>
      <c r="F46" s="594" t="s">
        <v>437</v>
      </c>
      <c r="G46" s="601" t="s">
        <v>425</v>
      </c>
      <c r="H46" s="583" t="s">
        <v>501</v>
      </c>
      <c r="I46" s="584" t="s">
        <v>502</v>
      </c>
      <c r="J46" s="583" t="s">
        <v>500</v>
      </c>
    </row>
    <row r="47" spans="1:10" x14ac:dyDescent="0.4">
      <c r="A47" s="565" t="s">
        <v>796</v>
      </c>
      <c r="B47" s="79" t="str">
        <f>IF('Area A'!B5="None","None",VLOOKUP('Area A'!$B$5,'Item List'!B:AL,6,FALSE))</f>
        <v>None</v>
      </c>
      <c r="C47" s="79" t="str">
        <f>VLOOKUP(B47,'Item List'!B:AH,2,FALSE)</f>
        <v>None</v>
      </c>
      <c r="D47" s="79"/>
      <c r="E47" s="588">
        <f>VLOOKUP(B47,'Item List'!B:AM,33,FALSE)</f>
        <v>0</v>
      </c>
      <c r="F47" s="608">
        <f>VLOOKUP(B47,'Item List'!B:AH,4,FALSE)</f>
        <v>0</v>
      </c>
      <c r="G47" s="569">
        <f>F47*E47</f>
        <v>0</v>
      </c>
      <c r="H47" s="606"/>
      <c r="I47" s="607">
        <f>ROUNDUP((E47*'Project Materials'!$D$18),0)</f>
        <v>0</v>
      </c>
      <c r="J47" s="572">
        <f>G47+(I47*F47)</f>
        <v>0</v>
      </c>
    </row>
    <row r="48" spans="1:10" x14ac:dyDescent="0.4">
      <c r="A48" s="565" t="s">
        <v>797</v>
      </c>
      <c r="B48" s="79" t="str">
        <f>IF('Area A'!B6="None","None",VLOOKUP('Area A'!$B6,'Item List'!B:AL,6,FALSE))</f>
        <v>none</v>
      </c>
      <c r="C48" s="79" t="str">
        <f>VLOOKUP(B48,'Item List'!B:AH,2,FALSE)</f>
        <v>None</v>
      </c>
      <c r="D48" s="79"/>
      <c r="E48" s="588">
        <f>VLOOKUP(B48,'Item List'!B:AM,33,FALSE)</f>
        <v>0</v>
      </c>
      <c r="F48" s="608">
        <f>VLOOKUP(B48,'Item List'!B:AH,4,FALSE)</f>
        <v>0</v>
      </c>
      <c r="G48" s="569">
        <f>F48*E48</f>
        <v>0</v>
      </c>
      <c r="H48" s="606"/>
      <c r="I48" s="607">
        <f>ROUNDUP((E48*'Project Materials'!$D$18),0)</f>
        <v>0</v>
      </c>
      <c r="J48" s="572">
        <f>G48+(I48*F48)</f>
        <v>0</v>
      </c>
    </row>
    <row r="49" spans="1:67" x14ac:dyDescent="0.4">
      <c r="A49" s="565" t="s">
        <v>796</v>
      </c>
      <c r="B49" s="79" t="str">
        <f>IF('Area A'!B7="None","None",VLOOKUP('Area A'!$B7,'Item List'!B:AL,6,FALSE))</f>
        <v>None</v>
      </c>
      <c r="C49" s="609" t="str">
        <f>VLOOKUP(B49,'Item List'!B:AH,2,FALSE)</f>
        <v>None</v>
      </c>
      <c r="D49" s="609"/>
      <c r="E49" s="588">
        <f>VLOOKUP(B49,'Item List'!B:AM,33,FALSE)</f>
        <v>0</v>
      </c>
      <c r="F49" s="608">
        <f>VLOOKUP(B49,'Item List'!B:AH,4,FALSE)</f>
        <v>0</v>
      </c>
      <c r="G49" s="569">
        <f>F49*E49</f>
        <v>0</v>
      </c>
      <c r="H49" s="606"/>
      <c r="I49" s="607">
        <f>ROUNDUP((E49*'Project Materials'!$D$18),0)</f>
        <v>0</v>
      </c>
      <c r="J49" s="572">
        <f>G49+(I49*F49)</f>
        <v>0</v>
      </c>
    </row>
    <row r="50" spans="1:67" x14ac:dyDescent="0.4">
      <c r="A50" s="565" t="s">
        <v>797</v>
      </c>
      <c r="B50" s="598" t="str">
        <f>IF('Area A'!B8="None","None",VLOOKUP('Area A'!$B8,'Item List'!B:AL,6,FALSE))</f>
        <v>None</v>
      </c>
      <c r="C50" s="610" t="str">
        <f>VLOOKUP(B50,'Item List'!B:AH,2,FALSE)</f>
        <v>None</v>
      </c>
      <c r="D50" s="610"/>
      <c r="E50" s="611">
        <f>VLOOKUP(B50,'Item List'!B:AM,33,FALSE)</f>
        <v>0</v>
      </c>
      <c r="F50" s="612">
        <f>VLOOKUP(B50,'Item List'!B:AH,4,FALSE)</f>
        <v>0</v>
      </c>
      <c r="G50" s="613">
        <f>F50*E50</f>
        <v>0</v>
      </c>
      <c r="H50" s="614"/>
      <c r="I50" s="615">
        <f>ROUNDUP((E50*'Project Materials'!$D$18),0)</f>
        <v>0</v>
      </c>
      <c r="J50" s="616">
        <f>G50+(I50*F50)</f>
        <v>0</v>
      </c>
    </row>
    <row r="51" spans="1:67" s="111" customFormat="1" x14ac:dyDescent="0.4">
      <c r="A51" s="617"/>
      <c r="B51" s="618"/>
      <c r="C51" s="619"/>
      <c r="D51" s="619"/>
      <c r="E51" s="620"/>
      <c r="F51" s="621"/>
      <c r="G51" s="622"/>
      <c r="H51" s="618"/>
      <c r="I51" s="623"/>
      <c r="J51" s="62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85" t="s">
        <v>700</v>
      </c>
      <c r="B52" s="79" t="str">
        <f>VLOOKUP('Area A'!$B$12,'Item List'!B:AL,6,FALSE)</f>
        <v>None</v>
      </c>
      <c r="C52" s="79" t="str">
        <f>VLOOKUP(B52,'Item List'!B:AH,2,FALSE)</f>
        <v>None</v>
      </c>
      <c r="D52" s="79"/>
      <c r="E52" s="625">
        <f>$E$12*VLOOKUP(B52,'Item List'!B:AM,38,FALSE)</f>
        <v>0</v>
      </c>
      <c r="F52" s="608">
        <f>VLOOKUP(B52,'Item List'!B:AH,4,FALSE)</f>
        <v>0</v>
      </c>
      <c r="G52" s="569">
        <f>F52*E52</f>
        <v>0</v>
      </c>
      <c r="H52" s="606"/>
      <c r="I52" s="607">
        <f>ROUNDUP((E52*'Project Materials'!$D$18),0)</f>
        <v>0</v>
      </c>
      <c r="J52" s="572">
        <f>G52+(I52*F52)</f>
        <v>0</v>
      </c>
    </row>
    <row r="53" spans="1:67" x14ac:dyDescent="0.4">
      <c r="A53" s="585" t="s">
        <v>700</v>
      </c>
      <c r="B53" s="79" t="str">
        <f>VLOOKUP('Area A'!$B$12,'Item List'!B:AL,7,FALSE)</f>
        <v>None</v>
      </c>
      <c r="C53" s="79" t="str">
        <f>VLOOKUP(B53,'Item List'!B:AH,2,FALSE)</f>
        <v>None</v>
      </c>
      <c r="D53" s="79"/>
      <c r="E53" s="625">
        <f>$E$12*VLOOKUP(B53,'Item List'!B:AM,38,FALSE)</f>
        <v>0</v>
      </c>
      <c r="F53" s="608">
        <f>VLOOKUP(B53,'Item List'!B:AH,4,FALSE)</f>
        <v>0</v>
      </c>
      <c r="G53" s="569">
        <f>F53*E53</f>
        <v>0</v>
      </c>
      <c r="H53" s="606"/>
      <c r="I53" s="607">
        <f>ROUNDUP((E53*'Project Materials'!$D$18),0)</f>
        <v>0</v>
      </c>
      <c r="J53" s="572">
        <f>G53+(I53*F53)</f>
        <v>0</v>
      </c>
    </row>
    <row r="54" spans="1:67" x14ac:dyDescent="0.4">
      <c r="A54" s="585" t="s">
        <v>700</v>
      </c>
      <c r="B54" s="79" t="str">
        <f>VLOOKUP('Area A'!$B$12,'Item List'!B:AL,8,FALSE)</f>
        <v>None</v>
      </c>
      <c r="C54" s="79" t="str">
        <f>VLOOKUP(B54,'Item List'!B:AH,2,FALSE)</f>
        <v>None</v>
      </c>
      <c r="D54" s="79"/>
      <c r="E54" s="625">
        <f>$E$12*VLOOKUP(B54,'Item List'!B:AM,38,FALSE)</f>
        <v>0</v>
      </c>
      <c r="F54" s="608">
        <f>VLOOKUP(B54,'Item List'!B:AH,4,FALSE)</f>
        <v>0</v>
      </c>
      <c r="G54" s="569">
        <f>F54*E54</f>
        <v>0</v>
      </c>
      <c r="H54" s="606"/>
      <c r="I54" s="607">
        <f>ROUNDUP((E54*'Project Materials'!$D$18),0)</f>
        <v>0</v>
      </c>
      <c r="J54" s="572">
        <f>G54+(I54*F54)</f>
        <v>0</v>
      </c>
    </row>
    <row r="55" spans="1:67" x14ac:dyDescent="0.4">
      <c r="A55" s="585" t="s">
        <v>700</v>
      </c>
      <c r="B55" s="79" t="str">
        <f>VLOOKUP('Area A'!$B$12,'Item List'!B:AL,9,FALSE)</f>
        <v>None</v>
      </c>
      <c r="C55" s="79" t="str">
        <f>VLOOKUP(B55,'Item List'!B:AH,2,FALSE)</f>
        <v>None</v>
      </c>
      <c r="D55" s="79"/>
      <c r="E55" s="625">
        <f>$E$12*VLOOKUP(B55,'Item List'!B:AM,38,FALSE)</f>
        <v>0</v>
      </c>
      <c r="F55" s="608">
        <f>VLOOKUP(B55,'Item List'!B:AH,4,FALSE)</f>
        <v>0</v>
      </c>
      <c r="G55" s="569">
        <f>F55*E55</f>
        <v>0</v>
      </c>
      <c r="H55" s="606"/>
      <c r="I55" s="607">
        <f>ROUNDUP((E55*'Project Materials'!$D$18),0)</f>
        <v>0</v>
      </c>
      <c r="J55" s="572">
        <f>G55+(I55*F55)</f>
        <v>0</v>
      </c>
    </row>
    <row r="56" spans="1:67" s="111" customFormat="1" x14ac:dyDescent="0.4">
      <c r="A56" s="585" t="s">
        <v>700</v>
      </c>
      <c r="B56" s="79" t="str">
        <f>VLOOKUP('Area A'!$B$12,'Item List'!B:AL,10,FALSE)</f>
        <v>None</v>
      </c>
      <c r="C56" s="79" t="str">
        <f>VLOOKUP(B56,'Item List'!B:AH,2,FALSE)</f>
        <v>None</v>
      </c>
      <c r="D56" s="79"/>
      <c r="E56" s="625">
        <f>$E$12*VLOOKUP(B56,'Item List'!B:AM,38,FALSE)</f>
        <v>0</v>
      </c>
      <c r="F56" s="608">
        <f>VLOOKUP(B56,'Item List'!B:AH,4,FALSE)</f>
        <v>0</v>
      </c>
      <c r="G56" s="569">
        <f t="shared" ref="G56:G81" si="1">F56*E56</f>
        <v>0</v>
      </c>
      <c r="H56" s="606"/>
      <c r="I56" s="607">
        <f>ROUNDUP((E56*'Project Materials'!$D$18),0)</f>
        <v>0</v>
      </c>
      <c r="J56" s="572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111" customFormat="1" x14ac:dyDescent="0.4">
      <c r="A57" s="585" t="s">
        <v>700</v>
      </c>
      <c r="B57" s="598" t="str">
        <f>VLOOKUP('Area A'!$B$12,'Item List'!B:AL,11,FALSE)</f>
        <v>None</v>
      </c>
      <c r="C57" s="598" t="str">
        <f>VLOOKUP(B57,'Item List'!B:AH,2,FALSE)</f>
        <v>None</v>
      </c>
      <c r="D57" s="598"/>
      <c r="E57" s="626">
        <f>$E$12*VLOOKUP(B57,'Item List'!B:AM,38,FALSE)</f>
        <v>0</v>
      </c>
      <c r="F57" s="612">
        <f>VLOOKUP(B57,'Item List'!B:AH,4,FALSE)</f>
        <v>0</v>
      </c>
      <c r="G57" s="613">
        <f t="shared" si="1"/>
        <v>0</v>
      </c>
      <c r="H57" s="614"/>
      <c r="I57" s="615">
        <f>ROUNDUP((E57*'Project Materials'!$D$18),0)</f>
        <v>0</v>
      </c>
      <c r="J57" s="616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111" customFormat="1" x14ac:dyDescent="0.4">
      <c r="A58" s="585" t="s">
        <v>701</v>
      </c>
      <c r="B58" s="79" t="str">
        <f>VLOOKUP('Area A'!$B$13,'Item List'!B:AL,6,FALSE)</f>
        <v>None</v>
      </c>
      <c r="C58" s="627" t="str">
        <f>VLOOKUP(B58,'Item List'!B:AH,2,FALSE)</f>
        <v>None</v>
      </c>
      <c r="D58" s="627"/>
      <c r="E58" s="625">
        <f>$E$13*VLOOKUP(B58,'Item List'!B:AM,38,FALSE)</f>
        <v>0</v>
      </c>
      <c r="F58" s="608">
        <f>VLOOKUP(B58,'Item List'!B:AH,4,FALSE)</f>
        <v>0</v>
      </c>
      <c r="G58" s="569">
        <f t="shared" si="1"/>
        <v>0</v>
      </c>
      <c r="H58" s="606"/>
      <c r="I58" s="607">
        <f>ROUNDUP((E58*'Project Materials'!$D$18),0)</f>
        <v>0</v>
      </c>
      <c r="J58" s="572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111" customFormat="1" x14ac:dyDescent="0.4">
      <c r="A59" s="585" t="s">
        <v>701</v>
      </c>
      <c r="B59" s="79" t="str">
        <f>VLOOKUP('Area A'!$B$13,'Item List'!B:AL,7,FALSE)</f>
        <v>None</v>
      </c>
      <c r="C59" s="79" t="str">
        <f>VLOOKUP(B59,'Item List'!B:AH,2,FALSE)</f>
        <v>None</v>
      </c>
      <c r="D59" s="79"/>
      <c r="E59" s="625">
        <f>$E$13*VLOOKUP(B59,'Item List'!B:AM,38,FALSE)</f>
        <v>0</v>
      </c>
      <c r="F59" s="608">
        <f>VLOOKUP(B59,'Item List'!B:AH,4,FALSE)</f>
        <v>0</v>
      </c>
      <c r="G59" s="569">
        <f t="shared" si="1"/>
        <v>0</v>
      </c>
      <c r="H59" s="606"/>
      <c r="I59" s="607">
        <f>ROUNDUP((E59*'Project Materials'!$D$18),0)</f>
        <v>0</v>
      </c>
      <c r="J59" s="572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111" customFormat="1" x14ac:dyDescent="0.4">
      <c r="A60" s="585" t="s">
        <v>701</v>
      </c>
      <c r="B60" s="79" t="str">
        <f>VLOOKUP('Area A'!$B$13,'Item List'!B:AL,8,FALSE)</f>
        <v>None</v>
      </c>
      <c r="C60" s="79" t="str">
        <f>VLOOKUP(B60,'Item List'!B:AH,2,FALSE)</f>
        <v>None</v>
      </c>
      <c r="D60" s="79"/>
      <c r="E60" s="625">
        <f>$E$13*VLOOKUP(B60,'Item List'!B:AM,38,FALSE)</f>
        <v>0</v>
      </c>
      <c r="F60" s="608">
        <f>VLOOKUP(B60,'Item List'!B:AH,4,FALSE)</f>
        <v>0</v>
      </c>
      <c r="G60" s="569">
        <f t="shared" si="1"/>
        <v>0</v>
      </c>
      <c r="H60" s="606"/>
      <c r="I60" s="607">
        <f>ROUNDUP((E60*'Project Materials'!$D$18),0)</f>
        <v>0</v>
      </c>
      <c r="J60" s="572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111" customFormat="1" x14ac:dyDescent="0.4">
      <c r="A61" s="585" t="s">
        <v>701</v>
      </c>
      <c r="B61" s="79" t="str">
        <f>VLOOKUP('Area A'!$B$13,'Item List'!B:AL,9,FALSE)</f>
        <v>None</v>
      </c>
      <c r="C61" s="79" t="str">
        <f>VLOOKUP(B61,'Item List'!B:AH,2,FALSE)</f>
        <v>None</v>
      </c>
      <c r="D61" s="79"/>
      <c r="E61" s="625">
        <f>$E$13*VLOOKUP(B61,'Item List'!B:AM,38,FALSE)</f>
        <v>0</v>
      </c>
      <c r="F61" s="608">
        <f>VLOOKUP(B61,'Item List'!B:AH,4,FALSE)</f>
        <v>0</v>
      </c>
      <c r="G61" s="569">
        <f t="shared" si="1"/>
        <v>0</v>
      </c>
      <c r="H61" s="606"/>
      <c r="I61" s="607">
        <f>ROUNDUP((E61*'Project Materials'!$D$18),0)</f>
        <v>0</v>
      </c>
      <c r="J61" s="572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111" customFormat="1" x14ac:dyDescent="0.4">
      <c r="A62" s="585" t="s">
        <v>701</v>
      </c>
      <c r="B62" s="79" t="str">
        <f>VLOOKUP('Area A'!$B$13,'Item List'!B:AL,10,FALSE)</f>
        <v>None</v>
      </c>
      <c r="C62" s="79" t="str">
        <f>VLOOKUP(B62,'Item List'!B:AH,2,FALSE)</f>
        <v>None</v>
      </c>
      <c r="D62" s="79"/>
      <c r="E62" s="625">
        <f>$E$13*VLOOKUP(B62,'Item List'!B:AM,38,FALSE)</f>
        <v>0</v>
      </c>
      <c r="F62" s="608">
        <f>VLOOKUP(B62,'Item List'!B:AH,4,FALSE)</f>
        <v>0</v>
      </c>
      <c r="G62" s="569">
        <f t="shared" si="1"/>
        <v>0</v>
      </c>
      <c r="H62" s="606"/>
      <c r="I62" s="607">
        <f>ROUNDUP((E62*'Project Materials'!$D$18),0)</f>
        <v>0</v>
      </c>
      <c r="J62" s="572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111" customFormat="1" x14ac:dyDescent="0.4">
      <c r="A63" s="585" t="s">
        <v>701</v>
      </c>
      <c r="B63" s="628" t="str">
        <f>VLOOKUP('Area A'!$B$13,'Item List'!B:AL,11,FALSE)</f>
        <v>None</v>
      </c>
      <c r="C63" s="628" t="str">
        <f>VLOOKUP(B63,'Item List'!B:AH,2,FALSE)</f>
        <v>None</v>
      </c>
      <c r="D63" s="628"/>
      <c r="E63" s="626">
        <f>$E$13*VLOOKUP(B63,'Item List'!B:AM,38,FALSE)</f>
        <v>0</v>
      </c>
      <c r="F63" s="629">
        <f>VLOOKUP(B63,'Item List'!B:AH,4,FALSE)</f>
        <v>0</v>
      </c>
      <c r="G63" s="630">
        <f t="shared" si="1"/>
        <v>0</v>
      </c>
      <c r="H63" s="606"/>
      <c r="I63" s="631">
        <f>ROUNDUP((E63*'Project Materials'!$D$18),0)</f>
        <v>0</v>
      </c>
      <c r="J63" s="632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111" customFormat="1" x14ac:dyDescent="0.4">
      <c r="A64" s="585" t="s">
        <v>702</v>
      </c>
      <c r="B64" s="79" t="str">
        <f>VLOOKUP('Area A'!$B$14,'Item List'!B:AL,6,FALSE)</f>
        <v>None</v>
      </c>
      <c r="C64" s="627" t="str">
        <f>VLOOKUP(B64,'Item List'!B:AH,2,FALSE)</f>
        <v>None</v>
      </c>
      <c r="D64" s="627"/>
      <c r="E64" s="625">
        <f>$E$14*VLOOKUP(B64,'Item List'!B:AM,38,FALSE)</f>
        <v>0</v>
      </c>
      <c r="F64" s="608">
        <f>VLOOKUP(B64,'Item List'!B:AH,4,FALSE)</f>
        <v>0</v>
      </c>
      <c r="G64" s="569">
        <f t="shared" si="1"/>
        <v>0</v>
      </c>
      <c r="H64" s="606"/>
      <c r="I64" s="607">
        <f>ROUNDUP((E64*'Project Materials'!$D$18),0)</f>
        <v>0</v>
      </c>
      <c r="J64" s="572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111" customFormat="1" x14ac:dyDescent="0.4">
      <c r="A65" s="585" t="s">
        <v>702</v>
      </c>
      <c r="B65" s="79" t="str">
        <f>VLOOKUP('Area A'!$B$14,'Item List'!B:AL,7,FALSE)</f>
        <v>None</v>
      </c>
      <c r="C65" s="79" t="str">
        <f>VLOOKUP(B65,'Item List'!B:AH,2,FALSE)</f>
        <v>None</v>
      </c>
      <c r="D65" s="79"/>
      <c r="E65" s="625">
        <f>$E$14*VLOOKUP(B65,'Item List'!B:AM,38,FALSE)</f>
        <v>0</v>
      </c>
      <c r="F65" s="608">
        <f>VLOOKUP(B65,'Item List'!B:AH,4,FALSE)</f>
        <v>0</v>
      </c>
      <c r="G65" s="569">
        <f t="shared" si="1"/>
        <v>0</v>
      </c>
      <c r="H65" s="606"/>
      <c r="I65" s="607">
        <f>ROUNDUP((E65*'Project Materials'!$D$18),0)</f>
        <v>0</v>
      </c>
      <c r="J65" s="572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111" customFormat="1" x14ac:dyDescent="0.4">
      <c r="A66" s="585" t="s">
        <v>702</v>
      </c>
      <c r="B66" s="79" t="str">
        <f>VLOOKUP('Area A'!$B$14,'Item List'!B:AL,8,FALSE)</f>
        <v>None</v>
      </c>
      <c r="C66" s="79" t="str">
        <f>VLOOKUP(B66,'Item List'!B:AH,2,FALSE)</f>
        <v>None</v>
      </c>
      <c r="D66" s="79"/>
      <c r="E66" s="588">
        <f>$E$14*VLOOKUP(B66,'Item List'!B:AM,38,FALSE)</f>
        <v>0</v>
      </c>
      <c r="F66" s="608">
        <f>VLOOKUP(B66,'Item List'!B:AH,4,FALSE)</f>
        <v>0</v>
      </c>
      <c r="G66" s="569">
        <f t="shared" si="1"/>
        <v>0</v>
      </c>
      <c r="H66" s="606"/>
      <c r="I66" s="607">
        <f>ROUNDUP((E66*'Project Materials'!$D$18),0)</f>
        <v>0</v>
      </c>
      <c r="J66" s="572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111" customFormat="1" x14ac:dyDescent="0.4">
      <c r="A67" s="585" t="s">
        <v>702</v>
      </c>
      <c r="B67" s="79" t="str">
        <f>VLOOKUP('Area A'!$B$14,'Item List'!B:AL,9,FALSE)</f>
        <v>None</v>
      </c>
      <c r="C67" s="79" t="str">
        <f>VLOOKUP(B67,'Item List'!B:AH,2,FALSE)</f>
        <v>None</v>
      </c>
      <c r="D67" s="79"/>
      <c r="E67" s="588">
        <f>$E$14*VLOOKUP(B67,'Item List'!B:AM,38,FALSE)</f>
        <v>0</v>
      </c>
      <c r="F67" s="608">
        <f>VLOOKUP(B67,'Item List'!B:AH,4,FALSE)</f>
        <v>0</v>
      </c>
      <c r="G67" s="569">
        <f t="shared" si="1"/>
        <v>0</v>
      </c>
      <c r="H67" s="606"/>
      <c r="I67" s="607">
        <f>ROUNDUP((E67*'Project Materials'!$D$18),0)</f>
        <v>0</v>
      </c>
      <c r="J67" s="572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111" customFormat="1" x14ac:dyDescent="0.4">
      <c r="A68" s="585" t="s">
        <v>702</v>
      </c>
      <c r="B68" s="79" t="str">
        <f>VLOOKUP('Area A'!$B$14,'Item List'!B:AL,10,FALSE)</f>
        <v>None</v>
      </c>
      <c r="C68" s="79" t="str">
        <f>VLOOKUP(B68,'Item List'!B:AH,2,FALSE)</f>
        <v>None</v>
      </c>
      <c r="D68" s="79"/>
      <c r="E68" s="588">
        <f>$E$14*VLOOKUP(B68,'Item List'!B:AM,38,FALSE)</f>
        <v>0</v>
      </c>
      <c r="F68" s="608">
        <f>VLOOKUP(B68,'Item List'!B:AH,4,FALSE)</f>
        <v>0</v>
      </c>
      <c r="G68" s="569">
        <f t="shared" si="1"/>
        <v>0</v>
      </c>
      <c r="H68" s="606"/>
      <c r="I68" s="607">
        <f>ROUNDUP((E68*'Project Materials'!$D$18),0)</f>
        <v>0</v>
      </c>
      <c r="J68" s="572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111" customFormat="1" x14ac:dyDescent="0.4">
      <c r="A69" s="585" t="s">
        <v>702</v>
      </c>
      <c r="B69" s="598" t="str">
        <f>VLOOKUP('Area A'!$B$14,'Item List'!B:AL,11,FALSE)</f>
        <v>None</v>
      </c>
      <c r="C69" s="598" t="str">
        <f>VLOOKUP(B69,'Item List'!B:AH,2,FALSE)</f>
        <v>None</v>
      </c>
      <c r="D69" s="598"/>
      <c r="E69" s="611">
        <f>$E$14*VLOOKUP(B69,'Item List'!B:AM,38,FALSE)</f>
        <v>0</v>
      </c>
      <c r="F69" s="612">
        <f>VLOOKUP(B69,'Item List'!B:AH,4,FALSE)</f>
        <v>0</v>
      </c>
      <c r="G69" s="613">
        <f t="shared" si="1"/>
        <v>0</v>
      </c>
      <c r="H69" s="614"/>
      <c r="I69" s="615">
        <f>ROUNDUP((E69*'Project Materials'!$D$18),0)</f>
        <v>0</v>
      </c>
      <c r="J69" s="616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111" customFormat="1" x14ac:dyDescent="0.4">
      <c r="A70" s="585" t="s">
        <v>703</v>
      </c>
      <c r="B70" s="79" t="str">
        <f>VLOOKUP('Area A'!$B$15,'Item List'!B:AL,6,FALSE)</f>
        <v>None</v>
      </c>
      <c r="C70" s="627" t="str">
        <f>VLOOKUP(B70,'Item List'!B:AH,2,FALSE)</f>
        <v>None</v>
      </c>
      <c r="D70" s="627"/>
      <c r="E70" s="588">
        <f>$E$15*VLOOKUP(B70,'Item List'!B:AM,38,FALSE)</f>
        <v>0</v>
      </c>
      <c r="F70" s="608">
        <f>VLOOKUP(B70,'Item List'!B:AH,4,FALSE)</f>
        <v>0</v>
      </c>
      <c r="G70" s="569">
        <f t="shared" si="1"/>
        <v>0</v>
      </c>
      <c r="H70" s="606"/>
      <c r="I70" s="607">
        <f>ROUNDUP((E70*'Project Materials'!$D$18),0)</f>
        <v>0</v>
      </c>
      <c r="J70" s="572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111" customFormat="1" x14ac:dyDescent="0.4">
      <c r="A71" s="585" t="s">
        <v>703</v>
      </c>
      <c r="B71" s="79" t="str">
        <f>VLOOKUP('Area A'!$B$15,'Item List'!B:AL,7,FALSE)</f>
        <v>SS W805X100 - Blk</v>
      </c>
      <c r="C71" s="79" t="str">
        <f>VLOOKUP(B71,'Item List'!B:AH,2,FALSE)</f>
        <v>TR &amp; BR Screws - #10 x 5/8" Phillips Pan Head Self Drill Stainless Steel Zinc Plated - Black- One screw</v>
      </c>
      <c r="D71" s="79"/>
      <c r="E71" s="588">
        <f>$E$15*VLOOKUP(B71,'Item List'!B:AM,38,FALSE)</f>
        <v>0</v>
      </c>
      <c r="F71" s="608">
        <f>VLOOKUP(B71,'Item List'!B:AH,4,FALSE)</f>
        <v>0.1</v>
      </c>
      <c r="G71" s="569">
        <f t="shared" si="1"/>
        <v>0</v>
      </c>
      <c r="H71" s="606"/>
      <c r="I71" s="607">
        <f>ROUNDUP((E71*'Project Materials'!$D$18),0)</f>
        <v>0</v>
      </c>
      <c r="J71" s="572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111" customFormat="1" x14ac:dyDescent="0.4">
      <c r="A72" s="585" t="s">
        <v>703</v>
      </c>
      <c r="B72" s="79" t="str">
        <f>VLOOKUP('Area A'!$B$15,'Item List'!B:AL,8,FALSE)</f>
        <v>None</v>
      </c>
      <c r="C72" s="79" t="str">
        <f>VLOOKUP(B72,'Item List'!B:AH,2,FALSE)</f>
        <v>None</v>
      </c>
      <c r="D72" s="79"/>
      <c r="E72" s="588">
        <f>$E$15*VLOOKUP(B72,'Item List'!B:AM,38,FALSE)</f>
        <v>0</v>
      </c>
      <c r="F72" s="608">
        <f>VLOOKUP(B72,'Item List'!B:AH,4,FALSE)</f>
        <v>0</v>
      </c>
      <c r="G72" s="569">
        <f t="shared" si="1"/>
        <v>0</v>
      </c>
      <c r="H72" s="606"/>
      <c r="I72" s="607">
        <f>ROUNDUP((E72*'Project Materials'!$D$18),0)</f>
        <v>0</v>
      </c>
      <c r="J72" s="572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111" customFormat="1" x14ac:dyDescent="0.4">
      <c r="A73" s="585" t="s">
        <v>703</v>
      </c>
      <c r="B73" s="79" t="str">
        <f>VLOOKUP('Area A'!$B$15,'Item List'!B:AL,9,FALSE)</f>
        <v>None</v>
      </c>
      <c r="C73" s="79" t="str">
        <f>VLOOKUP(B73,'Item List'!B:AH,2,FALSE)</f>
        <v>None</v>
      </c>
      <c r="D73" s="79"/>
      <c r="E73" s="588">
        <f>$E$15*VLOOKUP(B73,'Item List'!B:AM,38,FALSE)</f>
        <v>0</v>
      </c>
      <c r="F73" s="608">
        <f>VLOOKUP(B73,'Item List'!B:AH,4,FALSE)</f>
        <v>0</v>
      </c>
      <c r="G73" s="569">
        <f t="shared" si="1"/>
        <v>0</v>
      </c>
      <c r="H73" s="606"/>
      <c r="I73" s="607">
        <f>ROUNDUP((E73*'Project Materials'!$D$18),0)</f>
        <v>0</v>
      </c>
      <c r="J73" s="572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111" customFormat="1" x14ac:dyDescent="0.4">
      <c r="A74" s="585" t="s">
        <v>703</v>
      </c>
      <c r="B74" s="79" t="str">
        <f>VLOOKUP('Area A'!$B$15,'Item List'!B:AL,10,FALSE)</f>
        <v>None</v>
      </c>
      <c r="C74" s="79" t="str">
        <f>VLOOKUP(B74,'Item List'!B:AH,2,FALSE)</f>
        <v>None</v>
      </c>
      <c r="D74" s="79"/>
      <c r="E74" s="588">
        <f>$E$15*VLOOKUP(B74,'Item List'!B:AM,38,FALSE)</f>
        <v>0</v>
      </c>
      <c r="F74" s="608">
        <f>VLOOKUP(B74,'Item List'!B:AH,4,FALSE)</f>
        <v>0</v>
      </c>
      <c r="G74" s="569">
        <f t="shared" si="1"/>
        <v>0</v>
      </c>
      <c r="H74" s="606"/>
      <c r="I74" s="607">
        <f>ROUNDUP((E74*'Project Materials'!$D$18),0)</f>
        <v>0</v>
      </c>
      <c r="J74" s="572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111" customFormat="1" x14ac:dyDescent="0.4">
      <c r="A75" s="585" t="s">
        <v>703</v>
      </c>
      <c r="B75" s="598" t="str">
        <f>VLOOKUP('Area A'!$B$15,'Item List'!B:AL,11,FALSE)</f>
        <v>None</v>
      </c>
      <c r="C75" s="598" t="str">
        <f>VLOOKUP(B75,'Item List'!B:AH,2,FALSE)</f>
        <v>None</v>
      </c>
      <c r="D75" s="598"/>
      <c r="E75" s="611">
        <f>$E$15*VLOOKUP(B75,'Item List'!B:AM,38,FALSE)</f>
        <v>0</v>
      </c>
      <c r="F75" s="612">
        <f>VLOOKUP(B75,'Item List'!B:AH,4,FALSE)</f>
        <v>0</v>
      </c>
      <c r="G75" s="613">
        <f t="shared" si="1"/>
        <v>0</v>
      </c>
      <c r="H75" s="614"/>
      <c r="I75" s="615">
        <f>ROUNDUP((E75*'Project Materials'!$D$18),0)</f>
        <v>0</v>
      </c>
      <c r="J75" s="616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111" customFormat="1" x14ac:dyDescent="0.4">
      <c r="A76" s="585" t="s">
        <v>704</v>
      </c>
      <c r="B76" s="79" t="str">
        <f>VLOOKUP('Area A'!$B$16,'Item List'!B:AL,6,FALSE)</f>
        <v>None</v>
      </c>
      <c r="C76" s="627" t="str">
        <f>VLOOKUP(B76,'Item List'!B:AH,2,FALSE)</f>
        <v>None</v>
      </c>
      <c r="D76" s="627"/>
      <c r="E76" s="588">
        <f>$E$16*VLOOKUP(B76,'Item List'!B:AM,38,FALSE)</f>
        <v>0</v>
      </c>
      <c r="F76" s="608">
        <f>VLOOKUP(B76,'Item List'!B:AH,4,FALSE)</f>
        <v>0</v>
      </c>
      <c r="G76" s="569">
        <f t="shared" si="1"/>
        <v>0</v>
      </c>
      <c r="H76" s="606"/>
      <c r="I76" s="607">
        <f>ROUNDUP((E76*'Project Materials'!$D$18),0)</f>
        <v>0</v>
      </c>
      <c r="J76" s="572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111" customFormat="1" x14ac:dyDescent="0.4">
      <c r="A77" s="585" t="s">
        <v>704</v>
      </c>
      <c r="B77" s="79" t="str">
        <f>VLOOKUP('Area A'!$B$16,'Item List'!B:AL,7,FALSE)</f>
        <v>SS W805X100 - Blk</v>
      </c>
      <c r="C77" s="79" t="str">
        <f>VLOOKUP(B77,'Item List'!B:AH,2,FALSE)</f>
        <v>TR &amp; BR Screws - #10 x 5/8" Phillips Pan Head Self Drill Stainless Steel Zinc Plated - Black- One screw</v>
      </c>
      <c r="D77" s="79"/>
      <c r="E77" s="588">
        <f>$E$16*VLOOKUP(B77,'Item List'!B:AM,38,FALSE)</f>
        <v>0</v>
      </c>
      <c r="F77" s="608">
        <f>VLOOKUP(B77,'Item List'!B:AH,4,FALSE)</f>
        <v>0.1</v>
      </c>
      <c r="G77" s="569">
        <f t="shared" si="1"/>
        <v>0</v>
      </c>
      <c r="H77" s="606"/>
      <c r="I77" s="607">
        <f>ROUNDUP((E77*'Project Materials'!$D$18),0)</f>
        <v>0</v>
      </c>
      <c r="J77" s="572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111" customFormat="1" x14ac:dyDescent="0.4">
      <c r="A78" s="585" t="s">
        <v>704</v>
      </c>
      <c r="B78" s="79" t="str">
        <f>VLOOKUP('Area A'!$B$16,'Item List'!B:AL,8,FALSE)</f>
        <v>None</v>
      </c>
      <c r="C78" s="79" t="str">
        <f>VLOOKUP(B78,'Item List'!B:AH,2,FALSE)</f>
        <v>None</v>
      </c>
      <c r="D78" s="79"/>
      <c r="E78" s="588">
        <f>$E$16*VLOOKUP(B78,'Item List'!B:AM,38,FALSE)</f>
        <v>0</v>
      </c>
      <c r="F78" s="608">
        <f>VLOOKUP(B78,'Item List'!B:AH,4,FALSE)</f>
        <v>0</v>
      </c>
      <c r="G78" s="569">
        <f t="shared" si="1"/>
        <v>0</v>
      </c>
      <c r="H78" s="606"/>
      <c r="I78" s="607">
        <f>ROUNDUP((E78*'Project Materials'!$D$18),0)</f>
        <v>0</v>
      </c>
      <c r="J78" s="572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111" customFormat="1" x14ac:dyDescent="0.4">
      <c r="A79" s="585" t="s">
        <v>704</v>
      </c>
      <c r="B79" s="79" t="str">
        <f>VLOOKUP('Area A'!$B$16,'Item List'!B:AL,9,FALSE)</f>
        <v>None</v>
      </c>
      <c r="C79" s="79" t="str">
        <f>VLOOKUP(B79,'Item List'!B:AH,2,FALSE)</f>
        <v>None</v>
      </c>
      <c r="D79" s="79"/>
      <c r="E79" s="588">
        <f>$E$16*VLOOKUP(B79,'Item List'!B:AM,38,FALSE)</f>
        <v>0</v>
      </c>
      <c r="F79" s="608">
        <f>VLOOKUP(B79,'Item List'!B:AH,4,FALSE)</f>
        <v>0</v>
      </c>
      <c r="G79" s="569">
        <f t="shared" si="1"/>
        <v>0</v>
      </c>
      <c r="H79" s="606"/>
      <c r="I79" s="607">
        <f>ROUNDUP((E79*'Project Materials'!$D$18),0)</f>
        <v>0</v>
      </c>
      <c r="J79" s="572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111" customFormat="1" x14ac:dyDescent="0.4">
      <c r="A80" s="585" t="s">
        <v>704</v>
      </c>
      <c r="B80" s="79" t="str">
        <f>VLOOKUP('Area A'!$B$16,'Item List'!B:AL,10,FALSE)</f>
        <v>None</v>
      </c>
      <c r="C80" s="79" t="str">
        <f>VLOOKUP(B80,'Item List'!B:AH,2,FALSE)</f>
        <v>None</v>
      </c>
      <c r="D80" s="79"/>
      <c r="E80" s="588">
        <f>$E$16*VLOOKUP(B80,'Item List'!B:AM,38,FALSE)</f>
        <v>0</v>
      </c>
      <c r="F80" s="608">
        <f>VLOOKUP(B80,'Item List'!B:AH,4,FALSE)</f>
        <v>0</v>
      </c>
      <c r="G80" s="569">
        <f t="shared" si="1"/>
        <v>0</v>
      </c>
      <c r="H80" s="606"/>
      <c r="I80" s="607">
        <f>ROUNDUP((E80*'Project Materials'!$D$18),0)</f>
        <v>0</v>
      </c>
      <c r="J80" s="572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111" customFormat="1" x14ac:dyDescent="0.4">
      <c r="A81" s="585" t="s">
        <v>704</v>
      </c>
      <c r="B81" s="598" t="str">
        <f>VLOOKUP('Area A'!$B$16,'Item List'!B:AL,11,FALSE)</f>
        <v>None</v>
      </c>
      <c r="C81" s="598" t="str">
        <f>VLOOKUP(B81,'Item List'!B:AH,2,FALSE)</f>
        <v>None</v>
      </c>
      <c r="D81" s="598"/>
      <c r="E81" s="611">
        <f>$E$16*VLOOKUP(B81,'Item List'!B:AM,38,FALSE)</f>
        <v>0</v>
      </c>
      <c r="F81" s="612">
        <f>VLOOKUP(B81,'Item List'!B:AH,4,FALSE)</f>
        <v>0</v>
      </c>
      <c r="G81" s="613">
        <f t="shared" si="1"/>
        <v>0</v>
      </c>
      <c r="H81" s="614"/>
      <c r="I81" s="615">
        <f>ROUNDUP((E81*'Project Materials'!$D$18),0)</f>
        <v>0</v>
      </c>
      <c r="J81" s="616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111" customFormat="1" x14ac:dyDescent="0.4">
      <c r="A82" s="585" t="s">
        <v>711</v>
      </c>
      <c r="B82" s="79" t="str">
        <f>VLOOKUP('Area A'!$B$17,'Item List'!B:AL,6,FALSE)</f>
        <v>None</v>
      </c>
      <c r="C82" s="627" t="str">
        <f>VLOOKUP(B82,'Item List'!B:AH,2,FALSE)</f>
        <v>None</v>
      </c>
      <c r="D82" s="627"/>
      <c r="E82" s="588">
        <f>$E$17*VLOOKUP(B82,'Item List'!B:AM,38,FALSE)</f>
        <v>0</v>
      </c>
      <c r="F82" s="608">
        <f>VLOOKUP(B82,'Item List'!B:AH,4,FALSE)</f>
        <v>0</v>
      </c>
      <c r="G82" s="569">
        <f t="shared" ref="G82:G87" si="3">F82*E82</f>
        <v>0</v>
      </c>
      <c r="H82" s="606"/>
      <c r="I82" s="607">
        <f>ROUNDUP((E82*'Project Materials'!$D$18),0)</f>
        <v>0</v>
      </c>
      <c r="J82" s="572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111" customFormat="1" x14ac:dyDescent="0.4">
      <c r="A83" s="585" t="s">
        <v>711</v>
      </c>
      <c r="B83" s="79" t="str">
        <f>VLOOKUP('Area A'!$B$17,'Item List'!B:AL,7,FALSE)</f>
        <v>SS W805X100 - Blk</v>
      </c>
      <c r="C83" s="633" t="str">
        <f>VLOOKUP(B83,'Item List'!B:AH,2,FALSE)</f>
        <v>TR &amp; BR Screws - #10 x 5/8" Phillips Pan Head Self Drill Stainless Steel Zinc Plated - Black- One screw</v>
      </c>
      <c r="D83" s="633"/>
      <c r="E83" s="588">
        <f>$E$17*VLOOKUP(B83,'Item List'!B:AM,38,FALSE)</f>
        <v>0</v>
      </c>
      <c r="F83" s="608">
        <f>VLOOKUP(B83,'Item List'!B:AH,4,FALSE)</f>
        <v>0.1</v>
      </c>
      <c r="G83" s="569">
        <f t="shared" si="3"/>
        <v>0</v>
      </c>
      <c r="H83" s="606"/>
      <c r="I83" s="607">
        <f>ROUNDUP((E83*'Project Materials'!$D$18),0)</f>
        <v>0</v>
      </c>
      <c r="J83" s="572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111" customFormat="1" x14ac:dyDescent="0.4">
      <c r="A84" s="585" t="s">
        <v>711</v>
      </c>
      <c r="B84" s="79" t="str">
        <f>VLOOKUP('Area A'!$B$17,'Item List'!B:AL,8,FALSE)</f>
        <v>None</v>
      </c>
      <c r="C84" s="633" t="str">
        <f>VLOOKUP(B84,'Item List'!B:AH,2,FALSE)</f>
        <v>None</v>
      </c>
      <c r="D84" s="633"/>
      <c r="E84" s="588">
        <f>$E$17*VLOOKUP(B84,'Item List'!B:AM,38,FALSE)</f>
        <v>0</v>
      </c>
      <c r="F84" s="608">
        <f>VLOOKUP(B84,'Item List'!B:AH,4,FALSE)</f>
        <v>0</v>
      </c>
      <c r="G84" s="569">
        <f t="shared" si="3"/>
        <v>0</v>
      </c>
      <c r="H84" s="606"/>
      <c r="I84" s="607">
        <f>ROUNDUP((E84*'Project Materials'!$D$18),0)</f>
        <v>0</v>
      </c>
      <c r="J84" s="572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111" customFormat="1" x14ac:dyDescent="0.4">
      <c r="A85" s="585" t="s">
        <v>711</v>
      </c>
      <c r="B85" s="79" t="str">
        <f>VLOOKUP('Area A'!$B$17,'Item List'!B:AL,9,FALSE)</f>
        <v>None</v>
      </c>
      <c r="C85" s="633" t="str">
        <f>VLOOKUP(B85,'Item List'!B:AH,2,FALSE)</f>
        <v>None</v>
      </c>
      <c r="D85" s="633"/>
      <c r="E85" s="588">
        <f>$E$17*VLOOKUP(B85,'Item List'!B:AM,38,FALSE)</f>
        <v>0</v>
      </c>
      <c r="F85" s="608">
        <f>VLOOKUP(B85,'Item List'!B:AH,4,FALSE)</f>
        <v>0</v>
      </c>
      <c r="G85" s="569">
        <f t="shared" si="3"/>
        <v>0</v>
      </c>
      <c r="H85" s="606"/>
      <c r="I85" s="607">
        <f>ROUNDUP((E85*'Project Materials'!$D$18),0)</f>
        <v>0</v>
      </c>
      <c r="J85" s="572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111" customFormat="1" x14ac:dyDescent="0.4">
      <c r="A86" s="585" t="s">
        <v>711</v>
      </c>
      <c r="B86" s="79" t="str">
        <f>VLOOKUP('Area A'!$B$17,'Item List'!B:AL,10,FALSE)</f>
        <v>None</v>
      </c>
      <c r="C86" s="633" t="str">
        <f>VLOOKUP(B86,'Item List'!B:AH,2,FALSE)</f>
        <v>None</v>
      </c>
      <c r="D86" s="633"/>
      <c r="E86" s="588">
        <f>$E$17*VLOOKUP(B86,'Item List'!B:AM,38,FALSE)</f>
        <v>0</v>
      </c>
      <c r="F86" s="608">
        <f>VLOOKUP(B86,'Item List'!B:AH,4,FALSE)</f>
        <v>0</v>
      </c>
      <c r="G86" s="569">
        <f t="shared" si="3"/>
        <v>0</v>
      </c>
      <c r="H86" s="606"/>
      <c r="I86" s="607">
        <f>ROUNDUP((E86*'Project Materials'!$D$18),0)</f>
        <v>0</v>
      </c>
      <c r="J86" s="572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111" customFormat="1" x14ac:dyDescent="0.4">
      <c r="A87" s="585" t="s">
        <v>711</v>
      </c>
      <c r="B87" s="598" t="str">
        <f>VLOOKUP('Area A'!$B$17,'Item List'!B:AL,11,FALSE)</f>
        <v>None</v>
      </c>
      <c r="C87" s="598" t="str">
        <f>VLOOKUP(B87,'Item List'!B:AH,2,FALSE)</f>
        <v>None</v>
      </c>
      <c r="D87" s="598"/>
      <c r="E87" s="634">
        <f>$E$17*VLOOKUP(B87,'Item List'!B:AM,38,FALSE)</f>
        <v>0</v>
      </c>
      <c r="F87" s="635">
        <f>VLOOKUP(B87,'Item List'!B:AH,4,FALSE)</f>
        <v>0</v>
      </c>
      <c r="G87" s="636">
        <f t="shared" si="3"/>
        <v>0</v>
      </c>
      <c r="H87" s="637"/>
      <c r="I87" s="638">
        <f>ROUNDUP((E87*'Project Materials'!$D$18),0)</f>
        <v>0</v>
      </c>
      <c r="J87" s="639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111" customFormat="1" x14ac:dyDescent="0.4">
      <c r="A88" s="585" t="s">
        <v>712</v>
      </c>
      <c r="B88" s="79" t="str">
        <f>VLOOKUP('Area A'!$B$18,'Item List'!B:AL,6,FALSE)</f>
        <v>None</v>
      </c>
      <c r="C88" s="627" t="str">
        <f>VLOOKUP(B88,'Item List'!B:AH,2,FALSE)</f>
        <v>None</v>
      </c>
      <c r="D88" s="627"/>
      <c r="E88" s="640">
        <f>$E$18*VLOOKUP(B88,'Item List'!B:AM,38,FALSE)</f>
        <v>0</v>
      </c>
      <c r="F88" s="641">
        <f>VLOOKUP(B88,'Item List'!B:AH,4,FALSE)</f>
        <v>0</v>
      </c>
      <c r="G88" s="642">
        <f t="shared" ref="G88:G93" si="5">F88*E88</f>
        <v>0</v>
      </c>
      <c r="H88" s="643"/>
      <c r="I88" s="644">
        <f>ROUNDUP((E88*'Project Materials'!$D$18),0)</f>
        <v>0</v>
      </c>
      <c r="J88" s="645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111" customFormat="1" x14ac:dyDescent="0.4">
      <c r="A89" s="585" t="s">
        <v>712</v>
      </c>
      <c r="B89" s="79" t="str">
        <f>VLOOKUP('Area A'!$B$18,'Item List'!B:AL,7,FALSE)</f>
        <v>SS W805X100 - Blk</v>
      </c>
      <c r="C89" s="633" t="str">
        <f>VLOOKUP(B89,'Item List'!B:AH,2,FALSE)</f>
        <v>TR &amp; BR Screws - #10 x 5/8" Phillips Pan Head Self Drill Stainless Steel Zinc Plated - Black- One screw</v>
      </c>
      <c r="D89" s="633"/>
      <c r="E89" s="634">
        <f>$E$18*VLOOKUP(B89,'Item List'!B:AM,38,FALSE)</f>
        <v>0</v>
      </c>
      <c r="F89" s="635">
        <f>VLOOKUP(B89,'Item List'!B:AH,4,FALSE)</f>
        <v>0.1</v>
      </c>
      <c r="G89" s="636">
        <f t="shared" si="5"/>
        <v>0</v>
      </c>
      <c r="H89" s="637"/>
      <c r="I89" s="638">
        <f>ROUNDUP((E89*'Project Materials'!$D$18),0)</f>
        <v>0</v>
      </c>
      <c r="J89" s="639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111" customFormat="1" x14ac:dyDescent="0.4">
      <c r="A90" s="585" t="s">
        <v>712</v>
      </c>
      <c r="B90" s="79" t="str">
        <f>VLOOKUP('Area A'!$B$18,'Item List'!B:AL,8,FALSE)</f>
        <v>None</v>
      </c>
      <c r="C90" s="633" t="str">
        <f>VLOOKUP(B90,'Item List'!B:AH,2,FALSE)</f>
        <v>None</v>
      </c>
      <c r="D90" s="633"/>
      <c r="E90" s="634">
        <f>$E$18*VLOOKUP(B90,'Item List'!B:AM,38,FALSE)</f>
        <v>0</v>
      </c>
      <c r="F90" s="635">
        <f>VLOOKUP(B90,'Item List'!B:AH,4,FALSE)</f>
        <v>0</v>
      </c>
      <c r="G90" s="636">
        <f t="shared" si="5"/>
        <v>0</v>
      </c>
      <c r="H90" s="637"/>
      <c r="I90" s="638">
        <f>ROUNDUP((E90*'Project Materials'!$D$18),0)</f>
        <v>0</v>
      </c>
      <c r="J90" s="639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111" customFormat="1" x14ac:dyDescent="0.4">
      <c r="A91" s="585" t="s">
        <v>712</v>
      </c>
      <c r="B91" s="79" t="str">
        <f>VLOOKUP('Area A'!$B$18,'Item List'!B:AL,9,FALSE)</f>
        <v>None</v>
      </c>
      <c r="C91" s="633" t="str">
        <f>VLOOKUP(B91,'Item List'!B:AH,2,FALSE)</f>
        <v>None</v>
      </c>
      <c r="D91" s="633"/>
      <c r="E91" s="634">
        <f>$E$18*VLOOKUP(B91,'Item List'!B:AM,38,FALSE)</f>
        <v>0</v>
      </c>
      <c r="F91" s="635">
        <f>VLOOKUP(B91,'Item List'!B:AH,4,FALSE)</f>
        <v>0</v>
      </c>
      <c r="G91" s="636">
        <f t="shared" si="5"/>
        <v>0</v>
      </c>
      <c r="H91" s="637"/>
      <c r="I91" s="638">
        <f>ROUNDUP((E91*'Project Materials'!$D$18),0)</f>
        <v>0</v>
      </c>
      <c r="J91" s="639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111" customFormat="1" x14ac:dyDescent="0.4">
      <c r="A92" s="585" t="s">
        <v>712</v>
      </c>
      <c r="B92" s="79" t="str">
        <f>VLOOKUP('Area A'!$B$18,'Item List'!B:AL,10,FALSE)</f>
        <v>None</v>
      </c>
      <c r="C92" s="633" t="str">
        <f>VLOOKUP(B92,'Item List'!B:AH,2,FALSE)</f>
        <v>None</v>
      </c>
      <c r="D92" s="633"/>
      <c r="E92" s="634">
        <f>$E$18*VLOOKUP(B92,'Item List'!B:AM,38,FALSE)</f>
        <v>0</v>
      </c>
      <c r="F92" s="635">
        <f>VLOOKUP(B92,'Item List'!B:AH,4,FALSE)</f>
        <v>0</v>
      </c>
      <c r="G92" s="636">
        <f t="shared" si="5"/>
        <v>0</v>
      </c>
      <c r="H92" s="637"/>
      <c r="I92" s="638">
        <f>ROUNDUP((E92*'Project Materials'!$D$18),0)</f>
        <v>0</v>
      </c>
      <c r="J92" s="639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111" customFormat="1" x14ac:dyDescent="0.4">
      <c r="A93" s="585" t="s">
        <v>712</v>
      </c>
      <c r="B93" s="598" t="str">
        <f>VLOOKUP('Area A'!$B$18,'Item List'!B:AL,11,FALSE)</f>
        <v>None</v>
      </c>
      <c r="C93" s="598" t="str">
        <f>VLOOKUP(B93,'Item List'!B:AH,2,FALSE)</f>
        <v>None</v>
      </c>
      <c r="D93" s="598"/>
      <c r="E93" s="611">
        <f>$E$18*VLOOKUP(B93,'Item List'!B:AM,38,FALSE)</f>
        <v>0</v>
      </c>
      <c r="F93" s="612">
        <f>VLOOKUP(B93,'Item List'!B:AH,4,FALSE)</f>
        <v>0</v>
      </c>
      <c r="G93" s="613">
        <f t="shared" si="5"/>
        <v>0</v>
      </c>
      <c r="H93" s="614"/>
      <c r="I93" s="615">
        <f>ROUNDUP((E93*'Project Materials'!$D$18),0)</f>
        <v>0</v>
      </c>
      <c r="J93" s="616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111" customFormat="1" x14ac:dyDescent="0.4">
      <c r="A94" s="617"/>
      <c r="B94" s="646"/>
      <c r="C94" s="647"/>
      <c r="D94" s="647"/>
      <c r="E94" s="648"/>
      <c r="F94" s="649"/>
      <c r="G94" s="650"/>
      <c r="H94" s="646"/>
      <c r="I94" s="651"/>
      <c r="J94" s="652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111" customFormat="1" x14ac:dyDescent="0.4">
      <c r="A95" s="565" t="s">
        <v>6</v>
      </c>
      <c r="B95" s="79" t="str">
        <f>VLOOKUP('Area A'!$B$22,'Item List'!B:AL,6,FALSE)</f>
        <v>3/8" x 5" SS Lag Screw</v>
      </c>
      <c r="C95" s="79" t="str">
        <f>VLOOKUP(B95,'Item List'!B:AH,2,FALSE)</f>
        <v>3/8" x 5" Stainless Steel Lag Screw</v>
      </c>
      <c r="D95" s="79"/>
      <c r="E95" s="625">
        <f>$E$22*VLOOKUP(B95,'Item List'!B:AM,38,FALSE)</f>
        <v>0</v>
      </c>
      <c r="F95" s="608">
        <f>VLOOKUP(B95,'Item List'!B:AH,4,FALSE)</f>
        <v>0.6</v>
      </c>
      <c r="G95" s="569">
        <f>F95*E95</f>
        <v>0</v>
      </c>
      <c r="H95" s="606"/>
      <c r="I95" s="607">
        <f>ROUNDUP((E95*'Project Materials'!$D$18),0)</f>
        <v>0</v>
      </c>
      <c r="J95" s="572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111" customFormat="1" x14ac:dyDescent="0.4">
      <c r="A96" s="565" t="s">
        <v>6</v>
      </c>
      <c r="B96" s="79" t="str">
        <f>VLOOKUP('Area A'!$B$22,'Item List'!B:AL,7,FALSE)</f>
        <v>None</v>
      </c>
      <c r="C96" s="79" t="str">
        <f>VLOOKUP(B96,'Item List'!B:AH,2,FALSE)</f>
        <v>None</v>
      </c>
      <c r="D96" s="79"/>
      <c r="E96" s="625">
        <f>$E$22*VLOOKUP(B96,'Item List'!B:AM,38,FALSE)</f>
        <v>0</v>
      </c>
      <c r="F96" s="608">
        <f>VLOOKUP(B96,'Item List'!B:AH,4,FALSE)</f>
        <v>0</v>
      </c>
      <c r="G96" s="569">
        <f>F96*E96</f>
        <v>0</v>
      </c>
      <c r="H96" s="606"/>
      <c r="I96" s="607">
        <f>ROUNDUP((E96*'Project Materials'!$D$18),0)</f>
        <v>0</v>
      </c>
      <c r="J96" s="572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111" customFormat="1" x14ac:dyDescent="0.4">
      <c r="A97" s="565" t="s">
        <v>6</v>
      </c>
      <c r="B97" s="79" t="str">
        <f>VLOOKUP('Area A'!$B$22,'Item List'!B:AL,8,FALSE)</f>
        <v>None</v>
      </c>
      <c r="C97" s="79" t="str">
        <f>VLOOKUP(B97,'Item List'!B:AH,2,FALSE)</f>
        <v>None</v>
      </c>
      <c r="D97" s="79"/>
      <c r="E97" s="625">
        <f>$E$22*VLOOKUP(B97,'Item List'!B:AM,38,FALSE)</f>
        <v>0</v>
      </c>
      <c r="F97" s="608">
        <f>VLOOKUP(B97,'Item List'!B:AH,4,FALSE)</f>
        <v>0</v>
      </c>
      <c r="G97" s="569">
        <f>F97*E97</f>
        <v>0</v>
      </c>
      <c r="H97" s="606"/>
      <c r="I97" s="607">
        <f>ROUNDUP((E97*'Project Materials'!$D$18),0)</f>
        <v>0</v>
      </c>
      <c r="J97" s="572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111" customFormat="1" x14ac:dyDescent="0.4">
      <c r="A98" s="565" t="s">
        <v>6</v>
      </c>
      <c r="B98" s="79" t="str">
        <f>VLOOKUP('Area A'!$B$22,'Item List'!B:AL,9,FALSE)</f>
        <v>None</v>
      </c>
      <c r="C98" s="79" t="str">
        <f>VLOOKUP(B98,'Item List'!B:AH,2,FALSE)</f>
        <v>None</v>
      </c>
      <c r="D98" s="79"/>
      <c r="E98" s="625">
        <f>$E$22*VLOOKUP(B98,'Item List'!B:AM,38,FALSE)</f>
        <v>0</v>
      </c>
      <c r="F98" s="608">
        <f>VLOOKUP(B98,'Item List'!B:AH,4,FALSE)</f>
        <v>0</v>
      </c>
      <c r="G98" s="569">
        <f>F98*E98</f>
        <v>0</v>
      </c>
      <c r="H98" s="606"/>
      <c r="I98" s="607">
        <f>ROUNDUP((E98*'Project Materials'!$D$18),0)</f>
        <v>0</v>
      </c>
      <c r="J98" s="572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111" customFormat="1" x14ac:dyDescent="0.4">
      <c r="A99" s="565" t="s">
        <v>6</v>
      </c>
      <c r="B99" s="79" t="str">
        <f>VLOOKUP('Area A'!$B$22,'Item List'!B:AL,10,FALSE)</f>
        <v>None</v>
      </c>
      <c r="C99" s="79" t="str">
        <f>VLOOKUP(B99,'Item List'!B:AH,2,FALSE)</f>
        <v>None</v>
      </c>
      <c r="D99" s="79"/>
      <c r="E99" s="625">
        <f>$E$22*VLOOKUP(B99,'Item List'!B:AM,38,FALSE)</f>
        <v>0</v>
      </c>
      <c r="F99" s="608">
        <f>VLOOKUP(B99,'Item List'!B:AH,4,FALSE)</f>
        <v>0</v>
      </c>
      <c r="G99" s="569">
        <f t="shared" ref="G99:G118" si="7">F99*E99</f>
        <v>0</v>
      </c>
      <c r="H99" s="606"/>
      <c r="I99" s="607">
        <f>ROUNDUP((E99*'Project Materials'!$D$18),0)</f>
        <v>0</v>
      </c>
      <c r="J99" s="572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111" customFormat="1" x14ac:dyDescent="0.4">
      <c r="A100" s="653" t="s">
        <v>6</v>
      </c>
      <c r="B100" s="598" t="str">
        <f>VLOOKUP('Area A'!$B$22,'Item List'!B:AL,11,FALSE)</f>
        <v>None</v>
      </c>
      <c r="C100" s="598" t="str">
        <f>VLOOKUP(B100,'Item List'!B:AH,2,FALSE)</f>
        <v>None</v>
      </c>
      <c r="D100" s="598"/>
      <c r="E100" s="626">
        <f>$E$22*VLOOKUP(B100,'Item List'!B:AM,38,FALSE)</f>
        <v>0</v>
      </c>
      <c r="F100" s="612">
        <f>VLOOKUP(B100,'Item List'!B:AH,4,FALSE)</f>
        <v>0</v>
      </c>
      <c r="G100" s="613">
        <f t="shared" si="7"/>
        <v>0</v>
      </c>
      <c r="H100" s="614"/>
      <c r="I100" s="615">
        <f>ROUNDUP((E100*'Project Materials'!$D$18),0)</f>
        <v>0</v>
      </c>
      <c r="J100" s="616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111" customFormat="1" x14ac:dyDescent="0.4">
      <c r="A101" s="565" t="s">
        <v>6</v>
      </c>
      <c r="B101" s="79" t="str">
        <f>VLOOKUP('Area A'!$B$23,'Item List'!B:AL,6,FALSE)</f>
        <v>3/8" x 5" SS Lag Screw</v>
      </c>
      <c r="C101" s="627" t="str">
        <f>VLOOKUP(B101,'Item List'!B:AH,2,FALSE)</f>
        <v>3/8" x 5" Stainless Steel Lag Screw</v>
      </c>
      <c r="D101" s="627"/>
      <c r="E101" s="625">
        <f>$E$23*VLOOKUP(B101,'Item List'!B:AM,38,FALSE)</f>
        <v>0</v>
      </c>
      <c r="F101" s="608">
        <f>VLOOKUP(B101,'Item List'!B:AH,4,FALSE)</f>
        <v>0.6</v>
      </c>
      <c r="G101" s="569">
        <f t="shared" si="7"/>
        <v>0</v>
      </c>
      <c r="H101" s="606"/>
      <c r="I101" s="607">
        <f>ROUNDUP((E101*'Project Materials'!$D$18),0)</f>
        <v>0</v>
      </c>
      <c r="J101" s="572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111" customFormat="1" x14ac:dyDescent="0.4">
      <c r="A102" s="565" t="s">
        <v>6</v>
      </c>
      <c r="B102" s="79" t="str">
        <f>VLOOKUP('Area A'!$B$23,'Item List'!B:AL,7,FALSE)</f>
        <v>None</v>
      </c>
      <c r="C102" s="79" t="str">
        <f>VLOOKUP(B102,'Item List'!B:AH,2,FALSE)</f>
        <v>None</v>
      </c>
      <c r="D102" s="79"/>
      <c r="E102" s="625">
        <f>$E$23*VLOOKUP(B102,'Item List'!B:AM,38,FALSE)</f>
        <v>0</v>
      </c>
      <c r="F102" s="608">
        <f>VLOOKUP(B102,'Item List'!B:AH,4,FALSE)</f>
        <v>0</v>
      </c>
      <c r="G102" s="569">
        <f t="shared" si="7"/>
        <v>0</v>
      </c>
      <c r="H102" s="606"/>
      <c r="I102" s="607">
        <f>ROUNDUP((E102*'Project Materials'!$D$18),0)</f>
        <v>0</v>
      </c>
      <c r="J102" s="572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111" customFormat="1" x14ac:dyDescent="0.4">
      <c r="A103" s="565" t="s">
        <v>6</v>
      </c>
      <c r="B103" s="79" t="str">
        <f>VLOOKUP('Area A'!$B$23,'Item List'!B:AL,8,FALSE)</f>
        <v>None</v>
      </c>
      <c r="C103" s="79" t="str">
        <f>VLOOKUP(B103,'Item List'!B:AH,2,FALSE)</f>
        <v>None</v>
      </c>
      <c r="D103" s="79"/>
      <c r="E103" s="625">
        <f>$E$23*VLOOKUP(B103,'Item List'!B:AM,38,FALSE)</f>
        <v>0</v>
      </c>
      <c r="F103" s="608">
        <f>VLOOKUP(B103,'Item List'!B:AH,4,FALSE)</f>
        <v>0</v>
      </c>
      <c r="G103" s="569">
        <f t="shared" si="7"/>
        <v>0</v>
      </c>
      <c r="H103" s="606"/>
      <c r="I103" s="607">
        <f>ROUNDUP((E103*'Project Materials'!$D$18),0)</f>
        <v>0</v>
      </c>
      <c r="J103" s="572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111" customFormat="1" x14ac:dyDescent="0.4">
      <c r="A104" s="565" t="s">
        <v>6</v>
      </c>
      <c r="B104" s="79" t="str">
        <f>VLOOKUP('Area A'!$B$23,'Item List'!B:AL,9,FALSE)</f>
        <v>None</v>
      </c>
      <c r="C104" s="79" t="str">
        <f>VLOOKUP(B104,'Item List'!B:AH,2,FALSE)</f>
        <v>None</v>
      </c>
      <c r="D104" s="79"/>
      <c r="E104" s="625">
        <f>$E$23*VLOOKUP(B104,'Item List'!B:AM,38,FALSE)</f>
        <v>0</v>
      </c>
      <c r="F104" s="608">
        <f>VLOOKUP(B104,'Item List'!B:AH,4,FALSE)</f>
        <v>0</v>
      </c>
      <c r="G104" s="569">
        <f t="shared" si="7"/>
        <v>0</v>
      </c>
      <c r="H104" s="606"/>
      <c r="I104" s="607">
        <f>ROUNDUP((E104*'Project Materials'!$D$18),0)</f>
        <v>0</v>
      </c>
      <c r="J104" s="572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111" customFormat="1" x14ac:dyDescent="0.4">
      <c r="A105" s="565" t="s">
        <v>6</v>
      </c>
      <c r="B105" s="79" t="str">
        <f>VLOOKUP('Area A'!$B$23,'Item List'!B:AL,10,FALSE)</f>
        <v>None</v>
      </c>
      <c r="C105" s="79" t="str">
        <f>VLOOKUP(B105,'Item List'!B:AH,2,FALSE)</f>
        <v>None</v>
      </c>
      <c r="D105" s="79"/>
      <c r="E105" s="625">
        <f>$E$23*VLOOKUP(B105,'Item List'!B:AM,38,FALSE)</f>
        <v>0</v>
      </c>
      <c r="F105" s="608">
        <f>VLOOKUP(B105,'Item List'!B:AH,4,FALSE)</f>
        <v>0</v>
      </c>
      <c r="G105" s="569">
        <f t="shared" si="7"/>
        <v>0</v>
      </c>
      <c r="H105" s="606"/>
      <c r="I105" s="607">
        <f>ROUNDUP((E105*'Project Materials'!$D$18),0)</f>
        <v>0</v>
      </c>
      <c r="J105" s="572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111" customFormat="1" x14ac:dyDescent="0.4">
      <c r="A106" s="653" t="s">
        <v>6</v>
      </c>
      <c r="B106" s="628" t="str">
        <f>VLOOKUP('Area A'!$B$23,'Item List'!B:AL,11,FALSE)</f>
        <v>None</v>
      </c>
      <c r="C106" s="628" t="str">
        <f>VLOOKUP(B106,'Item List'!B:AH,2,FALSE)</f>
        <v>None</v>
      </c>
      <c r="D106" s="628"/>
      <c r="E106" s="626">
        <f>$E$23*VLOOKUP(B106,'Item List'!B:AM,38,FALSE)</f>
        <v>0</v>
      </c>
      <c r="F106" s="629">
        <f>VLOOKUP(B106,'Item List'!B:AH,4,FALSE)</f>
        <v>0</v>
      </c>
      <c r="G106" s="630">
        <f t="shared" si="7"/>
        <v>0</v>
      </c>
      <c r="H106" s="606"/>
      <c r="I106" s="631">
        <f>ROUNDUP((E106*'Project Materials'!$D$18),0)</f>
        <v>0</v>
      </c>
      <c r="J106" s="632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111" customFormat="1" x14ac:dyDescent="0.4">
      <c r="A107" s="565" t="s">
        <v>6</v>
      </c>
      <c r="B107" s="79" t="str">
        <f>VLOOKUP('Area A'!$B$24,'Item List'!B:AL,6,FALSE)</f>
        <v>None</v>
      </c>
      <c r="C107" s="627" t="str">
        <f>VLOOKUP(B107,'Item List'!B:AH,2,FALSE)</f>
        <v>None</v>
      </c>
      <c r="D107" s="627"/>
      <c r="E107" s="625">
        <f>$E$24*VLOOKUP(B107,'Item List'!B:AM,38,FALSE)</f>
        <v>0</v>
      </c>
      <c r="F107" s="608">
        <f>VLOOKUP(B107,'Item List'!B:AH,4,FALSE)</f>
        <v>0</v>
      </c>
      <c r="G107" s="569">
        <f t="shared" si="7"/>
        <v>0</v>
      </c>
      <c r="H107" s="606"/>
      <c r="I107" s="607">
        <f>ROUNDUP((E107*'Project Materials'!$D$18),0)</f>
        <v>0</v>
      </c>
      <c r="J107" s="572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111" customFormat="1" x14ac:dyDescent="0.4">
      <c r="A108" s="565" t="s">
        <v>6</v>
      </c>
      <c r="B108" s="79" t="str">
        <f>VLOOKUP('Area A'!$B$24,'Item List'!B:AL,7,FALSE)</f>
        <v>None</v>
      </c>
      <c r="C108" s="79" t="str">
        <f>VLOOKUP(B108,'Item List'!B:AH,2,FALSE)</f>
        <v>None</v>
      </c>
      <c r="D108" s="79"/>
      <c r="E108" s="625">
        <f>$E$24*VLOOKUP(B108,'Item List'!B:AM,38,FALSE)</f>
        <v>0</v>
      </c>
      <c r="F108" s="608">
        <f>VLOOKUP(B108,'Item List'!B:AH,4,FALSE)</f>
        <v>0</v>
      </c>
      <c r="G108" s="569">
        <f t="shared" si="7"/>
        <v>0</v>
      </c>
      <c r="H108" s="606"/>
      <c r="I108" s="607">
        <f>ROUNDUP((E108*'Project Materials'!$D$18),0)</f>
        <v>0</v>
      </c>
      <c r="J108" s="572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111" customFormat="1" x14ac:dyDescent="0.4">
      <c r="A109" s="565" t="s">
        <v>6</v>
      </c>
      <c r="B109" s="79" t="str">
        <f>VLOOKUP('Area A'!$B$24,'Item List'!B:AL,8,FALSE)</f>
        <v>None</v>
      </c>
      <c r="C109" s="79" t="str">
        <f>VLOOKUP(B109,'Item List'!B:AH,2,FALSE)</f>
        <v>None</v>
      </c>
      <c r="D109" s="79"/>
      <c r="E109" s="588">
        <f>$E$24*VLOOKUP(B109,'Item List'!B:AM,38,FALSE)</f>
        <v>0</v>
      </c>
      <c r="F109" s="608">
        <f>VLOOKUP(B109,'Item List'!B:AH,4,FALSE)</f>
        <v>0</v>
      </c>
      <c r="G109" s="569">
        <f t="shared" si="7"/>
        <v>0</v>
      </c>
      <c r="H109" s="606"/>
      <c r="I109" s="607">
        <f>ROUNDUP((E109*'Project Materials'!$D$18),0)</f>
        <v>0</v>
      </c>
      <c r="J109" s="572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111" customFormat="1" x14ac:dyDescent="0.4">
      <c r="A110" s="565" t="s">
        <v>6</v>
      </c>
      <c r="B110" s="79" t="str">
        <f>VLOOKUP('Area A'!$B$24,'Item List'!B:AL,9,FALSE)</f>
        <v>None</v>
      </c>
      <c r="C110" s="79" t="str">
        <f>VLOOKUP(B110,'Item List'!B:AH,2,FALSE)</f>
        <v>None</v>
      </c>
      <c r="D110" s="79"/>
      <c r="E110" s="588">
        <f>$E$24*VLOOKUP(B110,'Item List'!B:AM,38,FALSE)</f>
        <v>0</v>
      </c>
      <c r="F110" s="608">
        <f>VLOOKUP(B110,'Item List'!B:AH,4,FALSE)</f>
        <v>0</v>
      </c>
      <c r="G110" s="569">
        <f t="shared" si="7"/>
        <v>0</v>
      </c>
      <c r="H110" s="606"/>
      <c r="I110" s="607">
        <f>ROUNDUP((E110*'Project Materials'!$D$18),0)</f>
        <v>0</v>
      </c>
      <c r="J110" s="572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111" customFormat="1" x14ac:dyDescent="0.4">
      <c r="A111" s="565" t="s">
        <v>6</v>
      </c>
      <c r="B111" s="79" t="str">
        <f>VLOOKUP('Area A'!$B$24,'Item List'!B:AL,10,FALSE)</f>
        <v>None</v>
      </c>
      <c r="C111" s="79" t="str">
        <f>VLOOKUP(B111,'Item List'!B:AH,2,FALSE)</f>
        <v>None</v>
      </c>
      <c r="D111" s="79"/>
      <c r="E111" s="588">
        <f>$E$24*VLOOKUP(B111,'Item List'!B:AM,38,FALSE)</f>
        <v>0</v>
      </c>
      <c r="F111" s="608">
        <f>VLOOKUP(B111,'Item List'!B:AH,4,FALSE)</f>
        <v>0</v>
      </c>
      <c r="G111" s="569">
        <f t="shared" si="7"/>
        <v>0</v>
      </c>
      <c r="H111" s="606"/>
      <c r="I111" s="607">
        <f>ROUNDUP((E111*'Project Materials'!$D$18),0)</f>
        <v>0</v>
      </c>
      <c r="J111" s="572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111" customFormat="1" x14ac:dyDescent="0.4">
      <c r="A112" s="653" t="s">
        <v>6</v>
      </c>
      <c r="B112" s="598" t="str">
        <f>VLOOKUP('Area A'!$B$24,'Item List'!B:AL,11,FALSE)</f>
        <v>None</v>
      </c>
      <c r="C112" s="598" t="str">
        <f>VLOOKUP(B112,'Item List'!B:AH,2,FALSE)</f>
        <v>None</v>
      </c>
      <c r="D112" s="598"/>
      <c r="E112" s="611">
        <f>$E$24*VLOOKUP(B112,'Item List'!B:AM,38,FALSE)</f>
        <v>0</v>
      </c>
      <c r="F112" s="612">
        <f>VLOOKUP(B112,'Item List'!B:AH,4,FALSE)</f>
        <v>0</v>
      </c>
      <c r="G112" s="613">
        <f t="shared" si="7"/>
        <v>0</v>
      </c>
      <c r="H112" s="614"/>
      <c r="I112" s="615">
        <f>ROUNDUP((E112*'Project Materials'!$D$18),0)</f>
        <v>0</v>
      </c>
      <c r="J112" s="616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111" customFormat="1" x14ac:dyDescent="0.4">
      <c r="A113" s="565" t="s">
        <v>6</v>
      </c>
      <c r="B113" s="79" t="str">
        <f>VLOOKUP('Area A'!$B$25,'Item List'!B:AL,6,FALSE)</f>
        <v>None</v>
      </c>
      <c r="C113" s="627" t="str">
        <f>VLOOKUP(B113,'Item List'!B:AH,2,FALSE)</f>
        <v>None</v>
      </c>
      <c r="D113" s="627"/>
      <c r="E113" s="588">
        <f>$E$25*VLOOKUP(B113,'Item List'!B:AM,38,FALSE)</f>
        <v>0</v>
      </c>
      <c r="F113" s="608">
        <f>VLOOKUP(B113,'Item List'!B:AH,4,FALSE)</f>
        <v>0</v>
      </c>
      <c r="G113" s="569">
        <f t="shared" si="7"/>
        <v>0</v>
      </c>
      <c r="H113" s="606"/>
      <c r="I113" s="607">
        <f>ROUNDUP((E113*'Project Materials'!$D$18),0)</f>
        <v>0</v>
      </c>
      <c r="J113" s="572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111" customFormat="1" x14ac:dyDescent="0.4">
      <c r="A114" s="565" t="s">
        <v>6</v>
      </c>
      <c r="B114" s="79" t="str">
        <f>VLOOKUP('Area A'!$B$25,'Item List'!B:AL,7,FALSE)</f>
        <v>None</v>
      </c>
      <c r="C114" s="79" t="str">
        <f>VLOOKUP(B114,'Item List'!B:AH,2,FALSE)</f>
        <v>None</v>
      </c>
      <c r="D114" s="79"/>
      <c r="E114" s="588">
        <f>$E$25*VLOOKUP(B114,'Item List'!B:AM,38,FALSE)</f>
        <v>0</v>
      </c>
      <c r="F114" s="608">
        <f>VLOOKUP(B114,'Item List'!B:AH,4,FALSE)</f>
        <v>0</v>
      </c>
      <c r="G114" s="569">
        <f t="shared" si="7"/>
        <v>0</v>
      </c>
      <c r="H114" s="606"/>
      <c r="I114" s="607">
        <f>ROUNDUP((E114*'Project Materials'!$D$18),0)</f>
        <v>0</v>
      </c>
      <c r="J114" s="572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111" customFormat="1" x14ac:dyDescent="0.4">
      <c r="A115" s="565" t="s">
        <v>6</v>
      </c>
      <c r="B115" s="79" t="str">
        <f>VLOOKUP('Area A'!$B$25,'Item List'!B:AL,8,FALSE)</f>
        <v>None</v>
      </c>
      <c r="C115" s="79" t="str">
        <f>VLOOKUP(B115,'Item List'!B:AH,2,FALSE)</f>
        <v>None</v>
      </c>
      <c r="D115" s="79"/>
      <c r="E115" s="588">
        <f>$E$25*VLOOKUP(B115,'Item List'!B:AM,38,FALSE)</f>
        <v>0</v>
      </c>
      <c r="F115" s="608">
        <f>VLOOKUP(B115,'Item List'!B:AH,4,FALSE)</f>
        <v>0</v>
      </c>
      <c r="G115" s="569">
        <f t="shared" si="7"/>
        <v>0</v>
      </c>
      <c r="H115" s="606"/>
      <c r="I115" s="607">
        <f>ROUNDUP((E115*'Project Materials'!$D$18),0)</f>
        <v>0</v>
      </c>
      <c r="J115" s="572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111" customFormat="1" x14ac:dyDescent="0.4">
      <c r="A116" s="565" t="s">
        <v>6</v>
      </c>
      <c r="B116" s="79" t="str">
        <f>VLOOKUP('Area A'!$B$25,'Item List'!B:AL,9,FALSE)</f>
        <v>None</v>
      </c>
      <c r="C116" s="79" t="str">
        <f>VLOOKUP(B116,'Item List'!B:AH,2,FALSE)</f>
        <v>None</v>
      </c>
      <c r="D116" s="79"/>
      <c r="E116" s="588">
        <f>$E$25*VLOOKUP(B116,'Item List'!B:AM,38,FALSE)</f>
        <v>0</v>
      </c>
      <c r="F116" s="608">
        <f>VLOOKUP(B116,'Item List'!B:AH,4,FALSE)</f>
        <v>0</v>
      </c>
      <c r="G116" s="569">
        <f t="shared" si="7"/>
        <v>0</v>
      </c>
      <c r="H116" s="606"/>
      <c r="I116" s="607">
        <f>ROUNDUP((E116*'Project Materials'!$D$18),0)</f>
        <v>0</v>
      </c>
      <c r="J116" s="572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111" customFormat="1" x14ac:dyDescent="0.4">
      <c r="A117" s="565" t="s">
        <v>6</v>
      </c>
      <c r="B117" s="79" t="str">
        <f>VLOOKUP('Area A'!$B$25,'Item List'!B:AL,10,FALSE)</f>
        <v>None</v>
      </c>
      <c r="C117" s="79" t="str">
        <f>VLOOKUP(B117,'Item List'!B:AH,2,FALSE)</f>
        <v>None</v>
      </c>
      <c r="D117" s="79"/>
      <c r="E117" s="588">
        <f>$E$25*VLOOKUP(B117,'Item List'!B:AM,38,FALSE)</f>
        <v>0</v>
      </c>
      <c r="F117" s="608">
        <f>VLOOKUP(B117,'Item List'!B:AH,4,FALSE)</f>
        <v>0</v>
      </c>
      <c r="G117" s="569">
        <f t="shared" si="7"/>
        <v>0</v>
      </c>
      <c r="H117" s="606"/>
      <c r="I117" s="607">
        <f>ROUNDUP((E117*'Project Materials'!$D$18),0)</f>
        <v>0</v>
      </c>
      <c r="J117" s="572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111" customFormat="1" x14ac:dyDescent="0.4">
      <c r="A118" s="565" t="s">
        <v>6</v>
      </c>
      <c r="B118" s="598" t="str">
        <f>VLOOKUP('Area A'!$B$25,'Item List'!B:AL,11,FALSE)</f>
        <v>None</v>
      </c>
      <c r="C118" s="598" t="str">
        <f>VLOOKUP(B118,'Item List'!B:AH,2,FALSE)</f>
        <v>None</v>
      </c>
      <c r="D118" s="598"/>
      <c r="E118" s="611">
        <f>$E$25*VLOOKUP(B118,'Item List'!B:AM,38,FALSE)</f>
        <v>0</v>
      </c>
      <c r="F118" s="612">
        <f>VLOOKUP(B118,'Item List'!B:AH,4,FALSE)</f>
        <v>0</v>
      </c>
      <c r="G118" s="613">
        <f t="shared" si="7"/>
        <v>0</v>
      </c>
      <c r="H118" s="614"/>
      <c r="I118" s="615">
        <f>ROUNDUP((E118*'Project Materials'!$D$18),0)</f>
        <v>0</v>
      </c>
      <c r="J118" s="616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111" customFormat="1" x14ac:dyDescent="0.4">
      <c r="A119" s="617"/>
      <c r="B119" s="646"/>
      <c r="C119" s="654"/>
      <c r="D119" s="654"/>
      <c r="E119" s="648"/>
      <c r="F119" s="649"/>
      <c r="G119" s="650"/>
      <c r="H119" s="646"/>
      <c r="I119" s="651"/>
      <c r="J119" s="652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65" t="s">
        <v>448</v>
      </c>
      <c r="B120" s="79" t="str">
        <f>VLOOKUP('Area A'!B29,'Item List'!B:AL,6,FALSE)</f>
        <v>None</v>
      </c>
      <c r="C120" s="79" t="str">
        <f>VLOOKUP(B120,'Item List'!B:AH,2,FALSE)</f>
        <v>None</v>
      </c>
      <c r="D120" s="79"/>
      <c r="E120" s="588">
        <f>VLOOKUP(B120,'Item List'!B:AM,33,FALSE)</f>
        <v>0</v>
      </c>
      <c r="F120" s="608">
        <f>VLOOKUP(B120,'Item List'!B:AH,4,FALSE)</f>
        <v>0</v>
      </c>
      <c r="G120" s="569">
        <f t="shared" ref="G120:G131" si="9">F120*E120</f>
        <v>0</v>
      </c>
      <c r="H120" s="606"/>
      <c r="I120" s="607">
        <f>ROUNDUP((E120*'Project Materials'!$D$18),0)</f>
        <v>0</v>
      </c>
      <c r="J120" s="572">
        <f t="shared" ref="J120:J131" si="10">G120+(I120*F120)</f>
        <v>0</v>
      </c>
    </row>
    <row r="121" spans="1:67" x14ac:dyDescent="0.4">
      <c r="A121" s="653" t="s">
        <v>448</v>
      </c>
      <c r="B121" s="598" t="str">
        <f>VLOOKUP('Area A'!B30,'Item List'!B:AL,6,FALSE)</f>
        <v>None</v>
      </c>
      <c r="C121" s="598" t="str">
        <f>VLOOKUP(B121,'Item List'!B:AH,2,FALSE)</f>
        <v>None</v>
      </c>
      <c r="D121" s="598"/>
      <c r="E121" s="611">
        <f>VLOOKUP(B121,'Item List'!B:AM,33,FALSE)</f>
        <v>0</v>
      </c>
      <c r="F121" s="612">
        <f>VLOOKUP(B121,'Item List'!B:AH,4,FALSE)</f>
        <v>0</v>
      </c>
      <c r="G121" s="613">
        <f t="shared" si="9"/>
        <v>0</v>
      </c>
      <c r="H121" s="614"/>
      <c r="I121" s="615">
        <f>ROUNDUP((E121*'Project Materials'!$D$18),0)</f>
        <v>0</v>
      </c>
      <c r="J121" s="616">
        <f t="shared" si="10"/>
        <v>0</v>
      </c>
    </row>
    <row r="122" spans="1:67" x14ac:dyDescent="0.4">
      <c r="A122" s="565" t="s">
        <v>449</v>
      </c>
      <c r="B122" s="79" t="str">
        <f>VLOOKUP('Area A'!B31,'Item List'!B:AL,6,FALSE)</f>
        <v>None</v>
      </c>
      <c r="C122" s="627" t="str">
        <f>VLOOKUP(B122,'Item List'!B:AH,2,FALSE)</f>
        <v>None</v>
      </c>
      <c r="D122" s="627"/>
      <c r="E122" s="588">
        <f>VLOOKUP(B122,'Item List'!B:AM,33,FALSE)</f>
        <v>0</v>
      </c>
      <c r="F122" s="608">
        <f>VLOOKUP(B122,'Item List'!B:AH,4,FALSE)</f>
        <v>0</v>
      </c>
      <c r="G122" s="569">
        <f t="shared" si="9"/>
        <v>0</v>
      </c>
      <c r="H122" s="606"/>
      <c r="I122" s="607">
        <f>ROUNDUP((E122*'Project Materials'!$D$18),0)</f>
        <v>0</v>
      </c>
      <c r="J122" s="572">
        <f t="shared" si="10"/>
        <v>0</v>
      </c>
    </row>
    <row r="123" spans="1:67" x14ac:dyDescent="0.4">
      <c r="A123" s="653" t="s">
        <v>449</v>
      </c>
      <c r="B123" s="598" t="str">
        <f>VLOOKUP('Area A'!B32,'Item List'!B:AL,6,FALSE)</f>
        <v>None</v>
      </c>
      <c r="C123" s="598" t="str">
        <f>VLOOKUP(B123,'Item List'!B:AH,2,FALSE)</f>
        <v>None</v>
      </c>
      <c r="D123" s="598"/>
      <c r="E123" s="611">
        <f>VLOOKUP(B123,'Item List'!B:AM,33,FALSE)</f>
        <v>0</v>
      </c>
      <c r="F123" s="612">
        <f>VLOOKUP(B123,'Item List'!B:AH,4,FALSE)</f>
        <v>0</v>
      </c>
      <c r="G123" s="613">
        <f t="shared" si="9"/>
        <v>0</v>
      </c>
      <c r="H123" s="614"/>
      <c r="I123" s="615">
        <f>ROUNDUP((E123*'Project Materials'!$D$18),0)</f>
        <v>0</v>
      </c>
      <c r="J123" s="616">
        <f t="shared" si="10"/>
        <v>0</v>
      </c>
    </row>
    <row r="124" spans="1:67" x14ac:dyDescent="0.4">
      <c r="A124" s="565" t="s">
        <v>450</v>
      </c>
      <c r="B124" s="79" t="str">
        <f>VLOOKUP('Area A'!B33,'Item List'!B:AL,6,FALSE)</f>
        <v>None</v>
      </c>
      <c r="C124" s="627" t="str">
        <f>VLOOKUP(B124,'Item List'!B:AH,2,FALSE)</f>
        <v>None</v>
      </c>
      <c r="D124" s="627"/>
      <c r="E124" s="588">
        <f>VLOOKUP(B124,'Item List'!B:AM,33,FALSE)</f>
        <v>0</v>
      </c>
      <c r="F124" s="608">
        <f>VLOOKUP(B124,'Item List'!B:AH,4,FALSE)</f>
        <v>0</v>
      </c>
      <c r="G124" s="569">
        <f t="shared" si="9"/>
        <v>0</v>
      </c>
      <c r="H124" s="606"/>
      <c r="I124" s="607">
        <f>ROUNDUP((E124*'Project Materials'!$D$18),0)</f>
        <v>0</v>
      </c>
      <c r="J124" s="572">
        <f t="shared" si="10"/>
        <v>0</v>
      </c>
    </row>
    <row r="125" spans="1:67" x14ac:dyDescent="0.4">
      <c r="A125" s="653" t="s">
        <v>450</v>
      </c>
      <c r="B125" s="598" t="str">
        <f>VLOOKUP('Area A'!B34,'Item List'!B:AL,6,FALSE)</f>
        <v>None</v>
      </c>
      <c r="C125" s="598" t="str">
        <f>VLOOKUP(B125,'Item List'!B:AH,2,FALSE)</f>
        <v>None</v>
      </c>
      <c r="D125" s="598"/>
      <c r="E125" s="611">
        <f>VLOOKUP(B125,'Item List'!B:AM,33,FALSE)</f>
        <v>0</v>
      </c>
      <c r="F125" s="612">
        <f>VLOOKUP(B125,'Item List'!B:AH,4,FALSE)</f>
        <v>0</v>
      </c>
      <c r="G125" s="613">
        <f t="shared" si="9"/>
        <v>0</v>
      </c>
      <c r="H125" s="614"/>
      <c r="I125" s="615">
        <f>ROUNDUP((E125*'Project Materials'!$D$18),0)</f>
        <v>0</v>
      </c>
      <c r="J125" s="616">
        <f t="shared" si="10"/>
        <v>0</v>
      </c>
    </row>
    <row r="126" spans="1:67" x14ac:dyDescent="0.4">
      <c r="A126" s="565" t="s">
        <v>451</v>
      </c>
      <c r="B126" s="79" t="str">
        <f>VLOOKUP('Area A'!B35,'Item List'!B:AL,6,FALSE)</f>
        <v>None</v>
      </c>
      <c r="C126" s="627" t="str">
        <f>VLOOKUP(B126,'Item List'!B:AH,2,FALSE)</f>
        <v>None</v>
      </c>
      <c r="D126" s="627"/>
      <c r="E126" s="588">
        <f>VLOOKUP(B126,'Item List'!B:AM,33,FALSE)</f>
        <v>0</v>
      </c>
      <c r="F126" s="608">
        <f>VLOOKUP(B126,'Item List'!B:AH,4,FALSE)</f>
        <v>0</v>
      </c>
      <c r="G126" s="569">
        <f t="shared" si="9"/>
        <v>0</v>
      </c>
      <c r="H126" s="606"/>
      <c r="I126" s="607">
        <f>ROUNDUP((E126*'Project Materials'!$D$18),0)</f>
        <v>0</v>
      </c>
      <c r="J126" s="572">
        <f t="shared" si="10"/>
        <v>0</v>
      </c>
    </row>
    <row r="127" spans="1:67" x14ac:dyDescent="0.4">
      <c r="A127" s="653" t="s">
        <v>451</v>
      </c>
      <c r="B127" s="598" t="str">
        <f>VLOOKUP('Area A'!B36,'Item List'!B:AL,6,FALSE)</f>
        <v>None</v>
      </c>
      <c r="C127" s="598" t="str">
        <f>VLOOKUP(B127,'Item List'!B:AH,2,FALSE)</f>
        <v>None</v>
      </c>
      <c r="D127" s="598"/>
      <c r="E127" s="611">
        <f>VLOOKUP(B127,'Item List'!B:AM,33,FALSE)</f>
        <v>0</v>
      </c>
      <c r="F127" s="612">
        <f>VLOOKUP(B127,'Item List'!B:AH,4,FALSE)</f>
        <v>0</v>
      </c>
      <c r="G127" s="613">
        <f t="shared" si="9"/>
        <v>0</v>
      </c>
      <c r="H127" s="614"/>
      <c r="I127" s="615">
        <f>ROUNDUP((E127*'Project Materials'!$D$18),0)</f>
        <v>0</v>
      </c>
      <c r="J127" s="616">
        <f t="shared" si="10"/>
        <v>0</v>
      </c>
    </row>
    <row r="128" spans="1:67" x14ac:dyDescent="0.4">
      <c r="A128" s="565" t="s">
        <v>363</v>
      </c>
      <c r="B128" s="79" t="str">
        <f>VLOOKUP('Area A'!B40,'Item List'!B:AL,6,FALSE)</f>
        <v>SS End Plate Screw</v>
      </c>
      <c r="C128" s="627" t="str">
        <f>VLOOKUP(B128,'Item List'!B:AH,2,FALSE)</f>
        <v>#8 X 3/4 Philips Flat Self Drilling18-8 S/S</v>
      </c>
      <c r="D128" s="627"/>
      <c r="E128" s="588">
        <f>E40*VLOOKUP(B128,'Item List'!B:AM,38,FALSE)</f>
        <v>0</v>
      </c>
      <c r="F128" s="608">
        <f>VLOOKUP(B128,'Item List'!B:AH,4,FALSE)</f>
        <v>5.2600000000000001E-2</v>
      </c>
      <c r="G128" s="569">
        <f t="shared" si="9"/>
        <v>0</v>
      </c>
      <c r="H128" s="606"/>
      <c r="I128" s="607">
        <f>ROUNDUP((E128*'Project Materials'!$D$18),0)</f>
        <v>0</v>
      </c>
      <c r="J128" s="572">
        <f t="shared" si="10"/>
        <v>0</v>
      </c>
    </row>
    <row r="129" spans="1:10" x14ac:dyDescent="0.4">
      <c r="A129" s="653" t="s">
        <v>363</v>
      </c>
      <c r="B129" s="598" t="str">
        <f>VLOOKUP('Area A'!B41,'Item List'!B:AL,6,FALSE)</f>
        <v>None</v>
      </c>
      <c r="C129" s="598" t="str">
        <f>VLOOKUP(B129,'Item List'!B:AH,2,FALSE)</f>
        <v>None</v>
      </c>
      <c r="D129" s="598"/>
      <c r="E129" s="611">
        <f>E41*VLOOKUP(B129,'Item List'!B:AM,38,FALSE)</f>
        <v>0</v>
      </c>
      <c r="F129" s="612">
        <f>VLOOKUP(B129,'Item List'!B:AH,4,FALSE)</f>
        <v>0</v>
      </c>
      <c r="G129" s="613">
        <f t="shared" si="9"/>
        <v>0</v>
      </c>
      <c r="H129" s="614"/>
      <c r="I129" s="615">
        <f>ROUNDUP((E129*'Project Materials'!$D$18),0)</f>
        <v>0</v>
      </c>
      <c r="J129" s="616">
        <f t="shared" si="10"/>
        <v>0</v>
      </c>
    </row>
    <row r="130" spans="1:10" x14ac:dyDescent="0.4">
      <c r="A130" s="565" t="s">
        <v>7</v>
      </c>
      <c r="B130" s="79" t="str">
        <f>VLOOKUP('Area A'!B47,'Item List'!B:AL,6,FALSE)</f>
        <v>None</v>
      </c>
      <c r="C130" s="627" t="str">
        <f>VLOOKUP(B130,'Item List'!B:AH,2,FALSE)</f>
        <v>None</v>
      </c>
      <c r="D130" s="627"/>
      <c r="E130" s="588">
        <f>VLOOKUP(B130,'Item List'!B:AM,33,FALSE)</f>
        <v>0</v>
      </c>
      <c r="F130" s="608">
        <f>VLOOKUP(B130,'Item List'!B:AH,4,FALSE)</f>
        <v>0</v>
      </c>
      <c r="G130" s="569">
        <f t="shared" si="9"/>
        <v>0</v>
      </c>
      <c r="H130" s="606"/>
      <c r="I130" s="607">
        <f>ROUNDUP((E130*'Project Materials'!$D$18),0)</f>
        <v>0</v>
      </c>
      <c r="J130" s="572">
        <f t="shared" si="10"/>
        <v>0</v>
      </c>
    </row>
    <row r="131" spans="1:10" x14ac:dyDescent="0.4">
      <c r="A131" s="565" t="s">
        <v>7</v>
      </c>
      <c r="B131" s="79" t="str">
        <f>VLOOKUP('Area A'!B47,'Item List'!B:AL,11,FALSE)</f>
        <v>None</v>
      </c>
      <c r="C131" s="79" t="str">
        <f>VLOOKUP(B131,'Item List'!B:AH,2,FALSE)</f>
        <v>None</v>
      </c>
      <c r="D131" s="79"/>
      <c r="E131" s="588">
        <f>VLOOKUP(B131,'Item List'!B:AM,33,FALSE)</f>
        <v>0</v>
      </c>
      <c r="F131" s="608">
        <f>VLOOKUP(B131,'Item List'!B:AH,4,FALSE)</f>
        <v>0</v>
      </c>
      <c r="G131" s="569">
        <f t="shared" si="9"/>
        <v>0</v>
      </c>
      <c r="H131" s="606"/>
      <c r="I131" s="607">
        <f>ROUNDUP((E131*'Project Materials'!$D$18),0)</f>
        <v>0</v>
      </c>
      <c r="J131" s="572">
        <f t="shared" si="10"/>
        <v>0</v>
      </c>
    </row>
    <row r="132" spans="1:10" x14ac:dyDescent="0.4">
      <c r="A132" s="565" t="s">
        <v>7</v>
      </c>
      <c r="B132" s="79" t="str">
        <f>VLOOKUP('Area A'!B48,'Item List'!B:AL,6,FALSE)</f>
        <v>None</v>
      </c>
      <c r="C132" s="79" t="str">
        <f>VLOOKUP(B132,'Item List'!B:AH,2,FALSE)</f>
        <v>None</v>
      </c>
      <c r="D132" s="79"/>
      <c r="E132" s="588">
        <f>VLOOKUP(B132,'Item List'!B:AM,33,FALSE)</f>
        <v>0</v>
      </c>
      <c r="F132" s="608">
        <f>VLOOKUP(B132,'Item List'!B:AH,4,FALSE)</f>
        <v>0</v>
      </c>
      <c r="G132" s="569">
        <f t="shared" ref="G132:G143" si="11">F132*E132</f>
        <v>0</v>
      </c>
      <c r="H132" s="606"/>
      <c r="I132" s="607">
        <f>ROUNDUP((E132*'Project Materials'!$D$18),0)</f>
        <v>0</v>
      </c>
      <c r="J132" s="572">
        <f t="shared" ref="J132:J143" si="12">G132+(I132*F132)</f>
        <v>0</v>
      </c>
    </row>
    <row r="133" spans="1:10" x14ac:dyDescent="0.4">
      <c r="A133" s="565" t="s">
        <v>7</v>
      </c>
      <c r="B133" s="79" t="str">
        <f>VLOOKUP('Area A'!B48,'Item List'!B:AL,11,FALSE)</f>
        <v>None</v>
      </c>
      <c r="C133" s="79" t="str">
        <f>VLOOKUP(B133,'Item List'!B:AH,2,FALSE)</f>
        <v>None</v>
      </c>
      <c r="D133" s="79"/>
      <c r="E133" s="588">
        <f>VLOOKUP(B133,'Item List'!B:AM,33,FALSE)</f>
        <v>0</v>
      </c>
      <c r="F133" s="608">
        <f>VLOOKUP(B133,'Item List'!B:AH,4,FALSE)</f>
        <v>0</v>
      </c>
      <c r="G133" s="569">
        <f t="shared" si="11"/>
        <v>0</v>
      </c>
      <c r="H133" s="606"/>
      <c r="I133" s="607">
        <f>ROUNDUP((E133*'Project Materials'!$D$18),0)</f>
        <v>0</v>
      </c>
      <c r="J133" s="572">
        <f t="shared" si="12"/>
        <v>0</v>
      </c>
    </row>
    <row r="134" spans="1:10" x14ac:dyDescent="0.4">
      <c r="A134" s="565" t="s">
        <v>7</v>
      </c>
      <c r="B134" s="79" t="str">
        <f>VLOOKUP('Area A'!B49,'Item List'!B:AL,6,FALSE)</f>
        <v>None</v>
      </c>
      <c r="C134" s="79" t="str">
        <f>VLOOKUP(B134,'Item List'!B:AH,2,FALSE)</f>
        <v>None</v>
      </c>
      <c r="D134" s="79"/>
      <c r="E134" s="588">
        <f>VLOOKUP(B134,'Item List'!B:AM,33,FALSE)</f>
        <v>0</v>
      </c>
      <c r="F134" s="608">
        <f>VLOOKUP(B134,'Item List'!B:AH,4,FALSE)</f>
        <v>0</v>
      </c>
      <c r="G134" s="569">
        <f t="shared" si="11"/>
        <v>0</v>
      </c>
      <c r="H134" s="606"/>
      <c r="I134" s="607">
        <f>ROUNDUP((E134*'Project Materials'!$D$18),0)</f>
        <v>0</v>
      </c>
      <c r="J134" s="572">
        <f t="shared" si="12"/>
        <v>0</v>
      </c>
    </row>
    <row r="135" spans="1:10" x14ac:dyDescent="0.4">
      <c r="A135" s="565" t="s">
        <v>7</v>
      </c>
      <c r="B135" s="79" t="str">
        <f>VLOOKUP('Area A'!B49,'Item List'!B:AL,11,FALSE)</f>
        <v>None</v>
      </c>
      <c r="C135" s="79" t="str">
        <f>VLOOKUP(B135,'Item List'!B:AH,2,FALSE)</f>
        <v>None</v>
      </c>
      <c r="D135" s="79"/>
      <c r="E135" s="588">
        <f>VLOOKUP(B135,'Item List'!B:AM,33,FALSE)</f>
        <v>0</v>
      </c>
      <c r="F135" s="608">
        <f>VLOOKUP(B135,'Item List'!B:AH,4,FALSE)</f>
        <v>0</v>
      </c>
      <c r="G135" s="569">
        <f t="shared" si="11"/>
        <v>0</v>
      </c>
      <c r="H135" s="606"/>
      <c r="I135" s="607">
        <f>ROUNDUP((E135*'Project Materials'!$D$18),0)</f>
        <v>0</v>
      </c>
      <c r="J135" s="572">
        <f t="shared" si="12"/>
        <v>0</v>
      </c>
    </row>
    <row r="136" spans="1:10" x14ac:dyDescent="0.4">
      <c r="A136" s="565" t="s">
        <v>7</v>
      </c>
      <c r="B136" s="79" t="str">
        <f>VLOOKUP('Area A'!B50,'Item List'!B:AL,6,FALSE)</f>
        <v>None</v>
      </c>
      <c r="C136" s="79" t="str">
        <f>VLOOKUP(B136,'Item List'!B:AH,2,FALSE)</f>
        <v>None</v>
      </c>
      <c r="D136" s="79"/>
      <c r="E136" s="588">
        <f>VLOOKUP(B136,'Item List'!B:AM,33,FALSE)</f>
        <v>0</v>
      </c>
      <c r="F136" s="608">
        <f>VLOOKUP(B136,'Item List'!B:AH,4,FALSE)</f>
        <v>0</v>
      </c>
      <c r="G136" s="569">
        <f t="shared" si="11"/>
        <v>0</v>
      </c>
      <c r="H136" s="606"/>
      <c r="I136" s="607">
        <f>ROUNDUP((E136*'Project Materials'!$D$18),0)</f>
        <v>0</v>
      </c>
      <c r="J136" s="572">
        <f t="shared" si="12"/>
        <v>0</v>
      </c>
    </row>
    <row r="137" spans="1:10" x14ac:dyDescent="0.4">
      <c r="A137" s="565" t="s">
        <v>7</v>
      </c>
      <c r="B137" s="79" t="str">
        <f>VLOOKUP('Area A'!B50,'Item List'!B:AL,11,FALSE)</f>
        <v>None</v>
      </c>
      <c r="C137" s="79" t="str">
        <f>VLOOKUP(B137,'Item List'!B:AH,2,FALSE)</f>
        <v>None</v>
      </c>
      <c r="D137" s="79"/>
      <c r="E137" s="588">
        <f>VLOOKUP(B137,'Item List'!B:AM,33,FALSE)</f>
        <v>0</v>
      </c>
      <c r="F137" s="608">
        <f>VLOOKUP(B137,'Item List'!B:AH,4,FALSE)</f>
        <v>0</v>
      </c>
      <c r="G137" s="569">
        <f t="shared" si="11"/>
        <v>0</v>
      </c>
      <c r="H137" s="606"/>
      <c r="I137" s="607">
        <f>ROUNDUP((E137*'Project Materials'!$D$18),0)</f>
        <v>0</v>
      </c>
      <c r="J137" s="572">
        <f t="shared" si="12"/>
        <v>0</v>
      </c>
    </row>
    <row r="138" spans="1:10" x14ac:dyDescent="0.4">
      <c r="A138" s="565" t="s">
        <v>7</v>
      </c>
      <c r="B138" s="79" t="str">
        <f>VLOOKUP('Area A'!B52,'Item List'!B:AL,6,FALSE)</f>
        <v>None</v>
      </c>
      <c r="C138" s="79" t="str">
        <f>VLOOKUP(B138,'Item List'!B:AH,2,FALSE)</f>
        <v>None</v>
      </c>
      <c r="D138" s="79"/>
      <c r="E138" s="588">
        <f>VLOOKUP(B138,'Item List'!B:AM,33,FALSE)</f>
        <v>0</v>
      </c>
      <c r="F138" s="608">
        <f>VLOOKUP(B138,'Item List'!B:AH,4,FALSE)</f>
        <v>0</v>
      </c>
      <c r="G138" s="569">
        <f t="shared" si="11"/>
        <v>0</v>
      </c>
      <c r="H138" s="606"/>
      <c r="I138" s="607">
        <f>ROUNDUP((E138*'Project Materials'!$D$18),0)</f>
        <v>0</v>
      </c>
      <c r="J138" s="572">
        <f t="shared" si="12"/>
        <v>0</v>
      </c>
    </row>
    <row r="139" spans="1:10" x14ac:dyDescent="0.4">
      <c r="A139" s="565" t="s">
        <v>7</v>
      </c>
      <c r="B139" s="79" t="str">
        <f>VLOOKUP('Area A'!B52,'Item List'!B:AL,11,FALSE)</f>
        <v>None</v>
      </c>
      <c r="C139" s="79" t="str">
        <f>VLOOKUP(B139,'Item List'!B:AH,2,FALSE)</f>
        <v>None</v>
      </c>
      <c r="D139" s="79"/>
      <c r="E139" s="588">
        <f>VLOOKUP(B139,'Item List'!B:AM,33,FALSE)</f>
        <v>0</v>
      </c>
      <c r="F139" s="608">
        <f>VLOOKUP(B139,'Item List'!B:AH,4,FALSE)</f>
        <v>0</v>
      </c>
      <c r="G139" s="569">
        <f t="shared" si="11"/>
        <v>0</v>
      </c>
      <c r="H139" s="606"/>
      <c r="I139" s="607">
        <f>ROUNDUP((E139*'Project Materials'!$D$18),0)</f>
        <v>0</v>
      </c>
      <c r="J139" s="572">
        <f t="shared" si="12"/>
        <v>0</v>
      </c>
    </row>
    <row r="140" spans="1:10" x14ac:dyDescent="0.4">
      <c r="A140" s="565" t="s">
        <v>7</v>
      </c>
      <c r="B140" s="79" t="str">
        <f>VLOOKUP('Area A'!B53,'Item List'!B:AL,6,FALSE)</f>
        <v>None</v>
      </c>
      <c r="C140" s="79" t="str">
        <f>VLOOKUP(B140,'Item List'!B:AH,2,FALSE)</f>
        <v>None</v>
      </c>
      <c r="D140" s="79"/>
      <c r="E140" s="588">
        <f>VLOOKUP(B140,'Item List'!B:AM,33,FALSE)</f>
        <v>0</v>
      </c>
      <c r="F140" s="608">
        <f>VLOOKUP(B140,'Item List'!B:AH,4,FALSE)</f>
        <v>0</v>
      </c>
      <c r="G140" s="569">
        <f t="shared" si="11"/>
        <v>0</v>
      </c>
      <c r="H140" s="606"/>
      <c r="I140" s="607">
        <f>ROUNDUP((E140*'Project Materials'!$D$18),0)</f>
        <v>0</v>
      </c>
      <c r="J140" s="572">
        <f t="shared" si="12"/>
        <v>0</v>
      </c>
    </row>
    <row r="141" spans="1:10" x14ac:dyDescent="0.4">
      <c r="A141" s="565" t="s">
        <v>7</v>
      </c>
      <c r="B141" s="79" t="str">
        <f>VLOOKUP('Area A'!B53,'Item List'!B:AL,11,FALSE)</f>
        <v>None</v>
      </c>
      <c r="C141" s="79" t="str">
        <f>VLOOKUP(B141,'Item List'!B:AH,2,FALSE)</f>
        <v>None</v>
      </c>
      <c r="D141" s="79"/>
      <c r="E141" s="588">
        <f>VLOOKUP(B141,'Item List'!B:AM,33,FALSE)</f>
        <v>0</v>
      </c>
      <c r="F141" s="608">
        <f>VLOOKUP(B141,'Item List'!B:AH,4,FALSE)</f>
        <v>0</v>
      </c>
      <c r="G141" s="569">
        <f t="shared" si="11"/>
        <v>0</v>
      </c>
      <c r="H141" s="606"/>
      <c r="I141" s="607">
        <f>ROUNDUP((E141*'Project Materials'!$D$18),0)</f>
        <v>0</v>
      </c>
      <c r="J141" s="572">
        <f t="shared" si="12"/>
        <v>0</v>
      </c>
    </row>
    <row r="142" spans="1:10" x14ac:dyDescent="0.4">
      <c r="A142" s="565" t="s">
        <v>7</v>
      </c>
      <c r="B142" s="79" t="str">
        <f>VLOOKUP('Area A'!B54,'Item List'!B:AL,6,FALSE)</f>
        <v>None</v>
      </c>
      <c r="C142" s="79" t="str">
        <f>VLOOKUP(B142,'Item List'!B:AH,2,FALSE)</f>
        <v>None</v>
      </c>
      <c r="D142" s="79"/>
      <c r="E142" s="588">
        <f>VLOOKUP(B142,'Item List'!B:AM,33,FALSE)</f>
        <v>0</v>
      </c>
      <c r="F142" s="608">
        <f>VLOOKUP(B142,'Item List'!B:AH,4,FALSE)</f>
        <v>0</v>
      </c>
      <c r="G142" s="569">
        <f t="shared" si="11"/>
        <v>0</v>
      </c>
      <c r="H142" s="606"/>
      <c r="I142" s="607">
        <f>ROUNDUP((E142*'Project Materials'!$D$18),0)</f>
        <v>0</v>
      </c>
      <c r="J142" s="572">
        <f t="shared" si="12"/>
        <v>0</v>
      </c>
    </row>
    <row r="143" spans="1:10" x14ac:dyDescent="0.4">
      <c r="A143" s="565" t="s">
        <v>7</v>
      </c>
      <c r="B143" s="79" t="str">
        <f>VLOOKUP('Area A'!B54,'Item List'!B:AL,11,FALSE)</f>
        <v>None</v>
      </c>
      <c r="C143" s="79" t="str">
        <f>VLOOKUP(B143,'Item List'!B:AH,2,FALSE)</f>
        <v>None</v>
      </c>
      <c r="D143" s="79"/>
      <c r="E143" s="588">
        <f>VLOOKUP(B143,'Item List'!B:AM,33,FALSE)</f>
        <v>0</v>
      </c>
      <c r="F143" s="608">
        <f>VLOOKUP(B143,'Item List'!B:AH,4,FALSE)</f>
        <v>0</v>
      </c>
      <c r="G143" s="569">
        <f t="shared" si="11"/>
        <v>0</v>
      </c>
      <c r="H143" s="606"/>
      <c r="I143" s="607">
        <f>ROUNDUP((E143*'Project Materials'!$D$18),0)</f>
        <v>0</v>
      </c>
      <c r="J143" s="572">
        <f t="shared" si="12"/>
        <v>0</v>
      </c>
    </row>
    <row r="144" spans="1:10" x14ac:dyDescent="0.4">
      <c r="A144" s="565" t="s">
        <v>429</v>
      </c>
      <c r="B144" s="79" t="str">
        <f>VLOOKUP('Area A'!B199,'Item List'!B:AJ,6,FALSE)</f>
        <v>None</v>
      </c>
      <c r="C144" s="79" t="str">
        <f>VLOOKUP(B144,'Item List'!B:AH,2,FALSE)</f>
        <v>None</v>
      </c>
      <c r="D144" s="79"/>
      <c r="E144" s="588">
        <f>VLOOKUP(B144,'Item List'!B:AM,33,FALSE)</f>
        <v>0</v>
      </c>
      <c r="F144" s="608">
        <f>VLOOKUP(B144,'Item List'!B:AH,4,FALSE)</f>
        <v>0</v>
      </c>
      <c r="G144" s="569">
        <f>F144*E144</f>
        <v>0</v>
      </c>
      <c r="H144" s="606"/>
      <c r="I144" s="607">
        <f>ROUNDUP((E144*'Project Materials'!$D$18),0)</f>
        <v>0</v>
      </c>
      <c r="J144" s="572">
        <f t="shared" ref="J144:J178" si="13">G144+(I144*F144)</f>
        <v>0</v>
      </c>
    </row>
    <row r="145" spans="1:10" x14ac:dyDescent="0.4">
      <c r="A145" s="565" t="s">
        <v>429</v>
      </c>
      <c r="B145" s="79" t="str">
        <f>VLOOKUP('Area A'!B200,'Item List'!B:AJ,6,FALSE)</f>
        <v>None</v>
      </c>
      <c r="C145" s="79" t="str">
        <f>VLOOKUP(B145,'Item List'!B:AH,2,FALSE)</f>
        <v>None</v>
      </c>
      <c r="D145" s="79"/>
      <c r="E145" s="588">
        <f>VLOOKUP(B145,'Item List'!B:AM,33,FALSE)</f>
        <v>0</v>
      </c>
      <c r="F145" s="608">
        <f>VLOOKUP(B145,'Item List'!B:AH,4,FALSE)</f>
        <v>0</v>
      </c>
      <c r="G145" s="569">
        <f>F145*E145</f>
        <v>0</v>
      </c>
      <c r="H145" s="606"/>
      <c r="I145" s="607">
        <f>ROUNDUP((E145*'Project Materials'!$D$18),0)</f>
        <v>0</v>
      </c>
      <c r="J145" s="572">
        <f t="shared" si="13"/>
        <v>0</v>
      </c>
    </row>
    <row r="146" spans="1:10" x14ac:dyDescent="0.4">
      <c r="A146" s="565" t="s">
        <v>429</v>
      </c>
      <c r="B146" s="79" t="str">
        <f>VLOOKUP('Area A'!B201,'Item List'!B:AJ,6,FALSE)</f>
        <v>None</v>
      </c>
      <c r="C146" s="79" t="str">
        <f>VLOOKUP(B146,'Item List'!B:AH,2,FALSE)</f>
        <v>None</v>
      </c>
      <c r="D146" s="79"/>
      <c r="E146" s="588">
        <f>VLOOKUP(B146,'Item List'!B:AM,33,FALSE)</f>
        <v>0</v>
      </c>
      <c r="F146" s="608">
        <f>VLOOKUP(B146,'Item List'!B:AH,4,FALSE)</f>
        <v>0</v>
      </c>
      <c r="G146" s="569">
        <f t="shared" ref="G146:G177" si="14">F146*E146</f>
        <v>0</v>
      </c>
      <c r="H146" s="606"/>
      <c r="I146" s="607">
        <f>ROUNDUP((E146*'Project Materials'!$D$18),0)</f>
        <v>0</v>
      </c>
      <c r="J146" s="572">
        <f t="shared" si="13"/>
        <v>0</v>
      </c>
    </row>
    <row r="147" spans="1:10" x14ac:dyDescent="0.4">
      <c r="A147" s="565" t="s">
        <v>429</v>
      </c>
      <c r="B147" s="79" t="str">
        <f>VLOOKUP('Area A'!B202,'Item List'!B:AJ,6,FALSE)</f>
        <v>None</v>
      </c>
      <c r="C147" s="79" t="str">
        <f>VLOOKUP(B147,'Item List'!B:AH,2,FALSE)</f>
        <v>None</v>
      </c>
      <c r="D147" s="79"/>
      <c r="E147" s="588">
        <f>VLOOKUP(B147,'Item List'!B:AM,33,FALSE)</f>
        <v>0</v>
      </c>
      <c r="F147" s="608">
        <f>VLOOKUP(B147,'Item List'!B:AH,4,FALSE)</f>
        <v>0</v>
      </c>
      <c r="G147" s="569">
        <f t="shared" si="14"/>
        <v>0</v>
      </c>
      <c r="H147" s="606"/>
      <c r="I147" s="607">
        <f>ROUNDUP((E147*'Project Materials'!$D$18),0)</f>
        <v>0</v>
      </c>
      <c r="J147" s="572">
        <f t="shared" si="13"/>
        <v>0</v>
      </c>
    </row>
    <row r="148" spans="1:10" x14ac:dyDescent="0.4">
      <c r="A148" s="565" t="s">
        <v>429</v>
      </c>
      <c r="B148" s="79" t="str">
        <f>VLOOKUP('Area A'!B203,'Item List'!B:AJ,6,FALSE)</f>
        <v>RCB screws- DP</v>
      </c>
      <c r="C148" s="79" t="str">
        <f>VLOOKUP(B148,'Item List'!B:AH,2,FALSE)</f>
        <v>RCB screws- Drill Points  #10 x 2" Phillips Pan SS</v>
      </c>
      <c r="D148" s="79"/>
      <c r="E148" s="588">
        <f>VLOOKUP(B148,'Item List'!B:AM,33,FALSE)</f>
        <v>0</v>
      </c>
      <c r="F148" s="608">
        <f>VLOOKUP(B148,'Item List'!B:AH,4,FALSE)</f>
        <v>7.2999999999999995E-2</v>
      </c>
      <c r="G148" s="569">
        <f t="shared" si="14"/>
        <v>0</v>
      </c>
      <c r="H148" s="606"/>
      <c r="I148" s="607">
        <f>ROUNDUP((E148*'Project Materials'!$D$18),0)</f>
        <v>0</v>
      </c>
      <c r="J148" s="572">
        <f t="shared" si="13"/>
        <v>0</v>
      </c>
    </row>
    <row r="149" spans="1:10" x14ac:dyDescent="0.4">
      <c r="A149" s="565" t="s">
        <v>429</v>
      </c>
      <c r="B149" s="79" t="str">
        <f>VLOOKUP('Area A'!B204,'Item List'!B:AJ,6,FALSE)</f>
        <v>None</v>
      </c>
      <c r="C149" s="79" t="str">
        <f>VLOOKUP(B149,'Item List'!B:AH,2,FALSE)</f>
        <v>None</v>
      </c>
      <c r="D149" s="79"/>
      <c r="E149" s="588">
        <f>VLOOKUP(B149,'Item List'!B:AM,33,FALSE)</f>
        <v>0</v>
      </c>
      <c r="F149" s="608">
        <f>VLOOKUP(B149,'Item List'!B:AH,4,FALSE)</f>
        <v>0</v>
      </c>
      <c r="G149" s="569">
        <f t="shared" si="14"/>
        <v>0</v>
      </c>
      <c r="H149" s="606"/>
      <c r="I149" s="607">
        <f>ROUNDUP((E149*'Project Materials'!$D$18),0)</f>
        <v>0</v>
      </c>
      <c r="J149" s="572">
        <f t="shared" si="13"/>
        <v>0</v>
      </c>
    </row>
    <row r="150" spans="1:10" x14ac:dyDescent="0.4">
      <c r="A150" s="565" t="s">
        <v>429</v>
      </c>
      <c r="B150" s="79" t="str">
        <f>VLOOKUP('Area A'!B205,'Item List'!B:AJ,6,FALSE)</f>
        <v>None</v>
      </c>
      <c r="C150" s="79" t="str">
        <f>VLOOKUP(B150,'Item List'!B:AH,2,FALSE)</f>
        <v>None</v>
      </c>
      <c r="D150" s="79"/>
      <c r="E150" s="588">
        <f>VLOOKUP(B150,'Item List'!B:AM,33,FALSE)</f>
        <v>0</v>
      </c>
      <c r="F150" s="608">
        <f>VLOOKUP(B150,'Item List'!B:AH,4,FALSE)</f>
        <v>0</v>
      </c>
      <c r="G150" s="569">
        <f t="shared" si="14"/>
        <v>0</v>
      </c>
      <c r="H150" s="606"/>
      <c r="I150" s="607">
        <f>ROUNDUP((E150*'Project Materials'!$D$18),0)</f>
        <v>0</v>
      </c>
      <c r="J150" s="572">
        <f t="shared" si="13"/>
        <v>0</v>
      </c>
    </row>
    <row r="151" spans="1:10" x14ac:dyDescent="0.4">
      <c r="A151" s="565" t="s">
        <v>429</v>
      </c>
      <c r="B151" s="79" t="str">
        <f>VLOOKUP('Area A'!B206,'Item List'!B:AJ,6,FALSE)</f>
        <v>None</v>
      </c>
      <c r="C151" s="79" t="str">
        <f>VLOOKUP(B151,'Item List'!B:AH,2,FALSE)</f>
        <v>None</v>
      </c>
      <c r="D151" s="79"/>
      <c r="E151" s="588">
        <f>VLOOKUP(B151,'Item List'!B:AM,33,FALSE)</f>
        <v>0</v>
      </c>
      <c r="F151" s="608">
        <f>VLOOKUP(B151,'Item List'!B:AH,4,FALSE)</f>
        <v>0</v>
      </c>
      <c r="G151" s="569">
        <f t="shared" si="14"/>
        <v>0</v>
      </c>
      <c r="H151" s="606"/>
      <c r="I151" s="607">
        <f>ROUNDUP((E151*'Project Materials'!$D$18),0)</f>
        <v>0</v>
      </c>
      <c r="J151" s="572">
        <f t="shared" si="13"/>
        <v>0</v>
      </c>
    </row>
    <row r="152" spans="1:10" x14ac:dyDescent="0.4">
      <c r="A152" s="565" t="s">
        <v>429</v>
      </c>
      <c r="B152" s="79" t="str">
        <f>VLOOKUP('Area A'!B207,'Item List'!B:AJ,6,FALSE)</f>
        <v>None</v>
      </c>
      <c r="C152" s="79" t="str">
        <f>VLOOKUP(B152,'Item List'!B:AH,2,FALSE)</f>
        <v>None</v>
      </c>
      <c r="D152" s="79"/>
      <c r="E152" s="588">
        <f>VLOOKUP(B152,'Item List'!B:AM,33,FALSE)</f>
        <v>0</v>
      </c>
      <c r="F152" s="608">
        <f>VLOOKUP(B152,'Item List'!B:AH,4,FALSE)</f>
        <v>0</v>
      </c>
      <c r="G152" s="569">
        <f t="shared" si="14"/>
        <v>0</v>
      </c>
      <c r="H152" s="606"/>
      <c r="I152" s="607">
        <f>ROUNDUP((E152*'Project Materials'!$D$18),0)</f>
        <v>0</v>
      </c>
      <c r="J152" s="572">
        <f t="shared" si="13"/>
        <v>0</v>
      </c>
    </row>
    <row r="153" spans="1:10" x14ac:dyDescent="0.4">
      <c r="A153" s="565" t="s">
        <v>429</v>
      </c>
      <c r="B153" s="79" t="str">
        <f>VLOOKUP('Area A'!B208,'Item List'!B:AJ,6,FALSE)</f>
        <v>None</v>
      </c>
      <c r="C153" s="79" t="str">
        <f>VLOOKUP(B153,'Item List'!B:AH,2,FALSE)</f>
        <v>None</v>
      </c>
      <c r="D153" s="79"/>
      <c r="E153" s="588">
        <f>VLOOKUP(B153,'Item List'!B:AM,33,FALSE)</f>
        <v>0</v>
      </c>
      <c r="F153" s="608">
        <f>VLOOKUP(B153,'Item List'!B:AH,4,FALSE)</f>
        <v>0</v>
      </c>
      <c r="G153" s="569">
        <f t="shared" si="14"/>
        <v>0</v>
      </c>
      <c r="H153" s="606"/>
      <c r="I153" s="607">
        <f>ROUNDUP((E153*'Project Materials'!$D$18),0)</f>
        <v>0</v>
      </c>
      <c r="J153" s="572">
        <f t="shared" si="13"/>
        <v>0</v>
      </c>
    </row>
    <row r="154" spans="1:10" x14ac:dyDescent="0.4">
      <c r="A154" s="565" t="s">
        <v>429</v>
      </c>
      <c r="B154" s="79" t="str">
        <f>VLOOKUP('Area A'!B209,'Item List'!B:AJ,6,FALSE)</f>
        <v>None</v>
      </c>
      <c r="C154" s="79" t="str">
        <f>VLOOKUP(B154,'Item List'!B:AH,2,FALSE)</f>
        <v>None</v>
      </c>
      <c r="D154" s="79"/>
      <c r="E154" s="588">
        <f>VLOOKUP(B154,'Item List'!B:AM,33,FALSE)</f>
        <v>0</v>
      </c>
      <c r="F154" s="608">
        <f>VLOOKUP(B154,'Item List'!B:AH,4,FALSE)</f>
        <v>0</v>
      </c>
      <c r="G154" s="569">
        <f t="shared" si="14"/>
        <v>0</v>
      </c>
      <c r="H154" s="606"/>
      <c r="I154" s="607">
        <f>ROUNDUP((E154*'Project Materials'!$D$18),0)</f>
        <v>0</v>
      </c>
      <c r="J154" s="572">
        <f t="shared" si="13"/>
        <v>0</v>
      </c>
    </row>
    <row r="155" spans="1:10" x14ac:dyDescent="0.4">
      <c r="A155" s="565" t="s">
        <v>429</v>
      </c>
      <c r="B155" s="79" t="str">
        <f>VLOOKUP('Area A'!B210,'Item List'!B:AJ,6,FALSE)</f>
        <v>None</v>
      </c>
      <c r="C155" s="79" t="str">
        <f>VLOOKUP(B155,'Item List'!B:AH,2,FALSE)</f>
        <v>None</v>
      </c>
      <c r="D155" s="79"/>
      <c r="E155" s="588">
        <f>VLOOKUP(B155,'Item List'!B:AM,33,FALSE)</f>
        <v>0</v>
      </c>
      <c r="F155" s="608">
        <f>VLOOKUP(B155,'Item List'!B:AH,4,FALSE)</f>
        <v>0</v>
      </c>
      <c r="G155" s="569">
        <f t="shared" si="14"/>
        <v>0</v>
      </c>
      <c r="H155" s="606"/>
      <c r="I155" s="607">
        <f>ROUNDUP((E155*'Project Materials'!$D$18),0)</f>
        <v>0</v>
      </c>
      <c r="J155" s="572">
        <f t="shared" si="13"/>
        <v>0</v>
      </c>
    </row>
    <row r="156" spans="1:10" x14ac:dyDescent="0.4">
      <c r="A156" s="565" t="s">
        <v>429</v>
      </c>
      <c r="B156" s="79" t="str">
        <f>VLOOKUP('Area A'!B211,'Item List'!B:AJ,6,FALSE)</f>
        <v>None</v>
      </c>
      <c r="C156" s="79" t="str">
        <f>VLOOKUP(B156,'Item List'!B:AH,2,FALSE)</f>
        <v>None</v>
      </c>
      <c r="D156" s="79"/>
      <c r="E156" s="588">
        <f>VLOOKUP(B156,'Item List'!B:AM,33,FALSE)</f>
        <v>0</v>
      </c>
      <c r="F156" s="608">
        <f>VLOOKUP(B156,'Item List'!B:AH,4,FALSE)</f>
        <v>0</v>
      </c>
      <c r="G156" s="569">
        <f t="shared" si="14"/>
        <v>0</v>
      </c>
      <c r="H156" s="606"/>
      <c r="I156" s="607">
        <f>ROUNDUP((E156*'Project Materials'!$D$18),0)</f>
        <v>0</v>
      </c>
      <c r="J156" s="572">
        <f t="shared" si="13"/>
        <v>0</v>
      </c>
    </row>
    <row r="157" spans="1:10" x14ac:dyDescent="0.4">
      <c r="A157" s="565" t="s">
        <v>429</v>
      </c>
      <c r="B157" s="79" t="str">
        <f>VLOOKUP('Area A'!B212,'Item List'!B:AJ,6,FALSE)</f>
        <v>None</v>
      </c>
      <c r="C157" s="79" t="str">
        <f>VLOOKUP(B157,'Item List'!B:AH,2,FALSE)</f>
        <v>None</v>
      </c>
      <c r="D157" s="79"/>
      <c r="E157" s="588">
        <f>VLOOKUP(B157,'Item List'!B:AM,33,FALSE)</f>
        <v>0</v>
      </c>
      <c r="F157" s="608">
        <f>VLOOKUP(B157,'Item List'!B:AH,4,FALSE)</f>
        <v>0</v>
      </c>
      <c r="G157" s="569">
        <f t="shared" si="14"/>
        <v>0</v>
      </c>
      <c r="H157" s="606"/>
      <c r="I157" s="607">
        <f>ROUNDUP((E157*'Project Materials'!$D$18),0)</f>
        <v>0</v>
      </c>
      <c r="J157" s="572">
        <f t="shared" si="13"/>
        <v>0</v>
      </c>
    </row>
    <row r="158" spans="1:10" x14ac:dyDescent="0.4">
      <c r="A158" s="565" t="s">
        <v>429</v>
      </c>
      <c r="B158" s="79" t="str">
        <f>VLOOKUP('Area A'!B213,'Item List'!B:AJ,6,FALSE)</f>
        <v>None</v>
      </c>
      <c r="C158" s="79" t="str">
        <f>VLOOKUP(B158,'Item List'!B:AH,2,FALSE)</f>
        <v>None</v>
      </c>
      <c r="D158" s="79"/>
      <c r="E158" s="588">
        <f>VLOOKUP(B158,'Item List'!B:AM,33,FALSE)</f>
        <v>0</v>
      </c>
      <c r="F158" s="608">
        <f>VLOOKUP(B158,'Item List'!B:AH,4,FALSE)</f>
        <v>0</v>
      </c>
      <c r="G158" s="569">
        <f t="shared" si="14"/>
        <v>0</v>
      </c>
      <c r="H158" s="606"/>
      <c r="I158" s="607">
        <f>ROUNDUP((E158*'Project Materials'!$D$18),0)</f>
        <v>0</v>
      </c>
      <c r="J158" s="572">
        <f t="shared" si="13"/>
        <v>0</v>
      </c>
    </row>
    <row r="159" spans="1:10" x14ac:dyDescent="0.4">
      <c r="A159" s="565" t="s">
        <v>429</v>
      </c>
      <c r="B159" s="79" t="str">
        <f>VLOOKUP('Area A'!B214,'Item List'!B:AJ,6,FALSE)</f>
        <v>None</v>
      </c>
      <c r="C159" s="79" t="str">
        <f>VLOOKUP(B159,'Item List'!B:AH,2,FALSE)</f>
        <v>None</v>
      </c>
      <c r="D159" s="79"/>
      <c r="E159" s="588">
        <f>VLOOKUP(B159,'Item List'!B:AM,33,FALSE)</f>
        <v>0</v>
      </c>
      <c r="F159" s="608">
        <f>VLOOKUP(B159,'Item List'!B:AH,4,FALSE)</f>
        <v>0</v>
      </c>
      <c r="G159" s="569">
        <f t="shared" si="14"/>
        <v>0</v>
      </c>
      <c r="H159" s="606"/>
      <c r="I159" s="607">
        <f>ROUNDUP((E159*'Project Materials'!$D$18),0)</f>
        <v>0</v>
      </c>
      <c r="J159" s="572">
        <f t="shared" si="13"/>
        <v>0</v>
      </c>
    </row>
    <row r="160" spans="1:10" x14ac:dyDescent="0.4">
      <c r="A160" s="565" t="s">
        <v>429</v>
      </c>
      <c r="B160" s="79" t="str">
        <f>VLOOKUP('Area A'!B215,'Item List'!B:AJ,6,FALSE)</f>
        <v>None</v>
      </c>
      <c r="C160" s="79" t="str">
        <f>VLOOKUP(B160,'Item List'!B:AH,2,FALSE)</f>
        <v>None</v>
      </c>
      <c r="D160" s="79"/>
      <c r="E160" s="588">
        <f>VLOOKUP(B160,'Item List'!B:AM,33,FALSE)</f>
        <v>0</v>
      </c>
      <c r="F160" s="608">
        <f>VLOOKUP(B160,'Item List'!B:AH,4,FALSE)</f>
        <v>0</v>
      </c>
      <c r="G160" s="569">
        <f t="shared" si="14"/>
        <v>0</v>
      </c>
      <c r="H160" s="606"/>
      <c r="I160" s="607">
        <f>ROUNDUP((E160*'Project Materials'!$D$18),0)</f>
        <v>0</v>
      </c>
      <c r="J160" s="572">
        <f t="shared" si="13"/>
        <v>0</v>
      </c>
    </row>
    <row r="161" spans="1:10" x14ac:dyDescent="0.4">
      <c r="A161" s="565" t="s">
        <v>429</v>
      </c>
      <c r="B161" s="79" t="str">
        <f>VLOOKUP('Area A'!B216,'Item List'!B:AJ,6,FALSE)</f>
        <v>None</v>
      </c>
      <c r="C161" s="79" t="str">
        <f>VLOOKUP(B161,'Item List'!B:AH,2,FALSE)</f>
        <v>None</v>
      </c>
      <c r="D161" s="79"/>
      <c r="E161" s="588">
        <f>VLOOKUP(B161,'Item List'!B:AM,33,FALSE)</f>
        <v>0</v>
      </c>
      <c r="F161" s="608">
        <f>VLOOKUP(B161,'Item List'!B:AH,4,FALSE)</f>
        <v>0</v>
      </c>
      <c r="G161" s="569">
        <f t="shared" si="14"/>
        <v>0</v>
      </c>
      <c r="H161" s="606"/>
      <c r="I161" s="607">
        <f>ROUNDUP((E161*'Project Materials'!$D$18),0)</f>
        <v>0</v>
      </c>
      <c r="J161" s="572">
        <f t="shared" si="13"/>
        <v>0</v>
      </c>
    </row>
    <row r="162" spans="1:10" x14ac:dyDescent="0.4">
      <c r="A162" s="565" t="s">
        <v>429</v>
      </c>
      <c r="B162" s="79" t="str">
        <f>VLOOKUP('Area A'!B217,'Item List'!B:AJ,6,FALSE)</f>
        <v>None</v>
      </c>
      <c r="C162" s="79" t="str">
        <f>VLOOKUP(B162,'Item List'!B:AH,2,FALSE)</f>
        <v>None</v>
      </c>
      <c r="D162" s="79"/>
      <c r="E162" s="588">
        <f>VLOOKUP(B162,'Item List'!B:AM,33,FALSE)</f>
        <v>0</v>
      </c>
      <c r="F162" s="608">
        <f>VLOOKUP(B162,'Item List'!B:AH,4,FALSE)</f>
        <v>0</v>
      </c>
      <c r="G162" s="569">
        <f t="shared" si="14"/>
        <v>0</v>
      </c>
      <c r="H162" s="606"/>
      <c r="I162" s="607">
        <f>ROUNDUP((E162*'Project Materials'!$D$18),0)</f>
        <v>0</v>
      </c>
      <c r="J162" s="572">
        <f t="shared" si="13"/>
        <v>0</v>
      </c>
    </row>
    <row r="163" spans="1:10" x14ac:dyDescent="0.4">
      <c r="A163" s="565" t="s">
        <v>429</v>
      </c>
      <c r="B163" s="79" t="str">
        <f>VLOOKUP('Area A'!B218,'Item List'!B:AJ,6,FALSE)</f>
        <v>None</v>
      </c>
      <c r="C163" s="79" t="str">
        <f>VLOOKUP(B163,'Item List'!B:AH,2,FALSE)</f>
        <v>None</v>
      </c>
      <c r="D163" s="79"/>
      <c r="E163" s="588">
        <f>VLOOKUP(B163,'Item List'!B:AM,33,FALSE)</f>
        <v>0</v>
      </c>
      <c r="F163" s="608">
        <f>VLOOKUP(B163,'Item List'!B:AH,4,FALSE)</f>
        <v>0</v>
      </c>
      <c r="G163" s="569">
        <f t="shared" si="14"/>
        <v>0</v>
      </c>
      <c r="H163" s="606"/>
      <c r="I163" s="607">
        <f>ROUNDUP((E163*'Project Materials'!$D$18),0)</f>
        <v>0</v>
      </c>
      <c r="J163" s="572">
        <f t="shared" si="13"/>
        <v>0</v>
      </c>
    </row>
    <row r="164" spans="1:10" x14ac:dyDescent="0.4">
      <c r="A164" s="565" t="s">
        <v>429</v>
      </c>
      <c r="B164" s="79" t="str">
        <f>VLOOKUP('Area A'!B219,'Item List'!B:AJ,6,FALSE)</f>
        <v>None</v>
      </c>
      <c r="C164" s="79" t="str">
        <f>VLOOKUP(B164,'Item List'!B:AH,2,FALSE)</f>
        <v>None</v>
      </c>
      <c r="D164" s="79"/>
      <c r="E164" s="588">
        <f>VLOOKUP(B164,'Item List'!B:AM,33,FALSE)</f>
        <v>0</v>
      </c>
      <c r="F164" s="608">
        <f>VLOOKUP(B164,'Item List'!B:AH,4,FALSE)</f>
        <v>0</v>
      </c>
      <c r="G164" s="569">
        <f t="shared" si="14"/>
        <v>0</v>
      </c>
      <c r="H164" s="606"/>
      <c r="I164" s="607">
        <f>ROUNDUP((E164*'Project Materials'!$D$18),0)</f>
        <v>0</v>
      </c>
      <c r="J164" s="572">
        <f t="shared" si="13"/>
        <v>0</v>
      </c>
    </row>
    <row r="165" spans="1:10" x14ac:dyDescent="0.4">
      <c r="A165" s="565" t="s">
        <v>429</v>
      </c>
      <c r="B165" s="79" t="str">
        <f>VLOOKUP('Area A'!B220,'Item List'!B:AJ,6,FALSE)</f>
        <v>None</v>
      </c>
      <c r="C165" s="79" t="str">
        <f>VLOOKUP(B165,'Item List'!B:AH,2,FALSE)</f>
        <v>None</v>
      </c>
      <c r="D165" s="79"/>
      <c r="E165" s="588">
        <f>VLOOKUP(B165,'Item List'!B:AM,33,FALSE)</f>
        <v>0</v>
      </c>
      <c r="F165" s="608">
        <f>VLOOKUP(B165,'Item List'!B:AH,4,FALSE)</f>
        <v>0</v>
      </c>
      <c r="G165" s="569">
        <f t="shared" si="14"/>
        <v>0</v>
      </c>
      <c r="H165" s="606"/>
      <c r="I165" s="607">
        <f>ROUNDUP((E165*'Project Materials'!$D$18),0)</f>
        <v>0</v>
      </c>
      <c r="J165" s="572">
        <f t="shared" si="13"/>
        <v>0</v>
      </c>
    </row>
    <row r="166" spans="1:10" x14ac:dyDescent="0.4">
      <c r="A166" s="565" t="s">
        <v>429</v>
      </c>
      <c r="B166" s="79" t="str">
        <f>VLOOKUP('Area A'!B221,'Item List'!B:AJ,6,FALSE)</f>
        <v>None</v>
      </c>
      <c r="C166" s="79" t="str">
        <f>VLOOKUP(B166,'Item List'!B:AH,2,FALSE)</f>
        <v>None</v>
      </c>
      <c r="D166" s="79"/>
      <c r="E166" s="588">
        <f>VLOOKUP(B166,'Item List'!B:AM,33,FALSE)</f>
        <v>0</v>
      </c>
      <c r="F166" s="608">
        <f>VLOOKUP(B166,'Item List'!B:AH,4,FALSE)</f>
        <v>0</v>
      </c>
      <c r="G166" s="569">
        <f t="shared" si="14"/>
        <v>0</v>
      </c>
      <c r="H166" s="606"/>
      <c r="I166" s="607">
        <f>ROUNDUP((E166*'Project Materials'!$D$18),0)</f>
        <v>0</v>
      </c>
      <c r="J166" s="572">
        <f t="shared" si="13"/>
        <v>0</v>
      </c>
    </row>
    <row r="167" spans="1:10" x14ac:dyDescent="0.4">
      <c r="A167" s="565" t="s">
        <v>429</v>
      </c>
      <c r="B167" s="79" t="str">
        <f>VLOOKUP('Area A'!B222,'Item List'!B:AJ,6,FALSE)</f>
        <v>None</v>
      </c>
      <c r="C167" s="79" t="str">
        <f>VLOOKUP(B167,'Item List'!B:AH,2,FALSE)</f>
        <v>None</v>
      </c>
      <c r="D167" s="79"/>
      <c r="E167" s="588">
        <f>VLOOKUP(B167,'Item List'!B:AM,33,FALSE)</f>
        <v>0</v>
      </c>
      <c r="F167" s="608">
        <f>VLOOKUP(B167,'Item List'!B:AH,4,FALSE)</f>
        <v>0</v>
      </c>
      <c r="G167" s="569">
        <f t="shared" si="14"/>
        <v>0</v>
      </c>
      <c r="H167" s="606"/>
      <c r="I167" s="607">
        <f>ROUNDUP((E167*'Project Materials'!$D$18),0)</f>
        <v>0</v>
      </c>
      <c r="J167" s="572">
        <f t="shared" si="13"/>
        <v>0</v>
      </c>
    </row>
    <row r="168" spans="1:10" x14ac:dyDescent="0.4">
      <c r="A168" s="565" t="s">
        <v>429</v>
      </c>
      <c r="B168" s="79" t="str">
        <f>VLOOKUP('Area A'!B223,'Item List'!B:AJ,6,FALSE)</f>
        <v>None</v>
      </c>
      <c r="C168" s="79" t="str">
        <f>VLOOKUP(B168,'Item List'!B:AH,2,FALSE)</f>
        <v>None</v>
      </c>
      <c r="D168" s="79"/>
      <c r="E168" s="588">
        <f>VLOOKUP(B168,'Item List'!B:AM,33,FALSE)</f>
        <v>0</v>
      </c>
      <c r="F168" s="608">
        <f>VLOOKUP(B168,'Item List'!B:AH,4,FALSE)</f>
        <v>0</v>
      </c>
      <c r="G168" s="569">
        <f t="shared" si="14"/>
        <v>0</v>
      </c>
      <c r="H168" s="606"/>
      <c r="I168" s="607">
        <f>ROUNDUP((E168*'Project Materials'!$D$18),0)</f>
        <v>0</v>
      </c>
      <c r="J168" s="572">
        <f t="shared" si="13"/>
        <v>0</v>
      </c>
    </row>
    <row r="169" spans="1:10" x14ac:dyDescent="0.4">
      <c r="A169" s="565" t="s">
        <v>429</v>
      </c>
      <c r="B169" s="79" t="str">
        <f>VLOOKUP('Area A'!B224,'Item List'!B:AJ,6,FALSE)</f>
        <v>None</v>
      </c>
      <c r="C169" s="79" t="str">
        <f>VLOOKUP(B169,'Item List'!B:AH,2,FALSE)</f>
        <v>None</v>
      </c>
      <c r="D169" s="79"/>
      <c r="E169" s="588">
        <f>VLOOKUP(B169,'Item List'!B:AM,33,FALSE)</f>
        <v>0</v>
      </c>
      <c r="F169" s="608">
        <f>VLOOKUP(B169,'Item List'!B:AH,4,FALSE)</f>
        <v>0</v>
      </c>
      <c r="G169" s="569">
        <f t="shared" si="14"/>
        <v>0</v>
      </c>
      <c r="H169" s="606"/>
      <c r="I169" s="607">
        <f>ROUNDUP((E169*'Project Materials'!$D$18),0)</f>
        <v>0</v>
      </c>
      <c r="J169" s="572">
        <f t="shared" si="13"/>
        <v>0</v>
      </c>
    </row>
    <row r="170" spans="1:10" x14ac:dyDescent="0.4">
      <c r="A170" s="565" t="s">
        <v>429</v>
      </c>
      <c r="B170" s="79" t="str">
        <f>VLOOKUP('Area A'!B225,'Item List'!B:AJ,6,FALSE)</f>
        <v>None</v>
      </c>
      <c r="C170" s="79" t="str">
        <f>VLOOKUP(B170,'Item List'!B:AH,2,FALSE)</f>
        <v>None</v>
      </c>
      <c r="D170" s="79"/>
      <c r="E170" s="588">
        <f>VLOOKUP(B170,'Item List'!B:AM,33,FALSE)</f>
        <v>0</v>
      </c>
      <c r="F170" s="608">
        <f>VLOOKUP(B170,'Item List'!B:AH,4,FALSE)</f>
        <v>0</v>
      </c>
      <c r="G170" s="569">
        <f t="shared" si="14"/>
        <v>0</v>
      </c>
      <c r="H170" s="606"/>
      <c r="I170" s="607">
        <f>ROUNDUP((E170*'Project Materials'!$D$18),0)</f>
        <v>0</v>
      </c>
      <c r="J170" s="572">
        <f t="shared" si="13"/>
        <v>0</v>
      </c>
    </row>
    <row r="171" spans="1:10" x14ac:dyDescent="0.4">
      <c r="A171" s="565" t="s">
        <v>429</v>
      </c>
      <c r="B171" s="79" t="str">
        <f>VLOOKUP('Area A'!B226,'Item List'!B:AJ,6,FALSE)</f>
        <v>None</v>
      </c>
      <c r="C171" s="79" t="str">
        <f>VLOOKUP(B171,'Item List'!B:AH,2,FALSE)</f>
        <v>None</v>
      </c>
      <c r="D171" s="79"/>
      <c r="E171" s="588">
        <f>VLOOKUP(B171,'Item List'!B:AM,33,FALSE)</f>
        <v>0</v>
      </c>
      <c r="F171" s="608">
        <f>VLOOKUP(B171,'Item List'!B:AH,4,FALSE)</f>
        <v>0</v>
      </c>
      <c r="G171" s="569">
        <f t="shared" si="14"/>
        <v>0</v>
      </c>
      <c r="H171" s="606"/>
      <c r="I171" s="607">
        <f>ROUNDUP((E171*'Project Materials'!$D$18),0)</f>
        <v>0</v>
      </c>
      <c r="J171" s="572">
        <f t="shared" si="13"/>
        <v>0</v>
      </c>
    </row>
    <row r="172" spans="1:10" x14ac:dyDescent="0.4">
      <c r="A172" s="565" t="s">
        <v>429</v>
      </c>
      <c r="B172" s="79" t="str">
        <f>VLOOKUP('Area A'!B227,'Item List'!B:AJ,6,FALSE)</f>
        <v>None</v>
      </c>
      <c r="C172" s="79" t="str">
        <f>VLOOKUP(B172,'Item List'!B:AH,2,FALSE)</f>
        <v>None</v>
      </c>
      <c r="D172" s="79"/>
      <c r="E172" s="588">
        <f>VLOOKUP(B172,'Item List'!B:AM,33,FALSE)</f>
        <v>0</v>
      </c>
      <c r="F172" s="608">
        <f>VLOOKUP(B172,'Item List'!B:AH,4,FALSE)</f>
        <v>0</v>
      </c>
      <c r="G172" s="569">
        <f t="shared" si="14"/>
        <v>0</v>
      </c>
      <c r="H172" s="606"/>
      <c r="I172" s="607">
        <f>ROUNDUP((E172*'Project Materials'!$D$18),0)</f>
        <v>0</v>
      </c>
      <c r="J172" s="572">
        <f t="shared" si="13"/>
        <v>0</v>
      </c>
    </row>
    <row r="173" spans="1:10" x14ac:dyDescent="0.4">
      <c r="A173" s="565" t="s">
        <v>429</v>
      </c>
      <c r="B173" s="79" t="str">
        <f>VLOOKUP('Area A'!B228,'Item List'!B:AJ,6,FALSE)</f>
        <v>None</v>
      </c>
      <c r="C173" s="79" t="str">
        <f>VLOOKUP(B173,'Item List'!B:AH,2,FALSE)</f>
        <v>None</v>
      </c>
      <c r="D173" s="79"/>
      <c r="E173" s="588">
        <f>VLOOKUP(B173,'Item List'!B:AM,33,FALSE)</f>
        <v>0</v>
      </c>
      <c r="F173" s="608">
        <f>VLOOKUP(B173,'Item List'!B:AH,4,FALSE)</f>
        <v>0</v>
      </c>
      <c r="G173" s="569">
        <f t="shared" si="14"/>
        <v>0</v>
      </c>
      <c r="H173" s="606"/>
      <c r="I173" s="607">
        <f>ROUNDUP((E173*'Project Materials'!$D$18),0)</f>
        <v>0</v>
      </c>
      <c r="J173" s="572">
        <f t="shared" si="13"/>
        <v>0</v>
      </c>
    </row>
    <row r="174" spans="1:10" x14ac:dyDescent="0.4">
      <c r="A174" s="565" t="s">
        <v>429</v>
      </c>
      <c r="B174" s="79" t="str">
        <f>VLOOKUP('Area A'!B229,'Item List'!B:AJ,6,FALSE)</f>
        <v>None</v>
      </c>
      <c r="C174" s="79" t="str">
        <f>VLOOKUP(B174,'Item List'!B:AH,2,FALSE)</f>
        <v>None</v>
      </c>
      <c r="D174" s="79"/>
      <c r="E174" s="588">
        <f>VLOOKUP(B174,'Item List'!B:AM,33,FALSE)</f>
        <v>0</v>
      </c>
      <c r="F174" s="608">
        <f>VLOOKUP(B174,'Item List'!B:AH,4,FALSE)</f>
        <v>0</v>
      </c>
      <c r="G174" s="569">
        <f t="shared" si="14"/>
        <v>0</v>
      </c>
      <c r="H174" s="606"/>
      <c r="I174" s="607">
        <f>ROUNDUP((E174*'Project Materials'!$D$18),0)</f>
        <v>0</v>
      </c>
      <c r="J174" s="572">
        <f t="shared" si="13"/>
        <v>0</v>
      </c>
    </row>
    <row r="175" spans="1:10" x14ac:dyDescent="0.4">
      <c r="A175" s="565" t="s">
        <v>429</v>
      </c>
      <c r="B175" s="79" t="str">
        <f>VLOOKUP('Area A'!B230,'Item List'!B:AJ,6,FALSE)</f>
        <v>None</v>
      </c>
      <c r="C175" s="79" t="str">
        <f>VLOOKUP(B175,'Item List'!B:AH,2,FALSE)</f>
        <v>None</v>
      </c>
      <c r="D175" s="79"/>
      <c r="E175" s="588">
        <f>VLOOKUP(B175,'Item List'!B:AM,33,FALSE)</f>
        <v>0</v>
      </c>
      <c r="F175" s="608">
        <f>VLOOKUP(B175,'Item List'!B:AH,4,FALSE)</f>
        <v>0</v>
      </c>
      <c r="G175" s="569">
        <f t="shared" si="14"/>
        <v>0</v>
      </c>
      <c r="H175" s="606"/>
      <c r="I175" s="607">
        <f>ROUNDUP((E175*'Project Materials'!$D$18),0)</f>
        <v>0</v>
      </c>
      <c r="J175" s="572">
        <f t="shared" si="13"/>
        <v>0</v>
      </c>
    </row>
    <row r="176" spans="1:10" x14ac:dyDescent="0.4">
      <c r="A176" s="565" t="s">
        <v>429</v>
      </c>
      <c r="B176" s="79" t="str">
        <f>VLOOKUP('Area A'!B231,'Item List'!B:AJ,6,FALSE)</f>
        <v>None</v>
      </c>
      <c r="C176" s="79" t="str">
        <f>VLOOKUP(B176,'Item List'!B:AH,2,FALSE)</f>
        <v>None</v>
      </c>
      <c r="D176" s="79"/>
      <c r="E176" s="588">
        <f>VLOOKUP(B176,'Item List'!B:AM,33,FALSE)</f>
        <v>0</v>
      </c>
      <c r="F176" s="608">
        <f>VLOOKUP(B176,'Item List'!B:AH,4,FALSE)</f>
        <v>0</v>
      </c>
      <c r="G176" s="569">
        <f t="shared" si="14"/>
        <v>0</v>
      </c>
      <c r="H176" s="606"/>
      <c r="I176" s="607">
        <f>ROUNDUP((E176*'Project Materials'!$D$18),0)</f>
        <v>0</v>
      </c>
      <c r="J176" s="572">
        <f t="shared" si="13"/>
        <v>0</v>
      </c>
    </row>
    <row r="177" spans="1:10" x14ac:dyDescent="0.4">
      <c r="A177" s="565" t="s">
        <v>429</v>
      </c>
      <c r="B177" s="79" t="str">
        <f>VLOOKUP('Area A'!B232,'Item List'!B:AJ,6,FALSE)</f>
        <v>None</v>
      </c>
      <c r="C177" s="79" t="str">
        <f>VLOOKUP(B177,'Item List'!B:AH,2,FALSE)</f>
        <v>None</v>
      </c>
      <c r="D177" s="79"/>
      <c r="E177" s="588">
        <f>VLOOKUP(B177,'Item List'!B:AM,33,FALSE)</f>
        <v>0</v>
      </c>
      <c r="F177" s="608">
        <f>VLOOKUP(B177,'Item List'!B:AH,4,FALSE)</f>
        <v>0</v>
      </c>
      <c r="G177" s="569">
        <f t="shared" si="14"/>
        <v>0</v>
      </c>
      <c r="H177" s="606"/>
      <c r="I177" s="607">
        <f>ROUNDUP((E177*'Project Materials'!$D$18),0)</f>
        <v>0</v>
      </c>
      <c r="J177" s="572">
        <f t="shared" si="13"/>
        <v>0</v>
      </c>
    </row>
    <row r="178" spans="1:10" x14ac:dyDescent="0.4">
      <c r="A178" s="565" t="s">
        <v>429</v>
      </c>
      <c r="B178" s="79" t="str">
        <f>VLOOKUP('Area A'!B233,'Item List'!B:AJ,6,FALSE)</f>
        <v>None</v>
      </c>
      <c r="C178" s="79" t="str">
        <f>VLOOKUP(B178,'Item List'!B:AH,2,FALSE)</f>
        <v>None</v>
      </c>
      <c r="D178" s="79"/>
      <c r="E178" s="588">
        <f>VLOOKUP(B178,'Item List'!B:AM,33,FALSE)</f>
        <v>0</v>
      </c>
      <c r="F178" s="608">
        <f>VLOOKUP(B178,'Item List'!B:AH,4,FALSE)</f>
        <v>0</v>
      </c>
      <c r="G178" s="569">
        <f t="shared" ref="G178:G195" si="15">F178*E178</f>
        <v>0</v>
      </c>
      <c r="H178" s="606"/>
      <c r="I178" s="607">
        <f>ROUNDUP((E178*'Project Materials'!$D$18),0)</f>
        <v>0</v>
      </c>
      <c r="J178" s="572">
        <f t="shared" si="13"/>
        <v>0</v>
      </c>
    </row>
    <row r="179" spans="1:10" x14ac:dyDescent="0.4">
      <c r="A179" s="565" t="s">
        <v>429</v>
      </c>
      <c r="B179" s="79" t="str">
        <f>VLOOKUP('Area A'!B234,'Item List'!B:AJ,6,FALSE)</f>
        <v>None</v>
      </c>
      <c r="C179" s="79" t="str">
        <f>VLOOKUP(B179,'Item List'!B:AH,2,FALSE)</f>
        <v>None</v>
      </c>
      <c r="D179" s="79"/>
      <c r="E179" s="588">
        <f>VLOOKUP(B179,'Item List'!B:AM,33,FALSE)</f>
        <v>0</v>
      </c>
      <c r="F179" s="608">
        <f>VLOOKUP(B179,'Item List'!B:AH,4,FALSE)</f>
        <v>0</v>
      </c>
      <c r="G179" s="569">
        <f t="shared" si="15"/>
        <v>0</v>
      </c>
      <c r="H179" s="606"/>
      <c r="I179" s="607">
        <f>ROUNDUP((E179*'Project Materials'!$D$18),0)</f>
        <v>0</v>
      </c>
      <c r="J179" s="572">
        <f t="shared" ref="J179:J195" si="16">G179+(I179*F179)</f>
        <v>0</v>
      </c>
    </row>
    <row r="180" spans="1:10" x14ac:dyDescent="0.4">
      <c r="A180" s="565" t="s">
        <v>429</v>
      </c>
      <c r="B180" s="79" t="str">
        <f>VLOOKUP('Area A'!B235,'Item List'!B:AJ,6,FALSE)</f>
        <v>None</v>
      </c>
      <c r="C180" s="79" t="str">
        <f>VLOOKUP(B180,'Item List'!B:AH,2,FALSE)</f>
        <v>None</v>
      </c>
      <c r="D180" s="79"/>
      <c r="E180" s="588">
        <f>VLOOKUP(B180,'Item List'!B:AM,33,FALSE)</f>
        <v>0</v>
      </c>
      <c r="F180" s="608">
        <f>VLOOKUP(B180,'Item List'!B:AH,4,FALSE)</f>
        <v>0</v>
      </c>
      <c r="G180" s="569">
        <f t="shared" si="15"/>
        <v>0</v>
      </c>
      <c r="H180" s="606"/>
      <c r="I180" s="607">
        <f>ROUNDUP((E180*'Project Materials'!$D$18),0)</f>
        <v>0</v>
      </c>
      <c r="J180" s="572">
        <f t="shared" si="16"/>
        <v>0</v>
      </c>
    </row>
    <row r="181" spans="1:10" x14ac:dyDescent="0.4">
      <c r="A181" s="565" t="s">
        <v>429</v>
      </c>
      <c r="B181" s="79" t="str">
        <f>VLOOKUP('Area A'!B236,'Item List'!B:AJ,6,FALSE)</f>
        <v>None</v>
      </c>
      <c r="C181" s="79" t="str">
        <f>VLOOKUP(B181,'Item List'!B:AH,2,FALSE)</f>
        <v>None</v>
      </c>
      <c r="D181" s="79"/>
      <c r="E181" s="588">
        <f>VLOOKUP(B181,'Item List'!B:AM,33,FALSE)</f>
        <v>0</v>
      </c>
      <c r="F181" s="608">
        <f>VLOOKUP(B181,'Item List'!B:AH,4,FALSE)</f>
        <v>0</v>
      </c>
      <c r="G181" s="569">
        <f t="shared" si="15"/>
        <v>0</v>
      </c>
      <c r="H181" s="606"/>
      <c r="I181" s="607">
        <f>ROUNDUP((E181*'Project Materials'!$D$18),0)</f>
        <v>0</v>
      </c>
      <c r="J181" s="572">
        <f t="shared" si="16"/>
        <v>0</v>
      </c>
    </row>
    <row r="182" spans="1:10" x14ac:dyDescent="0.4">
      <c r="A182" s="565" t="s">
        <v>429</v>
      </c>
      <c r="B182" s="79" t="str">
        <f>VLOOKUP('Area A'!B237,'Item List'!B:AJ,6,FALSE)</f>
        <v>None</v>
      </c>
      <c r="C182" s="79" t="str">
        <f>VLOOKUP(B182,'Item List'!B:AH,2,FALSE)</f>
        <v>None</v>
      </c>
      <c r="D182" s="79"/>
      <c r="E182" s="588">
        <f>VLOOKUP(B182,'Item List'!B:AM,33,FALSE)</f>
        <v>0</v>
      </c>
      <c r="F182" s="608">
        <f>VLOOKUP(B182,'Item List'!B:AH,4,FALSE)</f>
        <v>0</v>
      </c>
      <c r="G182" s="569">
        <f t="shared" si="15"/>
        <v>0</v>
      </c>
      <c r="H182" s="606"/>
      <c r="I182" s="607">
        <f>ROUNDUP((E182*'Project Materials'!$D$18),0)</f>
        <v>0</v>
      </c>
      <c r="J182" s="572">
        <f t="shared" si="16"/>
        <v>0</v>
      </c>
    </row>
    <row r="183" spans="1:10" x14ac:dyDescent="0.4">
      <c r="A183" s="565" t="s">
        <v>429</v>
      </c>
      <c r="B183" s="79" t="str">
        <f>VLOOKUP('Area A'!B238,'Item List'!B:AJ,6,FALSE)</f>
        <v>None</v>
      </c>
      <c r="C183" s="79" t="str">
        <f>VLOOKUP(B183,'Item List'!B:AH,2,FALSE)</f>
        <v>None</v>
      </c>
      <c r="D183" s="79"/>
      <c r="E183" s="588">
        <f>VLOOKUP(B183,'Item List'!B:AM,33,FALSE)</f>
        <v>0</v>
      </c>
      <c r="F183" s="608">
        <f>VLOOKUP(B183,'Item List'!B:AH,4,FALSE)</f>
        <v>0</v>
      </c>
      <c r="G183" s="569">
        <f t="shared" si="15"/>
        <v>0</v>
      </c>
      <c r="H183" s="606"/>
      <c r="I183" s="607">
        <f>ROUNDUP((E183*'Project Materials'!$D$18),0)</f>
        <v>0</v>
      </c>
      <c r="J183" s="572">
        <f t="shared" si="16"/>
        <v>0</v>
      </c>
    </row>
    <row r="184" spans="1:10" x14ac:dyDescent="0.4">
      <c r="A184" s="565" t="s">
        <v>429</v>
      </c>
      <c r="B184" s="79" t="str">
        <f>VLOOKUP('Area A'!B239,'Item List'!B:AJ,6,FALSE)</f>
        <v>None</v>
      </c>
      <c r="C184" s="79" t="str">
        <f>VLOOKUP(B184,'Item List'!B:AH,2,FALSE)</f>
        <v>None</v>
      </c>
      <c r="D184" s="79"/>
      <c r="E184" s="588">
        <f>VLOOKUP(B184,'Item List'!B:AM,33,FALSE)</f>
        <v>0</v>
      </c>
      <c r="F184" s="608">
        <f>VLOOKUP(B184,'Item List'!B:AH,4,FALSE)</f>
        <v>0</v>
      </c>
      <c r="G184" s="569">
        <f t="shared" si="15"/>
        <v>0</v>
      </c>
      <c r="H184" s="606"/>
      <c r="I184" s="607">
        <f>ROUNDUP((E184*'Project Materials'!$D$18),0)</f>
        <v>0</v>
      </c>
      <c r="J184" s="572">
        <f t="shared" si="16"/>
        <v>0</v>
      </c>
    </row>
    <row r="185" spans="1:10" x14ac:dyDescent="0.4">
      <c r="A185" s="565" t="s">
        <v>429</v>
      </c>
      <c r="B185" s="79" t="str">
        <f>VLOOKUP('Area A'!B240,'Item List'!B:AJ,6,FALSE)</f>
        <v>None</v>
      </c>
      <c r="C185" s="79" t="str">
        <f>VLOOKUP(B185,'Item List'!B:AH,2,FALSE)</f>
        <v>None</v>
      </c>
      <c r="D185" s="79"/>
      <c r="E185" s="588">
        <f>VLOOKUP(B185,'Item List'!B:AM,33,FALSE)</f>
        <v>0</v>
      </c>
      <c r="F185" s="608">
        <f>VLOOKUP(B185,'Item List'!B:AH,4,FALSE)</f>
        <v>0</v>
      </c>
      <c r="G185" s="569">
        <f t="shared" si="15"/>
        <v>0</v>
      </c>
      <c r="H185" s="606"/>
      <c r="I185" s="607">
        <f>ROUNDUP((E185*'Project Materials'!$D$18),0)</f>
        <v>0</v>
      </c>
      <c r="J185" s="572">
        <f t="shared" si="16"/>
        <v>0</v>
      </c>
    </row>
    <row r="186" spans="1:10" x14ac:dyDescent="0.4">
      <c r="A186" s="565" t="s">
        <v>429</v>
      </c>
      <c r="B186" s="79" t="str">
        <f>VLOOKUP('Area A'!B241,'Item List'!B:AJ,6,FALSE)</f>
        <v>None</v>
      </c>
      <c r="C186" s="79" t="str">
        <f>VLOOKUP(B186,'Item List'!B:AH,2,FALSE)</f>
        <v>None</v>
      </c>
      <c r="D186" s="79"/>
      <c r="E186" s="588">
        <f>VLOOKUP(B186,'Item List'!B:AM,33,FALSE)</f>
        <v>0</v>
      </c>
      <c r="F186" s="608">
        <f>VLOOKUP(B186,'Item List'!B:AH,4,FALSE)</f>
        <v>0</v>
      </c>
      <c r="G186" s="569">
        <f t="shared" si="15"/>
        <v>0</v>
      </c>
      <c r="H186" s="606"/>
      <c r="I186" s="607">
        <f>ROUNDUP((E186*'Project Materials'!$D$18),0)</f>
        <v>0</v>
      </c>
      <c r="J186" s="572">
        <f t="shared" si="16"/>
        <v>0</v>
      </c>
    </row>
    <row r="187" spans="1:10" x14ac:dyDescent="0.4">
      <c r="A187" s="565" t="s">
        <v>429</v>
      </c>
      <c r="B187" s="79" t="str">
        <f>VLOOKUP('Area A'!B242,'Item List'!B:AJ,6,FALSE)</f>
        <v>None</v>
      </c>
      <c r="C187" s="79" t="str">
        <f>VLOOKUP(B187,'Item List'!B:AH,2,FALSE)</f>
        <v>None</v>
      </c>
      <c r="D187" s="79"/>
      <c r="E187" s="588">
        <f>VLOOKUP(B187,'Item List'!B:AM,33,FALSE)</f>
        <v>0</v>
      </c>
      <c r="F187" s="608">
        <f>VLOOKUP(B187,'Item List'!B:AH,4,FALSE)</f>
        <v>0</v>
      </c>
      <c r="G187" s="569">
        <f t="shared" si="15"/>
        <v>0</v>
      </c>
      <c r="H187" s="606"/>
      <c r="I187" s="607">
        <f>ROUNDUP((E187*'Project Materials'!$D$18),0)</f>
        <v>0</v>
      </c>
      <c r="J187" s="572">
        <f t="shared" si="16"/>
        <v>0</v>
      </c>
    </row>
    <row r="188" spans="1:10" x14ac:dyDescent="0.4">
      <c r="A188" s="565" t="s">
        <v>429</v>
      </c>
      <c r="B188" s="79" t="str">
        <f>VLOOKUP('Area A'!B243,'Item List'!B:AJ,6,FALSE)</f>
        <v>None</v>
      </c>
      <c r="C188" s="79" t="str">
        <f>VLOOKUP(B188,'Item List'!B:AH,2,FALSE)</f>
        <v>None</v>
      </c>
      <c r="D188" s="79"/>
      <c r="E188" s="588">
        <f>VLOOKUP(B188,'Item List'!B:AM,33,FALSE)</f>
        <v>0</v>
      </c>
      <c r="F188" s="608">
        <f>VLOOKUP(B188,'Item List'!B:AH,4,FALSE)</f>
        <v>0</v>
      </c>
      <c r="G188" s="569">
        <f t="shared" si="15"/>
        <v>0</v>
      </c>
      <c r="H188" s="606"/>
      <c r="I188" s="607">
        <f>ROUNDUP((E188*'Project Materials'!$D$18),0)</f>
        <v>0</v>
      </c>
      <c r="J188" s="572">
        <f t="shared" si="16"/>
        <v>0</v>
      </c>
    </row>
    <row r="189" spans="1:10" x14ac:dyDescent="0.4">
      <c r="A189" s="565" t="s">
        <v>429</v>
      </c>
      <c r="B189" s="79" t="str">
        <f>VLOOKUP('Area A'!B244,'Item List'!B:AJ,6,FALSE)</f>
        <v>None</v>
      </c>
      <c r="C189" s="79" t="str">
        <f>VLOOKUP(B189,'Item List'!B:AH,2,FALSE)</f>
        <v>None</v>
      </c>
      <c r="D189" s="79"/>
      <c r="E189" s="588">
        <f>VLOOKUP(B189,'Item List'!B:AM,33,FALSE)</f>
        <v>0</v>
      </c>
      <c r="F189" s="608">
        <f>VLOOKUP(B189,'Item List'!B:AH,4,FALSE)</f>
        <v>0</v>
      </c>
      <c r="G189" s="569">
        <f t="shared" si="15"/>
        <v>0</v>
      </c>
      <c r="H189" s="606"/>
      <c r="I189" s="607">
        <f>ROUNDUP((E189*'Project Materials'!$D$18),0)</f>
        <v>0</v>
      </c>
      <c r="J189" s="572">
        <f t="shared" si="16"/>
        <v>0</v>
      </c>
    </row>
    <row r="190" spans="1:10" x14ac:dyDescent="0.4">
      <c r="A190" s="565" t="s">
        <v>429</v>
      </c>
      <c r="B190" s="79" t="str">
        <f>VLOOKUP('Area A'!B245,'Item List'!B:AJ,6,FALSE)</f>
        <v>None</v>
      </c>
      <c r="C190" s="79" t="str">
        <f>VLOOKUP(B190,'Item List'!B:AH,2,FALSE)</f>
        <v>None</v>
      </c>
      <c r="D190" s="79"/>
      <c r="E190" s="588">
        <f>VLOOKUP(B190,'Item List'!B:AM,33,FALSE)</f>
        <v>0</v>
      </c>
      <c r="F190" s="608">
        <f>VLOOKUP(B190,'Item List'!B:AH,4,FALSE)</f>
        <v>0</v>
      </c>
      <c r="G190" s="569">
        <f t="shared" si="15"/>
        <v>0</v>
      </c>
      <c r="H190" s="606"/>
      <c r="I190" s="607">
        <f>ROUNDUP((E190*'Project Materials'!$D$18),0)</f>
        <v>0</v>
      </c>
      <c r="J190" s="572">
        <f t="shared" si="16"/>
        <v>0</v>
      </c>
    </row>
    <row r="191" spans="1:10" x14ac:dyDescent="0.4">
      <c r="A191" s="565" t="s">
        <v>429</v>
      </c>
      <c r="B191" s="79" t="str">
        <f>VLOOKUP('Area A'!B246,'Item List'!B:AJ,6,FALSE)</f>
        <v>None</v>
      </c>
      <c r="C191" s="79" t="str">
        <f>VLOOKUP(B191,'Item List'!B:AH,2,FALSE)</f>
        <v>None</v>
      </c>
      <c r="D191" s="79"/>
      <c r="E191" s="588">
        <f>VLOOKUP(B191,'Item List'!B:AM,33,FALSE)</f>
        <v>0</v>
      </c>
      <c r="F191" s="608">
        <f>VLOOKUP(B191,'Item List'!B:AH,4,FALSE)</f>
        <v>0</v>
      </c>
      <c r="G191" s="569">
        <f t="shared" si="15"/>
        <v>0</v>
      </c>
      <c r="H191" s="606"/>
      <c r="I191" s="607">
        <f>ROUNDUP((E191*'Project Materials'!$D$18),0)</f>
        <v>0</v>
      </c>
      <c r="J191" s="572">
        <f t="shared" si="16"/>
        <v>0</v>
      </c>
    </row>
    <row r="192" spans="1:10" x14ac:dyDescent="0.4">
      <c r="A192" s="565" t="s">
        <v>429</v>
      </c>
      <c r="B192" s="79" t="str">
        <f>VLOOKUP('Area A'!B247,'Item List'!B:AJ,6,FALSE)</f>
        <v>None</v>
      </c>
      <c r="C192" s="79" t="str">
        <f>VLOOKUP(B192,'Item List'!B:AH,2,FALSE)</f>
        <v>None</v>
      </c>
      <c r="D192" s="79"/>
      <c r="E192" s="588">
        <f>VLOOKUP(B192,'Item List'!B:AM,33,FALSE)</f>
        <v>0</v>
      </c>
      <c r="F192" s="608">
        <f>VLOOKUP(B192,'Item List'!B:AH,4,FALSE)</f>
        <v>0</v>
      </c>
      <c r="G192" s="569">
        <f t="shared" si="15"/>
        <v>0</v>
      </c>
      <c r="H192" s="606"/>
      <c r="I192" s="607">
        <f>ROUNDUP((E192*'Project Materials'!$D$18),0)</f>
        <v>0</v>
      </c>
      <c r="J192" s="572">
        <f t="shared" si="16"/>
        <v>0</v>
      </c>
    </row>
    <row r="193" spans="1:10" x14ac:dyDescent="0.4">
      <c r="A193" s="565" t="s">
        <v>429</v>
      </c>
      <c r="B193" s="79" t="str">
        <f>VLOOKUP('Area A'!B248,'Item List'!B:AJ,6,FALSE)</f>
        <v>None</v>
      </c>
      <c r="C193" s="79" t="str">
        <f>VLOOKUP(B193,'Item List'!B:AH,2,FALSE)</f>
        <v>None</v>
      </c>
      <c r="D193" s="79"/>
      <c r="E193" s="588">
        <f>VLOOKUP(B193,'Item List'!B:AM,33,FALSE)</f>
        <v>0</v>
      </c>
      <c r="F193" s="608">
        <f>VLOOKUP(B193,'Item List'!B:AH,4,FALSE)</f>
        <v>0</v>
      </c>
      <c r="G193" s="569">
        <f t="shared" si="15"/>
        <v>0</v>
      </c>
      <c r="H193" s="606"/>
      <c r="I193" s="607">
        <f>ROUNDUP((E193*'Project Materials'!$D$18),0)</f>
        <v>0</v>
      </c>
      <c r="J193" s="572">
        <f t="shared" si="16"/>
        <v>0</v>
      </c>
    </row>
    <row r="194" spans="1:10" x14ac:dyDescent="0.4">
      <c r="A194" s="565" t="s">
        <v>429</v>
      </c>
      <c r="B194" s="79" t="str">
        <f>VLOOKUP('Area A'!B249,'Item List'!B:AJ,6,FALSE)</f>
        <v>None</v>
      </c>
      <c r="C194" s="79" t="str">
        <f>VLOOKUP(B194,'Item List'!B:AH,2,FALSE)</f>
        <v>None</v>
      </c>
      <c r="D194" s="79"/>
      <c r="E194" s="588">
        <f>VLOOKUP(B194,'Item List'!B:AM,33,FALSE)</f>
        <v>0</v>
      </c>
      <c r="F194" s="608">
        <f>VLOOKUP(B194,'Item List'!B:AH,4,FALSE)</f>
        <v>0</v>
      </c>
      <c r="G194" s="569">
        <f t="shared" si="15"/>
        <v>0</v>
      </c>
      <c r="H194" s="606"/>
      <c r="I194" s="607">
        <f>ROUNDUP((E194*'Project Materials'!$D$18),0)</f>
        <v>0</v>
      </c>
      <c r="J194" s="572">
        <f t="shared" si="16"/>
        <v>0</v>
      </c>
    </row>
    <row r="195" spans="1:10" x14ac:dyDescent="0.4">
      <c r="A195" s="565" t="s">
        <v>429</v>
      </c>
      <c r="B195" s="79" t="str">
        <f>VLOOKUP('Area A'!B250,'Item List'!B:AJ,6,FALSE)</f>
        <v>None</v>
      </c>
      <c r="C195" s="598" t="str">
        <f>VLOOKUP(B195,'Item List'!B:AH,2,FALSE)</f>
        <v>None</v>
      </c>
      <c r="D195" s="598"/>
      <c r="E195" s="588">
        <f>VLOOKUP(B195,'Item List'!B:AM,33,FALSE)</f>
        <v>0</v>
      </c>
      <c r="F195" s="608">
        <f>VLOOKUP(B195,'Item List'!B:AH,4,FALSE)</f>
        <v>0</v>
      </c>
      <c r="G195" s="569">
        <f t="shared" si="15"/>
        <v>0</v>
      </c>
      <c r="H195" s="606"/>
      <c r="I195" s="607">
        <f>ROUNDUP((E195*'Project Materials'!$D$18),0)</f>
        <v>0</v>
      </c>
      <c r="J195" s="572">
        <f t="shared" si="16"/>
        <v>0</v>
      </c>
    </row>
    <row r="196" spans="1:10" ht="15" thickBot="1" x14ac:dyDescent="0.45">
      <c r="A196" s="574"/>
      <c r="B196" s="401"/>
      <c r="C196" s="401"/>
      <c r="D196" s="402"/>
      <c r="E196" s="400"/>
      <c r="F196" s="577"/>
      <c r="G196" s="399">
        <f>SUM(G47:G195)</f>
        <v>0</v>
      </c>
      <c r="H196" s="400"/>
      <c r="I196" s="577"/>
      <c r="J196" s="399">
        <f>SUM(J47:J195)</f>
        <v>0</v>
      </c>
    </row>
    <row r="197" spans="1:10" ht="16.3" thickTop="1" x14ac:dyDescent="0.45">
      <c r="A197" s="578" t="s">
        <v>429</v>
      </c>
      <c r="B197" s="578"/>
      <c r="C197" s="578"/>
      <c r="D197" s="578"/>
      <c r="E197" s="578"/>
      <c r="F197" s="578"/>
      <c r="G197" s="578"/>
      <c r="H197" s="578"/>
      <c r="I197" s="578"/>
      <c r="J197" s="578"/>
    </row>
    <row r="198" spans="1:10" x14ac:dyDescent="0.4">
      <c r="A198" s="592" t="s">
        <v>432</v>
      </c>
      <c r="B198" s="593" t="s">
        <v>11</v>
      </c>
      <c r="C198" s="593" t="s">
        <v>12</v>
      </c>
      <c r="D198" s="593"/>
      <c r="E198" s="584" t="s">
        <v>436</v>
      </c>
      <c r="F198" s="594" t="s">
        <v>437</v>
      </c>
      <c r="G198" s="594" t="s">
        <v>425</v>
      </c>
      <c r="H198" s="583" t="s">
        <v>501</v>
      </c>
      <c r="I198" s="584" t="s">
        <v>502</v>
      </c>
      <c r="J198" s="583" t="s">
        <v>500</v>
      </c>
    </row>
    <row r="199" spans="1:10" x14ac:dyDescent="0.4">
      <c r="A199" s="565" t="s">
        <v>0</v>
      </c>
      <c r="B199" s="79" t="str">
        <f>VLOOKUP('Area A'!$B$5,'Item List'!B:AJ,7,FALSE)</f>
        <v>INT-90°/650 rail</v>
      </c>
      <c r="C199" s="79" t="str">
        <f>VLOOKUP(B199,'Item List'!B:AH,2,FALSE)</f>
        <v>Internal 90° Splice Corner</v>
      </c>
      <c r="D199" s="79"/>
      <c r="E199" s="570">
        <f>VLOOKUP(B199,'Item List'!B:AM,33,FALSE)</f>
        <v>0</v>
      </c>
      <c r="F199" s="568">
        <f>VLOOKUP(B199,'Item List'!B:AJ,4,FALSE)</f>
        <v>5.47</v>
      </c>
      <c r="G199" s="568">
        <f t="shared" ref="G199:G230" si="17">F199*E199</f>
        <v>0</v>
      </c>
      <c r="H199" s="606"/>
      <c r="I199" s="607">
        <f>ROUNDUP((E199*'Project Materials'!$D$18),0)</f>
        <v>0</v>
      </c>
      <c r="J199" s="572">
        <f>G199+(I199*F199)</f>
        <v>0</v>
      </c>
    </row>
    <row r="200" spans="1:10" x14ac:dyDescent="0.4">
      <c r="A200" s="565" t="s">
        <v>0</v>
      </c>
      <c r="B200" s="79" t="str">
        <f>VLOOKUP('Area A'!$B$5,'Item List'!B:AJ,8,FALSE)</f>
        <v>None</v>
      </c>
      <c r="C200" s="79" t="str">
        <f>VLOOKUP(B200,'Item List'!B:AH,2,FALSE)</f>
        <v>None</v>
      </c>
      <c r="D200" s="79"/>
      <c r="E200" s="570">
        <f>VLOOKUP(B200,'Item List'!B:AM,33,FALSE)</f>
        <v>0</v>
      </c>
      <c r="F200" s="568">
        <f>VLOOKUP(B200,'Item List'!B:AJ,4,FALSE)</f>
        <v>0</v>
      </c>
      <c r="G200" s="568">
        <f t="shared" si="17"/>
        <v>0</v>
      </c>
      <c r="H200" s="606"/>
      <c r="I200" s="607">
        <f>ROUNDUP((E200*'Project Materials'!$D$18),0)</f>
        <v>0</v>
      </c>
      <c r="J200" s="572">
        <f t="shared" ref="J200:J251" si="18">G200+(I200*F200)</f>
        <v>0</v>
      </c>
    </row>
    <row r="201" spans="1:10" x14ac:dyDescent="0.4">
      <c r="A201" s="565" t="s">
        <v>0</v>
      </c>
      <c r="B201" s="79" t="str">
        <f>VLOOKUP('Area A'!$B$5,'Item List'!B:AJ,9,FALSE)</f>
        <v>None</v>
      </c>
      <c r="C201" s="79" t="str">
        <f>VLOOKUP(B201,'Item List'!B:AH,2,FALSE)</f>
        <v>None</v>
      </c>
      <c r="D201" s="79"/>
      <c r="E201" s="570">
        <f>IF(B201="none",0,2+'Project Materials'!D13*VLOOKUP(B201,'Item List'!B:AM,38,FALSE))</f>
        <v>0</v>
      </c>
      <c r="F201" s="568">
        <f>VLOOKUP(B201,'Item List'!B:AJ,4,FALSE)</f>
        <v>0</v>
      </c>
      <c r="G201" s="568">
        <f t="shared" si="17"/>
        <v>0</v>
      </c>
      <c r="H201" s="606"/>
      <c r="I201" s="607">
        <f>ROUNDUP((E201*'Project Materials'!$D$18),0)</f>
        <v>0</v>
      </c>
      <c r="J201" s="572">
        <f t="shared" si="18"/>
        <v>0</v>
      </c>
    </row>
    <row r="202" spans="1:10" x14ac:dyDescent="0.4">
      <c r="A202" s="565" t="s">
        <v>0</v>
      </c>
      <c r="B202" s="79" t="str">
        <f>VLOOKUP('Area A'!$B$5,'Item List'!B:AJ,10,FALSE)</f>
        <v>None</v>
      </c>
      <c r="C202" s="79" t="str">
        <f>VLOOKUP(B202,'Item List'!B:AH,2,FALSE)</f>
        <v>None</v>
      </c>
      <c r="D202" s="79"/>
      <c r="E202" s="570">
        <f>VLOOKUP(B202,'Item List'!B:AM,33,FALSE)</f>
        <v>0</v>
      </c>
      <c r="F202" s="568">
        <f>VLOOKUP(B202,'Item List'!B:AJ,4,FALSE)</f>
        <v>0</v>
      </c>
      <c r="G202" s="568">
        <f t="shared" si="17"/>
        <v>0</v>
      </c>
      <c r="H202" s="606"/>
      <c r="I202" s="607">
        <f>ROUNDUP((E202*'Project Materials'!$D$18),0)</f>
        <v>0</v>
      </c>
      <c r="J202" s="572">
        <f t="shared" si="18"/>
        <v>0</v>
      </c>
    </row>
    <row r="203" spans="1:10" x14ac:dyDescent="0.4">
      <c r="A203" s="565" t="s">
        <v>413</v>
      </c>
      <c r="B203" s="655" t="str">
        <f>VLOOKUP('Area A'!$B$6,'Item List'!B:AJ,7,FALSE)</f>
        <v>RCB1</v>
      </c>
      <c r="C203" s="79" t="str">
        <f>VLOOKUP(B203,'Item List'!B:AH,2,FALSE)</f>
        <v>Rail Connecting Block for Top &amp; Bottom Rails (1")</v>
      </c>
      <c r="D203" s="79"/>
      <c r="E203" s="570">
        <f>VLOOKUP(B203,'Item List'!B:AM,33,FALSE)</f>
        <v>0</v>
      </c>
      <c r="F203" s="568">
        <f>VLOOKUP(B203,'Item List'!B:AJ,4,FALSE)</f>
        <v>0.16</v>
      </c>
      <c r="G203" s="568">
        <f t="shared" si="17"/>
        <v>0</v>
      </c>
      <c r="H203" s="606"/>
      <c r="I203" s="607">
        <f>ROUNDUP((E203*'Project Materials'!$D$18),0)</f>
        <v>0</v>
      </c>
      <c r="J203" s="572">
        <f t="shared" si="18"/>
        <v>0</v>
      </c>
    </row>
    <row r="204" spans="1:10" x14ac:dyDescent="0.4">
      <c r="A204" s="565" t="s">
        <v>413</v>
      </c>
      <c r="B204" s="79" t="str">
        <f>VLOOKUP('Area A'!$B$6,'Item List'!B:AJ,8,FALSE)</f>
        <v>None</v>
      </c>
      <c r="C204" s="79" t="str">
        <f>VLOOKUP(B204,'Item List'!B:AH,2,FALSE)</f>
        <v>None</v>
      </c>
      <c r="D204" s="79"/>
      <c r="E204" s="570">
        <f>VLOOKUP(B204,'Item List'!B:AM,33,FALSE)</f>
        <v>0</v>
      </c>
      <c r="F204" s="568">
        <f>VLOOKUP(B204,'Item List'!B:AJ,4,FALSE)</f>
        <v>0</v>
      </c>
      <c r="G204" s="568">
        <f t="shared" si="17"/>
        <v>0</v>
      </c>
      <c r="H204" s="606"/>
      <c r="I204" s="607">
        <f>ROUNDUP((E204*'Project Materials'!$D$18),0)</f>
        <v>0</v>
      </c>
      <c r="J204" s="572">
        <f t="shared" si="18"/>
        <v>0</v>
      </c>
    </row>
    <row r="205" spans="1:10" x14ac:dyDescent="0.4">
      <c r="A205" s="565" t="s">
        <v>413</v>
      </c>
      <c r="B205" s="79" t="str">
        <f>VLOOKUP('Area A'!$B$6,'Item List'!B:AJ,9,FALSE)</f>
        <v>None</v>
      </c>
      <c r="C205" s="79" t="str">
        <f>VLOOKUP(B205,'Item List'!B:AH,2,FALSE)</f>
        <v>None</v>
      </c>
      <c r="D205" s="79"/>
      <c r="E205" s="570">
        <f>VLOOKUP(B205,'Item List'!B:AM,33,FALSE)</f>
        <v>0</v>
      </c>
      <c r="F205" s="568">
        <f>VLOOKUP(B205,'Item List'!B:AJ,4,FALSE)</f>
        <v>0</v>
      </c>
      <c r="G205" s="568">
        <f t="shared" si="17"/>
        <v>0</v>
      </c>
      <c r="H205" s="606"/>
      <c r="I205" s="607">
        <f>ROUNDUP((E205*'Project Materials'!$D$18),0)</f>
        <v>0</v>
      </c>
      <c r="J205" s="572">
        <f t="shared" si="18"/>
        <v>0</v>
      </c>
    </row>
    <row r="206" spans="1:10" x14ac:dyDescent="0.4">
      <c r="A206" s="565" t="s">
        <v>413</v>
      </c>
      <c r="B206" s="79" t="str">
        <f>VLOOKUP('Area A'!$B$6,'Item List'!B:AJ,10,FALSE)</f>
        <v>None</v>
      </c>
      <c r="C206" s="79" t="str">
        <f>VLOOKUP(B206,'Item List'!B:AH,2,FALSE)</f>
        <v>None</v>
      </c>
      <c r="D206" s="79"/>
      <c r="E206" s="570">
        <f>VLOOKUP(B206,'Item List'!B:AM,33,FALSE)</f>
        <v>0</v>
      </c>
      <c r="F206" s="568">
        <f>VLOOKUP(B206,'Item List'!B:AJ,4,FALSE)</f>
        <v>0</v>
      </c>
      <c r="G206" s="568">
        <f t="shared" si="17"/>
        <v>0</v>
      </c>
      <c r="H206" s="606"/>
      <c r="I206" s="607">
        <f>ROUNDUP((E206*'Project Materials'!$D$18),0)</f>
        <v>0</v>
      </c>
      <c r="J206" s="572">
        <f t="shared" si="18"/>
        <v>0</v>
      </c>
    </row>
    <row r="207" spans="1:10" x14ac:dyDescent="0.4">
      <c r="A207" s="565" t="s">
        <v>4</v>
      </c>
      <c r="B207" s="79" t="str">
        <f>VLOOKUP('Area A'!B12,'Item List'!B:AJ,7,FALSE)</f>
        <v>None</v>
      </c>
      <c r="C207" s="79" t="str">
        <f>VLOOKUP(B207,'Item List'!B:AH,2,FALSE)</f>
        <v>None</v>
      </c>
      <c r="D207" s="79"/>
      <c r="E207" s="570">
        <f>VLOOKUP(B207,'Item List'!B:AM,33,FALSE)</f>
        <v>0</v>
      </c>
      <c r="F207" s="568">
        <f>VLOOKUP(B207,'Item List'!B:AJ,4,FALSE)</f>
        <v>0</v>
      </c>
      <c r="G207" s="568">
        <f t="shared" si="17"/>
        <v>0</v>
      </c>
      <c r="H207" s="606"/>
      <c r="I207" s="607">
        <f>ROUNDUP((E207*'Project Materials'!$D$18),0)</f>
        <v>0</v>
      </c>
      <c r="J207" s="572">
        <f t="shared" si="18"/>
        <v>0</v>
      </c>
    </row>
    <row r="208" spans="1:10" x14ac:dyDescent="0.4">
      <c r="A208" s="565" t="s">
        <v>4</v>
      </c>
      <c r="B208" s="79" t="str">
        <f>VLOOKUP('Area A'!B12,'Item List'!B:AJ,8,FALSE)</f>
        <v>None</v>
      </c>
      <c r="C208" s="79" t="str">
        <f>VLOOKUP(B208,'Item List'!B:AH,2,FALSE)</f>
        <v>None</v>
      </c>
      <c r="D208" s="79"/>
      <c r="E208" s="570">
        <f>VLOOKUP(B208,'Item List'!B:AM,33,FALSE)</f>
        <v>0</v>
      </c>
      <c r="F208" s="568">
        <f>VLOOKUP(B208,'Item List'!B:AJ,4,FALSE)</f>
        <v>0</v>
      </c>
      <c r="G208" s="568">
        <f t="shared" si="17"/>
        <v>0</v>
      </c>
      <c r="H208" s="606"/>
      <c r="I208" s="607">
        <f>ROUNDUP((E208*'Project Materials'!$D$18),0)</f>
        <v>0</v>
      </c>
      <c r="J208" s="572">
        <f t="shared" si="18"/>
        <v>0</v>
      </c>
    </row>
    <row r="209" spans="1:10" x14ac:dyDescent="0.4">
      <c r="A209" s="565" t="s">
        <v>4</v>
      </c>
      <c r="B209" s="79" t="str">
        <f>VLOOKUP('Area A'!B12,'Item List'!B:AJ,9,FALSE)</f>
        <v>None</v>
      </c>
      <c r="C209" s="79" t="str">
        <f>VLOOKUP(B209,'Item List'!B:AH,2,FALSE)</f>
        <v>None</v>
      </c>
      <c r="D209" s="79"/>
      <c r="E209" s="570">
        <f>VLOOKUP(B209,'Item List'!B:AM,33,FALSE)</f>
        <v>0</v>
      </c>
      <c r="F209" s="568">
        <f>VLOOKUP(B209,'Item List'!B:AJ,4,FALSE)</f>
        <v>0</v>
      </c>
      <c r="G209" s="568">
        <f t="shared" si="17"/>
        <v>0</v>
      </c>
      <c r="H209" s="606"/>
      <c r="I209" s="607">
        <f>ROUNDUP((E209*'Project Materials'!$D$18),0)</f>
        <v>0</v>
      </c>
      <c r="J209" s="572">
        <f t="shared" si="18"/>
        <v>0</v>
      </c>
    </row>
    <row r="210" spans="1:10" x14ac:dyDescent="0.4">
      <c r="A210" s="565" t="s">
        <v>4</v>
      </c>
      <c r="B210" s="79" t="str">
        <f>VLOOKUP('Area A'!B12,'Item List'!B:AJ,10,FALSE)</f>
        <v>None</v>
      </c>
      <c r="C210" s="79" t="str">
        <f>VLOOKUP(B210,'Item List'!B:AH,2,FALSE)</f>
        <v>None</v>
      </c>
      <c r="D210" s="79"/>
      <c r="E210" s="570">
        <f>VLOOKUP(B210,'Item List'!B:AM,33,FALSE)</f>
        <v>0</v>
      </c>
      <c r="F210" s="568">
        <f>VLOOKUP(B210,'Item List'!B:AJ,4,FALSE)</f>
        <v>0</v>
      </c>
      <c r="G210" s="568">
        <f t="shared" si="17"/>
        <v>0</v>
      </c>
      <c r="H210" s="606"/>
      <c r="I210" s="607">
        <f>ROUNDUP((E210*'Project Materials'!$D$18),0)</f>
        <v>0</v>
      </c>
      <c r="J210" s="572">
        <f t="shared" si="18"/>
        <v>0</v>
      </c>
    </row>
    <row r="211" spans="1:10" x14ac:dyDescent="0.4">
      <c r="A211" s="565" t="s">
        <v>448</v>
      </c>
      <c r="B211" s="79" t="str">
        <f>VLOOKUP('Area A'!B29,'Item List'!B:AJ,7,FALSE)</f>
        <v>SP41- Blk</v>
      </c>
      <c r="C211" s="79" t="str">
        <f>VLOOKUP(B211,'Item List'!B:AH,2,FALSE)</f>
        <v>Series 100 Picket Spacer (4")- Black</v>
      </c>
      <c r="D211" s="79"/>
      <c r="E211" s="570">
        <f>VLOOKUP(B211,'Item List'!B:AM,33,FALSE)</f>
        <v>0</v>
      </c>
      <c r="F211" s="568">
        <f>VLOOKUP(B211,'Item List'!B:AJ,4,FALSE)</f>
        <v>0.26</v>
      </c>
      <c r="G211" s="568">
        <f t="shared" si="17"/>
        <v>0</v>
      </c>
      <c r="H211" s="606"/>
      <c r="I211" s="607">
        <f>ROUNDUP((E211*'Project Materials'!$D$18),0)</f>
        <v>0</v>
      </c>
      <c r="J211" s="572">
        <f t="shared" si="18"/>
        <v>0</v>
      </c>
    </row>
    <row r="212" spans="1:10" x14ac:dyDescent="0.4">
      <c r="A212" s="565" t="s">
        <v>448</v>
      </c>
      <c r="B212" s="79" t="str">
        <f>VLOOKUP('Area A'!B29,'Item List'!B:AJ,8,FALSE)</f>
        <v>SP41- Blk</v>
      </c>
      <c r="C212" s="79" t="str">
        <f>VLOOKUP(B212,'Item List'!B:AH,2,FALSE)</f>
        <v>Series 100 Picket Spacer (4")- Black</v>
      </c>
      <c r="D212" s="79"/>
      <c r="E212" s="570">
        <f>VLOOKUP(B212,'Item List'!B:AM,33,FALSE)</f>
        <v>0</v>
      </c>
      <c r="F212" s="568">
        <f>VLOOKUP(B212,'Item List'!B:AJ,4,FALSE)</f>
        <v>0.26</v>
      </c>
      <c r="G212" s="568">
        <f t="shared" si="17"/>
        <v>0</v>
      </c>
      <c r="H212" s="606"/>
      <c r="I212" s="607">
        <f>ROUNDUP((E212*'Project Materials'!$D$18),0)</f>
        <v>0</v>
      </c>
      <c r="J212" s="572">
        <f t="shared" si="18"/>
        <v>0</v>
      </c>
    </row>
    <row r="213" spans="1:10" x14ac:dyDescent="0.4">
      <c r="A213" s="565" t="s">
        <v>448</v>
      </c>
      <c r="B213" s="79" t="str">
        <f>VLOOKUP('Area A'!B29,'Item List'!B:AJ,9,FALSE)</f>
        <v>None</v>
      </c>
      <c r="C213" s="79" t="str">
        <f>VLOOKUP(B213,'Item List'!B:AH,2,FALSE)</f>
        <v>None</v>
      </c>
      <c r="D213" s="79"/>
      <c r="E213" s="570">
        <f>VLOOKUP(B213,'Item List'!B:AM,33,FALSE)</f>
        <v>0</v>
      </c>
      <c r="F213" s="568">
        <f>VLOOKUP(B213,'Item List'!B:AJ,4,FALSE)</f>
        <v>0</v>
      </c>
      <c r="G213" s="568">
        <f t="shared" si="17"/>
        <v>0</v>
      </c>
      <c r="H213" s="606"/>
      <c r="I213" s="607">
        <f>ROUNDUP((E213*'Project Materials'!$D$18),0)</f>
        <v>0</v>
      </c>
      <c r="J213" s="572">
        <f t="shared" si="18"/>
        <v>0</v>
      </c>
    </row>
    <row r="214" spans="1:10" x14ac:dyDescent="0.4">
      <c r="A214" s="565" t="s">
        <v>448</v>
      </c>
      <c r="B214" s="79" t="str">
        <f>VLOOKUP('Area A'!B29,'Item List'!B:AJ,10,FALSE)</f>
        <v>None</v>
      </c>
      <c r="C214" s="79" t="str">
        <f>VLOOKUP(B214,'Item List'!B:AH,2,FALSE)</f>
        <v>None</v>
      </c>
      <c r="D214" s="79"/>
      <c r="E214" s="570">
        <f>VLOOKUP(B214,'Item List'!B:AM,33,FALSE)</f>
        <v>0</v>
      </c>
      <c r="F214" s="568">
        <f>VLOOKUP(B214,'Item List'!B:AJ,4,FALSE)</f>
        <v>0</v>
      </c>
      <c r="G214" s="568">
        <f t="shared" si="17"/>
        <v>0</v>
      </c>
      <c r="H214" s="606"/>
      <c r="I214" s="607">
        <f>ROUNDUP((E214*'Project Materials'!$D$18),0)</f>
        <v>0</v>
      </c>
      <c r="J214" s="572">
        <f t="shared" si="18"/>
        <v>0</v>
      </c>
    </row>
    <row r="215" spans="1:10" x14ac:dyDescent="0.4">
      <c r="A215" s="565" t="s">
        <v>448</v>
      </c>
      <c r="B215" s="79" t="str">
        <f>VLOOKUP('Area A'!B30,'Item List'!B:AJ,7,FALSE)</f>
        <v>None</v>
      </c>
      <c r="C215" s="79" t="str">
        <f>VLOOKUP(B215,'Item List'!B:AH,2,FALSE)</f>
        <v>None</v>
      </c>
      <c r="D215" s="79"/>
      <c r="E215" s="570">
        <f>VLOOKUP(B215,'Item List'!B:AM,33,FALSE)</f>
        <v>0</v>
      </c>
      <c r="F215" s="568">
        <f>VLOOKUP(B215,'Item List'!B:AJ,4,FALSE)</f>
        <v>0</v>
      </c>
      <c r="G215" s="568">
        <f t="shared" si="17"/>
        <v>0</v>
      </c>
      <c r="H215" s="606"/>
      <c r="I215" s="607">
        <f>ROUNDUP((E215*'Project Materials'!$D$18),0)</f>
        <v>0</v>
      </c>
      <c r="J215" s="572">
        <f t="shared" si="18"/>
        <v>0</v>
      </c>
    </row>
    <row r="216" spans="1:10" x14ac:dyDescent="0.4">
      <c r="A216" s="565" t="s">
        <v>448</v>
      </c>
      <c r="B216" s="79" t="str">
        <f>VLOOKUP('Area A'!B30,'Item List'!B:AJ,8,FALSE)</f>
        <v>None</v>
      </c>
      <c r="C216" s="79" t="str">
        <f>VLOOKUP(B216,'Item List'!B:AH,2,FALSE)</f>
        <v>None</v>
      </c>
      <c r="D216" s="79"/>
      <c r="E216" s="570">
        <f>VLOOKUP(B216,'Item List'!B:AM,33,FALSE)</f>
        <v>0</v>
      </c>
      <c r="F216" s="568">
        <f>VLOOKUP(B216,'Item List'!B:AJ,4,FALSE)</f>
        <v>0</v>
      </c>
      <c r="G216" s="568">
        <f t="shared" si="17"/>
        <v>0</v>
      </c>
      <c r="H216" s="606"/>
      <c r="I216" s="607">
        <f>ROUNDUP((E216*'Project Materials'!$D$18),0)</f>
        <v>0</v>
      </c>
      <c r="J216" s="572">
        <f t="shared" si="18"/>
        <v>0</v>
      </c>
    </row>
    <row r="217" spans="1:10" x14ac:dyDescent="0.4">
      <c r="A217" s="565" t="s">
        <v>448</v>
      </c>
      <c r="B217" s="79" t="str">
        <f>VLOOKUP('Area A'!B30,'Item List'!B:AJ,9,FALSE)</f>
        <v>None</v>
      </c>
      <c r="C217" s="79" t="str">
        <f>VLOOKUP(B217,'Item List'!B:AH,2,FALSE)</f>
        <v>None</v>
      </c>
      <c r="D217" s="79"/>
      <c r="E217" s="570">
        <f>VLOOKUP(B217,'Item List'!B:AM,33,FALSE)</f>
        <v>0</v>
      </c>
      <c r="F217" s="568">
        <f>VLOOKUP(B217,'Item List'!B:AJ,4,FALSE)</f>
        <v>0</v>
      </c>
      <c r="G217" s="568">
        <f t="shared" si="17"/>
        <v>0</v>
      </c>
      <c r="H217" s="606"/>
      <c r="I217" s="607">
        <f>ROUNDUP((E217*'Project Materials'!$D$18),0)</f>
        <v>0</v>
      </c>
      <c r="J217" s="572">
        <f t="shared" si="18"/>
        <v>0</v>
      </c>
    </row>
    <row r="218" spans="1:10" x14ac:dyDescent="0.4">
      <c r="A218" s="565" t="s">
        <v>448</v>
      </c>
      <c r="B218" s="79" t="str">
        <f>VLOOKUP('Area A'!B30,'Item List'!B:AJ,10,FALSE)</f>
        <v>None</v>
      </c>
      <c r="C218" s="79" t="str">
        <f>VLOOKUP(B218,'Item List'!B:AH,2,FALSE)</f>
        <v>None</v>
      </c>
      <c r="D218" s="79"/>
      <c r="E218" s="570">
        <f>VLOOKUP(B218,'Item List'!B:AM,33,FALSE)</f>
        <v>0</v>
      </c>
      <c r="F218" s="568">
        <f>VLOOKUP(B218,'Item List'!B:AJ,4,FALSE)</f>
        <v>0</v>
      </c>
      <c r="G218" s="568">
        <f t="shared" si="17"/>
        <v>0</v>
      </c>
      <c r="H218" s="606"/>
      <c r="I218" s="607">
        <f>ROUNDUP((E218*'Project Materials'!$D$18),0)</f>
        <v>0</v>
      </c>
      <c r="J218" s="572">
        <f t="shared" si="18"/>
        <v>0</v>
      </c>
    </row>
    <row r="219" spans="1:10" x14ac:dyDescent="0.4">
      <c r="A219" s="565" t="s">
        <v>449</v>
      </c>
      <c r="B219" s="79" t="str">
        <f>VLOOKUP('Area A'!B31,'Item List'!B:AJ,7,FALSE)</f>
        <v>None</v>
      </c>
      <c r="C219" s="79" t="str">
        <f>VLOOKUP(B219,'Item List'!B:AH,2,FALSE)</f>
        <v>None</v>
      </c>
      <c r="D219" s="79"/>
      <c r="E219" s="570">
        <f>VLOOKUP(B219,'Item List'!B:AM,33,FALSE)</f>
        <v>0</v>
      </c>
      <c r="F219" s="568">
        <f>VLOOKUP(B219,'Item List'!B:AJ,4,FALSE)</f>
        <v>0</v>
      </c>
      <c r="G219" s="568">
        <f t="shared" si="17"/>
        <v>0</v>
      </c>
      <c r="H219" s="606"/>
      <c r="I219" s="607">
        <f>ROUNDUP((E219*'Project Materials'!$D$18),0)</f>
        <v>0</v>
      </c>
      <c r="J219" s="572">
        <f t="shared" si="18"/>
        <v>0</v>
      </c>
    </row>
    <row r="220" spans="1:10" x14ac:dyDescent="0.4">
      <c r="A220" s="565" t="s">
        <v>449</v>
      </c>
      <c r="B220" s="79" t="str">
        <f>VLOOKUP('Area A'!B31,'Item List'!B:AJ,8,FALSE)</f>
        <v>None</v>
      </c>
      <c r="C220" s="79" t="str">
        <f>VLOOKUP(B220,'Item List'!B:AH,2,FALSE)</f>
        <v>None</v>
      </c>
      <c r="D220" s="79"/>
      <c r="E220" s="570">
        <f>VLOOKUP(B220,'Item List'!B:AM,33,FALSE)</f>
        <v>0</v>
      </c>
      <c r="F220" s="568">
        <f>VLOOKUP(B220,'Item List'!B:AJ,4,FALSE)</f>
        <v>0</v>
      </c>
      <c r="G220" s="568">
        <f t="shared" si="17"/>
        <v>0</v>
      </c>
      <c r="H220" s="606"/>
      <c r="I220" s="607">
        <f>ROUNDUP((E220*'Project Materials'!$D$18),0)</f>
        <v>0</v>
      </c>
      <c r="J220" s="572">
        <f t="shared" si="18"/>
        <v>0</v>
      </c>
    </row>
    <row r="221" spans="1:10" x14ac:dyDescent="0.4">
      <c r="A221" s="565" t="s">
        <v>449</v>
      </c>
      <c r="B221" s="79" t="str">
        <f>VLOOKUP('Area A'!B31,'Item List'!B:AJ,9,FALSE)</f>
        <v>None</v>
      </c>
      <c r="C221" s="79" t="str">
        <f>VLOOKUP(B221,'Item List'!B:AH,2,FALSE)</f>
        <v>None</v>
      </c>
      <c r="D221" s="79"/>
      <c r="E221" s="570">
        <f>VLOOKUP(B221,'Item List'!B:AM,33,FALSE)</f>
        <v>0</v>
      </c>
      <c r="F221" s="568">
        <f>VLOOKUP(B221,'Item List'!B:AJ,4,FALSE)</f>
        <v>0</v>
      </c>
      <c r="G221" s="568">
        <f t="shared" si="17"/>
        <v>0</v>
      </c>
      <c r="H221" s="606"/>
      <c r="I221" s="607">
        <f>ROUNDUP((E221*'Project Materials'!$D$18),0)</f>
        <v>0</v>
      </c>
      <c r="J221" s="572">
        <f t="shared" si="18"/>
        <v>0</v>
      </c>
    </row>
    <row r="222" spans="1:10" x14ac:dyDescent="0.4">
      <c r="A222" s="565" t="s">
        <v>449</v>
      </c>
      <c r="B222" s="79" t="str">
        <f>VLOOKUP('Area A'!B31,'Item List'!B:AJ,10,FALSE)</f>
        <v>None</v>
      </c>
      <c r="C222" s="79" t="str">
        <f>VLOOKUP(B222,'Item List'!B:AH,2,FALSE)</f>
        <v>None</v>
      </c>
      <c r="D222" s="79"/>
      <c r="E222" s="570">
        <f>VLOOKUP(B222,'Item List'!B:AM,33,FALSE)</f>
        <v>0</v>
      </c>
      <c r="F222" s="568">
        <f>VLOOKUP(B222,'Item List'!B:AJ,4,FALSE)</f>
        <v>0</v>
      </c>
      <c r="G222" s="568">
        <f t="shared" si="17"/>
        <v>0</v>
      </c>
      <c r="H222" s="606"/>
      <c r="I222" s="607">
        <f>ROUNDUP((E222*'Project Materials'!$D$18),0)</f>
        <v>0</v>
      </c>
      <c r="J222" s="572">
        <f t="shared" si="18"/>
        <v>0</v>
      </c>
    </row>
    <row r="223" spans="1:10" x14ac:dyDescent="0.4">
      <c r="A223" s="565" t="s">
        <v>449</v>
      </c>
      <c r="B223" s="79" t="str">
        <f>VLOOKUP('Area A'!B32,'Item List'!B:AJ,7,FALSE)</f>
        <v>None</v>
      </c>
      <c r="C223" s="79" t="str">
        <f>VLOOKUP(B223,'Item List'!B:AH,2,FALSE)</f>
        <v>None</v>
      </c>
      <c r="D223" s="79"/>
      <c r="E223" s="570">
        <f>VLOOKUP(B223,'Item List'!B:AM,33,FALSE)</f>
        <v>0</v>
      </c>
      <c r="F223" s="568">
        <f>VLOOKUP(B223,'Item List'!B:AJ,4,FALSE)</f>
        <v>0</v>
      </c>
      <c r="G223" s="568">
        <f t="shared" si="17"/>
        <v>0</v>
      </c>
      <c r="H223" s="606"/>
      <c r="I223" s="607">
        <f>ROUNDUP((E223*'Project Materials'!$D$18),0)</f>
        <v>0</v>
      </c>
      <c r="J223" s="572">
        <f t="shared" si="18"/>
        <v>0</v>
      </c>
    </row>
    <row r="224" spans="1:10" x14ac:dyDescent="0.4">
      <c r="A224" s="565" t="s">
        <v>449</v>
      </c>
      <c r="B224" s="79" t="str">
        <f>VLOOKUP('Area A'!B32,'Item List'!B:AJ,8,FALSE)</f>
        <v>None</v>
      </c>
      <c r="C224" s="79" t="str">
        <f>VLOOKUP(B224,'Item List'!B:AH,2,FALSE)</f>
        <v>None</v>
      </c>
      <c r="D224" s="79"/>
      <c r="E224" s="570">
        <f>VLOOKUP(B224,'Item List'!B:AM,33,FALSE)</f>
        <v>0</v>
      </c>
      <c r="F224" s="568">
        <f>VLOOKUP(B224,'Item List'!B:AJ,4,FALSE)</f>
        <v>0</v>
      </c>
      <c r="G224" s="568">
        <f t="shared" si="17"/>
        <v>0</v>
      </c>
      <c r="H224" s="606"/>
      <c r="I224" s="607">
        <f>ROUNDUP((E224*'Project Materials'!$D$18),0)</f>
        <v>0</v>
      </c>
      <c r="J224" s="572">
        <f t="shared" si="18"/>
        <v>0</v>
      </c>
    </row>
    <row r="225" spans="1:10" x14ac:dyDescent="0.4">
      <c r="A225" s="565" t="s">
        <v>449</v>
      </c>
      <c r="B225" s="79" t="str">
        <f>VLOOKUP('Area A'!B32,'Item List'!B:AJ,9,FALSE)</f>
        <v>None</v>
      </c>
      <c r="C225" s="79" t="str">
        <f>VLOOKUP(B225,'Item List'!B:AH,2,FALSE)</f>
        <v>None</v>
      </c>
      <c r="D225" s="79"/>
      <c r="E225" s="570">
        <f>VLOOKUP(B225,'Item List'!B:AM,33,FALSE)</f>
        <v>0</v>
      </c>
      <c r="F225" s="568">
        <f>VLOOKUP(B225,'Item List'!B:AJ,4,FALSE)</f>
        <v>0</v>
      </c>
      <c r="G225" s="568">
        <f t="shared" si="17"/>
        <v>0</v>
      </c>
      <c r="H225" s="606"/>
      <c r="I225" s="607">
        <f>ROUNDUP((E225*'Project Materials'!$D$18),0)</f>
        <v>0</v>
      </c>
      <c r="J225" s="572">
        <f t="shared" si="18"/>
        <v>0</v>
      </c>
    </row>
    <row r="226" spans="1:10" x14ac:dyDescent="0.4">
      <c r="A226" s="565" t="s">
        <v>449</v>
      </c>
      <c r="B226" s="79" t="str">
        <f>VLOOKUP('Area A'!B32,'Item List'!B:AJ,10,FALSE)</f>
        <v>None</v>
      </c>
      <c r="C226" s="79" t="str">
        <f>VLOOKUP(B226,'Item List'!B:AH,2,FALSE)</f>
        <v>None</v>
      </c>
      <c r="D226" s="79"/>
      <c r="E226" s="570">
        <f>VLOOKUP(B226,'Item List'!B:AM,33,FALSE)</f>
        <v>0</v>
      </c>
      <c r="F226" s="568">
        <f>VLOOKUP(B226,'Item List'!B:AJ,4,FALSE)</f>
        <v>0</v>
      </c>
      <c r="G226" s="568">
        <f t="shared" si="17"/>
        <v>0</v>
      </c>
      <c r="H226" s="606"/>
      <c r="I226" s="607">
        <f>ROUNDUP((E226*'Project Materials'!$D$18),0)</f>
        <v>0</v>
      </c>
      <c r="J226" s="572">
        <f t="shared" si="18"/>
        <v>0</v>
      </c>
    </row>
    <row r="227" spans="1:10" x14ac:dyDescent="0.4">
      <c r="A227" s="565" t="s">
        <v>450</v>
      </c>
      <c r="B227" s="79" t="str">
        <f>VLOOKUP('Area A'!B33,'Item List'!B:AJ,7,FALSE)</f>
        <v>None</v>
      </c>
      <c r="C227" s="79" t="str">
        <f>VLOOKUP(B227,'Item List'!B:AH,2,FALSE)</f>
        <v>None</v>
      </c>
      <c r="D227" s="79"/>
      <c r="E227" s="570">
        <f>VLOOKUP(B227,'Item List'!B:AM,33,FALSE)</f>
        <v>0</v>
      </c>
      <c r="F227" s="568">
        <f>VLOOKUP(B227,'Item List'!B:AJ,4,FALSE)</f>
        <v>0</v>
      </c>
      <c r="G227" s="568">
        <f t="shared" si="17"/>
        <v>0</v>
      </c>
      <c r="H227" s="606"/>
      <c r="I227" s="607">
        <f>ROUNDUP((E227*'Project Materials'!$D$18),0)</f>
        <v>0</v>
      </c>
      <c r="J227" s="572">
        <f t="shared" si="18"/>
        <v>0</v>
      </c>
    </row>
    <row r="228" spans="1:10" x14ac:dyDescent="0.4">
      <c r="A228" s="565" t="s">
        <v>450</v>
      </c>
      <c r="B228" s="79" t="str">
        <f>VLOOKUP('Area A'!B33,'Item List'!B:AJ,8,FALSE)</f>
        <v>None</v>
      </c>
      <c r="C228" s="79" t="str">
        <f>VLOOKUP(B228,'Item List'!B:AH,2,FALSE)</f>
        <v>None</v>
      </c>
      <c r="D228" s="79"/>
      <c r="E228" s="570">
        <f>VLOOKUP(B228,'Item List'!B:AM,33,FALSE)</f>
        <v>0</v>
      </c>
      <c r="F228" s="568">
        <f>VLOOKUP(B228,'Item List'!B:AJ,4,FALSE)</f>
        <v>0</v>
      </c>
      <c r="G228" s="568">
        <f t="shared" si="17"/>
        <v>0</v>
      </c>
      <c r="H228" s="606"/>
      <c r="I228" s="607">
        <f>ROUNDUP((E228*'Project Materials'!$D$18),0)</f>
        <v>0</v>
      </c>
      <c r="J228" s="572">
        <f t="shared" si="18"/>
        <v>0</v>
      </c>
    </row>
    <row r="229" spans="1:10" x14ac:dyDescent="0.4">
      <c r="A229" s="565" t="s">
        <v>450</v>
      </c>
      <c r="B229" s="79" t="str">
        <f>VLOOKUP('Area A'!B33,'Item List'!B:AJ,9,FALSE)</f>
        <v>None</v>
      </c>
      <c r="C229" s="79" t="str">
        <f>VLOOKUP(B229,'Item List'!B:AH,2,FALSE)</f>
        <v>None</v>
      </c>
      <c r="D229" s="79"/>
      <c r="E229" s="570">
        <f>VLOOKUP(B229,'Item List'!B:AM,33,FALSE)</f>
        <v>0</v>
      </c>
      <c r="F229" s="568">
        <f>VLOOKUP(B229,'Item List'!B:AJ,4,FALSE)</f>
        <v>0</v>
      </c>
      <c r="G229" s="568">
        <f t="shared" si="17"/>
        <v>0</v>
      </c>
      <c r="H229" s="606"/>
      <c r="I229" s="607">
        <f>ROUNDUP((E229*'Project Materials'!$D$18),0)</f>
        <v>0</v>
      </c>
      <c r="J229" s="572">
        <f t="shared" si="18"/>
        <v>0</v>
      </c>
    </row>
    <row r="230" spans="1:10" x14ac:dyDescent="0.4">
      <c r="A230" s="565" t="s">
        <v>450</v>
      </c>
      <c r="B230" s="79" t="str">
        <f>VLOOKUP('Area A'!B33,'Item List'!B:AJ,10,FALSE)</f>
        <v>None</v>
      </c>
      <c r="C230" s="79" t="str">
        <f>VLOOKUP(B230,'Item List'!B:AH,2,FALSE)</f>
        <v>None</v>
      </c>
      <c r="D230" s="79"/>
      <c r="E230" s="570">
        <f>VLOOKUP(B230,'Item List'!B:AM,33,FALSE)</f>
        <v>0</v>
      </c>
      <c r="F230" s="568">
        <f>VLOOKUP(B230,'Item List'!B:AJ,4,FALSE)</f>
        <v>0</v>
      </c>
      <c r="G230" s="568">
        <f t="shared" si="17"/>
        <v>0</v>
      </c>
      <c r="H230" s="606"/>
      <c r="I230" s="607">
        <f>ROUNDUP((E230*'Project Materials'!$D$18),0)</f>
        <v>0</v>
      </c>
      <c r="J230" s="572">
        <f t="shared" si="18"/>
        <v>0</v>
      </c>
    </row>
    <row r="231" spans="1:10" x14ac:dyDescent="0.4">
      <c r="A231" s="565" t="s">
        <v>450</v>
      </c>
      <c r="B231" s="79" t="str">
        <f>VLOOKUP('Area A'!B34,'Item List'!B:AJ,7,FALSE)</f>
        <v>None</v>
      </c>
      <c r="C231" s="79" t="str">
        <f>VLOOKUP(B231,'Item List'!B:AH,2,FALSE)</f>
        <v>None</v>
      </c>
      <c r="D231" s="79"/>
      <c r="E231" s="570">
        <f>VLOOKUP(B231,'Item List'!B:AM,33,FALSE)</f>
        <v>0</v>
      </c>
      <c r="F231" s="568">
        <f>VLOOKUP(B231,'Item List'!B:AJ,4,FALSE)</f>
        <v>0</v>
      </c>
      <c r="G231" s="568">
        <f t="shared" ref="G231:G250" si="19">F231*E231</f>
        <v>0</v>
      </c>
      <c r="H231" s="606"/>
      <c r="I231" s="607">
        <f>ROUNDUP((E231*'Project Materials'!$D$18),0)</f>
        <v>0</v>
      </c>
      <c r="J231" s="572">
        <f t="shared" si="18"/>
        <v>0</v>
      </c>
    </row>
    <row r="232" spans="1:10" x14ac:dyDescent="0.4">
      <c r="A232" s="565" t="s">
        <v>450</v>
      </c>
      <c r="B232" s="79" t="str">
        <f>VLOOKUP('Area A'!B34,'Item List'!B:AJ,8,FALSE)</f>
        <v>None</v>
      </c>
      <c r="C232" s="79" t="str">
        <f>VLOOKUP(B232,'Item List'!B:AH,2,FALSE)</f>
        <v>None</v>
      </c>
      <c r="D232" s="79"/>
      <c r="E232" s="570">
        <f>VLOOKUP(B232,'Item List'!B:AM,33,FALSE)</f>
        <v>0</v>
      </c>
      <c r="F232" s="568">
        <f>VLOOKUP(B232,'Item List'!B:AJ,4,FALSE)</f>
        <v>0</v>
      </c>
      <c r="G232" s="568">
        <f t="shared" si="19"/>
        <v>0</v>
      </c>
      <c r="H232" s="606"/>
      <c r="I232" s="607">
        <f>ROUNDUP((E232*'Project Materials'!$D$18),0)</f>
        <v>0</v>
      </c>
      <c r="J232" s="572">
        <f t="shared" si="18"/>
        <v>0</v>
      </c>
    </row>
    <row r="233" spans="1:10" x14ac:dyDescent="0.4">
      <c r="A233" s="565" t="s">
        <v>450</v>
      </c>
      <c r="B233" s="79" t="str">
        <f>VLOOKUP('Area A'!B34,'Item List'!B:AJ,9,FALSE)</f>
        <v>None</v>
      </c>
      <c r="C233" s="79" t="str">
        <f>VLOOKUP(B233,'Item List'!B:AH,2,FALSE)</f>
        <v>None</v>
      </c>
      <c r="D233" s="79"/>
      <c r="E233" s="570">
        <f>VLOOKUP(B233,'Item List'!B:AM,33,FALSE)</f>
        <v>0</v>
      </c>
      <c r="F233" s="568">
        <f>VLOOKUP(B233,'Item List'!B:AJ,4,FALSE)</f>
        <v>0</v>
      </c>
      <c r="G233" s="568">
        <f t="shared" si="19"/>
        <v>0</v>
      </c>
      <c r="H233" s="606"/>
      <c r="I233" s="607">
        <f>ROUNDUP((E233*'Project Materials'!$D$18),0)</f>
        <v>0</v>
      </c>
      <c r="J233" s="572">
        <f t="shared" si="18"/>
        <v>0</v>
      </c>
    </row>
    <row r="234" spans="1:10" x14ac:dyDescent="0.4">
      <c r="A234" s="565" t="s">
        <v>450</v>
      </c>
      <c r="B234" s="79" t="str">
        <f>VLOOKUP('Area A'!B34,'Item List'!B:AJ,10,FALSE)</f>
        <v>None</v>
      </c>
      <c r="C234" s="79" t="str">
        <f>VLOOKUP(B234,'Item List'!B:AH,2,FALSE)</f>
        <v>None</v>
      </c>
      <c r="D234" s="79"/>
      <c r="E234" s="570">
        <f>VLOOKUP(B234,'Item List'!B:AM,33,FALSE)</f>
        <v>0</v>
      </c>
      <c r="F234" s="568">
        <f>VLOOKUP(B234,'Item List'!B:AJ,4,FALSE)</f>
        <v>0</v>
      </c>
      <c r="G234" s="568">
        <f t="shared" si="19"/>
        <v>0</v>
      </c>
      <c r="H234" s="606"/>
      <c r="I234" s="607">
        <f>ROUNDUP((E234*'Project Materials'!$D$18),0)</f>
        <v>0</v>
      </c>
      <c r="J234" s="572">
        <f t="shared" si="18"/>
        <v>0</v>
      </c>
    </row>
    <row r="235" spans="1:10" x14ac:dyDescent="0.4">
      <c r="A235" s="565" t="s">
        <v>451</v>
      </c>
      <c r="B235" s="79" t="str">
        <f>VLOOKUP('Area A'!B35,'Item List'!B:AJ,7,FALSE)</f>
        <v>None</v>
      </c>
      <c r="C235" s="79" t="str">
        <f>VLOOKUP(B235,'Item List'!B:AH,2,FALSE)</f>
        <v>None</v>
      </c>
      <c r="D235" s="79"/>
      <c r="E235" s="570">
        <f>VLOOKUP(B235,'Item List'!B:AM,33,FALSE)</f>
        <v>0</v>
      </c>
      <c r="F235" s="568">
        <f>VLOOKUP(B235,'Item List'!B:AJ,4,FALSE)</f>
        <v>0</v>
      </c>
      <c r="G235" s="568">
        <f t="shared" si="19"/>
        <v>0</v>
      </c>
      <c r="H235" s="606"/>
      <c r="I235" s="607">
        <f>ROUNDUP((E235*'Project Materials'!$D$18),0)</f>
        <v>0</v>
      </c>
      <c r="J235" s="572">
        <f t="shared" si="18"/>
        <v>0</v>
      </c>
    </row>
    <row r="236" spans="1:10" x14ac:dyDescent="0.4">
      <c r="A236" s="565" t="s">
        <v>451</v>
      </c>
      <c r="B236" s="79" t="str">
        <f>VLOOKUP('Area A'!B35,'Item List'!B:AJ,8,FALSE)</f>
        <v>None</v>
      </c>
      <c r="C236" s="79" t="str">
        <f>VLOOKUP(B236,'Item List'!B:AH,2,FALSE)</f>
        <v>None</v>
      </c>
      <c r="D236" s="79"/>
      <c r="E236" s="570">
        <f>VLOOKUP(B236,'Item List'!B:AM,33,FALSE)</f>
        <v>0</v>
      </c>
      <c r="F236" s="568">
        <f>VLOOKUP(B236,'Item List'!B:AJ,4,FALSE)</f>
        <v>0</v>
      </c>
      <c r="G236" s="568">
        <f t="shared" si="19"/>
        <v>0</v>
      </c>
      <c r="H236" s="606"/>
      <c r="I236" s="607">
        <f>ROUNDUP((E236*'Project Materials'!$D$18),0)</f>
        <v>0</v>
      </c>
      <c r="J236" s="572">
        <f t="shared" si="18"/>
        <v>0</v>
      </c>
    </row>
    <row r="237" spans="1:10" x14ac:dyDescent="0.4">
      <c r="A237" s="565" t="s">
        <v>451</v>
      </c>
      <c r="B237" s="79" t="str">
        <f>VLOOKUP('Area A'!B35,'Item List'!B:AJ,9,FALSE)</f>
        <v>None</v>
      </c>
      <c r="C237" s="79" t="str">
        <f>VLOOKUP(B237,'Item List'!B:AH,2,FALSE)</f>
        <v>None</v>
      </c>
      <c r="D237" s="79"/>
      <c r="E237" s="570">
        <f>VLOOKUP(B237,'Item List'!B:AM,33,FALSE)</f>
        <v>0</v>
      </c>
      <c r="F237" s="568">
        <f>VLOOKUP(B237,'Item List'!B:AJ,4,FALSE)</f>
        <v>0</v>
      </c>
      <c r="G237" s="568">
        <f t="shared" si="19"/>
        <v>0</v>
      </c>
      <c r="H237" s="606"/>
      <c r="I237" s="607">
        <f>ROUNDUP((E237*'Project Materials'!$D$18),0)</f>
        <v>0</v>
      </c>
      <c r="J237" s="572">
        <f t="shared" si="18"/>
        <v>0</v>
      </c>
    </row>
    <row r="238" spans="1:10" x14ac:dyDescent="0.4">
      <c r="A238" s="565" t="s">
        <v>451</v>
      </c>
      <c r="B238" s="79" t="str">
        <f>VLOOKUP('Area A'!B35,'Item List'!B:AJ,10,FALSE)</f>
        <v>None</v>
      </c>
      <c r="C238" s="79" t="str">
        <f>VLOOKUP(B238,'Item List'!B:AH,2,FALSE)</f>
        <v>None</v>
      </c>
      <c r="D238" s="79"/>
      <c r="E238" s="570">
        <f>VLOOKUP(B238,'Item List'!B:AM,33,FALSE)</f>
        <v>0</v>
      </c>
      <c r="F238" s="568">
        <f>VLOOKUP(B238,'Item List'!B:AJ,4,FALSE)</f>
        <v>0</v>
      </c>
      <c r="G238" s="568">
        <f t="shared" si="19"/>
        <v>0</v>
      </c>
      <c r="H238" s="606"/>
      <c r="I238" s="607">
        <f>ROUNDUP((E238*'Project Materials'!$D$18),0)</f>
        <v>0</v>
      </c>
      <c r="J238" s="572">
        <f t="shared" si="18"/>
        <v>0</v>
      </c>
    </row>
    <row r="239" spans="1:10" x14ac:dyDescent="0.4">
      <c r="A239" s="565" t="s">
        <v>451</v>
      </c>
      <c r="B239" s="79" t="str">
        <f>VLOOKUP('Area A'!B36,'Item List'!B:AJ,7,FALSE)</f>
        <v>None</v>
      </c>
      <c r="C239" s="79" t="str">
        <f>VLOOKUP(B239,'Item List'!B:AH,2,FALSE)</f>
        <v>None</v>
      </c>
      <c r="D239" s="79"/>
      <c r="E239" s="570">
        <f>VLOOKUP(B239,'Item List'!B:AM,33,FALSE)</f>
        <v>0</v>
      </c>
      <c r="F239" s="568">
        <f>VLOOKUP(B239,'Item List'!B:AJ,4,FALSE)</f>
        <v>0</v>
      </c>
      <c r="G239" s="568">
        <f t="shared" si="19"/>
        <v>0</v>
      </c>
      <c r="H239" s="606"/>
      <c r="I239" s="607">
        <f>ROUNDUP((E239*'Project Materials'!$D$18),0)</f>
        <v>0</v>
      </c>
      <c r="J239" s="572">
        <f t="shared" si="18"/>
        <v>0</v>
      </c>
    </row>
    <row r="240" spans="1:10" x14ac:dyDescent="0.4">
      <c r="A240" s="565" t="s">
        <v>451</v>
      </c>
      <c r="B240" s="79" t="str">
        <f>VLOOKUP('Area A'!B36,'Item List'!B:AJ,8,FALSE)</f>
        <v>None</v>
      </c>
      <c r="C240" s="79" t="str">
        <f>VLOOKUP(B240,'Item List'!B:AH,2,FALSE)</f>
        <v>None</v>
      </c>
      <c r="D240" s="79"/>
      <c r="E240" s="570">
        <f>VLOOKUP(B240,'Item List'!B:AM,33,FALSE)</f>
        <v>0</v>
      </c>
      <c r="F240" s="568">
        <f>VLOOKUP(B240,'Item List'!B:AJ,4,FALSE)</f>
        <v>0</v>
      </c>
      <c r="G240" s="568">
        <f t="shared" si="19"/>
        <v>0</v>
      </c>
      <c r="H240" s="606"/>
      <c r="I240" s="607">
        <f>ROUNDUP((E240*'Project Materials'!$D$18),0)</f>
        <v>0</v>
      </c>
      <c r="J240" s="572">
        <f t="shared" si="18"/>
        <v>0</v>
      </c>
    </row>
    <row r="241" spans="1:68" x14ac:dyDescent="0.4">
      <c r="A241" s="565" t="s">
        <v>451</v>
      </c>
      <c r="B241" s="79" t="str">
        <f>VLOOKUP('Area A'!B36,'Item List'!B:AJ,9,FALSE)</f>
        <v>None</v>
      </c>
      <c r="C241" s="79" t="str">
        <f>VLOOKUP(B241,'Item List'!B:AH,2,FALSE)</f>
        <v>None</v>
      </c>
      <c r="D241" s="79"/>
      <c r="E241" s="570">
        <f>VLOOKUP(B241,'Item List'!B:AM,33,FALSE)</f>
        <v>0</v>
      </c>
      <c r="F241" s="568">
        <f>VLOOKUP(B241,'Item List'!B:AJ,4,FALSE)</f>
        <v>0</v>
      </c>
      <c r="G241" s="568">
        <f t="shared" si="19"/>
        <v>0</v>
      </c>
      <c r="H241" s="606"/>
      <c r="I241" s="607">
        <f>ROUNDUP((E241*'Project Materials'!$D$18),0)</f>
        <v>0</v>
      </c>
      <c r="J241" s="572">
        <f t="shared" si="18"/>
        <v>0</v>
      </c>
    </row>
    <row r="242" spans="1:68" x14ac:dyDescent="0.4">
      <c r="A242" s="565" t="s">
        <v>451</v>
      </c>
      <c r="B242" s="79" t="str">
        <f>VLOOKUP('Area A'!B36,'Item List'!B:AJ,10,FALSE)</f>
        <v>None</v>
      </c>
      <c r="C242" s="79" t="str">
        <f>VLOOKUP(B242,'Item List'!B:AH,2,FALSE)</f>
        <v>None</v>
      </c>
      <c r="D242" s="79"/>
      <c r="E242" s="570">
        <f>VLOOKUP(B242,'Item List'!B:AM,33,FALSE)</f>
        <v>0</v>
      </c>
      <c r="F242" s="568">
        <f>VLOOKUP(B242,'Item List'!B:AJ,4,FALSE)</f>
        <v>0</v>
      </c>
      <c r="G242" s="568">
        <f t="shared" si="19"/>
        <v>0</v>
      </c>
      <c r="H242" s="606"/>
      <c r="I242" s="607">
        <f>ROUNDUP((E242*'Project Materials'!$D$18),0)</f>
        <v>0</v>
      </c>
      <c r="J242" s="572">
        <f t="shared" si="18"/>
        <v>0</v>
      </c>
    </row>
    <row r="243" spans="1:68" s="111" customFormat="1" x14ac:dyDescent="0.4">
      <c r="A243" s="565" t="s">
        <v>452</v>
      </c>
      <c r="B243" s="79" t="str">
        <f>VLOOKUP('Area A'!B40,'Item List'!B:AJ,7,FALSE)</f>
        <v>None</v>
      </c>
      <c r="C243" s="79" t="str">
        <f>VLOOKUP(B243,'Item List'!B:AH,2,FALSE)</f>
        <v>None</v>
      </c>
      <c r="D243" s="79"/>
      <c r="E243" s="570">
        <f>VLOOKUP(B243,'Item List'!B:AM,33,FALSE)</f>
        <v>0</v>
      </c>
      <c r="F243" s="568">
        <f>VLOOKUP(B243,'Item List'!B:AJ,4,FALSE)</f>
        <v>0</v>
      </c>
      <c r="G243" s="568">
        <f t="shared" si="19"/>
        <v>0</v>
      </c>
      <c r="H243" s="606"/>
      <c r="I243" s="607">
        <f>ROUNDUP((E243*'Project Materials'!$D$18),0)</f>
        <v>0</v>
      </c>
      <c r="J243" s="572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111" customFormat="1" x14ac:dyDescent="0.4">
      <c r="A244" s="565" t="s">
        <v>452</v>
      </c>
      <c r="B244" s="79" t="str">
        <f>VLOOKUP('Area A'!B40,'Item List'!B:AJ,8,FALSE)</f>
        <v>None</v>
      </c>
      <c r="C244" s="79" t="str">
        <f>VLOOKUP(B244,'Item List'!B:AH,2,FALSE)</f>
        <v>None</v>
      </c>
      <c r="D244" s="79"/>
      <c r="E244" s="570">
        <f>VLOOKUP(B244,'Item List'!B:AM,33,FALSE)</f>
        <v>0</v>
      </c>
      <c r="F244" s="568">
        <f>VLOOKUP(B244,'Item List'!B:AJ,4,FALSE)</f>
        <v>0</v>
      </c>
      <c r="G244" s="568">
        <f t="shared" si="19"/>
        <v>0</v>
      </c>
      <c r="H244" s="606"/>
      <c r="I244" s="607">
        <f>ROUNDUP((E244*'Project Materials'!$D$18),0)</f>
        <v>0</v>
      </c>
      <c r="J244" s="572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111" customFormat="1" x14ac:dyDescent="0.4">
      <c r="A245" s="565" t="s">
        <v>452</v>
      </c>
      <c r="B245" s="79" t="str">
        <f>VLOOKUP('Area A'!B40,'Item List'!B:AJ,9,FALSE)</f>
        <v>None</v>
      </c>
      <c r="C245" s="79" t="str">
        <f>VLOOKUP(B245,'Item List'!B:AH,2,FALSE)</f>
        <v>None</v>
      </c>
      <c r="D245" s="79"/>
      <c r="E245" s="570">
        <f>VLOOKUP(B245,'Item List'!B:AM,33,FALSE)</f>
        <v>0</v>
      </c>
      <c r="F245" s="568">
        <f>VLOOKUP(B245,'Item List'!B:AJ,4,FALSE)</f>
        <v>0</v>
      </c>
      <c r="G245" s="568">
        <f t="shared" si="19"/>
        <v>0</v>
      </c>
      <c r="H245" s="606"/>
      <c r="I245" s="607">
        <f>ROUNDUP((E245*'Project Materials'!$D$18),0)</f>
        <v>0</v>
      </c>
      <c r="J245" s="572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111" customFormat="1" x14ac:dyDescent="0.4">
      <c r="A246" s="565" t="s">
        <v>452</v>
      </c>
      <c r="B246" s="79" t="str">
        <f>VLOOKUP('Area A'!B40,'Item List'!B:AJ,10,FALSE)</f>
        <v>None</v>
      </c>
      <c r="C246" s="79" t="str">
        <f>VLOOKUP(B246,'Item List'!B:AH,2,FALSE)</f>
        <v>None</v>
      </c>
      <c r="D246" s="79"/>
      <c r="E246" s="570">
        <f>VLOOKUP(B246,'Item List'!B:AM,33,FALSE)</f>
        <v>0</v>
      </c>
      <c r="F246" s="568">
        <f>VLOOKUP(B246,'Item List'!B:AJ,4,FALSE)</f>
        <v>0</v>
      </c>
      <c r="G246" s="568">
        <f t="shared" si="19"/>
        <v>0</v>
      </c>
      <c r="H246" s="606"/>
      <c r="I246" s="607">
        <f>ROUNDUP((E246*'Project Materials'!$D$18),0)</f>
        <v>0</v>
      </c>
      <c r="J246" s="572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65" t="s">
        <v>453</v>
      </c>
      <c r="B247" s="79" t="str">
        <f>VLOOKUP('Area A'!B41,'Item List'!B:AJ,7,FALSE)</f>
        <v>None</v>
      </c>
      <c r="C247" s="79" t="str">
        <f>VLOOKUP(B247,'Item List'!B:AH,2,FALSE)</f>
        <v>None</v>
      </c>
      <c r="D247" s="79"/>
      <c r="E247" s="570">
        <f>VLOOKUP(B247,'Item List'!B:AM,33,FALSE)</f>
        <v>0</v>
      </c>
      <c r="F247" s="568">
        <f>VLOOKUP(B247,'Item List'!B:AJ,4,FALSE)</f>
        <v>0</v>
      </c>
      <c r="G247" s="568">
        <f t="shared" si="19"/>
        <v>0</v>
      </c>
      <c r="H247" s="606"/>
      <c r="I247" s="607">
        <f>ROUNDUP((E247*'Project Materials'!$D$18),0)</f>
        <v>0</v>
      </c>
      <c r="J247" s="572">
        <f t="shared" si="18"/>
        <v>0</v>
      </c>
    </row>
    <row r="248" spans="1:68" x14ac:dyDescent="0.4">
      <c r="A248" s="565" t="s">
        <v>453</v>
      </c>
      <c r="B248" s="79" t="str">
        <f>VLOOKUP('Area A'!B41,'Item List'!B:AJ,8,FALSE)</f>
        <v>None</v>
      </c>
      <c r="C248" s="79" t="str">
        <f>VLOOKUP(B248,'Item List'!B:AH,2,FALSE)</f>
        <v>None</v>
      </c>
      <c r="D248" s="79"/>
      <c r="E248" s="570">
        <f>VLOOKUP(B248,'Item List'!B:AM,33,FALSE)</f>
        <v>0</v>
      </c>
      <c r="F248" s="568">
        <f>VLOOKUP(B248,'Item List'!B:AJ,4,FALSE)</f>
        <v>0</v>
      </c>
      <c r="G248" s="568">
        <f t="shared" si="19"/>
        <v>0</v>
      </c>
      <c r="H248" s="606"/>
      <c r="I248" s="607">
        <f>ROUNDUP((E248*'Project Materials'!$D$18),0)</f>
        <v>0</v>
      </c>
      <c r="J248" s="572">
        <f t="shared" si="18"/>
        <v>0</v>
      </c>
    </row>
    <row r="249" spans="1:68" x14ac:dyDescent="0.4">
      <c r="A249" s="565" t="s">
        <v>453</v>
      </c>
      <c r="B249" s="79" t="str">
        <f>VLOOKUP('Area A'!B41,'Item List'!B:AJ,9,FALSE)</f>
        <v>None</v>
      </c>
      <c r="C249" s="79" t="str">
        <f>VLOOKUP(B249,'Item List'!B:AH,2,FALSE)</f>
        <v>None</v>
      </c>
      <c r="D249" s="79"/>
      <c r="E249" s="570">
        <f>VLOOKUP(B249,'Item List'!B:AM,33,FALSE)</f>
        <v>0</v>
      </c>
      <c r="F249" s="568">
        <f>VLOOKUP(B249,'Item List'!B:AJ,4,FALSE)</f>
        <v>0</v>
      </c>
      <c r="G249" s="568">
        <f t="shared" si="19"/>
        <v>0</v>
      </c>
      <c r="H249" s="606"/>
      <c r="I249" s="607">
        <f>ROUNDUP((E249*'Project Materials'!$D$18),0)</f>
        <v>0</v>
      </c>
      <c r="J249" s="572">
        <f t="shared" si="18"/>
        <v>0</v>
      </c>
    </row>
    <row r="250" spans="1:68" x14ac:dyDescent="0.4">
      <c r="A250" s="565" t="s">
        <v>453</v>
      </c>
      <c r="B250" s="79" t="str">
        <f>VLOOKUP('Area A'!B41,'Item List'!B:AJ,10,FALSE)</f>
        <v>None</v>
      </c>
      <c r="C250" s="79" t="str">
        <f>VLOOKUP(B250,'Item List'!B:AH,2,FALSE)</f>
        <v>None</v>
      </c>
      <c r="D250" s="79"/>
      <c r="E250" s="570">
        <f>VLOOKUP(B250,'Item List'!B:AM,33,FALSE)</f>
        <v>0</v>
      </c>
      <c r="F250" s="568">
        <f>VLOOKUP(B250,'Item List'!B:AJ,4,FALSE)</f>
        <v>0</v>
      </c>
      <c r="G250" s="568">
        <f t="shared" si="19"/>
        <v>0</v>
      </c>
      <c r="H250" s="606"/>
      <c r="I250" s="607">
        <f>ROUNDUP((E250*'Project Materials'!$D$18),0)</f>
        <v>0</v>
      </c>
      <c r="J250" s="572">
        <f t="shared" si="18"/>
        <v>0</v>
      </c>
    </row>
    <row r="251" spans="1:68" x14ac:dyDescent="0.4">
      <c r="A251" s="565" t="s">
        <v>457</v>
      </c>
      <c r="B251" s="390" t="s">
        <v>418</v>
      </c>
      <c r="C251" s="595" t="str">
        <f>VLOOKUP(B251,'Item List'!B:AH,2,FALSE)</f>
        <v>None</v>
      </c>
      <c r="D251" s="656"/>
      <c r="E251" s="397">
        <v>0</v>
      </c>
      <c r="F251" s="568">
        <f>VLOOKUP(B251,'Item List'!B:AJ,4,FALSE)</f>
        <v>0</v>
      </c>
      <c r="G251" s="568">
        <f t="shared" ref="G251:G265" si="20">F251*E251</f>
        <v>0</v>
      </c>
      <c r="H251" s="606"/>
      <c r="I251" s="607">
        <f>ROUNDUP((E251*'Project Materials'!$D$18),0)</f>
        <v>0</v>
      </c>
      <c r="J251" s="572">
        <f t="shared" si="18"/>
        <v>0</v>
      </c>
    </row>
    <row r="252" spans="1:68" x14ac:dyDescent="0.4">
      <c r="A252" s="565" t="s">
        <v>457</v>
      </c>
      <c r="B252" s="390" t="s">
        <v>418</v>
      </c>
      <c r="C252" s="595" t="str">
        <f>VLOOKUP(B252,'Item List'!B:AH,2,FALSE)</f>
        <v>None</v>
      </c>
      <c r="D252" s="656"/>
      <c r="E252" s="397">
        <v>0</v>
      </c>
      <c r="F252" s="568">
        <f>VLOOKUP(B252,'Item List'!B:AJ,4,FALSE)</f>
        <v>0</v>
      </c>
      <c r="G252" s="568">
        <f t="shared" si="20"/>
        <v>0</v>
      </c>
      <c r="H252" s="606"/>
      <c r="I252" s="607">
        <f>ROUNDUP((E252*'Project Materials'!$D$18),0)</f>
        <v>0</v>
      </c>
      <c r="J252" s="572">
        <f t="shared" ref="J252:J265" si="21">G252+(I252*F252)</f>
        <v>0</v>
      </c>
    </row>
    <row r="253" spans="1:68" x14ac:dyDescent="0.4">
      <c r="A253" s="565" t="s">
        <v>457</v>
      </c>
      <c r="B253" s="390" t="s">
        <v>418</v>
      </c>
      <c r="C253" s="595" t="str">
        <f>VLOOKUP(B253,'Item List'!B:AH,2,FALSE)</f>
        <v>None</v>
      </c>
      <c r="D253" s="656"/>
      <c r="E253" s="397">
        <v>0</v>
      </c>
      <c r="F253" s="568">
        <f>VLOOKUP(B253,'Item List'!B:AJ,4,FALSE)</f>
        <v>0</v>
      </c>
      <c r="G253" s="568">
        <f t="shared" si="20"/>
        <v>0</v>
      </c>
      <c r="H253" s="606"/>
      <c r="I253" s="607">
        <f>ROUNDUP((E253*'Project Materials'!$D$18),0)</f>
        <v>0</v>
      </c>
      <c r="J253" s="572">
        <f t="shared" si="21"/>
        <v>0</v>
      </c>
    </row>
    <row r="254" spans="1:68" x14ac:dyDescent="0.4">
      <c r="A254" s="565" t="s">
        <v>457</v>
      </c>
      <c r="B254" s="390" t="s">
        <v>418</v>
      </c>
      <c r="C254" s="595" t="str">
        <f>VLOOKUP(B254,'Item List'!B:AH,2,FALSE)</f>
        <v>None</v>
      </c>
      <c r="D254" s="656"/>
      <c r="E254" s="397">
        <v>0</v>
      </c>
      <c r="F254" s="568">
        <f>VLOOKUP(B254,'Item List'!B:AJ,4,FALSE)</f>
        <v>0</v>
      </c>
      <c r="G254" s="568">
        <f t="shared" si="20"/>
        <v>0</v>
      </c>
      <c r="H254" s="606"/>
      <c r="I254" s="607">
        <f>ROUNDUP((E254*'Project Materials'!$D$18),0)</f>
        <v>0</v>
      </c>
      <c r="J254" s="572">
        <f t="shared" si="21"/>
        <v>0</v>
      </c>
    </row>
    <row r="255" spans="1:68" x14ac:dyDescent="0.4">
      <c r="A255" s="565" t="s">
        <v>457</v>
      </c>
      <c r="B255" s="390" t="s">
        <v>418</v>
      </c>
      <c r="C255" s="595" t="str">
        <f>VLOOKUP(B255,'Item List'!B:AH,2,FALSE)</f>
        <v>None</v>
      </c>
      <c r="D255" s="656"/>
      <c r="E255" s="397">
        <v>0</v>
      </c>
      <c r="F255" s="568">
        <f>VLOOKUP(B255,'Item List'!B:AJ,4,FALSE)</f>
        <v>0</v>
      </c>
      <c r="G255" s="568">
        <f t="shared" si="20"/>
        <v>0</v>
      </c>
      <c r="H255" s="606"/>
      <c r="I255" s="607">
        <f>ROUNDUP((E255*'Project Materials'!$D$18),0)</f>
        <v>0</v>
      </c>
      <c r="J255" s="572">
        <f t="shared" si="21"/>
        <v>0</v>
      </c>
    </row>
    <row r="256" spans="1:68" x14ac:dyDescent="0.4">
      <c r="A256" s="565" t="s">
        <v>457</v>
      </c>
      <c r="B256" s="390" t="s">
        <v>418</v>
      </c>
      <c r="C256" s="657" t="str">
        <f>VLOOKUP(B256,'Item List'!B:AH,2,FALSE)</f>
        <v>None</v>
      </c>
      <c r="D256" s="658"/>
      <c r="E256" s="397">
        <v>0</v>
      </c>
      <c r="F256" s="568">
        <f>VLOOKUP(B256,'Item List'!B:AJ,4,FALSE)</f>
        <v>0</v>
      </c>
      <c r="G256" s="568">
        <f t="shared" ref="G256:G263" si="22">F256*E256</f>
        <v>0</v>
      </c>
      <c r="H256" s="606"/>
      <c r="I256" s="607">
        <f>ROUNDUP((E256*'Project Materials'!$D$18),0)</f>
        <v>0</v>
      </c>
      <c r="J256" s="572">
        <f t="shared" si="21"/>
        <v>0</v>
      </c>
    </row>
    <row r="257" spans="1:67" s="111" customFormat="1" x14ac:dyDescent="0.4">
      <c r="A257" s="565" t="s">
        <v>498</v>
      </c>
      <c r="B257" s="395"/>
      <c r="C257" s="395"/>
      <c r="D257" s="388"/>
      <c r="E257" s="388"/>
      <c r="F257" s="396"/>
      <c r="G257" s="568">
        <f t="shared" si="22"/>
        <v>0</v>
      </c>
      <c r="H257" s="606"/>
      <c r="I257" s="607">
        <f>ROUNDUP((E257*'Project Materials'!$D$18),0)</f>
        <v>0</v>
      </c>
      <c r="J257" s="572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111" customFormat="1" ht="18" customHeight="1" x14ac:dyDescent="0.4">
      <c r="A258" s="565" t="s">
        <v>498</v>
      </c>
      <c r="B258" s="395"/>
      <c r="C258" s="395"/>
      <c r="D258" s="388"/>
      <c r="E258" s="388"/>
      <c r="F258" s="396"/>
      <c r="G258" s="568">
        <f t="shared" si="22"/>
        <v>0</v>
      </c>
      <c r="H258" s="606"/>
      <c r="I258" s="607">
        <f>ROUNDUP((E258*'Project Materials'!$D$18),0)</f>
        <v>0</v>
      </c>
      <c r="J258" s="572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111" customFormat="1" x14ac:dyDescent="0.4">
      <c r="A259" s="565" t="s">
        <v>498</v>
      </c>
      <c r="B259" s="395"/>
      <c r="C259" s="395"/>
      <c r="D259" s="388"/>
      <c r="E259" s="388"/>
      <c r="F259" s="396"/>
      <c r="G259" s="568">
        <f t="shared" si="22"/>
        <v>0</v>
      </c>
      <c r="H259" s="606"/>
      <c r="I259" s="607">
        <f>ROUNDUP((E259*'Project Materials'!$D$18),0)</f>
        <v>0</v>
      </c>
      <c r="J259" s="572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65" t="s">
        <v>498</v>
      </c>
      <c r="B260" s="395"/>
      <c r="C260" s="395"/>
      <c r="D260" s="388"/>
      <c r="E260" s="388"/>
      <c r="F260" s="396"/>
      <c r="G260" s="568">
        <f t="shared" si="22"/>
        <v>0</v>
      </c>
      <c r="H260" s="606"/>
      <c r="I260" s="607">
        <f>ROUNDUP((E260*'Project Materials'!$D$18),0)</f>
        <v>0</v>
      </c>
      <c r="J260" s="572">
        <f t="shared" si="21"/>
        <v>0</v>
      </c>
    </row>
    <row r="261" spans="1:67" s="111" customFormat="1" x14ac:dyDescent="0.4">
      <c r="A261" s="565" t="s">
        <v>498</v>
      </c>
      <c r="B261" s="395"/>
      <c r="C261" s="395"/>
      <c r="D261" s="388"/>
      <c r="E261" s="388"/>
      <c r="F261" s="396"/>
      <c r="G261" s="568">
        <f t="shared" si="22"/>
        <v>0</v>
      </c>
      <c r="H261" s="606"/>
      <c r="I261" s="607">
        <f>ROUNDUP((E261*'Project Materials'!$D$18),0)</f>
        <v>0</v>
      </c>
      <c r="J261" s="572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111" customFormat="1" ht="18" customHeight="1" x14ac:dyDescent="0.4">
      <c r="A262" s="565" t="s">
        <v>498</v>
      </c>
      <c r="B262" s="395"/>
      <c r="C262" s="395"/>
      <c r="D262" s="388"/>
      <c r="E262" s="388"/>
      <c r="F262" s="396"/>
      <c r="G262" s="568">
        <f t="shared" si="22"/>
        <v>0</v>
      </c>
      <c r="H262" s="606"/>
      <c r="I262" s="607">
        <f>ROUNDUP((E262*'Project Materials'!$D$18),0)</f>
        <v>0</v>
      </c>
      <c r="J262" s="572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111" customFormat="1" x14ac:dyDescent="0.4">
      <c r="A263" s="565" t="s">
        <v>498</v>
      </c>
      <c r="B263" s="395"/>
      <c r="C263" s="395"/>
      <c r="D263" s="388"/>
      <c r="E263" s="388"/>
      <c r="F263" s="396"/>
      <c r="G263" s="568">
        <f t="shared" si="22"/>
        <v>0</v>
      </c>
      <c r="H263" s="606"/>
      <c r="I263" s="607">
        <f>ROUNDUP((E263*'Project Materials'!$D$18),0)</f>
        <v>0</v>
      </c>
      <c r="J263" s="572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65" t="s">
        <v>498</v>
      </c>
      <c r="B264" s="395"/>
      <c r="C264" s="395"/>
      <c r="D264" s="388"/>
      <c r="E264" s="388"/>
      <c r="F264" s="396"/>
      <c r="G264" s="568">
        <f t="shared" si="20"/>
        <v>0</v>
      </c>
      <c r="H264" s="606"/>
      <c r="I264" s="607">
        <f>ROUNDUP((E264*'Project Materials'!$D$18),0)</f>
        <v>0</v>
      </c>
      <c r="J264" s="572">
        <f t="shared" si="21"/>
        <v>0</v>
      </c>
    </row>
    <row r="265" spans="1:67" x14ac:dyDescent="0.4">
      <c r="A265" s="565" t="s">
        <v>498</v>
      </c>
      <c r="B265" s="395"/>
      <c r="C265" s="395"/>
      <c r="D265" s="388"/>
      <c r="E265" s="388"/>
      <c r="F265" s="396"/>
      <c r="G265" s="568">
        <f t="shared" si="20"/>
        <v>0</v>
      </c>
      <c r="H265" s="606"/>
      <c r="I265" s="607">
        <f>ROUNDUP((E265*'Project Materials'!$D$18),0)</f>
        <v>0</v>
      </c>
      <c r="J265" s="572">
        <f t="shared" si="21"/>
        <v>0</v>
      </c>
    </row>
    <row r="266" spans="1:67" ht="16.5" customHeight="1" thickBot="1" x14ac:dyDescent="0.45">
      <c r="A266" s="15"/>
      <c r="B266" s="392"/>
      <c r="C266" s="392"/>
      <c r="D266" s="393"/>
      <c r="E266" s="393"/>
      <c r="F266" s="394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83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33" priority="20" operator="containsText" text="none">
      <formula>NOT(ISERROR(SEARCH("none",B47)))</formula>
    </cfRule>
  </conditionalFormatting>
  <conditionalFormatting sqref="B243:B250">
    <cfRule type="containsText" dxfId="132" priority="19" operator="containsText" text="none">
      <formula>NOT(ISERROR(SEARCH("none",B243)))</formula>
    </cfRule>
  </conditionalFormatting>
  <conditionalFormatting sqref="E26">
    <cfRule type="expression" dxfId="131" priority="18">
      <formula>(E26-E19)&lt;&gt;0</formula>
    </cfRule>
  </conditionalFormatting>
  <conditionalFormatting sqref="E19">
    <cfRule type="expression" dxfId="130" priority="17">
      <formula>(E19-E26)&lt;&gt;0</formula>
    </cfRule>
  </conditionalFormatting>
  <conditionalFormatting sqref="B64:B69">
    <cfRule type="containsText" dxfId="129" priority="13" operator="containsText" text="none">
      <formula>NOT(ISERROR(SEARCH("none",B64)))</formula>
    </cfRule>
  </conditionalFormatting>
  <conditionalFormatting sqref="B70:B75">
    <cfRule type="containsText" dxfId="128" priority="12" operator="containsText" text="none">
      <formula>NOT(ISERROR(SEARCH("none",B70)))</formula>
    </cfRule>
  </conditionalFormatting>
  <conditionalFormatting sqref="B76:B81">
    <cfRule type="containsText" dxfId="127" priority="11" operator="containsText" text="none">
      <formula>NOT(ISERROR(SEARCH("none",B76)))</formula>
    </cfRule>
  </conditionalFormatting>
  <conditionalFormatting sqref="B82:B87">
    <cfRule type="containsText" dxfId="126" priority="9" operator="containsText" text="none">
      <formula>NOT(ISERROR(SEARCH("none",B82)))</formula>
    </cfRule>
  </conditionalFormatting>
  <conditionalFormatting sqref="B88:B93">
    <cfRule type="containsText" dxfId="125" priority="8" operator="containsText" text="none">
      <formula>NOT(ISERROR(SEARCH("none",B88)))</formula>
    </cfRule>
  </conditionalFormatting>
  <conditionalFormatting sqref="B95:B106">
    <cfRule type="containsText" dxfId="124" priority="6" operator="containsText" text="none">
      <formula>NOT(ISERROR(SEARCH("none",B95)))</formula>
    </cfRule>
  </conditionalFormatting>
  <conditionalFormatting sqref="B107:B112">
    <cfRule type="containsText" dxfId="123" priority="5" operator="containsText" text="none">
      <formula>NOT(ISERROR(SEARCH("none",B107)))</formula>
    </cfRule>
  </conditionalFormatting>
  <conditionalFormatting sqref="B113:B118">
    <cfRule type="containsText" dxfId="122" priority="4" operator="containsText" text="none">
      <formula>NOT(ISERROR(SEARCH("none",B113)))</formula>
    </cfRule>
  </conditionalFormatting>
  <conditionalFormatting sqref="B119">
    <cfRule type="containsText" dxfId="121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2" bestFit="1" customWidth="1"/>
    <col min="2" max="2" width="24.53515625" style="82" customWidth="1"/>
    <col min="3" max="3" width="62.15234375" style="82" customWidth="1"/>
    <col min="4" max="4" width="13.3046875" style="586" customWidth="1"/>
    <col min="5" max="5" width="12.69140625" style="571" customWidth="1"/>
    <col min="6" max="6" width="12.15234375" style="568" customWidth="1"/>
    <col min="7" max="7" width="15.84375" style="679" customWidth="1"/>
    <col min="8" max="8" width="15" style="663" customWidth="1"/>
    <col min="9" max="9" width="21.3828125" style="680" customWidth="1"/>
    <col min="10" max="10" width="15.3828125" style="663" customWidth="1"/>
    <col min="11" max="11" width="11.15234375" style="663" bestFit="1" customWidth="1"/>
    <col min="12" max="14" width="8.84375" style="663"/>
    <col min="15" max="15" width="11.3046875" style="663" bestFit="1" customWidth="1"/>
    <col min="16" max="67" width="8.84375" style="663"/>
    <col min="68" max="16384" width="8.84375" style="82"/>
  </cols>
  <sheetData>
    <row r="1" spans="1:67" ht="15" thickBot="1" x14ac:dyDescent="0.45">
      <c r="A1" s="1119" t="str">
        <f>IF('Project Materials'!C26="","",'Project Materials'!C26)</f>
        <v/>
      </c>
      <c r="B1" s="1120"/>
      <c r="C1" s="1120"/>
      <c r="D1" s="1120"/>
      <c r="E1" s="1120"/>
      <c r="F1" s="1120"/>
      <c r="G1" s="1120"/>
      <c r="H1" s="660"/>
      <c r="I1" s="661"/>
      <c r="J1" s="660"/>
      <c r="K1" s="662"/>
    </row>
    <row r="2" spans="1:67" ht="29.15" x14ac:dyDescent="0.4">
      <c r="A2" s="593" t="s">
        <v>491</v>
      </c>
      <c r="B2" s="79" t="str">
        <f>IF(ISBLANK('Project Materials'!D2),"",'Project Materials'!D2)</f>
        <v/>
      </c>
      <c r="C2" s="593" t="s">
        <v>490</v>
      </c>
      <c r="D2" s="1121" t="str">
        <f>IF(ISBLANK('Project Materials'!I2),"",'Project Materials'!I2)</f>
        <v/>
      </c>
      <c r="E2" s="1121"/>
      <c r="F2" s="594" t="s">
        <v>492</v>
      </c>
      <c r="G2" s="664" t="str">
        <f>IF(ISBLANK('Project Materials'!N2),"",'Project Materials'!N2)</f>
        <v/>
      </c>
      <c r="H2" s="1122"/>
      <c r="I2" s="1122"/>
      <c r="J2" s="1122"/>
    </row>
    <row r="3" spans="1:67" ht="15.9" x14ac:dyDescent="0.45">
      <c r="A3" s="1123" t="s">
        <v>479</v>
      </c>
      <c r="B3" s="1123"/>
      <c r="C3" s="1123"/>
      <c r="D3" s="1123"/>
      <c r="E3" s="1123"/>
      <c r="F3" s="1123"/>
      <c r="G3" s="1123"/>
      <c r="H3" s="1123"/>
      <c r="I3" s="1123"/>
      <c r="J3" s="1123"/>
    </row>
    <row r="4" spans="1:67" ht="43.75" x14ac:dyDescent="0.4">
      <c r="A4" s="665" t="s">
        <v>433</v>
      </c>
      <c r="B4" s="84" t="s">
        <v>11</v>
      </c>
      <c r="C4" s="84" t="s">
        <v>12</v>
      </c>
      <c r="D4" s="600" t="s">
        <v>435</v>
      </c>
      <c r="E4" s="584" t="s">
        <v>436</v>
      </c>
      <c r="F4" s="594" t="s">
        <v>437</v>
      </c>
      <c r="G4" s="601" t="s">
        <v>425</v>
      </c>
      <c r="H4" s="583" t="s">
        <v>501</v>
      </c>
      <c r="I4" s="584" t="s">
        <v>716</v>
      </c>
      <c r="J4" s="583" t="s">
        <v>500</v>
      </c>
      <c r="K4" s="666" t="s">
        <v>870</v>
      </c>
      <c r="L4" s="1124" t="s">
        <v>867</v>
      </c>
      <c r="M4" s="1124"/>
    </row>
    <row r="5" spans="1:67" x14ac:dyDescent="0.4">
      <c r="A5" s="667" t="s">
        <v>0</v>
      </c>
      <c r="B5" s="390" t="s">
        <v>418</v>
      </c>
      <c r="C5" s="79" t="str">
        <f>VLOOKUP(B5,'Item List'!B:AH,2,FALSE)</f>
        <v>None</v>
      </c>
      <c r="D5" s="566">
        <f>IF(B5="none",0,SUM('Project Materials'!$O$26*'Project Materials'!$P$26))</f>
        <v>0</v>
      </c>
      <c r="E5" s="567">
        <f>IF(K5="",(CEILING(('Project Materials'!$O$26/20),L5)*'Project Materials'!$P$26),(CEILING(('Project Materials'!$O$26/K5),L5)*'Project Materials'!$P$26))</f>
        <v>0</v>
      </c>
      <c r="F5" s="568">
        <f>IF(K5&gt;0,K5/20*(VLOOKUP(B5,'Item List'!B:AH,4,FALSE)),IF(B5="None",0,VLOOKUP(B5,'Item List'!B:AH,4,FALSE)))</f>
        <v>0</v>
      </c>
      <c r="G5" s="569">
        <f>F5*E5</f>
        <v>0</v>
      </c>
      <c r="H5" s="570">
        <f>ROUNDUP(D5*'Project Materials'!$H$16,0)</f>
        <v>0</v>
      </c>
      <c r="I5" s="571">
        <f>ROUNDUP(IF(B5="none",0,(SUM(H5/VLOOKUP(B5,'Item List'!B:AH,3,FALSE)))),0)</f>
        <v>0</v>
      </c>
      <c r="J5" s="572">
        <f>G5+(I5*F5)</f>
        <v>0</v>
      </c>
      <c r="K5" s="659"/>
      <c r="L5" s="1118">
        <v>0.5</v>
      </c>
      <c r="M5" s="1118"/>
      <c r="N5" s="663" t="s">
        <v>868</v>
      </c>
    </row>
    <row r="6" spans="1:67" x14ac:dyDescent="0.4">
      <c r="A6" s="667" t="s">
        <v>413</v>
      </c>
      <c r="B6" s="390" t="s">
        <v>418</v>
      </c>
      <c r="C6" s="79" t="str">
        <f>VLOOKUP(B6,'Item List'!B:AH,2,FALSE)</f>
        <v>None</v>
      </c>
      <c r="D6" s="566">
        <f>IF(B6="none",0,SUM('Project Materials'!$O$26*'Project Materials'!$P$26))</f>
        <v>0</v>
      </c>
      <c r="E6" s="567">
        <f>IFERROR(CEILING(IF(K6="",(CEILING(('Project Materials'!$O$26/VLOOKUP(B6,'Item List'!B:AM,3,FALSE)),L6)*'Project Materials'!$P$26),(CEILING(('Project Materials'!$O$26/K6),L6)*'Project Materials'!$P$26)),L6),0)</f>
        <v>0</v>
      </c>
      <c r="F6" s="568">
        <f>IF(B6="None",0,VLOOKUP(B6,'Item List'!B:AH,4,FALSE))</f>
        <v>0</v>
      </c>
      <c r="G6" s="569">
        <f>F6*E6</f>
        <v>0</v>
      </c>
      <c r="H6" s="570">
        <f>ROUNDUP(D6*'Project Materials'!$H$16,0)</f>
        <v>0</v>
      </c>
      <c r="I6" s="571">
        <f>ROUNDUP(IF(B6="none",0,(SUM(H6/VLOOKUP(B6,'Item List'!B:AH,3,FALSE)))),0)</f>
        <v>0</v>
      </c>
      <c r="J6" s="572">
        <f>G6+(I6*F6)</f>
        <v>0</v>
      </c>
      <c r="K6" s="659"/>
      <c r="L6" s="1118">
        <v>0.25</v>
      </c>
      <c r="M6" s="1118"/>
      <c r="N6" s="663" t="s">
        <v>869</v>
      </c>
    </row>
    <row r="7" spans="1:67" x14ac:dyDescent="0.4">
      <c r="A7" s="667" t="s">
        <v>871</v>
      </c>
      <c r="B7" s="390" t="s">
        <v>418</v>
      </c>
      <c r="C7" s="79" t="str">
        <f>VLOOKUP(B7,'Item List'!B:AH,2,FALSE)</f>
        <v>None</v>
      </c>
      <c r="D7" s="566">
        <f>IF(B7="none",0,SUM('Project Materials'!$O$26*'Project Materials'!$P$26))</f>
        <v>0</v>
      </c>
      <c r="E7" s="573">
        <f>IF(K7="",(CEILING(('Project Materials'!$O$26/20),0.5)*'Project Materials'!$P$26),(CEILING(('Project Materials'!$O$26/K7),0.5)*'Project Materials'!$P$26))</f>
        <v>0</v>
      </c>
      <c r="F7" s="568">
        <f>IF(B7="None",0,VLOOKUP(B7,'Item List'!B:AH,4,FALSE))</f>
        <v>0</v>
      </c>
      <c r="G7" s="569">
        <f>F7*E7</f>
        <v>0</v>
      </c>
      <c r="H7" s="570">
        <f>ROUNDUP(D7*'Project Materials'!$H$16,0)</f>
        <v>0</v>
      </c>
      <c r="I7" s="571">
        <f>ROUNDUP(IF(B7="none",0,(SUM(H7/VLOOKUP(B7,'Item List'!B:AH,3,FALSE)))),0)</f>
        <v>0</v>
      </c>
      <c r="J7" s="572">
        <f>G7+(I7*F7)</f>
        <v>0</v>
      </c>
      <c r="K7" s="659"/>
      <c r="L7" s="668"/>
      <c r="M7" s="668"/>
    </row>
    <row r="8" spans="1:67" x14ac:dyDescent="0.4">
      <c r="A8" s="667" t="s">
        <v>413</v>
      </c>
      <c r="B8" s="390" t="s">
        <v>418</v>
      </c>
      <c r="C8" s="79" t="str">
        <f>VLOOKUP(B8,'Item List'!B:AH,2,FALSE)</f>
        <v>None</v>
      </c>
      <c r="D8" s="566">
        <f>IF(B8="none",0,SUM('Project Materials'!$O$26*'Project Materials'!$P$26))</f>
        <v>0</v>
      </c>
      <c r="E8" s="573">
        <f>CEILING(IF(K8="",(CEILING(('Project Materials'!$O$26/20),0.25)*'Project Materials'!$P$26),(CEILING(('Project Materials'!$O$26/K8),0.25)*'Project Materials'!$P$26)),0.5)</f>
        <v>0</v>
      </c>
      <c r="F8" s="568">
        <f>IF(B8="None",0,VLOOKUP(B8,'Item List'!B:AH,4,FALSE))</f>
        <v>0</v>
      </c>
      <c r="G8" s="569">
        <f>F8*E8</f>
        <v>0</v>
      </c>
      <c r="H8" s="570">
        <f>ROUNDUP(D8*'Project Materials'!$H$16,0)</f>
        <v>0</v>
      </c>
      <c r="I8" s="571">
        <f>ROUNDUP(IF(B8="none",0,(SUM(H8/VLOOKUP(B8,'Item List'!B:AH,3,FALSE)))),0)</f>
        <v>0</v>
      </c>
      <c r="J8" s="572">
        <f>G8+(I8*F8)</f>
        <v>0</v>
      </c>
      <c r="K8" s="659"/>
    </row>
    <row r="9" spans="1:67" ht="15" thickBot="1" x14ac:dyDescent="0.45">
      <c r="A9" s="574"/>
      <c r="B9" s="575"/>
      <c r="C9" s="574"/>
      <c r="D9" s="576"/>
      <c r="E9" s="577"/>
      <c r="F9" s="399"/>
      <c r="G9" s="399">
        <f>SUM(G5:G8)</f>
        <v>0</v>
      </c>
      <c r="H9" s="399"/>
      <c r="I9" s="399"/>
      <c r="J9" s="399">
        <f>SUM(J5:J8)</f>
        <v>0</v>
      </c>
      <c r="BO9" s="82"/>
    </row>
    <row r="10" spans="1:67" ht="16.3" thickTop="1" x14ac:dyDescent="0.45">
      <c r="A10" s="578" t="s">
        <v>4</v>
      </c>
      <c r="B10" s="578"/>
      <c r="C10" s="578"/>
      <c r="D10" s="578"/>
      <c r="E10" s="578"/>
      <c r="F10" s="578"/>
      <c r="G10" s="578"/>
      <c r="H10" s="578"/>
      <c r="I10" s="578"/>
      <c r="J10" s="578"/>
    </row>
    <row r="11" spans="1:67" x14ac:dyDescent="0.4">
      <c r="A11" s="665" t="s">
        <v>433</v>
      </c>
      <c r="B11" s="84" t="s">
        <v>11</v>
      </c>
      <c r="C11" s="84" t="s">
        <v>12</v>
      </c>
      <c r="D11" s="580" t="s">
        <v>435</v>
      </c>
      <c r="E11" s="581" t="s">
        <v>436</v>
      </c>
      <c r="F11" s="582" t="s">
        <v>437</v>
      </c>
      <c r="G11" s="583" t="s">
        <v>425</v>
      </c>
      <c r="H11" s="583" t="s">
        <v>501</v>
      </c>
      <c r="I11" s="584" t="s">
        <v>502</v>
      </c>
      <c r="J11" s="583" t="s">
        <v>500</v>
      </c>
    </row>
    <row r="12" spans="1:67" x14ac:dyDescent="0.4">
      <c r="A12" s="669" t="s">
        <v>700</v>
      </c>
      <c r="B12" s="390" t="s">
        <v>418</v>
      </c>
      <c r="C12" s="79" t="str">
        <f>VLOOKUP(B12,'Item List'!B:AJ,2,FALSE)</f>
        <v>None</v>
      </c>
      <c r="D12" s="586">
        <f>IF(B12="None",0,SUM('Project Materials'!K26*('Project Materials'!H26/12))*'Project Materials'!P26)</f>
        <v>0</v>
      </c>
      <c r="E12" s="571">
        <f>IFERROR(IF(B12="none",0,'Project Materials'!K26/(ROUNDDOWN(1/('Project Materials'!$H$26/(VLOOKUP('Area B'!B12,'Item List'!B:AJ,3,FALSE)*12)),0)))*'Project Materials'!P26,0)</f>
        <v>0</v>
      </c>
      <c r="F12" s="568">
        <f>VLOOKUP(B12,'Item List'!B:AJ,4,FALSE)</f>
        <v>0</v>
      </c>
      <c r="G12" s="569">
        <f t="shared" ref="G12:G18" si="0">F12*E12</f>
        <v>0</v>
      </c>
      <c r="H12" s="570">
        <f>ROUNDUP(D12*'Project Materials'!$D$17,0)</f>
        <v>0</v>
      </c>
      <c r="I12" s="571">
        <f>ROUNDUP(IF(B12="none",0,(SUM(H12/VLOOKUP(B12,'Item List'!B:AH,3,FALSE)))),0)</f>
        <v>0</v>
      </c>
      <c r="J12" s="572">
        <f>G12+(I12*F12)</f>
        <v>0</v>
      </c>
    </row>
    <row r="13" spans="1:67" x14ac:dyDescent="0.4">
      <c r="A13" s="669" t="s">
        <v>701</v>
      </c>
      <c r="B13" s="390" t="s">
        <v>418</v>
      </c>
      <c r="C13" s="79" t="str">
        <f>VLOOKUP(B13,'Item List'!B:AJ,2,FALSE)</f>
        <v>None</v>
      </c>
      <c r="D13" s="586">
        <f>IF(B13="None",0,SUM('Project Materials'!J26*('Project Materials'!H26/12))*'Project Materials'!P26)</f>
        <v>0</v>
      </c>
      <c r="E13" s="571">
        <f>IFERROR(IF(B13="none",0,'Project Materials'!J26/(ROUNDDOWN(1/('Project Materials'!$H$26/(VLOOKUP('Area B'!B13,'Item List'!B:AJ,3,FALSE)*12)),0)))*'Project Materials'!P26,0)</f>
        <v>0</v>
      </c>
      <c r="F13" s="568">
        <f>VLOOKUP(B13,'Item List'!B:AJ,4,FALSE)</f>
        <v>0</v>
      </c>
      <c r="G13" s="569">
        <f t="shared" si="0"/>
        <v>0</v>
      </c>
      <c r="H13" s="570">
        <f>ROUNDUP(D13*'Project Materials'!$D$17,0)</f>
        <v>0</v>
      </c>
      <c r="I13" s="571">
        <f>ROUNDUP(IF(B13="none",0,(SUM(H13/VLOOKUP(B13,'Item List'!B:AH,3,FALSE)))),0)</f>
        <v>0</v>
      </c>
      <c r="J13" s="572">
        <f>G13+(I13*F13)</f>
        <v>0</v>
      </c>
    </row>
    <row r="14" spans="1:67" x14ac:dyDescent="0.4">
      <c r="A14" s="669" t="s">
        <v>702</v>
      </c>
      <c r="B14" s="390" t="s">
        <v>418</v>
      </c>
      <c r="C14" s="79" t="str">
        <f>VLOOKUP(B14,'Item List'!B:AJ,2,FALSE)</f>
        <v>None</v>
      </c>
      <c r="D14" s="586">
        <f>IF(B14="None",0,SUM('Project Materials'!M26*('Project Materials'!H26/12))*'Project Materials'!P26)</f>
        <v>0</v>
      </c>
      <c r="E14" s="571">
        <f>IFERROR(IF(B14="none",0,('Project Materials'!L26+'Project Materials'!M26)/(ROUNDDOWN(1/('Project Materials'!$H$26/(VLOOKUP('Area B'!B14,'Item List'!B:AJ,3,FALSE)*12)),0)))*'Project Materials'!P26,0)</f>
        <v>0</v>
      </c>
      <c r="F14" s="568">
        <f>VLOOKUP(B14,'Item List'!B:AJ,4,FALSE)</f>
        <v>0</v>
      </c>
      <c r="G14" s="569">
        <f t="shared" si="0"/>
        <v>0</v>
      </c>
      <c r="H14" s="570">
        <f>ROUNDUP(D14*'Project Materials'!$D$17,0)</f>
        <v>0</v>
      </c>
      <c r="I14" s="571">
        <f>ROUNDUP(IF(B14="none",0,(SUM(H14/VLOOKUP(B14,'Item List'!B:AH,3,FALSE)))),0)</f>
        <v>0</v>
      </c>
      <c r="J14" s="572">
        <f>G14+(I14*F14)</f>
        <v>0</v>
      </c>
    </row>
    <row r="15" spans="1:67" x14ac:dyDescent="0.4">
      <c r="A15" s="669" t="s">
        <v>703</v>
      </c>
      <c r="B15" s="390" t="s">
        <v>418</v>
      </c>
      <c r="C15" s="79" t="str">
        <f>VLOOKUP(B15,'Item List'!B:AJ,2,FALSE)</f>
        <v>None</v>
      </c>
      <c r="D15" s="587"/>
      <c r="E15" s="588">
        <f>IF(B15="None",0,SUM('Project Materials'!K26*'Project Materials'!P26))</f>
        <v>0</v>
      </c>
      <c r="F15" s="568">
        <f>VLOOKUP(B15,'Item List'!B:AJ,4,FALSE)</f>
        <v>0</v>
      </c>
      <c r="G15" s="569">
        <f t="shared" si="0"/>
        <v>0</v>
      </c>
      <c r="H15" s="570">
        <f>ROUNDUP(E15*'Project Materials'!$D$17,0)</f>
        <v>0</v>
      </c>
      <c r="I15" s="589"/>
      <c r="J15" s="572">
        <f>G15+(H15*F15)</f>
        <v>0</v>
      </c>
    </row>
    <row r="16" spans="1:67" x14ac:dyDescent="0.4">
      <c r="A16" s="669" t="s">
        <v>704</v>
      </c>
      <c r="B16" s="390" t="s">
        <v>418</v>
      </c>
      <c r="C16" s="79" t="str">
        <f>VLOOKUP(B16,'Item List'!B:AJ,2,FALSE)</f>
        <v>None</v>
      </c>
      <c r="D16" s="587"/>
      <c r="E16" s="588">
        <f>IF(B16="None",0,SUM('Project Materials'!J26*'Project Materials'!P26))</f>
        <v>0</v>
      </c>
      <c r="F16" s="568">
        <f>VLOOKUP(B16,'Item List'!B:AJ,4,FALSE)</f>
        <v>0</v>
      </c>
      <c r="G16" s="569">
        <f t="shared" si="0"/>
        <v>0</v>
      </c>
      <c r="H16" s="570">
        <f>ROUNDUP(E16*'Project Materials'!$D$17,0)</f>
        <v>0</v>
      </c>
      <c r="I16" s="589"/>
      <c r="J16" s="572">
        <f>G16+(H16*F16)</f>
        <v>0</v>
      </c>
    </row>
    <row r="17" spans="1:11" x14ac:dyDescent="0.4">
      <c r="A17" s="669" t="s">
        <v>711</v>
      </c>
      <c r="B17" s="390" t="s">
        <v>418</v>
      </c>
      <c r="C17" s="79" t="str">
        <f>VLOOKUP(B17,'Item List'!B:AJ,2,FALSE)</f>
        <v>None</v>
      </c>
      <c r="D17" s="587"/>
      <c r="E17" s="588">
        <f>IF(B17="None",0,SUM('Project Materials'!L26*'Project Materials'!P26))</f>
        <v>0</v>
      </c>
      <c r="F17" s="568">
        <f>VLOOKUP(B17,'Item List'!B:AJ,4,FALSE)</f>
        <v>0</v>
      </c>
      <c r="G17" s="569">
        <f t="shared" si="0"/>
        <v>0</v>
      </c>
      <c r="H17" s="570">
        <f>ROUNDUP(E17*'Project Materials'!$D$17,0)</f>
        <v>0</v>
      </c>
      <c r="I17" s="589"/>
      <c r="J17" s="572">
        <f>G17+(H17*F17)</f>
        <v>0</v>
      </c>
    </row>
    <row r="18" spans="1:11" x14ac:dyDescent="0.4">
      <c r="A18" s="669" t="s">
        <v>712</v>
      </c>
      <c r="B18" s="390" t="s">
        <v>418</v>
      </c>
      <c r="C18" s="79" t="str">
        <f>VLOOKUP(B18,'Item List'!B:AJ,2,FALSE)</f>
        <v>None</v>
      </c>
      <c r="D18" s="587"/>
      <c r="E18" s="588">
        <f>IF(B18="None",0,SUM('Project Materials'!M26*'Project Materials'!P26))</f>
        <v>0</v>
      </c>
      <c r="F18" s="568">
        <f>VLOOKUP(B18,'Item List'!B:AJ,4,FALSE)</f>
        <v>0</v>
      </c>
      <c r="G18" s="569">
        <f t="shared" si="0"/>
        <v>0</v>
      </c>
      <c r="H18" s="570">
        <f>ROUNDUP(E18*'Project Materials'!$D$17,0)</f>
        <v>0</v>
      </c>
      <c r="I18" s="589"/>
      <c r="J18" s="572">
        <f>G18+(H18*F18)</f>
        <v>0</v>
      </c>
    </row>
    <row r="19" spans="1:11" ht="15" thickBot="1" x14ac:dyDescent="0.45">
      <c r="A19" s="574" t="s">
        <v>714</v>
      </c>
      <c r="B19" s="575"/>
      <c r="C19" s="574"/>
      <c r="D19" s="590"/>
      <c r="E19" s="398">
        <f>SUM(E12:E18)</f>
        <v>0</v>
      </c>
      <c r="F19" s="591"/>
      <c r="G19" s="399">
        <f>SUM(G12:G18)</f>
        <v>0</v>
      </c>
      <c r="H19" s="591"/>
      <c r="I19" s="591"/>
      <c r="J19" s="399">
        <f>SUM(J12:J18)</f>
        <v>0</v>
      </c>
    </row>
    <row r="20" spans="1:11" ht="16.3" thickTop="1" x14ac:dyDescent="0.45">
      <c r="A20" s="578" t="s">
        <v>6</v>
      </c>
      <c r="B20" s="578"/>
      <c r="C20" s="578"/>
      <c r="D20" s="578"/>
      <c r="E20" s="578"/>
      <c r="F20" s="578"/>
      <c r="G20" s="578"/>
      <c r="H20" s="578"/>
      <c r="I20" s="578"/>
      <c r="J20" s="578"/>
    </row>
    <row r="21" spans="1:11" x14ac:dyDescent="0.4">
      <c r="A21" s="670" t="s">
        <v>433</v>
      </c>
      <c r="B21" s="593" t="s">
        <v>11</v>
      </c>
      <c r="C21" s="593" t="s">
        <v>12</v>
      </c>
      <c r="D21" s="593"/>
      <c r="E21" s="584" t="s">
        <v>436</v>
      </c>
      <c r="F21" s="594" t="s">
        <v>437</v>
      </c>
      <c r="G21" s="583" t="s">
        <v>425</v>
      </c>
      <c r="H21" s="583" t="s">
        <v>501</v>
      </c>
      <c r="I21" s="584" t="s">
        <v>502</v>
      </c>
      <c r="J21" s="583" t="s">
        <v>500</v>
      </c>
    </row>
    <row r="22" spans="1:11" x14ac:dyDescent="0.4">
      <c r="A22" s="669" t="s">
        <v>6</v>
      </c>
      <c r="B22" s="390" t="s">
        <v>418</v>
      </c>
      <c r="C22" s="79" t="str">
        <f>VLOOKUP(B22,'Item List'!B:AH,2,FALSE)</f>
        <v>None</v>
      </c>
      <c r="D22" s="79"/>
      <c r="E22" s="588">
        <f>VLOOKUP(B22,'Item List'!B:AJ,34,FALSE)</f>
        <v>0</v>
      </c>
      <c r="F22" s="568">
        <f>IF(B22="None",0,VLOOKUP(B22,'Item List'!B:AH,4,FALSE))</f>
        <v>0</v>
      </c>
      <c r="G22" s="569">
        <f>F22*E22</f>
        <v>0</v>
      </c>
      <c r="H22" s="79"/>
      <c r="I22" s="596">
        <f>ROUNDUP((E22*'Project Materials'!$H$18),0)</f>
        <v>0</v>
      </c>
      <c r="J22" s="572">
        <f>G22+(I22*F22)</f>
        <v>0</v>
      </c>
    </row>
    <row r="23" spans="1:11" x14ac:dyDescent="0.4">
      <c r="A23" s="669" t="s">
        <v>6</v>
      </c>
      <c r="B23" s="390" t="s">
        <v>418</v>
      </c>
      <c r="C23" s="79" t="str">
        <f>VLOOKUP(B23,'Item List'!B:AH,2,FALSE)</f>
        <v>None</v>
      </c>
      <c r="D23" s="79"/>
      <c r="E23" s="588">
        <f>VLOOKUP(B23,'Item List'!B:AJ,34,FALSE)</f>
        <v>0</v>
      </c>
      <c r="F23" s="568">
        <f>IF(B23="None",0,VLOOKUP(B23,'Item List'!B:AH,4,FALSE))</f>
        <v>0</v>
      </c>
      <c r="G23" s="569">
        <f>F23*E23</f>
        <v>0</v>
      </c>
      <c r="H23" s="79"/>
      <c r="I23" s="596">
        <f>ROUNDUP((E23*'Project Materials'!$H$18),0)</f>
        <v>0</v>
      </c>
      <c r="J23" s="572">
        <f>G23+(I23*F23)</f>
        <v>0</v>
      </c>
    </row>
    <row r="24" spans="1:11" x14ac:dyDescent="0.4">
      <c r="A24" s="669" t="s">
        <v>6</v>
      </c>
      <c r="B24" s="390" t="s">
        <v>418</v>
      </c>
      <c r="C24" s="79" t="str">
        <f>VLOOKUP(B24,'Item List'!B:AH,2,FALSE)</f>
        <v>None</v>
      </c>
      <c r="D24" s="79"/>
      <c r="E24" s="588">
        <f>VLOOKUP(B24,'Item List'!B:AJ,34,FALSE)</f>
        <v>0</v>
      </c>
      <c r="F24" s="568">
        <f>IF(B24="None",0,VLOOKUP(B24,'Item List'!B:AH,4,FALSE))</f>
        <v>0</v>
      </c>
      <c r="G24" s="569">
        <f>F24*E24</f>
        <v>0</v>
      </c>
      <c r="H24" s="79"/>
      <c r="I24" s="596">
        <f>ROUNDUP((E24*'Project Materials'!$H$18),0)</f>
        <v>0</v>
      </c>
      <c r="J24" s="572">
        <f>G24+(I24*F24)</f>
        <v>0</v>
      </c>
    </row>
    <row r="25" spans="1:11" x14ac:dyDescent="0.4">
      <c r="A25" s="669" t="s">
        <v>6</v>
      </c>
      <c r="B25" s="390" t="s">
        <v>418</v>
      </c>
      <c r="C25" s="598" t="str">
        <f>VLOOKUP(B25,'Item List'!B:AH,2,FALSE)</f>
        <v>None</v>
      </c>
      <c r="D25" s="598"/>
      <c r="E25" s="588">
        <f>VLOOKUP(B25,'Item List'!B:AJ,34,FALSE)</f>
        <v>0</v>
      </c>
      <c r="F25" s="568">
        <f>IF(B25="None",0,VLOOKUP(B25,'Item List'!B:AH,4,FALSE))</f>
        <v>0</v>
      </c>
      <c r="G25" s="569">
        <f>F25*E25</f>
        <v>0</v>
      </c>
      <c r="H25" s="79"/>
      <c r="I25" s="596">
        <f>ROUNDUP((E25*'Project Materials'!$H$18),0)</f>
        <v>0</v>
      </c>
      <c r="J25" s="572">
        <f>G25+(I25*F25)</f>
        <v>0</v>
      </c>
    </row>
    <row r="26" spans="1:11" ht="15" thickBot="1" x14ac:dyDescent="0.45">
      <c r="A26" s="574"/>
      <c r="B26" s="575"/>
      <c r="C26" s="574"/>
      <c r="D26" s="599"/>
      <c r="E26" s="398">
        <f>SUM(E22:E25)</f>
        <v>0</v>
      </c>
      <c r="F26" s="577"/>
      <c r="G26" s="399">
        <f>SUM(G22:G25)</f>
        <v>0</v>
      </c>
      <c r="H26" s="577"/>
      <c r="I26" s="577"/>
      <c r="J26" s="399">
        <f>SUM(J22:J25)</f>
        <v>0</v>
      </c>
    </row>
    <row r="27" spans="1:11" ht="16.3" thickTop="1" x14ac:dyDescent="0.45">
      <c r="A27" s="578" t="s">
        <v>8</v>
      </c>
      <c r="B27" s="578"/>
      <c r="C27" s="578"/>
      <c r="D27" s="578"/>
      <c r="E27" s="578"/>
      <c r="F27" s="578"/>
      <c r="G27" s="578"/>
      <c r="H27" s="578"/>
      <c r="I27" s="578"/>
      <c r="J27" s="578"/>
      <c r="K27" s="671"/>
    </row>
    <row r="28" spans="1:11" x14ac:dyDescent="0.4">
      <c r="A28" s="670" t="s">
        <v>433</v>
      </c>
      <c r="B28" s="84" t="s">
        <v>11</v>
      </c>
      <c r="C28" s="84" t="s">
        <v>12</v>
      </c>
      <c r="D28" s="600" t="s">
        <v>484</v>
      </c>
      <c r="E28" s="584" t="s">
        <v>436</v>
      </c>
      <c r="F28" s="594" t="s">
        <v>437</v>
      </c>
      <c r="G28" s="601" t="s">
        <v>425</v>
      </c>
      <c r="H28" s="583" t="s">
        <v>501</v>
      </c>
      <c r="I28" s="584" t="s">
        <v>502</v>
      </c>
      <c r="J28" s="583" t="s">
        <v>500</v>
      </c>
    </row>
    <row r="29" spans="1:11" x14ac:dyDescent="0.4">
      <c r="A29" s="667" t="s">
        <v>443</v>
      </c>
      <c r="B29" s="390" t="s">
        <v>418</v>
      </c>
      <c r="C29" s="79" t="str">
        <f>VLOOKUP(B29,'Item List'!B:AH,2,FALSE)</f>
        <v>None</v>
      </c>
      <c r="D29" s="586">
        <f>ROUNDUP(IF(B29="None",0,SUM('Project Materials'!$V$26*'Project Materials'!$I$26)/12),0)</f>
        <v>0</v>
      </c>
      <c r="E29" s="588">
        <f>IF(B29="None",0,ROUNDUP(SUM(('Project Materials'!O26*'Project Materials'!P26)*VLOOKUP(B29,'Item List'!B:AJ,3,FALSE)),0))</f>
        <v>0</v>
      </c>
      <c r="F29" s="568">
        <f>IF(B29="None",0,VLOOKUP(B29,'Item List'!B:AH,4,FALSE))</f>
        <v>0</v>
      </c>
      <c r="G29" s="569">
        <f>F29*E29</f>
        <v>0</v>
      </c>
      <c r="H29" s="570">
        <f>ROUNDUP(D29*'Project Materials'!$H$17,0)</f>
        <v>0</v>
      </c>
      <c r="I29" s="571">
        <f>ROUNDUP(IF(B29="none",0,(SUM(H29/VLOOKUP(B29,'Item List'!B:AH,3,FALSE)))),0)</f>
        <v>0</v>
      </c>
      <c r="J29" s="572">
        <f>G29+(I29*F29)</f>
        <v>0</v>
      </c>
    </row>
    <row r="30" spans="1:11" x14ac:dyDescent="0.4">
      <c r="A30" s="667" t="s">
        <v>443</v>
      </c>
      <c r="B30" s="390" t="s">
        <v>418</v>
      </c>
      <c r="C30" s="79" t="str">
        <f>VLOOKUP(B30,'Item List'!B:AH,2,FALSE)</f>
        <v>None</v>
      </c>
      <c r="D30" s="586">
        <f>IF(B30="None",0,SUM('Project Materials'!$V$26*'Project Materials'!$I$26)/12)</f>
        <v>0</v>
      </c>
      <c r="E30" s="588">
        <f>IF(B30="None",0,ROUNDUP(SUM('Project Materials'!O26*VLOOKUP(B30,'Item List'!B:AJ,3,FALSE)),0))</f>
        <v>0</v>
      </c>
      <c r="F30" s="568">
        <f>IF(B30="None",0,VLOOKUP(B30,'Item List'!B:AH,4,FALSE))</f>
        <v>0</v>
      </c>
      <c r="G30" s="569">
        <f>F30*E30</f>
        <v>0</v>
      </c>
      <c r="H30" s="570">
        <f>ROUNDUP(D30*'Project Materials'!$H$17,0)</f>
        <v>0</v>
      </c>
      <c r="I30" s="571">
        <f>ROUNDUP(IF(B30="none",0,(SUM(H30/VLOOKUP(B30,'Item List'!B:AH,3,FALSE)))),0)</f>
        <v>0</v>
      </c>
      <c r="J30" s="572">
        <f>G30+(I30*F30)</f>
        <v>0</v>
      </c>
    </row>
    <row r="31" spans="1:11" x14ac:dyDescent="0.4">
      <c r="A31" s="667" t="s">
        <v>444</v>
      </c>
      <c r="B31" s="390" t="s">
        <v>418</v>
      </c>
      <c r="C31" s="79" t="str">
        <f>VLOOKUP(B31,'Item List'!B:AH,2,FALSE)</f>
        <v>None</v>
      </c>
      <c r="D31" s="586">
        <f>ROUNDUP(IF(B31="None",0,'Project Materials'!H12*'Project Materials'!H13),1)</f>
        <v>0</v>
      </c>
      <c r="F31" s="568">
        <f>IF(B31="None",0,VLOOKUP(B31,'Item List'!B:AH,4,FALSE))</f>
        <v>0</v>
      </c>
      <c r="G31" s="569">
        <f>D31*F31</f>
        <v>0</v>
      </c>
      <c r="H31" s="570">
        <f>ROUNDUP(D31*'Project Materials'!$H$18,0)</f>
        <v>0</v>
      </c>
      <c r="I31" s="602"/>
      <c r="J31" s="572">
        <f>G31+(H31*F31)</f>
        <v>0</v>
      </c>
    </row>
    <row r="32" spans="1:11" x14ac:dyDescent="0.4">
      <c r="A32" s="667" t="s">
        <v>497</v>
      </c>
      <c r="B32" s="390" t="s">
        <v>418</v>
      </c>
      <c r="C32" s="79" t="str">
        <f>VLOOKUP(B32,'Item List'!B:AH,2,FALSE)</f>
        <v>None</v>
      </c>
      <c r="D32" s="603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68">
        <f>IF(B32="None",0,VLOOKUP(B32,'Item List'!B:AH,4,FALSE))</f>
        <v>0</v>
      </c>
      <c r="G32" s="569">
        <f>D32*F32</f>
        <v>0</v>
      </c>
      <c r="H32" s="570">
        <f>ROUNDUP(D32*'Project Materials'!$H$18,0)</f>
        <v>0</v>
      </c>
      <c r="I32" s="602"/>
      <c r="J32" s="572">
        <f>G32+(H32*F32)</f>
        <v>0</v>
      </c>
    </row>
    <row r="33" spans="1:10" x14ac:dyDescent="0.4">
      <c r="A33" s="667" t="s">
        <v>445</v>
      </c>
      <c r="B33" s="390" t="s">
        <v>418</v>
      </c>
      <c r="C33" s="79" t="str">
        <f>VLOOKUP(B33,'Item List'!B:AH,2,FALSE)</f>
        <v>None</v>
      </c>
      <c r="D33" s="586" t="str">
        <f>IF(B33="None","",(('Project Materials'!$H$7+2)*'Project Materials'!$H$8*'Project Materials'!H9)*'Project Materials'!$P$26)</f>
        <v/>
      </c>
      <c r="E33" s="571">
        <f>IF(B33="None",0,(ROUNDUP((D33/(VLOOKUP(B33,'Item List'!B:AJ,3,FALSE))),0)))</f>
        <v>0</v>
      </c>
      <c r="F33" s="568">
        <f>IF(B33="None",0,VLOOKUP(B33,'Item List'!B:AH,4,FALSE))</f>
        <v>0</v>
      </c>
      <c r="G33" s="569">
        <f>F33*E33</f>
        <v>0</v>
      </c>
      <c r="H33" s="604"/>
      <c r="I33" s="571">
        <f>ROUNDUP(IF(B33="none",0,(SUM(H33/VLOOKUP(B33,'Item List'!B:AH,3,FALSE)))),0)</f>
        <v>0</v>
      </c>
      <c r="J33" s="572">
        <f>G33+(I33*F33)</f>
        <v>0</v>
      </c>
    </row>
    <row r="34" spans="1:10" x14ac:dyDescent="0.4">
      <c r="A34" s="667" t="s">
        <v>445</v>
      </c>
      <c r="B34" s="390" t="s">
        <v>418</v>
      </c>
      <c r="C34" s="79" t="str">
        <f>VLOOKUP(B34,'Item List'!B:AH,2,FALSE)</f>
        <v>None</v>
      </c>
      <c r="D34" s="586" t="str">
        <f>IF(B34="None","",(('Project Materials'!$H$7+2)*'Project Materials'!$H$8*'Project Materials'!H9)*'Project Materials'!$P$26)</f>
        <v/>
      </c>
      <c r="E34" s="571">
        <f>IF(B34="None",0,(ROUNDUP((D34/(VLOOKUP(B34,'Item List'!B:AJ,3,FALSE))),0)))</f>
        <v>0</v>
      </c>
      <c r="F34" s="568">
        <f>IF(B34="None",0,VLOOKUP(B34,'Item List'!B:AH,4,FALSE))</f>
        <v>0</v>
      </c>
      <c r="G34" s="569">
        <f>F34*E34</f>
        <v>0</v>
      </c>
      <c r="H34" s="604"/>
      <c r="I34" s="571">
        <f>ROUNDUP(IF(B34="none",0,(SUM(H34/VLOOKUP(B34,'Item List'!B:AH,3,FALSE)))),0)</f>
        <v>0</v>
      </c>
      <c r="J34" s="572">
        <f>G34+(I34*F34)</f>
        <v>0</v>
      </c>
    </row>
    <row r="35" spans="1:10" x14ac:dyDescent="0.4">
      <c r="A35" s="667" t="s">
        <v>446</v>
      </c>
      <c r="B35" s="390" t="s">
        <v>418</v>
      </c>
      <c r="C35" s="79" t="str">
        <f>VLOOKUP(B35,'Item List'!B:AH,2,FALSE)</f>
        <v>None</v>
      </c>
      <c r="D35" s="571"/>
      <c r="E35" s="588">
        <f>IF(B35="none",0,ROUNDUP(('Project Materials'!H14*3)/ROUNDDOWN(259/'Project Materials'!I26,0),0))</f>
        <v>0</v>
      </c>
      <c r="F35" s="568">
        <f>IF(B35="None",0,VLOOKUP(B35,'Item List'!B:AH,4,FALSE))</f>
        <v>0</v>
      </c>
      <c r="G35" s="569">
        <f>F35*E35</f>
        <v>0</v>
      </c>
      <c r="H35" s="604"/>
      <c r="I35" s="586">
        <f>ROUNDUP(E35*'Project Materials'!$H$18,0)</f>
        <v>0</v>
      </c>
      <c r="J35" s="572">
        <f>G35+(I35*F35)</f>
        <v>0</v>
      </c>
    </row>
    <row r="36" spans="1:10" x14ac:dyDescent="0.4">
      <c r="A36" s="667" t="s">
        <v>446</v>
      </c>
      <c r="B36" s="390" t="s">
        <v>418</v>
      </c>
      <c r="C36" s="79" t="str">
        <f>VLOOKUP(B36,'Item List'!B:AH,2,FALSE)</f>
        <v>None</v>
      </c>
      <c r="D36" s="587"/>
      <c r="E36" s="605"/>
      <c r="F36" s="568">
        <f>IF(B36="None",0,VLOOKUP(B36,'Item List'!B:AH,4,FALSE))</f>
        <v>0</v>
      </c>
      <c r="G36" s="569">
        <f>F36*E36</f>
        <v>0</v>
      </c>
      <c r="H36" s="604"/>
      <c r="I36" s="586">
        <f>ROUNDUP(E36*'Project Materials'!$H$18,0)</f>
        <v>0</v>
      </c>
      <c r="J36" s="572">
        <f>G36+(I36*F36)</f>
        <v>0</v>
      </c>
    </row>
    <row r="37" spans="1:10" ht="15" thickBot="1" x14ac:dyDescent="0.45">
      <c r="A37" s="574"/>
      <c r="B37" s="575"/>
      <c r="C37" s="574"/>
      <c r="D37" s="576"/>
      <c r="E37" s="400"/>
      <c r="F37" s="577"/>
      <c r="G37" s="399">
        <f>SUM(G29:G36)</f>
        <v>0</v>
      </c>
      <c r="H37" s="577"/>
      <c r="I37" s="577"/>
      <c r="J37" s="399">
        <f>SUM(J29:J36)</f>
        <v>0</v>
      </c>
    </row>
    <row r="38" spans="1:10" ht="16.3" thickTop="1" x14ac:dyDescent="0.45">
      <c r="A38" s="578" t="s">
        <v>363</v>
      </c>
      <c r="B38" s="578"/>
      <c r="C38" s="578"/>
      <c r="D38" s="578"/>
      <c r="E38" s="578"/>
      <c r="F38" s="578"/>
      <c r="G38" s="578"/>
      <c r="H38" s="578"/>
      <c r="I38" s="578"/>
      <c r="J38" s="578"/>
    </row>
    <row r="39" spans="1:10" x14ac:dyDescent="0.4">
      <c r="A39" s="665" t="s">
        <v>433</v>
      </c>
      <c r="B39" s="84" t="s">
        <v>11</v>
      </c>
      <c r="C39" s="84" t="s">
        <v>12</v>
      </c>
      <c r="D39" s="84"/>
      <c r="E39" s="581" t="s">
        <v>436</v>
      </c>
      <c r="F39" s="582" t="s">
        <v>437</v>
      </c>
      <c r="G39" s="583" t="s">
        <v>425</v>
      </c>
      <c r="H39" s="583" t="s">
        <v>501</v>
      </c>
      <c r="I39" s="584" t="s">
        <v>502</v>
      </c>
      <c r="J39" s="583" t="s">
        <v>500</v>
      </c>
    </row>
    <row r="40" spans="1:10" x14ac:dyDescent="0.4">
      <c r="A40" s="667" t="s">
        <v>438</v>
      </c>
      <c r="B40" s="79" t="str">
        <f>VLOOKUP('Area B'!B5,'Item List'!B:AH,12,FALSE)</f>
        <v>None</v>
      </c>
      <c r="C40" s="79" t="str">
        <f>VLOOKUP(B40,'Item List'!B:AH,2,FALSE)</f>
        <v>None</v>
      </c>
      <c r="D40" s="79"/>
      <c r="E40" s="571">
        <f>IF(B40="none",0,'Project Materials'!$W$26)</f>
        <v>0</v>
      </c>
      <c r="F40" s="568">
        <f>IF(B40="None",0,VLOOKUP(B40,'Item List'!B:AH,4,FALSE))</f>
        <v>0</v>
      </c>
      <c r="G40" s="569">
        <f>F40*E40</f>
        <v>0</v>
      </c>
      <c r="H40" s="606"/>
      <c r="I40" s="607">
        <f>ROUNDUP((E40*'Project Materials'!$H$18),0)</f>
        <v>0</v>
      </c>
      <c r="J40" s="572">
        <f>G40+(I40*F40)</f>
        <v>0</v>
      </c>
    </row>
    <row r="41" spans="1:10" x14ac:dyDescent="0.4">
      <c r="A41" s="667" t="s">
        <v>439</v>
      </c>
      <c r="B41" s="79" t="str">
        <f>VLOOKUP('Area B'!B6,'Item List'!B:AH,12,FALSE)</f>
        <v>None</v>
      </c>
      <c r="C41" s="79" t="str">
        <f>VLOOKUP(B41,'Item List'!B:AH,2,FALSE)</f>
        <v>None</v>
      </c>
      <c r="D41" s="79"/>
      <c r="E41" s="571">
        <f>IF(B41="none",0,'Project Materials'!$X$26)</f>
        <v>0</v>
      </c>
      <c r="F41" s="568">
        <f>IF(B41="None",0,VLOOKUP(B41,'Item List'!B:AH,4,FALSE))</f>
        <v>0</v>
      </c>
      <c r="G41" s="569">
        <f>F41*E41</f>
        <v>0</v>
      </c>
      <c r="H41" s="606"/>
      <c r="I41" s="607">
        <f>ROUNDUP((E41*'Project Materials'!$H$18),0)</f>
        <v>0</v>
      </c>
      <c r="J41" s="572">
        <f>G41+(I41*F41)</f>
        <v>0</v>
      </c>
    </row>
    <row r="42" spans="1:10" x14ac:dyDescent="0.4">
      <c r="A42" s="667" t="s">
        <v>438</v>
      </c>
      <c r="B42" s="79" t="str">
        <f>VLOOKUP('Area B'!B7,'Item List'!B:AH,12,FALSE)</f>
        <v>None</v>
      </c>
      <c r="C42" s="79" t="str">
        <f>VLOOKUP(B42,'Item List'!B:AH,2,FALSE)</f>
        <v>None</v>
      </c>
      <c r="D42" s="79"/>
      <c r="E42" s="571">
        <f>IF(B42="none",0,'Project Materials'!$W$26)</f>
        <v>0</v>
      </c>
      <c r="F42" s="568">
        <f>IF(B42="None",0,VLOOKUP(B42,'Item List'!B:AH,4,FALSE))</f>
        <v>0</v>
      </c>
      <c r="G42" s="569">
        <f>F42*E42</f>
        <v>0</v>
      </c>
      <c r="H42" s="606"/>
      <c r="I42" s="607">
        <f>ROUNDUP((E42*'Project Materials'!$H$18),0)</f>
        <v>0</v>
      </c>
      <c r="J42" s="572">
        <f>G42+(I42*F42)</f>
        <v>0</v>
      </c>
    </row>
    <row r="43" spans="1:10" x14ac:dyDescent="0.4">
      <c r="A43" s="667" t="s">
        <v>439</v>
      </c>
      <c r="B43" s="79" t="str">
        <f>VLOOKUP('Area B'!B8,'Item List'!B:AH,12,FALSE)</f>
        <v>None</v>
      </c>
      <c r="C43" s="598" t="str">
        <f>VLOOKUP(B43,'Item List'!B:AH,2,FALSE)</f>
        <v>None</v>
      </c>
      <c r="D43" s="598"/>
      <c r="E43" s="571">
        <f>IF(B43="none",0,'Project Materials'!$X$26)</f>
        <v>0</v>
      </c>
      <c r="F43" s="568">
        <f>IF(B43="None",0,VLOOKUP(B43,'Item List'!B:AH,4,FALSE))</f>
        <v>0</v>
      </c>
      <c r="G43" s="569">
        <f>F43*E43</f>
        <v>0</v>
      </c>
      <c r="H43" s="606"/>
      <c r="I43" s="607">
        <f>ROUNDUP((E43*'Project Materials'!$H$18),0)</f>
        <v>0</v>
      </c>
      <c r="J43" s="572">
        <f>G43+(I43*F43)</f>
        <v>0</v>
      </c>
    </row>
    <row r="44" spans="1:10" ht="15" thickBot="1" x14ac:dyDescent="0.45">
      <c r="A44" s="574"/>
      <c r="B44" s="574"/>
      <c r="C44" s="574"/>
      <c r="D44" s="599"/>
      <c r="E44" s="400"/>
      <c r="F44" s="577"/>
      <c r="G44" s="399">
        <f>SUM(G40:G43)</f>
        <v>0</v>
      </c>
      <c r="H44" s="400"/>
      <c r="I44" s="577"/>
      <c r="J44" s="399">
        <f>SUM(J40:J43)</f>
        <v>0</v>
      </c>
    </row>
    <row r="45" spans="1:10" ht="16.3" thickTop="1" x14ac:dyDescent="0.45">
      <c r="A45" s="578" t="s">
        <v>7</v>
      </c>
      <c r="B45" s="578"/>
      <c r="C45" s="578"/>
      <c r="D45" s="578"/>
      <c r="E45" s="578"/>
      <c r="F45" s="578"/>
      <c r="G45" s="578"/>
      <c r="H45" s="578"/>
      <c r="I45" s="578"/>
      <c r="J45" s="578"/>
    </row>
    <row r="46" spans="1:10" x14ac:dyDescent="0.4">
      <c r="A46" s="665" t="s">
        <v>433</v>
      </c>
      <c r="B46" s="593" t="s">
        <v>11</v>
      </c>
      <c r="C46" s="593" t="s">
        <v>12</v>
      </c>
      <c r="D46" s="593"/>
      <c r="E46" s="584" t="s">
        <v>436</v>
      </c>
      <c r="F46" s="594" t="s">
        <v>437</v>
      </c>
      <c r="G46" s="601" t="s">
        <v>425</v>
      </c>
      <c r="H46" s="583" t="s">
        <v>501</v>
      </c>
      <c r="I46" s="584" t="s">
        <v>502</v>
      </c>
      <c r="J46" s="583" t="s">
        <v>500</v>
      </c>
    </row>
    <row r="47" spans="1:10" x14ac:dyDescent="0.4">
      <c r="A47" s="667" t="s">
        <v>796</v>
      </c>
      <c r="B47" s="79" t="str">
        <f>IF('Area B'!B5="None","None",VLOOKUP('Area B'!$B$5,'Item List'!B:AL,13,FALSE))</f>
        <v>None</v>
      </c>
      <c r="C47" s="79" t="str">
        <f>VLOOKUP(B47,'Item List'!B:AH,2,FALSE)</f>
        <v>None</v>
      </c>
      <c r="D47" s="79"/>
      <c r="E47" s="588">
        <f>VLOOKUP(B47,'Item List'!B:AM,34,FALSE)</f>
        <v>0</v>
      </c>
      <c r="F47" s="608">
        <f>VLOOKUP(B47,'Item List'!B:AH,4,FALSE)</f>
        <v>0</v>
      </c>
      <c r="G47" s="569">
        <f>F47*E47</f>
        <v>0</v>
      </c>
      <c r="H47" s="606"/>
      <c r="I47" s="607">
        <f>ROUNDUP((E47*'Project Materials'!$H$18),0)</f>
        <v>0</v>
      </c>
      <c r="J47" s="572">
        <f>G47+(I47*F47)</f>
        <v>0</v>
      </c>
    </row>
    <row r="48" spans="1:10" x14ac:dyDescent="0.4">
      <c r="A48" s="667" t="s">
        <v>797</v>
      </c>
      <c r="B48" s="79" t="str">
        <f>IF('Area B'!B6="None","None",VLOOKUP('Area B'!$B6,'Item List'!B:AL,13,FALSE))</f>
        <v>None</v>
      </c>
      <c r="C48" s="79" t="str">
        <f>VLOOKUP(B48,'Item List'!B:AH,2,FALSE)</f>
        <v>None</v>
      </c>
      <c r="D48" s="79"/>
      <c r="E48" s="588">
        <f>VLOOKUP(B48,'Item List'!B:AM,34,FALSE)</f>
        <v>0</v>
      </c>
      <c r="F48" s="608">
        <f>VLOOKUP(B48,'Item List'!B:AH,4,FALSE)</f>
        <v>0</v>
      </c>
      <c r="G48" s="569">
        <f>F48*E48</f>
        <v>0</v>
      </c>
      <c r="H48" s="606"/>
      <c r="I48" s="607">
        <f>ROUNDUP((E48*'Project Materials'!$H$18),0)</f>
        <v>0</v>
      </c>
      <c r="J48" s="572">
        <f>G48+(I48*F48)</f>
        <v>0</v>
      </c>
    </row>
    <row r="49" spans="1:10" x14ac:dyDescent="0.4">
      <c r="A49" s="667" t="s">
        <v>796</v>
      </c>
      <c r="B49" s="79" t="str">
        <f>IF('Area B'!B7="None","None",VLOOKUP('Area B'!$B7,'Item List'!B:AL,13,FALSE))</f>
        <v>None</v>
      </c>
      <c r="C49" s="609" t="str">
        <f>VLOOKUP(B49,'Item List'!B:AH,2,FALSE)</f>
        <v>None</v>
      </c>
      <c r="D49" s="609"/>
      <c r="E49" s="588">
        <f>VLOOKUP(B49,'Item List'!B:AM,34,FALSE)</f>
        <v>0</v>
      </c>
      <c r="F49" s="608">
        <f>VLOOKUP(B49,'Item List'!B:AH,4,FALSE)</f>
        <v>0</v>
      </c>
      <c r="G49" s="569">
        <f>F49*E49</f>
        <v>0</v>
      </c>
      <c r="H49" s="606"/>
      <c r="I49" s="607">
        <f>ROUNDUP((E49*'Project Materials'!$H$18),0)</f>
        <v>0</v>
      </c>
      <c r="J49" s="572">
        <f>G49+(I49*F49)</f>
        <v>0</v>
      </c>
    </row>
    <row r="50" spans="1:10" x14ac:dyDescent="0.4">
      <c r="A50" s="667" t="s">
        <v>797</v>
      </c>
      <c r="B50" s="598" t="str">
        <f>IF('Area B'!B8="None","None",VLOOKUP('Area B'!$B8,'Item List'!B:AL,13,FALSE))</f>
        <v>None</v>
      </c>
      <c r="C50" s="610" t="str">
        <f>VLOOKUP(B50,'Item List'!B:AH,2,FALSE)</f>
        <v>None</v>
      </c>
      <c r="D50" s="610"/>
      <c r="E50" s="611">
        <f>VLOOKUP(B50,'Item List'!B:AM,34,FALSE)</f>
        <v>0</v>
      </c>
      <c r="F50" s="612">
        <f>VLOOKUP(B50,'Item List'!B:AH,4,FALSE)</f>
        <v>0</v>
      </c>
      <c r="G50" s="613">
        <f>F50*E50</f>
        <v>0</v>
      </c>
      <c r="H50" s="614"/>
      <c r="I50" s="615">
        <f>ROUNDUP((E50*'Project Materials'!$H$18),0)</f>
        <v>0</v>
      </c>
      <c r="J50" s="616">
        <f>G50+(I50*F50)</f>
        <v>0</v>
      </c>
    </row>
    <row r="51" spans="1:10" x14ac:dyDescent="0.4">
      <c r="A51" s="667"/>
      <c r="B51" s="618"/>
      <c r="C51" s="619"/>
      <c r="D51" s="619"/>
      <c r="E51" s="620"/>
      <c r="F51" s="621"/>
      <c r="G51" s="622"/>
      <c r="H51" s="618"/>
      <c r="I51" s="623"/>
      <c r="J51" s="624"/>
    </row>
    <row r="52" spans="1:10" x14ac:dyDescent="0.4">
      <c r="A52" s="669" t="s">
        <v>700</v>
      </c>
      <c r="B52" s="79" t="str">
        <f>VLOOKUP('Area B'!$B$12,'Item List'!B:AL,13,FALSE)</f>
        <v>None</v>
      </c>
      <c r="C52" s="79" t="str">
        <f>VLOOKUP(B52,'Item List'!B:AH,2,FALSE)</f>
        <v>None</v>
      </c>
      <c r="D52" s="79"/>
      <c r="E52" s="625">
        <f>$E$12*VLOOKUP(B52,'Item List'!B:AM,38,FALSE)</f>
        <v>0</v>
      </c>
      <c r="F52" s="608">
        <f>VLOOKUP(B52,'Item List'!B:AH,4,FALSE)</f>
        <v>0</v>
      </c>
      <c r="G52" s="569">
        <f>F52*E52</f>
        <v>0</v>
      </c>
      <c r="H52" s="606"/>
      <c r="I52" s="607">
        <f>ROUNDUP((E52*'Project Materials'!$H$18),0)</f>
        <v>0</v>
      </c>
      <c r="J52" s="572">
        <f>G52+(I52*F52)</f>
        <v>0</v>
      </c>
    </row>
    <row r="53" spans="1:10" x14ac:dyDescent="0.4">
      <c r="A53" s="669" t="s">
        <v>700</v>
      </c>
      <c r="B53" s="79" t="str">
        <f>VLOOKUP('Area B'!$B$12,'Item List'!B:AL,14,FALSE)</f>
        <v>None</v>
      </c>
      <c r="C53" s="79" t="str">
        <f>VLOOKUP(B53,'Item List'!B:AH,2,FALSE)</f>
        <v>None</v>
      </c>
      <c r="D53" s="79"/>
      <c r="E53" s="625">
        <f>$E$12*VLOOKUP(B53,'Item List'!B:AM,38,FALSE)</f>
        <v>0</v>
      </c>
      <c r="F53" s="608">
        <f>VLOOKUP(B53,'Item List'!B:AH,4,FALSE)</f>
        <v>0</v>
      </c>
      <c r="G53" s="569">
        <f>F53*E53</f>
        <v>0</v>
      </c>
      <c r="H53" s="606"/>
      <c r="I53" s="607">
        <f>ROUNDUP((E53*'Project Materials'!$H$18),0)</f>
        <v>0</v>
      </c>
      <c r="J53" s="572">
        <f>G53+(I53*F53)</f>
        <v>0</v>
      </c>
    </row>
    <row r="54" spans="1:10" x14ac:dyDescent="0.4">
      <c r="A54" s="669" t="s">
        <v>700</v>
      </c>
      <c r="B54" s="79" t="str">
        <f>VLOOKUP('Area B'!$B$12,'Item List'!B:AL,15,FALSE)</f>
        <v>None</v>
      </c>
      <c r="C54" s="79" t="str">
        <f>VLOOKUP(B54,'Item List'!B:AH,2,FALSE)</f>
        <v>None</v>
      </c>
      <c r="D54" s="79"/>
      <c r="E54" s="625">
        <f>$E$12*VLOOKUP(B54,'Item List'!B:AM,38,FALSE)</f>
        <v>0</v>
      </c>
      <c r="F54" s="608">
        <f>VLOOKUP(B54,'Item List'!B:AH,4,FALSE)</f>
        <v>0</v>
      </c>
      <c r="G54" s="569">
        <f>F54*E54</f>
        <v>0</v>
      </c>
      <c r="H54" s="606"/>
      <c r="I54" s="607">
        <f>ROUNDUP((E54*'Project Materials'!$H$18),0)</f>
        <v>0</v>
      </c>
      <c r="J54" s="572">
        <f>G54+(I54*F54)</f>
        <v>0</v>
      </c>
    </row>
    <row r="55" spans="1:10" x14ac:dyDescent="0.4">
      <c r="A55" s="669" t="s">
        <v>700</v>
      </c>
      <c r="B55" s="79" t="str">
        <f>VLOOKUP('Area B'!$B$12,'Item List'!B:AL,16,FALSE)</f>
        <v>None</v>
      </c>
      <c r="C55" s="79" t="str">
        <f>VLOOKUP(B55,'Item List'!B:AH,2,FALSE)</f>
        <v>None</v>
      </c>
      <c r="D55" s="79"/>
      <c r="E55" s="625">
        <f>$E$12*VLOOKUP(B55,'Item List'!B:AM,38,FALSE)</f>
        <v>0</v>
      </c>
      <c r="F55" s="608">
        <f>VLOOKUP(B55,'Item List'!B:AH,4,FALSE)</f>
        <v>0</v>
      </c>
      <c r="G55" s="569">
        <f>F55*E55</f>
        <v>0</v>
      </c>
      <c r="H55" s="606"/>
      <c r="I55" s="607">
        <f>ROUNDUP((E55*'Project Materials'!$H$18),0)</f>
        <v>0</v>
      </c>
      <c r="J55" s="572">
        <f>G55+(I55*F55)</f>
        <v>0</v>
      </c>
    </row>
    <row r="56" spans="1:10" x14ac:dyDescent="0.4">
      <c r="A56" s="669" t="s">
        <v>700</v>
      </c>
      <c r="B56" s="79" t="str">
        <f>VLOOKUP('Area B'!$B$12,'Item List'!B:AL,17,FALSE)</f>
        <v>None</v>
      </c>
      <c r="C56" s="79" t="str">
        <f>VLOOKUP(B56,'Item List'!B:AH,2,FALSE)</f>
        <v>None</v>
      </c>
      <c r="D56" s="79"/>
      <c r="E56" s="625">
        <f>$E$12*VLOOKUP(B56,'Item List'!B:AM,38,FALSE)</f>
        <v>0</v>
      </c>
      <c r="F56" s="608">
        <f>VLOOKUP(B56,'Item List'!B:AH,4,FALSE)</f>
        <v>0</v>
      </c>
      <c r="G56" s="569">
        <f t="shared" ref="G56:G93" si="1">F56*E56</f>
        <v>0</v>
      </c>
      <c r="H56" s="606"/>
      <c r="I56" s="607">
        <f>ROUNDUP((E56*'Project Materials'!$H$18),0)</f>
        <v>0</v>
      </c>
      <c r="J56" s="572">
        <f t="shared" ref="J56:J93" si="2">G56+(I56*F56)</f>
        <v>0</v>
      </c>
    </row>
    <row r="57" spans="1:10" x14ac:dyDescent="0.4">
      <c r="A57" s="669" t="s">
        <v>700</v>
      </c>
      <c r="B57" s="598" t="str">
        <f>VLOOKUP('Area B'!$B$12,'Item List'!B:AL,18,FALSE)</f>
        <v>None</v>
      </c>
      <c r="C57" s="598" t="str">
        <f>VLOOKUP(B57,'Item List'!B:AH,2,FALSE)</f>
        <v>None</v>
      </c>
      <c r="D57" s="598"/>
      <c r="E57" s="626">
        <f>$E$12*VLOOKUP(B57,'Item List'!B:AM,38,FALSE)</f>
        <v>0</v>
      </c>
      <c r="F57" s="612">
        <f>VLOOKUP(B57,'Item List'!B:AH,4,FALSE)</f>
        <v>0</v>
      </c>
      <c r="G57" s="613">
        <f t="shared" si="1"/>
        <v>0</v>
      </c>
      <c r="H57" s="614"/>
      <c r="I57" s="615">
        <f>ROUNDUP((E57*'Project Materials'!$H$18),0)</f>
        <v>0</v>
      </c>
      <c r="J57" s="616">
        <f t="shared" si="2"/>
        <v>0</v>
      </c>
    </row>
    <row r="58" spans="1:10" x14ac:dyDescent="0.4">
      <c r="A58" s="669" t="s">
        <v>701</v>
      </c>
      <c r="B58" s="79" t="str">
        <f>VLOOKUP('Area B'!$B$13,'Item List'!B:AL,13,FALSE)</f>
        <v>None</v>
      </c>
      <c r="C58" s="79" t="str">
        <f>VLOOKUP(B58,'Item List'!B:AH,2,FALSE)</f>
        <v>None</v>
      </c>
      <c r="D58" s="79"/>
      <c r="E58" s="625">
        <f>$E$13*VLOOKUP(B58,'Item List'!B:AM,38,FALSE)</f>
        <v>0</v>
      </c>
      <c r="F58" s="608">
        <f>VLOOKUP(B58,'Item List'!B:AH,4,FALSE)</f>
        <v>0</v>
      </c>
      <c r="G58" s="569">
        <f t="shared" si="1"/>
        <v>0</v>
      </c>
      <c r="H58" s="606"/>
      <c r="I58" s="607">
        <f>ROUNDUP((E58*'Project Materials'!$H$18),0)</f>
        <v>0</v>
      </c>
      <c r="J58" s="572">
        <f t="shared" si="2"/>
        <v>0</v>
      </c>
    </row>
    <row r="59" spans="1:10" x14ac:dyDescent="0.4">
      <c r="A59" s="669" t="s">
        <v>701</v>
      </c>
      <c r="B59" s="79" t="str">
        <f>VLOOKUP('Area B'!$B$13,'Item List'!B:AL,14,FALSE)</f>
        <v>None</v>
      </c>
      <c r="C59" s="79" t="str">
        <f>VLOOKUP(B59,'Item List'!B:AH,2,FALSE)</f>
        <v>None</v>
      </c>
      <c r="D59" s="79"/>
      <c r="E59" s="625">
        <f>$E$13*VLOOKUP(B59,'Item List'!B:AM,38,FALSE)</f>
        <v>0</v>
      </c>
      <c r="F59" s="608">
        <f>VLOOKUP(B59,'Item List'!B:AH,4,FALSE)</f>
        <v>0</v>
      </c>
      <c r="G59" s="569">
        <f t="shared" si="1"/>
        <v>0</v>
      </c>
      <c r="H59" s="606"/>
      <c r="I59" s="607">
        <f>ROUNDUP((E59*'Project Materials'!$H$18),0)</f>
        <v>0</v>
      </c>
      <c r="J59" s="572">
        <f t="shared" si="2"/>
        <v>0</v>
      </c>
    </row>
    <row r="60" spans="1:10" x14ac:dyDescent="0.4">
      <c r="A60" s="669" t="s">
        <v>701</v>
      </c>
      <c r="B60" s="79" t="str">
        <f>VLOOKUP('Area B'!$B$13,'Item List'!B:AL,15,FALSE)</f>
        <v>None</v>
      </c>
      <c r="C60" s="79" t="str">
        <f>VLOOKUP(B60,'Item List'!B:AH,2,FALSE)</f>
        <v>None</v>
      </c>
      <c r="D60" s="79"/>
      <c r="E60" s="625">
        <f>$E$13*VLOOKUP(B60,'Item List'!B:AM,38,FALSE)</f>
        <v>0</v>
      </c>
      <c r="F60" s="608">
        <f>VLOOKUP(B60,'Item List'!B:AH,4,FALSE)</f>
        <v>0</v>
      </c>
      <c r="G60" s="569">
        <f t="shared" si="1"/>
        <v>0</v>
      </c>
      <c r="H60" s="606"/>
      <c r="I60" s="607">
        <f>ROUNDUP((E60*'Project Materials'!$H$18),0)</f>
        <v>0</v>
      </c>
      <c r="J60" s="572">
        <f t="shared" si="2"/>
        <v>0</v>
      </c>
    </row>
    <row r="61" spans="1:10" x14ac:dyDescent="0.4">
      <c r="A61" s="669" t="s">
        <v>701</v>
      </c>
      <c r="B61" s="79" t="str">
        <f>VLOOKUP('Area B'!$B$13,'Item List'!B:AL,16,FALSE)</f>
        <v>None</v>
      </c>
      <c r="C61" s="79" t="str">
        <f>VLOOKUP(B61,'Item List'!B:AH,2,FALSE)</f>
        <v>None</v>
      </c>
      <c r="D61" s="79"/>
      <c r="E61" s="625">
        <f>$E$13*VLOOKUP(B61,'Item List'!B:AM,38,FALSE)</f>
        <v>0</v>
      </c>
      <c r="F61" s="608">
        <f>VLOOKUP(B61,'Item List'!B:AH,4,FALSE)</f>
        <v>0</v>
      </c>
      <c r="G61" s="569">
        <f t="shared" si="1"/>
        <v>0</v>
      </c>
      <c r="H61" s="606"/>
      <c r="I61" s="607">
        <f>ROUNDUP((E61*'Project Materials'!$H$18),0)</f>
        <v>0</v>
      </c>
      <c r="J61" s="572">
        <f t="shared" si="2"/>
        <v>0</v>
      </c>
    </row>
    <row r="62" spans="1:10" x14ac:dyDescent="0.4">
      <c r="A62" s="669" t="s">
        <v>701</v>
      </c>
      <c r="B62" s="79" t="str">
        <f>VLOOKUP('Area B'!$B$13,'Item List'!B:AL,17,FALSE)</f>
        <v>None</v>
      </c>
      <c r="C62" s="79" t="str">
        <f>VLOOKUP(B62,'Item List'!B:AH,2,FALSE)</f>
        <v>None</v>
      </c>
      <c r="D62" s="79"/>
      <c r="E62" s="625">
        <f>$E$13*VLOOKUP(B62,'Item List'!B:AM,38,FALSE)</f>
        <v>0</v>
      </c>
      <c r="F62" s="608">
        <f>VLOOKUP(B62,'Item List'!B:AH,4,FALSE)</f>
        <v>0</v>
      </c>
      <c r="G62" s="569">
        <f t="shared" si="1"/>
        <v>0</v>
      </c>
      <c r="H62" s="606"/>
      <c r="I62" s="607">
        <f>ROUNDUP((E62*'Project Materials'!$H$18),0)</f>
        <v>0</v>
      </c>
      <c r="J62" s="572">
        <f t="shared" si="2"/>
        <v>0</v>
      </c>
    </row>
    <row r="63" spans="1:10" x14ac:dyDescent="0.4">
      <c r="A63" s="669" t="s">
        <v>701</v>
      </c>
      <c r="B63" s="628" t="str">
        <f>VLOOKUP('Area B'!$B$13,'Item List'!B:AL,18,FALSE)</f>
        <v>None</v>
      </c>
      <c r="C63" s="628" t="str">
        <f>VLOOKUP(B63,'Item List'!B:AH,2,FALSE)</f>
        <v>None</v>
      </c>
      <c r="D63" s="628"/>
      <c r="E63" s="626">
        <f>$E$13*VLOOKUP(B63,'Item List'!B:AM,38,FALSE)</f>
        <v>0</v>
      </c>
      <c r="F63" s="629">
        <f>VLOOKUP(B63,'Item List'!B:AH,4,FALSE)</f>
        <v>0</v>
      </c>
      <c r="G63" s="630">
        <f t="shared" si="1"/>
        <v>0</v>
      </c>
      <c r="H63" s="606"/>
      <c r="I63" s="631">
        <f>ROUNDUP((E63*'Project Materials'!$H$18),0)</f>
        <v>0</v>
      </c>
      <c r="J63" s="632">
        <f t="shared" si="2"/>
        <v>0</v>
      </c>
    </row>
    <row r="64" spans="1:10" x14ac:dyDescent="0.4">
      <c r="A64" s="669" t="s">
        <v>702</v>
      </c>
      <c r="B64" s="79" t="str">
        <f>VLOOKUP('Area B'!$B$14,'Item List'!B:AL,13,FALSE)</f>
        <v>None</v>
      </c>
      <c r="C64" s="79" t="str">
        <f>VLOOKUP(B64,'Item List'!B:AH,2,FALSE)</f>
        <v>None</v>
      </c>
      <c r="D64" s="79"/>
      <c r="E64" s="625">
        <f>$E$14*VLOOKUP(B64,'Item List'!B:AM,38,FALSE)</f>
        <v>0</v>
      </c>
      <c r="F64" s="608">
        <f>VLOOKUP(B64,'Item List'!B:AH,4,FALSE)</f>
        <v>0</v>
      </c>
      <c r="G64" s="569">
        <f t="shared" si="1"/>
        <v>0</v>
      </c>
      <c r="H64" s="606"/>
      <c r="I64" s="607">
        <f>ROUNDUP((E64*'Project Materials'!$H$18),0)</f>
        <v>0</v>
      </c>
      <c r="J64" s="572">
        <f t="shared" si="2"/>
        <v>0</v>
      </c>
    </row>
    <row r="65" spans="1:10" x14ac:dyDescent="0.4">
      <c r="A65" s="669" t="s">
        <v>702</v>
      </c>
      <c r="B65" s="79" t="str">
        <f>VLOOKUP('Area B'!$B$14,'Item List'!B:AL,14,FALSE)</f>
        <v>None</v>
      </c>
      <c r="C65" s="79" t="str">
        <f>VLOOKUP(B65,'Item List'!B:AH,2,FALSE)</f>
        <v>None</v>
      </c>
      <c r="D65" s="79"/>
      <c r="E65" s="625">
        <f>$E$14*VLOOKUP(B65,'Item List'!B:AM,38,FALSE)</f>
        <v>0</v>
      </c>
      <c r="F65" s="608">
        <f>VLOOKUP(B65,'Item List'!B:AH,4,FALSE)</f>
        <v>0</v>
      </c>
      <c r="G65" s="569">
        <f t="shared" si="1"/>
        <v>0</v>
      </c>
      <c r="H65" s="606"/>
      <c r="I65" s="607">
        <f>ROUNDUP((E65*'Project Materials'!$H$18),0)</f>
        <v>0</v>
      </c>
      <c r="J65" s="572">
        <f t="shared" si="2"/>
        <v>0</v>
      </c>
    </row>
    <row r="66" spans="1:10" x14ac:dyDescent="0.4">
      <c r="A66" s="669" t="s">
        <v>702</v>
      </c>
      <c r="B66" s="79" t="str">
        <f>VLOOKUP('Area B'!$B$14,'Item List'!B:AL,15,FALSE)</f>
        <v>None</v>
      </c>
      <c r="C66" s="79" t="str">
        <f>VLOOKUP(B66,'Item List'!B:AH,2,FALSE)</f>
        <v>None</v>
      </c>
      <c r="D66" s="79"/>
      <c r="E66" s="588">
        <f>$E$14*VLOOKUP(B66,'Item List'!B:AM,38,FALSE)</f>
        <v>0</v>
      </c>
      <c r="F66" s="608">
        <f>VLOOKUP(B66,'Item List'!B:AH,4,FALSE)</f>
        <v>0</v>
      </c>
      <c r="G66" s="569">
        <f t="shared" si="1"/>
        <v>0</v>
      </c>
      <c r="H66" s="606"/>
      <c r="I66" s="607">
        <f>ROUNDUP((E66*'Project Materials'!$H$18),0)</f>
        <v>0</v>
      </c>
      <c r="J66" s="572">
        <f t="shared" si="2"/>
        <v>0</v>
      </c>
    </row>
    <row r="67" spans="1:10" x14ac:dyDescent="0.4">
      <c r="A67" s="669" t="s">
        <v>702</v>
      </c>
      <c r="B67" s="79" t="str">
        <f>VLOOKUP('Area B'!$B$14,'Item List'!B:AL,16,FALSE)</f>
        <v>None</v>
      </c>
      <c r="C67" s="79" t="str">
        <f>VLOOKUP(B67,'Item List'!B:AH,2,FALSE)</f>
        <v>None</v>
      </c>
      <c r="D67" s="79"/>
      <c r="E67" s="588">
        <f>$E$14*VLOOKUP(B67,'Item List'!B:AM,38,FALSE)</f>
        <v>0</v>
      </c>
      <c r="F67" s="608">
        <f>VLOOKUP(B67,'Item List'!B:AH,4,FALSE)</f>
        <v>0</v>
      </c>
      <c r="G67" s="569">
        <f t="shared" si="1"/>
        <v>0</v>
      </c>
      <c r="H67" s="606"/>
      <c r="I67" s="607">
        <f>ROUNDUP((E67*'Project Materials'!$H$18),0)</f>
        <v>0</v>
      </c>
      <c r="J67" s="572">
        <f t="shared" si="2"/>
        <v>0</v>
      </c>
    </row>
    <row r="68" spans="1:10" x14ac:dyDescent="0.4">
      <c r="A68" s="669" t="s">
        <v>702</v>
      </c>
      <c r="B68" s="79" t="str">
        <f>VLOOKUP('Area B'!$B$14,'Item List'!B:AL,17,FALSE)</f>
        <v>None</v>
      </c>
      <c r="C68" s="79" t="str">
        <f>VLOOKUP(B68,'Item List'!B:AH,2,FALSE)</f>
        <v>None</v>
      </c>
      <c r="D68" s="79"/>
      <c r="E68" s="588">
        <f>$E$14*VLOOKUP(B68,'Item List'!B:AM,38,FALSE)</f>
        <v>0</v>
      </c>
      <c r="F68" s="608">
        <f>VLOOKUP(B68,'Item List'!B:AH,4,FALSE)</f>
        <v>0</v>
      </c>
      <c r="G68" s="569">
        <f t="shared" si="1"/>
        <v>0</v>
      </c>
      <c r="H68" s="606"/>
      <c r="I68" s="607">
        <f>ROUNDUP((E68*'Project Materials'!$H$18),0)</f>
        <v>0</v>
      </c>
      <c r="J68" s="572">
        <f t="shared" si="2"/>
        <v>0</v>
      </c>
    </row>
    <row r="69" spans="1:10" x14ac:dyDescent="0.4">
      <c r="A69" s="669" t="s">
        <v>702</v>
      </c>
      <c r="B69" s="598" t="str">
        <f>VLOOKUP('Area B'!$B$14,'Item List'!B:AL,18,FALSE)</f>
        <v>None</v>
      </c>
      <c r="C69" s="598" t="str">
        <f>VLOOKUP(B69,'Item List'!B:AH,2,FALSE)</f>
        <v>None</v>
      </c>
      <c r="D69" s="598"/>
      <c r="E69" s="611">
        <f>$E$14*VLOOKUP(B69,'Item List'!B:AM,38,FALSE)</f>
        <v>0</v>
      </c>
      <c r="F69" s="612">
        <f>VLOOKUP(B69,'Item List'!B:AH,4,FALSE)</f>
        <v>0</v>
      </c>
      <c r="G69" s="613">
        <f t="shared" si="1"/>
        <v>0</v>
      </c>
      <c r="H69" s="614"/>
      <c r="I69" s="615">
        <f>ROUNDUP((E69*'Project Materials'!$H$18),0)</f>
        <v>0</v>
      </c>
      <c r="J69" s="616">
        <f t="shared" si="2"/>
        <v>0</v>
      </c>
    </row>
    <row r="70" spans="1:10" x14ac:dyDescent="0.4">
      <c r="A70" s="669" t="s">
        <v>703</v>
      </c>
      <c r="B70" s="79" t="str">
        <f>VLOOKUP('Area B'!$B$15,'Item List'!B:AL,13,FALSE)</f>
        <v>None</v>
      </c>
      <c r="C70" s="79" t="str">
        <f>VLOOKUP(B70,'Item List'!B:AH,2,FALSE)</f>
        <v>None</v>
      </c>
      <c r="D70" s="79"/>
      <c r="E70" s="588">
        <f>$E$15*VLOOKUP(B70,'Item List'!B:AM,38,FALSE)</f>
        <v>0</v>
      </c>
      <c r="F70" s="608">
        <f>VLOOKUP(B70,'Item List'!B:AH,4,FALSE)</f>
        <v>0</v>
      </c>
      <c r="G70" s="569">
        <f t="shared" si="1"/>
        <v>0</v>
      </c>
      <c r="H70" s="606"/>
      <c r="I70" s="607">
        <f>ROUNDUP((E70*'Project Materials'!$H$18),0)</f>
        <v>0</v>
      </c>
      <c r="J70" s="572">
        <f t="shared" si="2"/>
        <v>0</v>
      </c>
    </row>
    <row r="71" spans="1:10" x14ac:dyDescent="0.4">
      <c r="A71" s="669" t="s">
        <v>703</v>
      </c>
      <c r="B71" s="79" t="str">
        <f>VLOOKUP('Area B'!$B$15,'Item List'!B:AL,14,FALSE)</f>
        <v>None</v>
      </c>
      <c r="C71" s="79" t="str">
        <f>VLOOKUP(B71,'Item List'!B:AH,2,FALSE)</f>
        <v>None</v>
      </c>
      <c r="D71" s="79"/>
      <c r="E71" s="588">
        <f>$E$15*VLOOKUP(B71,'Item List'!B:AM,38,FALSE)</f>
        <v>0</v>
      </c>
      <c r="F71" s="608">
        <f>VLOOKUP(B71,'Item List'!B:AH,4,FALSE)</f>
        <v>0</v>
      </c>
      <c r="G71" s="569">
        <f t="shared" si="1"/>
        <v>0</v>
      </c>
      <c r="H71" s="606"/>
      <c r="I71" s="607">
        <f>ROUNDUP((E71*'Project Materials'!$H$18),0)</f>
        <v>0</v>
      </c>
      <c r="J71" s="572">
        <f t="shared" si="2"/>
        <v>0</v>
      </c>
    </row>
    <row r="72" spans="1:10" x14ac:dyDescent="0.4">
      <c r="A72" s="669" t="s">
        <v>703</v>
      </c>
      <c r="B72" s="79" t="str">
        <f>VLOOKUP('Area B'!$B$15,'Item List'!B:AL,15,FALSE)</f>
        <v>None</v>
      </c>
      <c r="C72" s="79" t="str">
        <f>VLOOKUP(B72,'Item List'!B:AH,2,FALSE)</f>
        <v>None</v>
      </c>
      <c r="D72" s="79"/>
      <c r="E72" s="588">
        <f>$E$15*VLOOKUP(B72,'Item List'!B:AM,38,FALSE)</f>
        <v>0</v>
      </c>
      <c r="F72" s="608">
        <f>VLOOKUP(B72,'Item List'!B:AH,4,FALSE)</f>
        <v>0</v>
      </c>
      <c r="G72" s="569">
        <f t="shared" si="1"/>
        <v>0</v>
      </c>
      <c r="H72" s="606"/>
      <c r="I72" s="607">
        <f>ROUNDUP((E72*'Project Materials'!$H$18),0)</f>
        <v>0</v>
      </c>
      <c r="J72" s="572">
        <f t="shared" si="2"/>
        <v>0</v>
      </c>
    </row>
    <row r="73" spans="1:10" x14ac:dyDescent="0.4">
      <c r="A73" s="669" t="s">
        <v>703</v>
      </c>
      <c r="B73" s="79" t="str">
        <f>VLOOKUP('Area B'!$B$15,'Item List'!B:AL,16,FALSE)</f>
        <v>None</v>
      </c>
      <c r="C73" s="79" t="str">
        <f>VLOOKUP(B73,'Item List'!B:AH,2,FALSE)</f>
        <v>None</v>
      </c>
      <c r="D73" s="79"/>
      <c r="E73" s="588">
        <f>$E$15*VLOOKUP(B73,'Item List'!B:AM,38,FALSE)</f>
        <v>0</v>
      </c>
      <c r="F73" s="608">
        <f>VLOOKUP(B73,'Item List'!B:AH,4,FALSE)</f>
        <v>0</v>
      </c>
      <c r="G73" s="569">
        <f t="shared" si="1"/>
        <v>0</v>
      </c>
      <c r="H73" s="606"/>
      <c r="I73" s="607">
        <f>ROUNDUP((E73*'Project Materials'!$H$18),0)</f>
        <v>0</v>
      </c>
      <c r="J73" s="572">
        <f t="shared" si="2"/>
        <v>0</v>
      </c>
    </row>
    <row r="74" spans="1:10" x14ac:dyDescent="0.4">
      <c r="A74" s="669" t="s">
        <v>703</v>
      </c>
      <c r="B74" s="79" t="str">
        <f>VLOOKUP('Area B'!$B$15,'Item List'!B:AL,17,FALSE)</f>
        <v>None</v>
      </c>
      <c r="C74" s="79" t="str">
        <f>VLOOKUP(B74,'Item List'!B:AH,2,FALSE)</f>
        <v>None</v>
      </c>
      <c r="D74" s="79"/>
      <c r="E74" s="588">
        <f>$E$15*VLOOKUP(B74,'Item List'!B:AM,38,FALSE)</f>
        <v>0</v>
      </c>
      <c r="F74" s="608">
        <f>VLOOKUP(B74,'Item List'!B:AH,4,FALSE)</f>
        <v>0</v>
      </c>
      <c r="G74" s="569">
        <f t="shared" si="1"/>
        <v>0</v>
      </c>
      <c r="H74" s="606"/>
      <c r="I74" s="607">
        <f>ROUNDUP((E74*'Project Materials'!$H$18),0)</f>
        <v>0</v>
      </c>
      <c r="J74" s="572">
        <f t="shared" si="2"/>
        <v>0</v>
      </c>
    </row>
    <row r="75" spans="1:10" x14ac:dyDescent="0.4">
      <c r="A75" s="669" t="s">
        <v>703</v>
      </c>
      <c r="B75" s="598" t="str">
        <f>VLOOKUP('Area B'!$B$15,'Item List'!B:AL,18,FALSE)</f>
        <v>None</v>
      </c>
      <c r="C75" s="598" t="str">
        <f>VLOOKUP(B75,'Item List'!B:AH,2,FALSE)</f>
        <v>None</v>
      </c>
      <c r="D75" s="598"/>
      <c r="E75" s="611">
        <f>$E$15*VLOOKUP(B75,'Item List'!B:AM,38,FALSE)</f>
        <v>0</v>
      </c>
      <c r="F75" s="612">
        <f>VLOOKUP(B75,'Item List'!B:AH,4,FALSE)</f>
        <v>0</v>
      </c>
      <c r="G75" s="613">
        <f t="shared" si="1"/>
        <v>0</v>
      </c>
      <c r="H75" s="614"/>
      <c r="I75" s="615">
        <f>ROUNDUP((E75*'Project Materials'!$H$18),0)</f>
        <v>0</v>
      </c>
      <c r="J75" s="616">
        <f t="shared" si="2"/>
        <v>0</v>
      </c>
    </row>
    <row r="76" spans="1:10" x14ac:dyDescent="0.4">
      <c r="A76" s="669" t="s">
        <v>704</v>
      </c>
      <c r="B76" s="79" t="str">
        <f>VLOOKUP('Area B'!$B$16,'Item List'!B:AL,13,FALSE)</f>
        <v>None</v>
      </c>
      <c r="C76" s="79" t="str">
        <f>VLOOKUP(B76,'Item List'!B:AH,2,FALSE)</f>
        <v>None</v>
      </c>
      <c r="D76" s="79"/>
      <c r="E76" s="588">
        <f>$E$16*VLOOKUP(B76,'Item List'!B:AM,38,FALSE)</f>
        <v>0</v>
      </c>
      <c r="F76" s="608">
        <f>VLOOKUP(B76,'Item List'!B:AH,4,FALSE)</f>
        <v>0</v>
      </c>
      <c r="G76" s="569">
        <f t="shared" si="1"/>
        <v>0</v>
      </c>
      <c r="H76" s="606"/>
      <c r="I76" s="607">
        <f>ROUNDUP((E76*'Project Materials'!$H$18),0)</f>
        <v>0</v>
      </c>
      <c r="J76" s="572">
        <f t="shared" si="2"/>
        <v>0</v>
      </c>
    </row>
    <row r="77" spans="1:10" x14ac:dyDescent="0.4">
      <c r="A77" s="669" t="s">
        <v>704</v>
      </c>
      <c r="B77" s="79" t="str">
        <f>VLOOKUP('Area B'!$B$16,'Item List'!B:AL,14,FALSE)</f>
        <v>None</v>
      </c>
      <c r="C77" s="79" t="str">
        <f>VLOOKUP(B77,'Item List'!B:AH,2,FALSE)</f>
        <v>None</v>
      </c>
      <c r="D77" s="79"/>
      <c r="E77" s="588">
        <f>$E$16*VLOOKUP(B77,'Item List'!B:AM,38,FALSE)</f>
        <v>0</v>
      </c>
      <c r="F77" s="608">
        <f>VLOOKUP(B77,'Item List'!B:AH,4,FALSE)</f>
        <v>0</v>
      </c>
      <c r="G77" s="569">
        <f t="shared" si="1"/>
        <v>0</v>
      </c>
      <c r="H77" s="606"/>
      <c r="I77" s="607">
        <f>ROUNDUP((E77*'Project Materials'!$H$18),0)</f>
        <v>0</v>
      </c>
      <c r="J77" s="572">
        <f t="shared" si="2"/>
        <v>0</v>
      </c>
    </row>
    <row r="78" spans="1:10" x14ac:dyDescent="0.4">
      <c r="A78" s="669" t="s">
        <v>704</v>
      </c>
      <c r="B78" s="79" t="str">
        <f>VLOOKUP('Area B'!$B$16,'Item List'!B:AL,15,FALSE)</f>
        <v>None</v>
      </c>
      <c r="C78" s="79" t="str">
        <f>VLOOKUP(B78,'Item List'!B:AH,2,FALSE)</f>
        <v>None</v>
      </c>
      <c r="D78" s="79"/>
      <c r="E78" s="588">
        <f>$E$16*VLOOKUP(B78,'Item List'!B:AM,38,FALSE)</f>
        <v>0</v>
      </c>
      <c r="F78" s="608">
        <f>VLOOKUP(B78,'Item List'!B:AH,4,FALSE)</f>
        <v>0</v>
      </c>
      <c r="G78" s="569">
        <f t="shared" si="1"/>
        <v>0</v>
      </c>
      <c r="H78" s="606"/>
      <c r="I78" s="607">
        <f>ROUNDUP((E78*'Project Materials'!$H$18),0)</f>
        <v>0</v>
      </c>
      <c r="J78" s="572">
        <f t="shared" si="2"/>
        <v>0</v>
      </c>
    </row>
    <row r="79" spans="1:10" x14ac:dyDescent="0.4">
      <c r="A79" s="669" t="s">
        <v>704</v>
      </c>
      <c r="B79" s="79" t="str">
        <f>VLOOKUP('Area B'!$B$16,'Item List'!B:AL,16,FALSE)</f>
        <v>None</v>
      </c>
      <c r="C79" s="79" t="str">
        <f>VLOOKUP(B79,'Item List'!B:AH,2,FALSE)</f>
        <v>None</v>
      </c>
      <c r="D79" s="79"/>
      <c r="E79" s="588">
        <f>$E$16*VLOOKUP(B79,'Item List'!B:AM,38,FALSE)</f>
        <v>0</v>
      </c>
      <c r="F79" s="608">
        <f>VLOOKUP(B79,'Item List'!B:AH,4,FALSE)</f>
        <v>0</v>
      </c>
      <c r="G79" s="569">
        <f t="shared" si="1"/>
        <v>0</v>
      </c>
      <c r="H79" s="606"/>
      <c r="I79" s="607">
        <f>ROUNDUP((E79*'Project Materials'!$H$18),0)</f>
        <v>0</v>
      </c>
      <c r="J79" s="572">
        <f t="shared" si="2"/>
        <v>0</v>
      </c>
    </row>
    <row r="80" spans="1:10" x14ac:dyDescent="0.4">
      <c r="A80" s="669" t="s">
        <v>704</v>
      </c>
      <c r="B80" s="79" t="str">
        <f>VLOOKUP('Area B'!$B$16,'Item List'!B:AL,17,FALSE)</f>
        <v>None</v>
      </c>
      <c r="C80" s="79" t="str">
        <f>VLOOKUP(B80,'Item List'!B:AH,2,FALSE)</f>
        <v>None</v>
      </c>
      <c r="D80" s="79"/>
      <c r="E80" s="588">
        <f>$E$16*VLOOKUP(B80,'Item List'!B:AM,38,FALSE)</f>
        <v>0</v>
      </c>
      <c r="F80" s="608">
        <f>VLOOKUP(B80,'Item List'!B:AH,4,FALSE)</f>
        <v>0</v>
      </c>
      <c r="G80" s="569">
        <f t="shared" si="1"/>
        <v>0</v>
      </c>
      <c r="H80" s="606"/>
      <c r="I80" s="607">
        <f>ROUNDUP((E80*'Project Materials'!$H$18),0)</f>
        <v>0</v>
      </c>
      <c r="J80" s="572">
        <f t="shared" si="2"/>
        <v>0</v>
      </c>
    </row>
    <row r="81" spans="1:10" x14ac:dyDescent="0.4">
      <c r="A81" s="669" t="s">
        <v>704</v>
      </c>
      <c r="B81" s="598" t="str">
        <f>VLOOKUP('Area B'!$B$16,'Item List'!B:AL,18,FALSE)</f>
        <v>None</v>
      </c>
      <c r="C81" s="598" t="str">
        <f>VLOOKUP(B81,'Item List'!B:AH,2,FALSE)</f>
        <v>None</v>
      </c>
      <c r="D81" s="598"/>
      <c r="E81" s="611">
        <f>$E$16*VLOOKUP(B81,'Item List'!B:AM,38,FALSE)</f>
        <v>0</v>
      </c>
      <c r="F81" s="612">
        <f>VLOOKUP(B81,'Item List'!B:AH,4,FALSE)</f>
        <v>0</v>
      </c>
      <c r="G81" s="613">
        <f t="shared" si="1"/>
        <v>0</v>
      </c>
      <c r="H81" s="614"/>
      <c r="I81" s="615">
        <f>ROUNDUP((E81*'Project Materials'!$H$18),0)</f>
        <v>0</v>
      </c>
      <c r="J81" s="616">
        <f t="shared" si="2"/>
        <v>0</v>
      </c>
    </row>
    <row r="82" spans="1:10" x14ac:dyDescent="0.4">
      <c r="A82" s="669" t="s">
        <v>711</v>
      </c>
      <c r="B82" s="79" t="str">
        <f>VLOOKUP('Area B'!$B$17,'Item List'!B:AL,13,FALSE)</f>
        <v>None</v>
      </c>
      <c r="C82" s="633" t="str">
        <f>VLOOKUP(B82,'Item List'!B:AH,2,FALSE)</f>
        <v>None</v>
      </c>
      <c r="D82" s="633"/>
      <c r="E82" s="588">
        <f>$E$17*VLOOKUP(B82,'Item List'!B:AM,38,FALSE)</f>
        <v>0</v>
      </c>
      <c r="F82" s="608">
        <f>VLOOKUP(B82,'Item List'!B:AH,4,FALSE)</f>
        <v>0</v>
      </c>
      <c r="G82" s="569">
        <f t="shared" si="1"/>
        <v>0</v>
      </c>
      <c r="H82" s="606"/>
      <c r="I82" s="607">
        <f>ROUNDUP((E82*'Project Materials'!$H$18),0)</f>
        <v>0</v>
      </c>
      <c r="J82" s="572">
        <f t="shared" si="2"/>
        <v>0</v>
      </c>
    </row>
    <row r="83" spans="1:10" x14ac:dyDescent="0.4">
      <c r="A83" s="669" t="s">
        <v>711</v>
      </c>
      <c r="B83" s="79" t="str">
        <f>VLOOKUP('Area B'!$B$17,'Item List'!B:AL,14,FALSE)</f>
        <v>None</v>
      </c>
      <c r="C83" s="633" t="str">
        <f>VLOOKUP(B83,'Item List'!B:AH,2,FALSE)</f>
        <v>None</v>
      </c>
      <c r="D83" s="633"/>
      <c r="E83" s="588">
        <f>$E$17*VLOOKUP(B83,'Item List'!B:AM,38,FALSE)</f>
        <v>0</v>
      </c>
      <c r="F83" s="608">
        <f>VLOOKUP(B83,'Item List'!B:AH,4,FALSE)</f>
        <v>0</v>
      </c>
      <c r="G83" s="569">
        <f t="shared" si="1"/>
        <v>0</v>
      </c>
      <c r="H83" s="606"/>
      <c r="I83" s="607">
        <f>ROUNDUP((E83*'Project Materials'!$H$18),0)</f>
        <v>0</v>
      </c>
      <c r="J83" s="572">
        <f t="shared" si="2"/>
        <v>0</v>
      </c>
    </row>
    <row r="84" spans="1:10" x14ac:dyDescent="0.4">
      <c r="A84" s="669" t="s">
        <v>711</v>
      </c>
      <c r="B84" s="79" t="str">
        <f>VLOOKUP('Area B'!$B$17,'Item List'!B:AL,15,FALSE)</f>
        <v>None</v>
      </c>
      <c r="C84" s="633" t="str">
        <f>VLOOKUP(B84,'Item List'!B:AH,2,FALSE)</f>
        <v>None</v>
      </c>
      <c r="D84" s="633"/>
      <c r="E84" s="588">
        <f>$E$17*VLOOKUP(B84,'Item List'!B:AM,38,FALSE)</f>
        <v>0</v>
      </c>
      <c r="F84" s="608">
        <f>VLOOKUP(B84,'Item List'!B:AH,4,FALSE)</f>
        <v>0</v>
      </c>
      <c r="G84" s="569">
        <f t="shared" si="1"/>
        <v>0</v>
      </c>
      <c r="H84" s="606"/>
      <c r="I84" s="607">
        <f>ROUNDUP((E84*'Project Materials'!$H$18),0)</f>
        <v>0</v>
      </c>
      <c r="J84" s="572">
        <f t="shared" si="2"/>
        <v>0</v>
      </c>
    </row>
    <row r="85" spans="1:10" x14ac:dyDescent="0.4">
      <c r="A85" s="669" t="s">
        <v>711</v>
      </c>
      <c r="B85" s="79" t="str">
        <f>VLOOKUP('Area B'!$B$17,'Item List'!B:AL,16,FALSE)</f>
        <v>None</v>
      </c>
      <c r="C85" s="633" t="str">
        <f>VLOOKUP(B85,'Item List'!B:AH,2,FALSE)</f>
        <v>None</v>
      </c>
      <c r="D85" s="633"/>
      <c r="E85" s="588">
        <f>$E$17*VLOOKUP(B85,'Item List'!B:AM,38,FALSE)</f>
        <v>0</v>
      </c>
      <c r="F85" s="608">
        <f>VLOOKUP(B85,'Item List'!B:AH,4,FALSE)</f>
        <v>0</v>
      </c>
      <c r="G85" s="569">
        <f t="shared" si="1"/>
        <v>0</v>
      </c>
      <c r="H85" s="606"/>
      <c r="I85" s="607">
        <f>ROUNDUP((E85*'Project Materials'!$H$18),0)</f>
        <v>0</v>
      </c>
      <c r="J85" s="572">
        <f t="shared" si="2"/>
        <v>0</v>
      </c>
    </row>
    <row r="86" spans="1:10" x14ac:dyDescent="0.4">
      <c r="A86" s="669" t="s">
        <v>711</v>
      </c>
      <c r="B86" s="79" t="str">
        <f>VLOOKUP('Area B'!$B$17,'Item List'!B:AL,17,FALSE)</f>
        <v>None</v>
      </c>
      <c r="C86" s="633" t="str">
        <f>VLOOKUP(B86,'Item List'!B:AH,2,FALSE)</f>
        <v>None</v>
      </c>
      <c r="D86" s="633"/>
      <c r="E86" s="588">
        <f>$E$17*VLOOKUP(B86,'Item List'!B:AM,38,FALSE)</f>
        <v>0</v>
      </c>
      <c r="F86" s="608">
        <f>VLOOKUP(B86,'Item List'!B:AH,4,FALSE)</f>
        <v>0</v>
      </c>
      <c r="G86" s="569">
        <f t="shared" si="1"/>
        <v>0</v>
      </c>
      <c r="H86" s="606"/>
      <c r="I86" s="607">
        <f>ROUNDUP((E86*'Project Materials'!$H$18),0)</f>
        <v>0</v>
      </c>
      <c r="J86" s="572">
        <f t="shared" si="2"/>
        <v>0</v>
      </c>
    </row>
    <row r="87" spans="1:10" x14ac:dyDescent="0.4">
      <c r="A87" s="669" t="s">
        <v>711</v>
      </c>
      <c r="B87" s="598" t="str">
        <f>VLOOKUP('Area B'!$B$17,'Item List'!B:AL,18,FALSE)</f>
        <v>None</v>
      </c>
      <c r="C87" s="633" t="str">
        <f>VLOOKUP(B87,'Item List'!B:AH,2,FALSE)</f>
        <v>None</v>
      </c>
      <c r="D87" s="633"/>
      <c r="E87" s="634">
        <f>$E$17*VLOOKUP(B87,'Item List'!B:AM,38,FALSE)</f>
        <v>0</v>
      </c>
      <c r="F87" s="635">
        <f>VLOOKUP(B87,'Item List'!B:AH,4,FALSE)</f>
        <v>0</v>
      </c>
      <c r="G87" s="636">
        <f t="shared" si="1"/>
        <v>0</v>
      </c>
      <c r="H87" s="637"/>
      <c r="I87" s="638">
        <f>ROUNDUP((E87*'Project Materials'!$H$18),0)</f>
        <v>0</v>
      </c>
      <c r="J87" s="639">
        <f t="shared" si="2"/>
        <v>0</v>
      </c>
    </row>
    <row r="88" spans="1:10" x14ac:dyDescent="0.4">
      <c r="A88" s="669" t="s">
        <v>712</v>
      </c>
      <c r="B88" s="79" t="str">
        <f>VLOOKUP('Area B'!$B$18,'Item List'!B:AL,13,FALSE)</f>
        <v>None</v>
      </c>
      <c r="C88" s="627" t="str">
        <f>VLOOKUP(B88,'Item List'!B:AH,2,FALSE)</f>
        <v>None</v>
      </c>
      <c r="D88" s="627"/>
      <c r="E88" s="640">
        <f>$E$18*VLOOKUP(B88,'Item List'!B:AM,38,FALSE)</f>
        <v>0</v>
      </c>
      <c r="F88" s="641">
        <f>VLOOKUP(B88,'Item List'!B:AH,4,FALSE)</f>
        <v>0</v>
      </c>
      <c r="G88" s="642">
        <f t="shared" si="1"/>
        <v>0</v>
      </c>
      <c r="H88" s="643"/>
      <c r="I88" s="644">
        <f>ROUNDUP((E88*'Project Materials'!$H$18),0)</f>
        <v>0</v>
      </c>
      <c r="J88" s="645">
        <f t="shared" si="2"/>
        <v>0</v>
      </c>
    </row>
    <row r="89" spans="1:10" x14ac:dyDescent="0.4">
      <c r="A89" s="669" t="s">
        <v>712</v>
      </c>
      <c r="B89" s="79" t="str">
        <f>VLOOKUP('Area B'!$B$18,'Item List'!B:AL,14,FALSE)</f>
        <v>None</v>
      </c>
      <c r="C89" s="633" t="str">
        <f>VLOOKUP(B89,'Item List'!B:AH,2,FALSE)</f>
        <v>None</v>
      </c>
      <c r="D89" s="633"/>
      <c r="E89" s="634">
        <f>$E$18*VLOOKUP(B89,'Item List'!B:AM,38,FALSE)</f>
        <v>0</v>
      </c>
      <c r="F89" s="635">
        <f>VLOOKUP(B89,'Item List'!B:AH,4,FALSE)</f>
        <v>0</v>
      </c>
      <c r="G89" s="636">
        <f t="shared" si="1"/>
        <v>0</v>
      </c>
      <c r="H89" s="637"/>
      <c r="I89" s="638">
        <f>ROUNDUP((E89*'Project Materials'!$H$18),0)</f>
        <v>0</v>
      </c>
      <c r="J89" s="639">
        <f t="shared" si="2"/>
        <v>0</v>
      </c>
    </row>
    <row r="90" spans="1:10" x14ac:dyDescent="0.4">
      <c r="A90" s="669" t="s">
        <v>712</v>
      </c>
      <c r="B90" s="79" t="str">
        <f>VLOOKUP('Area B'!$B$18,'Item List'!B:AL,15,FALSE)</f>
        <v>None</v>
      </c>
      <c r="C90" s="633" t="str">
        <f>VLOOKUP(B90,'Item List'!B:AH,2,FALSE)</f>
        <v>None</v>
      </c>
      <c r="D90" s="633"/>
      <c r="E90" s="634">
        <f>$E$18*VLOOKUP(B90,'Item List'!B:AM,38,FALSE)</f>
        <v>0</v>
      </c>
      <c r="F90" s="635">
        <f>VLOOKUP(B90,'Item List'!B:AH,4,FALSE)</f>
        <v>0</v>
      </c>
      <c r="G90" s="636">
        <f t="shared" si="1"/>
        <v>0</v>
      </c>
      <c r="H90" s="637"/>
      <c r="I90" s="638">
        <f>ROUNDUP((E90*'Project Materials'!$H$18),0)</f>
        <v>0</v>
      </c>
      <c r="J90" s="639">
        <f t="shared" si="2"/>
        <v>0</v>
      </c>
    </row>
    <row r="91" spans="1:10" x14ac:dyDescent="0.4">
      <c r="A91" s="669" t="s">
        <v>712</v>
      </c>
      <c r="B91" s="79" t="str">
        <f>VLOOKUP('Area B'!$B$18,'Item List'!B:AL,16,FALSE)</f>
        <v>None</v>
      </c>
      <c r="C91" s="633" t="str">
        <f>VLOOKUP(B91,'Item List'!B:AH,2,FALSE)</f>
        <v>None</v>
      </c>
      <c r="D91" s="633"/>
      <c r="E91" s="634">
        <f>$E$18*VLOOKUP(B91,'Item List'!B:AM,38,FALSE)</f>
        <v>0</v>
      </c>
      <c r="F91" s="635">
        <f>VLOOKUP(B91,'Item List'!B:AH,4,FALSE)</f>
        <v>0</v>
      </c>
      <c r="G91" s="636">
        <f t="shared" si="1"/>
        <v>0</v>
      </c>
      <c r="H91" s="637"/>
      <c r="I91" s="638">
        <f>ROUNDUP((E91*'Project Materials'!$H$18),0)</f>
        <v>0</v>
      </c>
      <c r="J91" s="639">
        <f t="shared" si="2"/>
        <v>0</v>
      </c>
    </row>
    <row r="92" spans="1:10" x14ac:dyDescent="0.4">
      <c r="A92" s="669" t="s">
        <v>712</v>
      </c>
      <c r="B92" s="79" t="str">
        <f>VLOOKUP('Area B'!$B$18,'Item List'!B:AL,17,FALSE)</f>
        <v>None</v>
      </c>
      <c r="C92" s="633" t="str">
        <f>VLOOKUP(B92,'Item List'!B:AH,2,FALSE)</f>
        <v>None</v>
      </c>
      <c r="D92" s="633"/>
      <c r="E92" s="634">
        <f>$E$18*VLOOKUP(B92,'Item List'!B:AM,38,FALSE)</f>
        <v>0</v>
      </c>
      <c r="F92" s="635">
        <f>VLOOKUP(B92,'Item List'!B:AH,4,FALSE)</f>
        <v>0</v>
      </c>
      <c r="G92" s="636">
        <f t="shared" si="1"/>
        <v>0</v>
      </c>
      <c r="H92" s="637"/>
      <c r="I92" s="638">
        <f>ROUNDUP((E92*'Project Materials'!$H$18),0)</f>
        <v>0</v>
      </c>
      <c r="J92" s="639">
        <f t="shared" si="2"/>
        <v>0</v>
      </c>
    </row>
    <row r="93" spans="1:10" x14ac:dyDescent="0.4">
      <c r="A93" s="669" t="s">
        <v>712</v>
      </c>
      <c r="B93" s="598" t="str">
        <f>VLOOKUP('Area B'!$B$18,'Item List'!B:AL,18,FALSE)</f>
        <v>None</v>
      </c>
      <c r="C93" s="598" t="str">
        <f>VLOOKUP(B93,'Item List'!B:AH,2,FALSE)</f>
        <v>None</v>
      </c>
      <c r="D93" s="598"/>
      <c r="E93" s="611">
        <f>$E$18*VLOOKUP(B93,'Item List'!B:AM,38,FALSE)</f>
        <v>0</v>
      </c>
      <c r="F93" s="612">
        <f>VLOOKUP(B93,'Item List'!B:AH,4,FALSE)</f>
        <v>0</v>
      </c>
      <c r="G93" s="613">
        <f t="shared" si="1"/>
        <v>0</v>
      </c>
      <c r="H93" s="614"/>
      <c r="I93" s="615">
        <f>ROUNDUP((E93*'Project Materials'!$H$18),0)</f>
        <v>0</v>
      </c>
      <c r="J93" s="616">
        <f t="shared" si="2"/>
        <v>0</v>
      </c>
    </row>
    <row r="94" spans="1:10" x14ac:dyDescent="0.4">
      <c r="A94" s="667"/>
      <c r="B94" s="646"/>
      <c r="C94" s="651"/>
      <c r="D94" s="651"/>
      <c r="E94" s="648"/>
      <c r="F94" s="649"/>
      <c r="G94" s="650"/>
      <c r="H94" s="646"/>
      <c r="I94" s="651"/>
      <c r="J94" s="652"/>
    </row>
    <row r="95" spans="1:10" x14ac:dyDescent="0.4">
      <c r="A95" s="667" t="s">
        <v>6</v>
      </c>
      <c r="B95" s="79" t="str">
        <f>VLOOKUP('Area B'!$B$22,'Item List'!B:AL,13,FALSE)</f>
        <v>None</v>
      </c>
      <c r="C95" s="79" t="str">
        <f>VLOOKUP(B95,'Item List'!B:AH,2,FALSE)</f>
        <v>None</v>
      </c>
      <c r="D95" s="79"/>
      <c r="E95" s="625">
        <f>$E$22*VLOOKUP(B95,'Item List'!B:AM,38,FALSE)</f>
        <v>0</v>
      </c>
      <c r="F95" s="608">
        <f>VLOOKUP(B95,'Item List'!B:AH,4,FALSE)</f>
        <v>0</v>
      </c>
      <c r="G95" s="569">
        <f>F95*E95</f>
        <v>0</v>
      </c>
      <c r="H95" s="606"/>
      <c r="I95" s="607">
        <f>ROUNDUP((E95*'Project Materials'!$H$18),0)</f>
        <v>0</v>
      </c>
      <c r="J95" s="572">
        <f>G95+(I95*F95)</f>
        <v>0</v>
      </c>
    </row>
    <row r="96" spans="1:10" x14ac:dyDescent="0.4">
      <c r="A96" s="667" t="s">
        <v>6</v>
      </c>
      <c r="B96" s="79" t="str">
        <f>VLOOKUP('Area B'!$B$22,'Item List'!B:AL,14,FALSE)</f>
        <v>None</v>
      </c>
      <c r="C96" s="79" t="str">
        <f>VLOOKUP(B96,'Item List'!B:AH,2,FALSE)</f>
        <v>None</v>
      </c>
      <c r="D96" s="79"/>
      <c r="E96" s="625">
        <f>$E$22*VLOOKUP(B96,'Item List'!B:AM,38,FALSE)</f>
        <v>0</v>
      </c>
      <c r="F96" s="608">
        <f>VLOOKUP(B96,'Item List'!B:AH,4,FALSE)</f>
        <v>0</v>
      </c>
      <c r="G96" s="569">
        <f>F96*E96</f>
        <v>0</v>
      </c>
      <c r="H96" s="606"/>
      <c r="I96" s="607">
        <f>ROUNDUP((E96*'Project Materials'!$H$18),0)</f>
        <v>0</v>
      </c>
      <c r="J96" s="572">
        <f>G96+(I96*F96)</f>
        <v>0</v>
      </c>
    </row>
    <row r="97" spans="1:10" x14ac:dyDescent="0.4">
      <c r="A97" s="667" t="s">
        <v>6</v>
      </c>
      <c r="B97" s="79" t="str">
        <f>VLOOKUP('Area B'!$B$22,'Item List'!B:AL,15,FALSE)</f>
        <v>None</v>
      </c>
      <c r="C97" s="79" t="str">
        <f>VLOOKUP(B97,'Item List'!B:AH,2,FALSE)</f>
        <v>None</v>
      </c>
      <c r="D97" s="79"/>
      <c r="E97" s="625">
        <f>$E$22*VLOOKUP(B97,'Item List'!B:AM,38,FALSE)</f>
        <v>0</v>
      </c>
      <c r="F97" s="608">
        <f>VLOOKUP(B97,'Item List'!B:AH,4,FALSE)</f>
        <v>0</v>
      </c>
      <c r="G97" s="569">
        <f>F97*E97</f>
        <v>0</v>
      </c>
      <c r="H97" s="606"/>
      <c r="I97" s="607">
        <f>ROUNDUP((E97*'Project Materials'!$H$18),0)</f>
        <v>0</v>
      </c>
      <c r="J97" s="572">
        <f>G97+(I97*F97)</f>
        <v>0</v>
      </c>
    </row>
    <row r="98" spans="1:10" x14ac:dyDescent="0.4">
      <c r="A98" s="667" t="s">
        <v>6</v>
      </c>
      <c r="B98" s="79" t="str">
        <f>VLOOKUP('Area B'!$B$22,'Item List'!B:AL,16,FALSE)</f>
        <v>None</v>
      </c>
      <c r="C98" s="79" t="str">
        <f>VLOOKUP(B98,'Item List'!B:AH,2,FALSE)</f>
        <v>None</v>
      </c>
      <c r="D98" s="79"/>
      <c r="E98" s="625">
        <f>$E$22*VLOOKUP(B98,'Item List'!B:AM,38,FALSE)</f>
        <v>0</v>
      </c>
      <c r="F98" s="608">
        <f>VLOOKUP(B98,'Item List'!B:AH,4,FALSE)</f>
        <v>0</v>
      </c>
      <c r="G98" s="569">
        <f>F98*E98</f>
        <v>0</v>
      </c>
      <c r="H98" s="606"/>
      <c r="I98" s="607">
        <f>ROUNDUP((E98*'Project Materials'!$H$18),0)</f>
        <v>0</v>
      </c>
      <c r="J98" s="572">
        <f>G98+(I98*F98)</f>
        <v>0</v>
      </c>
    </row>
    <row r="99" spans="1:10" x14ac:dyDescent="0.4">
      <c r="A99" s="667" t="s">
        <v>6</v>
      </c>
      <c r="B99" s="79" t="str">
        <f>VLOOKUP('Area B'!$B$22,'Item List'!B:AL,17,FALSE)</f>
        <v>None</v>
      </c>
      <c r="C99" s="79" t="str">
        <f>VLOOKUP(B99,'Item List'!B:AH,2,FALSE)</f>
        <v>None</v>
      </c>
      <c r="D99" s="79"/>
      <c r="E99" s="625">
        <f>$E$22*VLOOKUP(B99,'Item List'!B:AM,38,FALSE)</f>
        <v>0</v>
      </c>
      <c r="F99" s="608">
        <f>VLOOKUP(B99,'Item List'!B:AH,4,FALSE)</f>
        <v>0</v>
      </c>
      <c r="G99" s="569">
        <f t="shared" ref="G99:G118" si="3">F99*E99</f>
        <v>0</v>
      </c>
      <c r="H99" s="606"/>
      <c r="I99" s="607">
        <f>ROUNDUP((E99*'Project Materials'!$H$18),0)</f>
        <v>0</v>
      </c>
      <c r="J99" s="572">
        <f t="shared" ref="J99:J118" si="4">G99+(I99*F99)</f>
        <v>0</v>
      </c>
    </row>
    <row r="100" spans="1:10" x14ac:dyDescent="0.4">
      <c r="A100" s="672" t="s">
        <v>6</v>
      </c>
      <c r="B100" s="598" t="str">
        <f>VLOOKUP('Area B'!$B$22,'Item List'!B:AL,18,FALSE)</f>
        <v>None</v>
      </c>
      <c r="C100" s="598" t="str">
        <f>VLOOKUP(B100,'Item List'!B:AH,2,FALSE)</f>
        <v>None</v>
      </c>
      <c r="D100" s="598"/>
      <c r="E100" s="626">
        <f>$E$22*VLOOKUP(B100,'Item List'!B:AM,38,FALSE)</f>
        <v>0</v>
      </c>
      <c r="F100" s="612">
        <f>VLOOKUP(B100,'Item List'!B:AH,4,FALSE)</f>
        <v>0</v>
      </c>
      <c r="G100" s="613">
        <f t="shared" si="3"/>
        <v>0</v>
      </c>
      <c r="H100" s="614"/>
      <c r="I100" s="615">
        <f>ROUNDUP((E100*'Project Materials'!$H$18),0)</f>
        <v>0</v>
      </c>
      <c r="J100" s="616">
        <f t="shared" si="4"/>
        <v>0</v>
      </c>
    </row>
    <row r="101" spans="1:10" x14ac:dyDescent="0.4">
      <c r="A101" s="667" t="s">
        <v>6</v>
      </c>
      <c r="B101" s="79" t="str">
        <f>VLOOKUP('Area B'!$B$23,'Item List'!B:AL,13,FALSE)</f>
        <v>None</v>
      </c>
      <c r="C101" s="79" t="str">
        <f>VLOOKUP(B101,'Item List'!B:AH,2,FALSE)</f>
        <v>None</v>
      </c>
      <c r="D101" s="79"/>
      <c r="E101" s="625">
        <f>$E$23*VLOOKUP(B101,'Item List'!B:AM,38,FALSE)</f>
        <v>0</v>
      </c>
      <c r="F101" s="608">
        <f>VLOOKUP(B101,'Item List'!B:AH,4,FALSE)</f>
        <v>0</v>
      </c>
      <c r="G101" s="569">
        <f t="shared" si="3"/>
        <v>0</v>
      </c>
      <c r="H101" s="606"/>
      <c r="I101" s="607">
        <f>ROUNDUP((E101*'Project Materials'!$H$18),0)</f>
        <v>0</v>
      </c>
      <c r="J101" s="572">
        <f t="shared" si="4"/>
        <v>0</v>
      </c>
    </row>
    <row r="102" spans="1:10" x14ac:dyDescent="0.4">
      <c r="A102" s="667" t="s">
        <v>6</v>
      </c>
      <c r="B102" s="79" t="str">
        <f>VLOOKUP('Area B'!$B$23,'Item List'!B:AL,14,FALSE)</f>
        <v>None</v>
      </c>
      <c r="C102" s="79" t="str">
        <f>VLOOKUP(B102,'Item List'!B:AH,2,FALSE)</f>
        <v>None</v>
      </c>
      <c r="D102" s="79"/>
      <c r="E102" s="625">
        <f>$E$23*VLOOKUP(B102,'Item List'!B:AM,38,FALSE)</f>
        <v>0</v>
      </c>
      <c r="F102" s="608">
        <f>VLOOKUP(B102,'Item List'!B:AH,4,FALSE)</f>
        <v>0</v>
      </c>
      <c r="G102" s="569">
        <f t="shared" si="3"/>
        <v>0</v>
      </c>
      <c r="H102" s="606"/>
      <c r="I102" s="607">
        <f>ROUNDUP((E102*'Project Materials'!$H$18),0)</f>
        <v>0</v>
      </c>
      <c r="J102" s="572">
        <f t="shared" si="4"/>
        <v>0</v>
      </c>
    </row>
    <row r="103" spans="1:10" x14ac:dyDescent="0.4">
      <c r="A103" s="667" t="s">
        <v>6</v>
      </c>
      <c r="B103" s="79" t="str">
        <f>VLOOKUP('Area B'!$B$23,'Item List'!B:AL,15,FALSE)</f>
        <v>None</v>
      </c>
      <c r="C103" s="79" t="str">
        <f>VLOOKUP(B103,'Item List'!B:AH,2,FALSE)</f>
        <v>None</v>
      </c>
      <c r="D103" s="79"/>
      <c r="E103" s="625">
        <f>$E$23*VLOOKUP(B103,'Item List'!B:AM,38,FALSE)</f>
        <v>0</v>
      </c>
      <c r="F103" s="608">
        <f>VLOOKUP(B103,'Item List'!B:AH,4,FALSE)</f>
        <v>0</v>
      </c>
      <c r="G103" s="569">
        <f t="shared" si="3"/>
        <v>0</v>
      </c>
      <c r="H103" s="606"/>
      <c r="I103" s="607">
        <f>ROUNDUP((E103*'Project Materials'!$H$18),0)</f>
        <v>0</v>
      </c>
      <c r="J103" s="572">
        <f t="shared" si="4"/>
        <v>0</v>
      </c>
    </row>
    <row r="104" spans="1:10" x14ac:dyDescent="0.4">
      <c r="A104" s="667" t="s">
        <v>6</v>
      </c>
      <c r="B104" s="79" t="str">
        <f>VLOOKUP('Area B'!$B$23,'Item List'!B:AL,16,FALSE)</f>
        <v>None</v>
      </c>
      <c r="C104" s="79" t="str">
        <f>VLOOKUP(B104,'Item List'!B:AH,2,FALSE)</f>
        <v>None</v>
      </c>
      <c r="D104" s="79"/>
      <c r="E104" s="625">
        <f>$E$23*VLOOKUP(B104,'Item List'!B:AM,38,FALSE)</f>
        <v>0</v>
      </c>
      <c r="F104" s="608">
        <f>VLOOKUP(B104,'Item List'!B:AH,4,FALSE)</f>
        <v>0</v>
      </c>
      <c r="G104" s="569">
        <f t="shared" si="3"/>
        <v>0</v>
      </c>
      <c r="H104" s="606"/>
      <c r="I104" s="607">
        <f>ROUNDUP((E104*'Project Materials'!$H$18),0)</f>
        <v>0</v>
      </c>
      <c r="J104" s="572">
        <f t="shared" si="4"/>
        <v>0</v>
      </c>
    </row>
    <row r="105" spans="1:10" x14ac:dyDescent="0.4">
      <c r="A105" s="667" t="s">
        <v>6</v>
      </c>
      <c r="B105" s="79" t="str">
        <f>VLOOKUP('Area B'!$B$23,'Item List'!B:AL,17,FALSE)</f>
        <v>None</v>
      </c>
      <c r="C105" s="79" t="str">
        <f>VLOOKUP(B105,'Item List'!B:AH,2,FALSE)</f>
        <v>None</v>
      </c>
      <c r="D105" s="79"/>
      <c r="E105" s="625">
        <f>$E$23*VLOOKUP(B105,'Item List'!B:AM,38,FALSE)</f>
        <v>0</v>
      </c>
      <c r="F105" s="608">
        <f>VLOOKUP(B105,'Item List'!B:AH,4,FALSE)</f>
        <v>0</v>
      </c>
      <c r="G105" s="569">
        <f t="shared" si="3"/>
        <v>0</v>
      </c>
      <c r="H105" s="606"/>
      <c r="I105" s="607">
        <f>ROUNDUP((E105*'Project Materials'!$H$18),0)</f>
        <v>0</v>
      </c>
      <c r="J105" s="572">
        <f t="shared" si="4"/>
        <v>0</v>
      </c>
    </row>
    <row r="106" spans="1:10" x14ac:dyDescent="0.4">
      <c r="A106" s="672" t="s">
        <v>6</v>
      </c>
      <c r="B106" s="628" t="str">
        <f>VLOOKUP('Area B'!$B$23,'Item List'!B:AL,18,FALSE)</f>
        <v>None</v>
      </c>
      <c r="C106" s="628" t="str">
        <f>VLOOKUP(B106,'Item List'!B:AH,2,FALSE)</f>
        <v>None</v>
      </c>
      <c r="D106" s="628"/>
      <c r="E106" s="626">
        <f>$E$23*VLOOKUP(B106,'Item List'!B:AM,38,FALSE)</f>
        <v>0</v>
      </c>
      <c r="F106" s="629">
        <f>VLOOKUP(B106,'Item List'!B:AH,4,FALSE)</f>
        <v>0</v>
      </c>
      <c r="G106" s="630">
        <f t="shared" si="3"/>
        <v>0</v>
      </c>
      <c r="H106" s="606"/>
      <c r="I106" s="631">
        <f>ROUNDUP((E106*'Project Materials'!$H$18),0)</f>
        <v>0</v>
      </c>
      <c r="J106" s="632">
        <f t="shared" si="4"/>
        <v>0</v>
      </c>
    </row>
    <row r="107" spans="1:10" x14ac:dyDescent="0.4">
      <c r="A107" s="667" t="s">
        <v>6</v>
      </c>
      <c r="B107" s="79" t="str">
        <f>VLOOKUP('Area B'!$B$24,'Item List'!B:AL,13,FALSE)</f>
        <v>None</v>
      </c>
      <c r="C107" s="79" t="str">
        <f>VLOOKUP(B107,'Item List'!B:AH,2,FALSE)</f>
        <v>None</v>
      </c>
      <c r="D107" s="79"/>
      <c r="E107" s="625">
        <f>$E$24*VLOOKUP(B107,'Item List'!B:AM,38,FALSE)</f>
        <v>0</v>
      </c>
      <c r="F107" s="608">
        <f>VLOOKUP(B107,'Item List'!B:AH,4,FALSE)</f>
        <v>0</v>
      </c>
      <c r="G107" s="569">
        <f t="shared" si="3"/>
        <v>0</v>
      </c>
      <c r="H107" s="606"/>
      <c r="I107" s="607">
        <f>ROUNDUP((E107*'Project Materials'!$H$18),0)</f>
        <v>0</v>
      </c>
      <c r="J107" s="572">
        <f t="shared" si="4"/>
        <v>0</v>
      </c>
    </row>
    <row r="108" spans="1:10" x14ac:dyDescent="0.4">
      <c r="A108" s="667" t="s">
        <v>6</v>
      </c>
      <c r="B108" s="79" t="str">
        <f>VLOOKUP('Area B'!$B$24,'Item List'!B:AL,14,FALSE)</f>
        <v>None</v>
      </c>
      <c r="C108" s="79" t="str">
        <f>VLOOKUP(B108,'Item List'!B:AH,2,FALSE)</f>
        <v>None</v>
      </c>
      <c r="D108" s="79"/>
      <c r="E108" s="625">
        <f>$E$24*VLOOKUP(B108,'Item List'!B:AM,38,FALSE)</f>
        <v>0</v>
      </c>
      <c r="F108" s="608">
        <f>VLOOKUP(B108,'Item List'!B:AH,4,FALSE)</f>
        <v>0</v>
      </c>
      <c r="G108" s="569">
        <f t="shared" si="3"/>
        <v>0</v>
      </c>
      <c r="H108" s="606"/>
      <c r="I108" s="607">
        <f>ROUNDUP((E108*'Project Materials'!$H$18),0)</f>
        <v>0</v>
      </c>
      <c r="J108" s="572">
        <f t="shared" si="4"/>
        <v>0</v>
      </c>
    </row>
    <row r="109" spans="1:10" x14ac:dyDescent="0.4">
      <c r="A109" s="667" t="s">
        <v>6</v>
      </c>
      <c r="B109" s="79" t="str">
        <f>VLOOKUP('Area B'!$B$24,'Item List'!B:AL,15,FALSE)</f>
        <v>None</v>
      </c>
      <c r="C109" s="79" t="str">
        <f>VLOOKUP(B109,'Item List'!B:AH,2,FALSE)</f>
        <v>None</v>
      </c>
      <c r="D109" s="79"/>
      <c r="E109" s="588">
        <f>$E$24*VLOOKUP(B109,'Item List'!B:AM,38,FALSE)</f>
        <v>0</v>
      </c>
      <c r="F109" s="608">
        <f>VLOOKUP(B109,'Item List'!B:AH,4,FALSE)</f>
        <v>0</v>
      </c>
      <c r="G109" s="569">
        <f t="shared" si="3"/>
        <v>0</v>
      </c>
      <c r="H109" s="606"/>
      <c r="I109" s="607">
        <f>ROUNDUP((E109*'Project Materials'!$H$18),0)</f>
        <v>0</v>
      </c>
      <c r="J109" s="572">
        <f t="shared" si="4"/>
        <v>0</v>
      </c>
    </row>
    <row r="110" spans="1:10" x14ac:dyDescent="0.4">
      <c r="A110" s="667" t="s">
        <v>6</v>
      </c>
      <c r="B110" s="79" t="str">
        <f>VLOOKUP('Area B'!$B$24,'Item List'!B:AL,16,FALSE)</f>
        <v>None</v>
      </c>
      <c r="C110" s="79" t="str">
        <f>VLOOKUP(B110,'Item List'!B:AH,2,FALSE)</f>
        <v>None</v>
      </c>
      <c r="D110" s="79"/>
      <c r="E110" s="588">
        <f>$E$24*VLOOKUP(B110,'Item List'!B:AM,38,FALSE)</f>
        <v>0</v>
      </c>
      <c r="F110" s="608">
        <f>VLOOKUP(B110,'Item List'!B:AH,4,FALSE)</f>
        <v>0</v>
      </c>
      <c r="G110" s="569">
        <f t="shared" si="3"/>
        <v>0</v>
      </c>
      <c r="H110" s="606"/>
      <c r="I110" s="607">
        <f>ROUNDUP((E110*'Project Materials'!$H$18),0)</f>
        <v>0</v>
      </c>
      <c r="J110" s="572">
        <f t="shared" si="4"/>
        <v>0</v>
      </c>
    </row>
    <row r="111" spans="1:10" x14ac:dyDescent="0.4">
      <c r="A111" s="667" t="s">
        <v>6</v>
      </c>
      <c r="B111" s="79" t="str">
        <f>VLOOKUP('Area B'!$B$24,'Item List'!B:AL,17,FALSE)</f>
        <v>None</v>
      </c>
      <c r="C111" s="79" t="str">
        <f>VLOOKUP(B111,'Item List'!B:AH,2,FALSE)</f>
        <v>None</v>
      </c>
      <c r="D111" s="79"/>
      <c r="E111" s="588">
        <f>$E$24*VLOOKUP(B111,'Item List'!B:AM,38,FALSE)</f>
        <v>0</v>
      </c>
      <c r="F111" s="608">
        <f>VLOOKUP(B111,'Item List'!B:AH,4,FALSE)</f>
        <v>0</v>
      </c>
      <c r="G111" s="569">
        <f t="shared" si="3"/>
        <v>0</v>
      </c>
      <c r="H111" s="606"/>
      <c r="I111" s="607">
        <f>ROUNDUP((E111*'Project Materials'!$H$18),0)</f>
        <v>0</v>
      </c>
      <c r="J111" s="572">
        <f t="shared" si="4"/>
        <v>0</v>
      </c>
    </row>
    <row r="112" spans="1:10" x14ac:dyDescent="0.4">
      <c r="A112" s="672" t="s">
        <v>6</v>
      </c>
      <c r="B112" s="598" t="str">
        <f>VLOOKUP('Area B'!$B$24,'Item List'!B:AL,18,FALSE)</f>
        <v>None</v>
      </c>
      <c r="C112" s="598" t="str">
        <f>VLOOKUP(B112,'Item List'!B:AH,2,FALSE)</f>
        <v>None</v>
      </c>
      <c r="D112" s="598"/>
      <c r="E112" s="611">
        <f>$E$24*VLOOKUP(B112,'Item List'!B:AM,38,FALSE)</f>
        <v>0</v>
      </c>
      <c r="F112" s="612">
        <f>VLOOKUP(B112,'Item List'!B:AH,4,FALSE)</f>
        <v>0</v>
      </c>
      <c r="G112" s="613">
        <f t="shared" si="3"/>
        <v>0</v>
      </c>
      <c r="H112" s="614"/>
      <c r="I112" s="615">
        <f>ROUNDUP((E112*'Project Materials'!$H$18),0)</f>
        <v>0</v>
      </c>
      <c r="J112" s="616">
        <f t="shared" si="4"/>
        <v>0</v>
      </c>
    </row>
    <row r="113" spans="1:10" x14ac:dyDescent="0.4">
      <c r="A113" s="667" t="s">
        <v>6</v>
      </c>
      <c r="B113" s="79" t="str">
        <f>VLOOKUP('Area B'!$B$25,'Item List'!B:AL,13,FALSE)</f>
        <v>None</v>
      </c>
      <c r="C113" s="79" t="str">
        <f>VLOOKUP(B113,'Item List'!B:AH,2,FALSE)</f>
        <v>None</v>
      </c>
      <c r="D113" s="79"/>
      <c r="E113" s="588">
        <f>$E$25*VLOOKUP(B113,'Item List'!B:AM,38,FALSE)</f>
        <v>0</v>
      </c>
      <c r="F113" s="608">
        <f>VLOOKUP(B113,'Item List'!B:AH,4,FALSE)</f>
        <v>0</v>
      </c>
      <c r="G113" s="569">
        <f t="shared" si="3"/>
        <v>0</v>
      </c>
      <c r="H113" s="606"/>
      <c r="I113" s="607">
        <f>ROUNDUP((E113*'Project Materials'!$H$18),0)</f>
        <v>0</v>
      </c>
      <c r="J113" s="572">
        <f t="shared" si="4"/>
        <v>0</v>
      </c>
    </row>
    <row r="114" spans="1:10" x14ac:dyDescent="0.4">
      <c r="A114" s="667" t="s">
        <v>6</v>
      </c>
      <c r="B114" s="79" t="str">
        <f>VLOOKUP('Area B'!$B$25,'Item List'!B:AL,14,FALSE)</f>
        <v>None</v>
      </c>
      <c r="C114" s="79" t="str">
        <f>VLOOKUP(B114,'Item List'!B:AH,2,FALSE)</f>
        <v>None</v>
      </c>
      <c r="D114" s="79"/>
      <c r="E114" s="588">
        <f>$E$25*VLOOKUP(B114,'Item List'!B:AM,38,FALSE)</f>
        <v>0</v>
      </c>
      <c r="F114" s="608">
        <f>VLOOKUP(B114,'Item List'!B:AH,4,FALSE)</f>
        <v>0</v>
      </c>
      <c r="G114" s="569">
        <f t="shared" si="3"/>
        <v>0</v>
      </c>
      <c r="H114" s="606"/>
      <c r="I114" s="607">
        <f>ROUNDUP((E114*'Project Materials'!$H$18),0)</f>
        <v>0</v>
      </c>
      <c r="J114" s="572">
        <f t="shared" si="4"/>
        <v>0</v>
      </c>
    </row>
    <row r="115" spans="1:10" x14ac:dyDescent="0.4">
      <c r="A115" s="667" t="s">
        <v>6</v>
      </c>
      <c r="B115" s="79" t="str">
        <f>VLOOKUP('Area B'!$B$25,'Item List'!B:AL,15,FALSE)</f>
        <v>None</v>
      </c>
      <c r="C115" s="79" t="str">
        <f>VLOOKUP(B115,'Item List'!B:AH,2,FALSE)</f>
        <v>None</v>
      </c>
      <c r="D115" s="79"/>
      <c r="E115" s="588">
        <f>$E$25*VLOOKUP(B115,'Item List'!B:AM,38,FALSE)</f>
        <v>0</v>
      </c>
      <c r="F115" s="608">
        <f>VLOOKUP(B115,'Item List'!B:AH,4,FALSE)</f>
        <v>0</v>
      </c>
      <c r="G115" s="569">
        <f t="shared" si="3"/>
        <v>0</v>
      </c>
      <c r="H115" s="606"/>
      <c r="I115" s="607">
        <f>ROUNDUP((E115*'Project Materials'!$H$18),0)</f>
        <v>0</v>
      </c>
      <c r="J115" s="572">
        <f t="shared" si="4"/>
        <v>0</v>
      </c>
    </row>
    <row r="116" spans="1:10" x14ac:dyDescent="0.4">
      <c r="A116" s="667" t="s">
        <v>6</v>
      </c>
      <c r="B116" s="79" t="str">
        <f>VLOOKUP('Area B'!$B$25,'Item List'!B:AL,16,FALSE)</f>
        <v>None</v>
      </c>
      <c r="C116" s="79" t="str">
        <f>VLOOKUP(B116,'Item List'!B:AH,2,FALSE)</f>
        <v>None</v>
      </c>
      <c r="D116" s="79"/>
      <c r="E116" s="588">
        <f>$E$25*VLOOKUP(B116,'Item List'!B:AM,38,FALSE)</f>
        <v>0</v>
      </c>
      <c r="F116" s="608">
        <f>VLOOKUP(B116,'Item List'!B:AH,4,FALSE)</f>
        <v>0</v>
      </c>
      <c r="G116" s="569">
        <f t="shared" si="3"/>
        <v>0</v>
      </c>
      <c r="H116" s="606"/>
      <c r="I116" s="607">
        <f>ROUNDUP((E116*'Project Materials'!$H$18),0)</f>
        <v>0</v>
      </c>
      <c r="J116" s="572">
        <f t="shared" si="4"/>
        <v>0</v>
      </c>
    </row>
    <row r="117" spans="1:10" x14ac:dyDescent="0.4">
      <c r="A117" s="667" t="s">
        <v>6</v>
      </c>
      <c r="B117" s="79" t="str">
        <f>VLOOKUP('Area B'!$B$25,'Item List'!B:AL,17,FALSE)</f>
        <v>None</v>
      </c>
      <c r="C117" s="79" t="str">
        <f>VLOOKUP(B117,'Item List'!B:AH,2,FALSE)</f>
        <v>None</v>
      </c>
      <c r="D117" s="79"/>
      <c r="E117" s="588">
        <f>$E$25*VLOOKUP(B117,'Item List'!B:AM,38,FALSE)</f>
        <v>0</v>
      </c>
      <c r="F117" s="608">
        <f>VLOOKUP(B117,'Item List'!B:AH,4,FALSE)</f>
        <v>0</v>
      </c>
      <c r="G117" s="569">
        <f t="shared" si="3"/>
        <v>0</v>
      </c>
      <c r="H117" s="606"/>
      <c r="I117" s="607">
        <f>ROUNDUP((E117*'Project Materials'!$H$18),0)</f>
        <v>0</v>
      </c>
      <c r="J117" s="572">
        <f t="shared" si="4"/>
        <v>0</v>
      </c>
    </row>
    <row r="118" spans="1:10" x14ac:dyDescent="0.4">
      <c r="A118" s="667" t="s">
        <v>6</v>
      </c>
      <c r="B118" s="598" t="str">
        <f>VLOOKUP('Area B'!$B$25,'Item List'!B:AL,18,FALSE)</f>
        <v>None</v>
      </c>
      <c r="C118" s="598" t="str">
        <f>VLOOKUP(B118,'Item List'!B:AH,2,FALSE)</f>
        <v>None</v>
      </c>
      <c r="D118" s="598"/>
      <c r="E118" s="611">
        <f>$E$25*VLOOKUP(B118,'Item List'!B:AM,38,FALSE)</f>
        <v>0</v>
      </c>
      <c r="F118" s="612">
        <f>VLOOKUP(B118,'Item List'!B:AH,4,FALSE)</f>
        <v>0</v>
      </c>
      <c r="G118" s="613">
        <f t="shared" si="3"/>
        <v>0</v>
      </c>
      <c r="H118" s="614"/>
      <c r="I118" s="615">
        <f>ROUNDUP((E118*'Project Materials'!$H$18),0)</f>
        <v>0</v>
      </c>
      <c r="J118" s="616">
        <f t="shared" si="4"/>
        <v>0</v>
      </c>
    </row>
    <row r="119" spans="1:10" x14ac:dyDescent="0.4">
      <c r="A119" s="667"/>
      <c r="B119" s="646"/>
      <c r="C119" s="646"/>
      <c r="D119" s="646"/>
      <c r="E119" s="648"/>
      <c r="F119" s="649"/>
      <c r="G119" s="650"/>
      <c r="H119" s="646"/>
      <c r="I119" s="651"/>
      <c r="J119" s="652"/>
    </row>
    <row r="120" spans="1:10" x14ac:dyDescent="0.4">
      <c r="A120" s="667" t="s">
        <v>448</v>
      </c>
      <c r="B120" s="79" t="str">
        <f>VLOOKUP('Area B'!B29,'Item List'!B:AL,13,FALSE)</f>
        <v>None</v>
      </c>
      <c r="C120" s="79" t="str">
        <f>VLOOKUP(B120,'Item List'!B:AH,2,FALSE)</f>
        <v>None</v>
      </c>
      <c r="D120" s="79"/>
      <c r="E120" s="588">
        <f>VLOOKUP(B120,'Item List'!B:AM,34,FALSE)</f>
        <v>0</v>
      </c>
      <c r="F120" s="608">
        <f>VLOOKUP(B120,'Item List'!B:AH,4,FALSE)</f>
        <v>0</v>
      </c>
      <c r="G120" s="569">
        <f t="shared" ref="G120:G131" si="5">F120*E120</f>
        <v>0</v>
      </c>
      <c r="H120" s="606"/>
      <c r="I120" s="607">
        <f>ROUNDUP((E120*'Project Materials'!$H$18),0)</f>
        <v>0</v>
      </c>
      <c r="J120" s="572">
        <f t="shared" ref="J120:J131" si="6">G120+(I120*F120)</f>
        <v>0</v>
      </c>
    </row>
    <row r="121" spans="1:10" x14ac:dyDescent="0.4">
      <c r="A121" s="672" t="s">
        <v>448</v>
      </c>
      <c r="B121" s="598" t="str">
        <f>VLOOKUP('Area B'!B30,'Item List'!B:AL,13,FALSE)</f>
        <v>None</v>
      </c>
      <c r="C121" s="598" t="str">
        <f>VLOOKUP(B121,'Item List'!B:AH,2,FALSE)</f>
        <v>None</v>
      </c>
      <c r="D121" s="598"/>
      <c r="E121" s="611">
        <f>VLOOKUP(B121,'Item List'!B:AM,34,FALSE)</f>
        <v>0</v>
      </c>
      <c r="F121" s="612">
        <f>VLOOKUP(B121,'Item List'!B:AH,4,FALSE)</f>
        <v>0</v>
      </c>
      <c r="G121" s="613">
        <f t="shared" si="5"/>
        <v>0</v>
      </c>
      <c r="H121" s="614"/>
      <c r="I121" s="615">
        <f>ROUNDUP((E121*'Project Materials'!$H$18),0)</f>
        <v>0</v>
      </c>
      <c r="J121" s="616">
        <f t="shared" si="6"/>
        <v>0</v>
      </c>
    </row>
    <row r="122" spans="1:10" x14ac:dyDescent="0.4">
      <c r="A122" s="667" t="s">
        <v>449</v>
      </c>
      <c r="B122" s="79" t="str">
        <f>VLOOKUP('Area B'!B31,'Item List'!B:AL,13,FALSE)</f>
        <v>None</v>
      </c>
      <c r="C122" s="79" t="str">
        <f>VLOOKUP(B122,'Item List'!B:AH,2,FALSE)</f>
        <v>None</v>
      </c>
      <c r="D122" s="79"/>
      <c r="E122" s="588">
        <f>VLOOKUP(B122,'Item List'!B:AM,34,FALSE)</f>
        <v>0</v>
      </c>
      <c r="F122" s="608">
        <f>VLOOKUP(B122,'Item List'!B:AH,4,FALSE)</f>
        <v>0</v>
      </c>
      <c r="G122" s="569">
        <f t="shared" si="5"/>
        <v>0</v>
      </c>
      <c r="H122" s="606"/>
      <c r="I122" s="607">
        <f>ROUNDUP((E122*'Project Materials'!$H$18),0)</f>
        <v>0</v>
      </c>
      <c r="J122" s="572">
        <f t="shared" si="6"/>
        <v>0</v>
      </c>
    </row>
    <row r="123" spans="1:10" x14ac:dyDescent="0.4">
      <c r="A123" s="672" t="s">
        <v>449</v>
      </c>
      <c r="B123" s="598" t="str">
        <f>VLOOKUP('Area B'!B32,'Item List'!B:AL,13,FALSE)</f>
        <v>None</v>
      </c>
      <c r="C123" s="598" t="str">
        <f>VLOOKUP(B123,'Item List'!B:AH,2,FALSE)</f>
        <v>None</v>
      </c>
      <c r="D123" s="598"/>
      <c r="E123" s="611">
        <f>VLOOKUP(B123,'Item List'!B:AM,34,FALSE)</f>
        <v>0</v>
      </c>
      <c r="F123" s="612">
        <f>VLOOKUP(B123,'Item List'!B:AH,4,FALSE)</f>
        <v>0</v>
      </c>
      <c r="G123" s="613">
        <f t="shared" si="5"/>
        <v>0</v>
      </c>
      <c r="H123" s="614"/>
      <c r="I123" s="615">
        <f>ROUNDUP((E123*'Project Materials'!$H$18),0)</f>
        <v>0</v>
      </c>
      <c r="J123" s="616">
        <f t="shared" si="6"/>
        <v>0</v>
      </c>
    </row>
    <row r="124" spans="1:10" x14ac:dyDescent="0.4">
      <c r="A124" s="667" t="s">
        <v>450</v>
      </c>
      <c r="B124" s="79" t="str">
        <f>VLOOKUP('Area B'!B33,'Item List'!B:AL,13,FALSE)</f>
        <v>None</v>
      </c>
      <c r="C124" s="79" t="str">
        <f>VLOOKUP(B124,'Item List'!B:AH,2,FALSE)</f>
        <v>None</v>
      </c>
      <c r="D124" s="79"/>
      <c r="E124" s="588">
        <f>VLOOKUP(B124,'Item List'!B:AM,34,FALSE)</f>
        <v>0</v>
      </c>
      <c r="F124" s="608">
        <f>VLOOKUP(B124,'Item List'!B:AH,4,FALSE)</f>
        <v>0</v>
      </c>
      <c r="G124" s="569">
        <f t="shared" si="5"/>
        <v>0</v>
      </c>
      <c r="H124" s="606"/>
      <c r="I124" s="607">
        <f>ROUNDUP((E124*'Project Materials'!$H$18),0)</f>
        <v>0</v>
      </c>
      <c r="J124" s="572">
        <f t="shared" si="6"/>
        <v>0</v>
      </c>
    </row>
    <row r="125" spans="1:10" x14ac:dyDescent="0.4">
      <c r="A125" s="672" t="s">
        <v>450</v>
      </c>
      <c r="B125" s="598" t="str">
        <f>VLOOKUP('Area B'!B34,'Item List'!B:AL,13,FALSE)</f>
        <v>None</v>
      </c>
      <c r="C125" s="598" t="str">
        <f>VLOOKUP(B125,'Item List'!B:AH,2,FALSE)</f>
        <v>None</v>
      </c>
      <c r="D125" s="598"/>
      <c r="E125" s="611">
        <f>VLOOKUP(B125,'Item List'!B:AM,34,FALSE)</f>
        <v>0</v>
      </c>
      <c r="F125" s="612">
        <f>VLOOKUP(B125,'Item List'!B:AH,4,FALSE)</f>
        <v>0</v>
      </c>
      <c r="G125" s="613">
        <f t="shared" si="5"/>
        <v>0</v>
      </c>
      <c r="H125" s="614"/>
      <c r="I125" s="615">
        <f>ROUNDUP((E125*'Project Materials'!$H$18),0)</f>
        <v>0</v>
      </c>
      <c r="J125" s="616">
        <f t="shared" si="6"/>
        <v>0</v>
      </c>
    </row>
    <row r="126" spans="1:10" x14ac:dyDescent="0.4">
      <c r="A126" s="667" t="s">
        <v>451</v>
      </c>
      <c r="B126" s="79" t="str">
        <f>VLOOKUP('Area B'!B35,'Item List'!B:AL,13,FALSE)</f>
        <v>None</v>
      </c>
      <c r="C126" s="79" t="str">
        <f>VLOOKUP(B126,'Item List'!B:AH,2,FALSE)</f>
        <v>None</v>
      </c>
      <c r="D126" s="79"/>
      <c r="E126" s="588">
        <f>VLOOKUP(B126,'Item List'!B:AM,34,FALSE)</f>
        <v>0</v>
      </c>
      <c r="F126" s="608">
        <f>VLOOKUP(B126,'Item List'!B:AH,4,FALSE)</f>
        <v>0</v>
      </c>
      <c r="G126" s="569">
        <f t="shared" si="5"/>
        <v>0</v>
      </c>
      <c r="H126" s="606"/>
      <c r="I126" s="607">
        <f>ROUNDUP((E126*'Project Materials'!$H$18),0)</f>
        <v>0</v>
      </c>
      <c r="J126" s="572">
        <f t="shared" si="6"/>
        <v>0</v>
      </c>
    </row>
    <row r="127" spans="1:10" x14ac:dyDescent="0.4">
      <c r="A127" s="672" t="s">
        <v>451</v>
      </c>
      <c r="B127" s="598" t="str">
        <f>VLOOKUP('Area B'!B36,'Item List'!B:AL,13,FALSE)</f>
        <v>None</v>
      </c>
      <c r="C127" s="598" t="str">
        <f>VLOOKUP(B127,'Item List'!B:AH,2,FALSE)</f>
        <v>None</v>
      </c>
      <c r="D127" s="598"/>
      <c r="E127" s="611">
        <f>VLOOKUP(B127,'Item List'!B:AM,34,FALSE)</f>
        <v>0</v>
      </c>
      <c r="F127" s="612">
        <f>VLOOKUP(B127,'Item List'!B:AH,4,FALSE)</f>
        <v>0</v>
      </c>
      <c r="G127" s="613">
        <f t="shared" si="5"/>
        <v>0</v>
      </c>
      <c r="H127" s="614"/>
      <c r="I127" s="615">
        <f>ROUNDUP((E127*'Project Materials'!$H$18),0)</f>
        <v>0</v>
      </c>
      <c r="J127" s="616">
        <f t="shared" si="6"/>
        <v>0</v>
      </c>
    </row>
    <row r="128" spans="1:10" x14ac:dyDescent="0.4">
      <c r="A128" s="667" t="s">
        <v>363</v>
      </c>
      <c r="B128" s="79" t="str">
        <f>VLOOKUP('Area B'!B40,'Item List'!B:AL,13,FALSE)</f>
        <v>None</v>
      </c>
      <c r="C128" s="79" t="str">
        <f>VLOOKUP(B128,'Item List'!B:AH,2,FALSE)</f>
        <v>None</v>
      </c>
      <c r="D128" s="79"/>
      <c r="E128" s="588">
        <f>E40*VLOOKUP(B128,'Item List'!B:AM,38,FALSE)</f>
        <v>0</v>
      </c>
      <c r="F128" s="608">
        <f>VLOOKUP(B128,'Item List'!B:AH,4,FALSE)</f>
        <v>0</v>
      </c>
      <c r="G128" s="569">
        <f t="shared" si="5"/>
        <v>0</v>
      </c>
      <c r="H128" s="606"/>
      <c r="I128" s="607">
        <f>ROUNDUP((E128*'Project Materials'!$H$18),0)</f>
        <v>0</v>
      </c>
      <c r="J128" s="572">
        <f t="shared" si="6"/>
        <v>0</v>
      </c>
    </row>
    <row r="129" spans="1:10" x14ac:dyDescent="0.4">
      <c r="A129" s="672" t="s">
        <v>363</v>
      </c>
      <c r="B129" s="598" t="str">
        <f>VLOOKUP('Area B'!B41,'Item List'!B:AL,13,FALSE)</f>
        <v>None</v>
      </c>
      <c r="C129" s="598" t="str">
        <f>VLOOKUP(B129,'Item List'!B:AH,2,FALSE)</f>
        <v>None</v>
      </c>
      <c r="D129" s="598"/>
      <c r="E129" s="611">
        <f>E41*VLOOKUP(B129,'Item List'!B:AM,38,FALSE)</f>
        <v>0</v>
      </c>
      <c r="F129" s="612">
        <f>VLOOKUP(B129,'Item List'!B:AH,4,FALSE)</f>
        <v>0</v>
      </c>
      <c r="G129" s="613">
        <f t="shared" si="5"/>
        <v>0</v>
      </c>
      <c r="H129" s="614"/>
      <c r="I129" s="615">
        <f>ROUNDUP((E129*'Project Materials'!$H$18),0)</f>
        <v>0</v>
      </c>
      <c r="J129" s="616">
        <f t="shared" si="6"/>
        <v>0</v>
      </c>
    </row>
    <row r="130" spans="1:10" x14ac:dyDescent="0.4">
      <c r="A130" s="667" t="s">
        <v>7</v>
      </c>
      <c r="B130" s="79" t="str">
        <f>VLOOKUP('Area B'!B47,'Item List'!B:AL,13,FALSE)</f>
        <v>None</v>
      </c>
      <c r="C130" s="79" t="str">
        <f>VLOOKUP(B130,'Item List'!B:AH,2,FALSE)</f>
        <v>None</v>
      </c>
      <c r="D130" s="79"/>
      <c r="E130" s="588">
        <f>VLOOKUP(B130,'Item List'!B:AM,34,FALSE)</f>
        <v>0</v>
      </c>
      <c r="F130" s="608">
        <f>VLOOKUP(B130,'Item List'!B:AH,4,FALSE)</f>
        <v>0</v>
      </c>
      <c r="G130" s="569">
        <f t="shared" si="5"/>
        <v>0</v>
      </c>
      <c r="H130" s="606"/>
      <c r="I130" s="607">
        <f>ROUNDUP((E130*'Project Materials'!$H$18),0)</f>
        <v>0</v>
      </c>
      <c r="J130" s="572">
        <f t="shared" si="6"/>
        <v>0</v>
      </c>
    </row>
    <row r="131" spans="1:10" x14ac:dyDescent="0.4">
      <c r="A131" s="667" t="s">
        <v>7</v>
      </c>
      <c r="B131" s="79" t="str">
        <f>VLOOKUP('Area B'!B47,'Item List'!B:AL,18,FALSE)</f>
        <v>None</v>
      </c>
      <c r="C131" s="79" t="str">
        <f>VLOOKUP(B131,'Item List'!B:AH,2,FALSE)</f>
        <v>None</v>
      </c>
      <c r="D131" s="79"/>
      <c r="E131" s="588">
        <f>VLOOKUP(B131,'Item List'!B:AM,34,FALSE)</f>
        <v>0</v>
      </c>
      <c r="F131" s="608">
        <f>VLOOKUP(B131,'Item List'!B:AH,4,FALSE)</f>
        <v>0</v>
      </c>
      <c r="G131" s="569">
        <f t="shared" si="5"/>
        <v>0</v>
      </c>
      <c r="H131" s="606"/>
      <c r="I131" s="607">
        <f>ROUNDUP((E131*'Project Materials'!$H$18),0)</f>
        <v>0</v>
      </c>
      <c r="J131" s="572">
        <f t="shared" si="6"/>
        <v>0</v>
      </c>
    </row>
    <row r="132" spans="1:10" x14ac:dyDescent="0.4">
      <c r="A132" s="667" t="s">
        <v>7</v>
      </c>
      <c r="B132" s="79" t="str">
        <f>VLOOKUP('Area B'!B48,'Item List'!B:AL,13,FALSE)</f>
        <v>None</v>
      </c>
      <c r="C132" s="79" t="str">
        <f>VLOOKUP(B132,'Item List'!B:AH,2,FALSE)</f>
        <v>None</v>
      </c>
      <c r="D132" s="79"/>
      <c r="E132" s="588">
        <f>VLOOKUP(B132,'Item List'!B:AM,34,FALSE)</f>
        <v>0</v>
      </c>
      <c r="F132" s="608">
        <f>VLOOKUP(B132,'Item List'!B:AH,4,FALSE)</f>
        <v>0</v>
      </c>
      <c r="G132" s="569">
        <f t="shared" ref="G132:G143" si="7">F132*E132</f>
        <v>0</v>
      </c>
      <c r="H132" s="606"/>
      <c r="I132" s="607">
        <f>ROUNDUP((E132*'Project Materials'!$H$18),0)</f>
        <v>0</v>
      </c>
      <c r="J132" s="572">
        <f t="shared" ref="J132:J143" si="8">G132+(I132*F132)</f>
        <v>0</v>
      </c>
    </row>
    <row r="133" spans="1:10" x14ac:dyDescent="0.4">
      <c r="A133" s="667" t="s">
        <v>7</v>
      </c>
      <c r="B133" s="79" t="str">
        <f>VLOOKUP('Area B'!B48,'Item List'!B:AL,18,FALSE)</f>
        <v>None</v>
      </c>
      <c r="C133" s="79" t="str">
        <f>VLOOKUP(B133,'Item List'!B:AH,2,FALSE)</f>
        <v>None</v>
      </c>
      <c r="D133" s="79"/>
      <c r="E133" s="588">
        <f>VLOOKUP(B134,'Item List'!B:AM,34,FALSE)</f>
        <v>0</v>
      </c>
      <c r="F133" s="608">
        <f>VLOOKUP(B133,'Item List'!B:AH,4,FALSE)</f>
        <v>0</v>
      </c>
      <c r="G133" s="569">
        <f t="shared" si="7"/>
        <v>0</v>
      </c>
      <c r="H133" s="606"/>
      <c r="I133" s="607">
        <f>ROUNDUP((E133*'Project Materials'!$H$18),0)</f>
        <v>0</v>
      </c>
      <c r="J133" s="572">
        <f t="shared" si="8"/>
        <v>0</v>
      </c>
    </row>
    <row r="134" spans="1:10" x14ac:dyDescent="0.4">
      <c r="A134" s="667" t="s">
        <v>7</v>
      </c>
      <c r="B134" s="79" t="str">
        <f>VLOOKUP('Area B'!B49,'Item List'!B:AL,13,FALSE)</f>
        <v>None</v>
      </c>
      <c r="C134" s="79" t="str">
        <f>VLOOKUP(B134,'Item List'!B:AH,2,FALSE)</f>
        <v>None</v>
      </c>
      <c r="D134" s="79"/>
      <c r="E134" s="588">
        <f>VLOOKUP(B134,'Item List'!B:AM,34,FALSE)</f>
        <v>0</v>
      </c>
      <c r="F134" s="608">
        <f>VLOOKUP(B134,'Item List'!B:AH,4,FALSE)</f>
        <v>0</v>
      </c>
      <c r="G134" s="569">
        <f t="shared" si="7"/>
        <v>0</v>
      </c>
      <c r="H134" s="606"/>
      <c r="I134" s="607">
        <f>ROUNDUP((E134*'Project Materials'!$H$18),0)</f>
        <v>0</v>
      </c>
      <c r="J134" s="572">
        <f t="shared" si="8"/>
        <v>0</v>
      </c>
    </row>
    <row r="135" spans="1:10" x14ac:dyDescent="0.4">
      <c r="A135" s="667" t="s">
        <v>7</v>
      </c>
      <c r="B135" s="79" t="str">
        <f>VLOOKUP('Area B'!B49,'Item List'!B:AL,18,FALSE)</f>
        <v>None</v>
      </c>
      <c r="C135" s="79" t="str">
        <f>VLOOKUP(B135,'Item List'!B:AH,2,FALSE)</f>
        <v>None</v>
      </c>
      <c r="D135" s="79"/>
      <c r="E135" s="588">
        <f>VLOOKUP(B135,'Item List'!B:AM,34,FALSE)</f>
        <v>0</v>
      </c>
      <c r="F135" s="608">
        <f>VLOOKUP(B135,'Item List'!B:AH,4,FALSE)</f>
        <v>0</v>
      </c>
      <c r="G135" s="569">
        <f t="shared" si="7"/>
        <v>0</v>
      </c>
      <c r="H135" s="606"/>
      <c r="I135" s="607">
        <f>ROUNDUP((E135*'Project Materials'!$H$18),0)</f>
        <v>0</v>
      </c>
      <c r="J135" s="572">
        <f t="shared" si="8"/>
        <v>0</v>
      </c>
    </row>
    <row r="136" spans="1:10" x14ac:dyDescent="0.4">
      <c r="A136" s="667" t="s">
        <v>7</v>
      </c>
      <c r="B136" s="79" t="str">
        <f>VLOOKUP('Area B'!B50,'Item List'!B:AL,13,FALSE)</f>
        <v>None</v>
      </c>
      <c r="C136" s="79" t="str">
        <f>VLOOKUP(B136,'Item List'!B:AH,2,FALSE)</f>
        <v>None</v>
      </c>
      <c r="D136" s="79"/>
      <c r="E136" s="588">
        <f>VLOOKUP(B136,'Item List'!B:AM,34,FALSE)</f>
        <v>0</v>
      </c>
      <c r="F136" s="608">
        <f>VLOOKUP(B136,'Item List'!B:AH,4,FALSE)</f>
        <v>0</v>
      </c>
      <c r="G136" s="569">
        <f t="shared" si="7"/>
        <v>0</v>
      </c>
      <c r="H136" s="606"/>
      <c r="I136" s="607">
        <f>ROUNDUP((E136*'Project Materials'!$H$18),0)</f>
        <v>0</v>
      </c>
      <c r="J136" s="572">
        <f t="shared" si="8"/>
        <v>0</v>
      </c>
    </row>
    <row r="137" spans="1:10" x14ac:dyDescent="0.4">
      <c r="A137" s="667" t="s">
        <v>7</v>
      </c>
      <c r="B137" s="79" t="str">
        <f>VLOOKUP('Area B'!B50,'Item List'!B:AL,18,FALSE)</f>
        <v>None</v>
      </c>
      <c r="C137" s="79" t="str">
        <f>VLOOKUP(B137,'Item List'!B:AH,2,FALSE)</f>
        <v>None</v>
      </c>
      <c r="D137" s="79"/>
      <c r="E137" s="588">
        <f>VLOOKUP(B137,'Item List'!B:AM,34,FALSE)</f>
        <v>0</v>
      </c>
      <c r="F137" s="608">
        <f>VLOOKUP(B137,'Item List'!B:AH,4,FALSE)</f>
        <v>0</v>
      </c>
      <c r="G137" s="569">
        <f t="shared" si="7"/>
        <v>0</v>
      </c>
      <c r="H137" s="606"/>
      <c r="I137" s="607">
        <f>ROUNDUP((E137*'Project Materials'!$H$18),0)</f>
        <v>0</v>
      </c>
      <c r="J137" s="572">
        <f t="shared" si="8"/>
        <v>0</v>
      </c>
    </row>
    <row r="138" spans="1:10" x14ac:dyDescent="0.4">
      <c r="A138" s="667" t="s">
        <v>7</v>
      </c>
      <c r="B138" s="79" t="str">
        <f>VLOOKUP('Area B'!B52,'Item List'!B:AL,13,FALSE)</f>
        <v>None</v>
      </c>
      <c r="C138" s="79" t="str">
        <f>VLOOKUP(B138,'Item List'!B:AH,2,FALSE)</f>
        <v>None</v>
      </c>
      <c r="D138" s="79"/>
      <c r="E138" s="588">
        <f>VLOOKUP(B138,'Item List'!B:AM,34,FALSE)</f>
        <v>0</v>
      </c>
      <c r="F138" s="608">
        <f>VLOOKUP(B138,'Item List'!B:AH,4,FALSE)</f>
        <v>0</v>
      </c>
      <c r="G138" s="569">
        <f t="shared" si="7"/>
        <v>0</v>
      </c>
      <c r="H138" s="606"/>
      <c r="I138" s="607">
        <f>ROUNDUP((E138*'Project Materials'!$H$18),0)</f>
        <v>0</v>
      </c>
      <c r="J138" s="572">
        <f t="shared" si="8"/>
        <v>0</v>
      </c>
    </row>
    <row r="139" spans="1:10" x14ac:dyDescent="0.4">
      <c r="A139" s="667" t="s">
        <v>7</v>
      </c>
      <c r="B139" s="79" t="str">
        <f>VLOOKUP('Area B'!B52,'Item List'!B:AL,18,FALSE)</f>
        <v>None</v>
      </c>
      <c r="C139" s="79" t="str">
        <f>VLOOKUP(B139,'Item List'!B:AH,2,FALSE)</f>
        <v>None</v>
      </c>
      <c r="D139" s="79"/>
      <c r="E139" s="588">
        <f>VLOOKUP(B139,'Item List'!B:AM,34,FALSE)</f>
        <v>0</v>
      </c>
      <c r="F139" s="608">
        <f>VLOOKUP(B139,'Item List'!B:AH,4,FALSE)</f>
        <v>0</v>
      </c>
      <c r="G139" s="569">
        <f t="shared" si="7"/>
        <v>0</v>
      </c>
      <c r="H139" s="606"/>
      <c r="I139" s="607">
        <f>ROUNDUP((E139*'Project Materials'!$H$18),0)</f>
        <v>0</v>
      </c>
      <c r="J139" s="572">
        <f t="shared" si="8"/>
        <v>0</v>
      </c>
    </row>
    <row r="140" spans="1:10" x14ac:dyDescent="0.4">
      <c r="A140" s="667" t="s">
        <v>7</v>
      </c>
      <c r="B140" s="79" t="str">
        <f>VLOOKUP('Area B'!B53,'Item List'!B:AL,13,FALSE)</f>
        <v>None</v>
      </c>
      <c r="C140" s="79" t="str">
        <f>VLOOKUP(B140,'Item List'!B:AH,2,FALSE)</f>
        <v>None</v>
      </c>
      <c r="D140" s="79"/>
      <c r="E140" s="588">
        <f>VLOOKUP(B140,'Item List'!B:AM,34,FALSE)</f>
        <v>0</v>
      </c>
      <c r="F140" s="608">
        <f>VLOOKUP(B140,'Item List'!B:AH,4,FALSE)</f>
        <v>0</v>
      </c>
      <c r="G140" s="569">
        <f t="shared" si="7"/>
        <v>0</v>
      </c>
      <c r="H140" s="606"/>
      <c r="I140" s="607">
        <f>ROUNDUP((E140*'Project Materials'!$H$18),0)</f>
        <v>0</v>
      </c>
      <c r="J140" s="572">
        <f t="shared" si="8"/>
        <v>0</v>
      </c>
    </row>
    <row r="141" spans="1:10" x14ac:dyDescent="0.4">
      <c r="A141" s="667" t="s">
        <v>7</v>
      </c>
      <c r="B141" s="79" t="str">
        <f>VLOOKUP('Area B'!B53,'Item List'!B:AL,18,FALSE)</f>
        <v>None</v>
      </c>
      <c r="C141" s="79" t="str">
        <f>VLOOKUP(B141,'Item List'!B:AH,2,FALSE)</f>
        <v>None</v>
      </c>
      <c r="D141" s="79"/>
      <c r="E141" s="588">
        <f>VLOOKUP(B141,'Item List'!B:AM,34,FALSE)</f>
        <v>0</v>
      </c>
      <c r="F141" s="608">
        <f>VLOOKUP(B141,'Item List'!B:AH,4,FALSE)</f>
        <v>0</v>
      </c>
      <c r="G141" s="569">
        <f t="shared" si="7"/>
        <v>0</v>
      </c>
      <c r="H141" s="606"/>
      <c r="I141" s="607">
        <f>ROUNDUP((E141*'Project Materials'!$H$18),0)</f>
        <v>0</v>
      </c>
      <c r="J141" s="572">
        <f t="shared" si="8"/>
        <v>0</v>
      </c>
    </row>
    <row r="142" spans="1:10" x14ac:dyDescent="0.4">
      <c r="A142" s="667" t="s">
        <v>7</v>
      </c>
      <c r="B142" s="79" t="str">
        <f>VLOOKUP('Area B'!B54,'Item List'!B:AL,13,FALSE)</f>
        <v>None</v>
      </c>
      <c r="C142" s="79" t="str">
        <f>VLOOKUP(B142,'Item List'!B:AH,2,FALSE)</f>
        <v>None</v>
      </c>
      <c r="D142" s="79"/>
      <c r="E142" s="588">
        <f>VLOOKUP(B142,'Item List'!B:AM,34,FALSE)</f>
        <v>0</v>
      </c>
      <c r="F142" s="608">
        <f>VLOOKUP(B142,'Item List'!B:AH,4,FALSE)</f>
        <v>0</v>
      </c>
      <c r="G142" s="569">
        <f t="shared" si="7"/>
        <v>0</v>
      </c>
      <c r="H142" s="606"/>
      <c r="I142" s="607">
        <f>ROUNDUP((E142*'Project Materials'!$H$18),0)</f>
        <v>0</v>
      </c>
      <c r="J142" s="572">
        <f t="shared" si="8"/>
        <v>0</v>
      </c>
    </row>
    <row r="143" spans="1:10" x14ac:dyDescent="0.4">
      <c r="A143" s="667" t="s">
        <v>7</v>
      </c>
      <c r="B143" s="79" t="str">
        <f>VLOOKUP('Area B'!B54,'Item List'!B:AL,18,FALSE)</f>
        <v>None</v>
      </c>
      <c r="C143" s="79" t="str">
        <f>VLOOKUP(B143,'Item List'!B:AH,2,FALSE)</f>
        <v>None</v>
      </c>
      <c r="D143" s="79"/>
      <c r="E143" s="588">
        <f>VLOOKUP(B143,'Item List'!B:AM,34,FALSE)</f>
        <v>0</v>
      </c>
      <c r="F143" s="608">
        <f>VLOOKUP(B143,'Item List'!B:AH,4,FALSE)</f>
        <v>0</v>
      </c>
      <c r="G143" s="569">
        <f t="shared" si="7"/>
        <v>0</v>
      </c>
      <c r="H143" s="606"/>
      <c r="I143" s="607">
        <f>ROUNDUP((E143*'Project Materials'!$H$18),0)</f>
        <v>0</v>
      </c>
      <c r="J143" s="572">
        <f t="shared" si="8"/>
        <v>0</v>
      </c>
    </row>
    <row r="144" spans="1:10" x14ac:dyDescent="0.4">
      <c r="A144" s="667" t="s">
        <v>429</v>
      </c>
      <c r="B144" s="79" t="str">
        <f>VLOOKUP('Area B'!B199,'Item List'!B:AJ,13,FALSE)</f>
        <v>None</v>
      </c>
      <c r="C144" s="79" t="str">
        <f>VLOOKUP(B144,'Item List'!B:AH,2,FALSE)</f>
        <v>None</v>
      </c>
      <c r="D144" s="79"/>
      <c r="E144" s="588">
        <f>VLOOKUP(B144,'Item List'!B:AM,34,FALSE)</f>
        <v>0</v>
      </c>
      <c r="F144" s="608">
        <f>VLOOKUP(B144,'Item List'!B:AH,4,FALSE)</f>
        <v>0</v>
      </c>
      <c r="G144" s="569">
        <f>F144*E144</f>
        <v>0</v>
      </c>
      <c r="H144" s="606"/>
      <c r="I144" s="607">
        <f>ROUNDUP((E144*'Project Materials'!$H$18),0)</f>
        <v>0</v>
      </c>
      <c r="J144" s="572">
        <f t="shared" ref="J144:J178" si="9">G144+(I144*F144)</f>
        <v>0</v>
      </c>
    </row>
    <row r="145" spans="1:10" x14ac:dyDescent="0.4">
      <c r="A145" s="667" t="s">
        <v>429</v>
      </c>
      <c r="B145" s="79" t="str">
        <f>VLOOKUP('Area B'!B200,'Item List'!B:AJ,13,FALSE)</f>
        <v>None</v>
      </c>
      <c r="C145" s="79" t="str">
        <f>VLOOKUP(B145,'Item List'!B:AH,2,FALSE)</f>
        <v>None</v>
      </c>
      <c r="D145" s="79"/>
      <c r="E145" s="588">
        <f>VLOOKUP(B145,'Item List'!B:AM,34,FALSE)</f>
        <v>0</v>
      </c>
      <c r="F145" s="608">
        <f>VLOOKUP(B145,'Item List'!B:AH,4,FALSE)</f>
        <v>0</v>
      </c>
      <c r="G145" s="569">
        <f>F145*E145</f>
        <v>0</v>
      </c>
      <c r="H145" s="606"/>
      <c r="I145" s="607">
        <f>ROUNDUP((E145*'Project Materials'!$H$18),0)</f>
        <v>0</v>
      </c>
      <c r="J145" s="572">
        <f t="shared" si="9"/>
        <v>0</v>
      </c>
    </row>
    <row r="146" spans="1:10" x14ac:dyDescent="0.4">
      <c r="A146" s="667" t="s">
        <v>429</v>
      </c>
      <c r="B146" s="79" t="str">
        <f>VLOOKUP('Area B'!B201,'Item List'!B:AJ,13,FALSE)</f>
        <v>None</v>
      </c>
      <c r="C146" s="79" t="str">
        <f>VLOOKUP(B146,'Item List'!B:AH,2,FALSE)</f>
        <v>None</v>
      </c>
      <c r="D146" s="79"/>
      <c r="E146" s="588">
        <f>VLOOKUP(B146,'Item List'!B:AM,34,FALSE)</f>
        <v>0</v>
      </c>
      <c r="F146" s="608">
        <f>VLOOKUP(B146,'Item List'!B:AH,4,FALSE)</f>
        <v>0</v>
      </c>
      <c r="G146" s="569">
        <f t="shared" ref="G146:G195" si="10">F146*E146</f>
        <v>0</v>
      </c>
      <c r="H146" s="606"/>
      <c r="I146" s="607">
        <f>ROUNDUP((E146*'Project Materials'!$H$18),0)</f>
        <v>0</v>
      </c>
      <c r="J146" s="572">
        <f t="shared" si="9"/>
        <v>0</v>
      </c>
    </row>
    <row r="147" spans="1:10" x14ac:dyDescent="0.4">
      <c r="A147" s="667" t="s">
        <v>429</v>
      </c>
      <c r="B147" s="79" t="str">
        <f>VLOOKUP('Area B'!B202,'Item List'!B:AJ,13,FALSE)</f>
        <v>None</v>
      </c>
      <c r="C147" s="79" t="str">
        <f>VLOOKUP(B147,'Item List'!B:AH,2,FALSE)</f>
        <v>None</v>
      </c>
      <c r="D147" s="79"/>
      <c r="E147" s="588">
        <f>VLOOKUP(B147,'Item List'!B:AM,34,FALSE)</f>
        <v>0</v>
      </c>
      <c r="F147" s="608">
        <f>VLOOKUP(B147,'Item List'!B:AH,4,FALSE)</f>
        <v>0</v>
      </c>
      <c r="G147" s="569">
        <f t="shared" si="10"/>
        <v>0</v>
      </c>
      <c r="H147" s="606"/>
      <c r="I147" s="607">
        <f>ROUNDUP((E147*'Project Materials'!$H$18),0)</f>
        <v>0</v>
      </c>
      <c r="J147" s="572">
        <f t="shared" si="9"/>
        <v>0</v>
      </c>
    </row>
    <row r="148" spans="1:10" x14ac:dyDescent="0.4">
      <c r="A148" s="667" t="s">
        <v>429</v>
      </c>
      <c r="B148" s="79" t="str">
        <f>VLOOKUP('Area B'!B203,'Item List'!B:AJ,13,FALSE)</f>
        <v>None</v>
      </c>
      <c r="C148" s="79" t="str">
        <f>VLOOKUP(B148,'Item List'!B:AH,2,FALSE)</f>
        <v>None</v>
      </c>
      <c r="D148" s="79"/>
      <c r="E148" s="588">
        <f>VLOOKUP(B148,'Item List'!B:AM,34,FALSE)</f>
        <v>0</v>
      </c>
      <c r="F148" s="608">
        <f>VLOOKUP(B148,'Item List'!B:AH,4,FALSE)</f>
        <v>0</v>
      </c>
      <c r="G148" s="569">
        <f t="shared" si="10"/>
        <v>0</v>
      </c>
      <c r="H148" s="606"/>
      <c r="I148" s="607">
        <f>ROUNDUP((E148*'Project Materials'!$H$18),0)</f>
        <v>0</v>
      </c>
      <c r="J148" s="572">
        <f t="shared" si="9"/>
        <v>0</v>
      </c>
    </row>
    <row r="149" spans="1:10" x14ac:dyDescent="0.4">
      <c r="A149" s="667" t="s">
        <v>429</v>
      </c>
      <c r="B149" s="79" t="str">
        <f>VLOOKUP('Area B'!B204,'Item List'!B:AJ,13,FALSE)</f>
        <v>None</v>
      </c>
      <c r="C149" s="79" t="str">
        <f>VLOOKUP(B149,'Item List'!B:AH,2,FALSE)</f>
        <v>None</v>
      </c>
      <c r="D149" s="79"/>
      <c r="E149" s="588">
        <f>VLOOKUP(B149,'Item List'!B:AM,34,FALSE)</f>
        <v>0</v>
      </c>
      <c r="F149" s="608">
        <f>VLOOKUP(B149,'Item List'!B:AH,4,FALSE)</f>
        <v>0</v>
      </c>
      <c r="G149" s="569">
        <f t="shared" si="10"/>
        <v>0</v>
      </c>
      <c r="H149" s="606"/>
      <c r="I149" s="607">
        <f>ROUNDUP((E149*'Project Materials'!$H$18),0)</f>
        <v>0</v>
      </c>
      <c r="J149" s="572">
        <f t="shared" si="9"/>
        <v>0</v>
      </c>
    </row>
    <row r="150" spans="1:10" x14ac:dyDescent="0.4">
      <c r="A150" s="667" t="s">
        <v>429</v>
      </c>
      <c r="B150" s="79" t="str">
        <f>VLOOKUP('Area B'!B205,'Item List'!B:AJ,13,FALSE)</f>
        <v>None</v>
      </c>
      <c r="C150" s="79" t="str">
        <f>VLOOKUP(B150,'Item List'!B:AH,2,FALSE)</f>
        <v>None</v>
      </c>
      <c r="D150" s="79"/>
      <c r="E150" s="588">
        <f>VLOOKUP(B150,'Item List'!B:AM,34,FALSE)</f>
        <v>0</v>
      </c>
      <c r="F150" s="608">
        <f>VLOOKUP(B150,'Item List'!B:AH,4,FALSE)</f>
        <v>0</v>
      </c>
      <c r="G150" s="569">
        <f t="shared" si="10"/>
        <v>0</v>
      </c>
      <c r="H150" s="606"/>
      <c r="I150" s="607">
        <f>ROUNDUP((E150*'Project Materials'!$H$18),0)</f>
        <v>0</v>
      </c>
      <c r="J150" s="572">
        <f t="shared" si="9"/>
        <v>0</v>
      </c>
    </row>
    <row r="151" spans="1:10" x14ac:dyDescent="0.4">
      <c r="A151" s="667" t="s">
        <v>429</v>
      </c>
      <c r="B151" s="79" t="str">
        <f>VLOOKUP('Area B'!B206,'Item List'!B:AJ,13,FALSE)</f>
        <v>None</v>
      </c>
      <c r="C151" s="79" t="str">
        <f>VLOOKUP(B151,'Item List'!B:AH,2,FALSE)</f>
        <v>None</v>
      </c>
      <c r="D151" s="79"/>
      <c r="E151" s="588">
        <f>VLOOKUP(B151,'Item List'!B:AM,34,FALSE)</f>
        <v>0</v>
      </c>
      <c r="F151" s="608">
        <f>VLOOKUP(B151,'Item List'!B:AH,4,FALSE)</f>
        <v>0</v>
      </c>
      <c r="G151" s="569">
        <f t="shared" si="10"/>
        <v>0</v>
      </c>
      <c r="H151" s="606"/>
      <c r="I151" s="607">
        <f>ROUNDUP((E151*'Project Materials'!$H$18),0)</f>
        <v>0</v>
      </c>
      <c r="J151" s="572">
        <f t="shared" si="9"/>
        <v>0</v>
      </c>
    </row>
    <row r="152" spans="1:10" x14ac:dyDescent="0.4">
      <c r="A152" s="667" t="s">
        <v>429</v>
      </c>
      <c r="B152" s="79" t="str">
        <f>VLOOKUP('Area B'!B207,'Item List'!B:AJ,13,FALSE)</f>
        <v>None</v>
      </c>
      <c r="C152" s="79" t="str">
        <f>VLOOKUP(B152,'Item List'!B:AH,2,FALSE)</f>
        <v>None</v>
      </c>
      <c r="D152" s="79"/>
      <c r="E152" s="588">
        <f>VLOOKUP(B152,'Item List'!B:AM,34,FALSE)</f>
        <v>0</v>
      </c>
      <c r="F152" s="608">
        <f>VLOOKUP(B152,'Item List'!B:AH,4,FALSE)</f>
        <v>0</v>
      </c>
      <c r="G152" s="569">
        <f t="shared" si="10"/>
        <v>0</v>
      </c>
      <c r="H152" s="606"/>
      <c r="I152" s="607">
        <f>ROUNDUP((E152*'Project Materials'!$H$18),0)</f>
        <v>0</v>
      </c>
      <c r="J152" s="572">
        <f t="shared" si="9"/>
        <v>0</v>
      </c>
    </row>
    <row r="153" spans="1:10" x14ac:dyDescent="0.4">
      <c r="A153" s="667" t="s">
        <v>429</v>
      </c>
      <c r="B153" s="79" t="str">
        <f>VLOOKUP('Area B'!B208,'Item List'!B:AJ,13,FALSE)</f>
        <v>None</v>
      </c>
      <c r="C153" s="79" t="str">
        <f>VLOOKUP(B153,'Item List'!B:AH,2,FALSE)</f>
        <v>None</v>
      </c>
      <c r="D153" s="79"/>
      <c r="E153" s="588">
        <f>VLOOKUP(B153,'Item List'!B:AM,34,FALSE)</f>
        <v>0</v>
      </c>
      <c r="F153" s="608">
        <f>VLOOKUP(B153,'Item List'!B:AH,4,FALSE)</f>
        <v>0</v>
      </c>
      <c r="G153" s="569">
        <f t="shared" si="10"/>
        <v>0</v>
      </c>
      <c r="H153" s="606"/>
      <c r="I153" s="607">
        <f>ROUNDUP((E153*'Project Materials'!$H$18),0)</f>
        <v>0</v>
      </c>
      <c r="J153" s="572">
        <f t="shared" si="9"/>
        <v>0</v>
      </c>
    </row>
    <row r="154" spans="1:10" x14ac:dyDescent="0.4">
      <c r="A154" s="667" t="s">
        <v>429</v>
      </c>
      <c r="B154" s="79" t="str">
        <f>VLOOKUP('Area B'!B209,'Item List'!B:AJ,13,FALSE)</f>
        <v>None</v>
      </c>
      <c r="C154" s="79" t="str">
        <f>VLOOKUP(B154,'Item List'!B:AH,2,FALSE)</f>
        <v>None</v>
      </c>
      <c r="D154" s="79"/>
      <c r="E154" s="588">
        <f>VLOOKUP(B154,'Item List'!B:AM,34,FALSE)</f>
        <v>0</v>
      </c>
      <c r="F154" s="608">
        <f>VLOOKUP(B154,'Item List'!B:AH,4,FALSE)</f>
        <v>0</v>
      </c>
      <c r="G154" s="569">
        <f t="shared" si="10"/>
        <v>0</v>
      </c>
      <c r="H154" s="606"/>
      <c r="I154" s="607">
        <f>ROUNDUP((E154*'Project Materials'!$H$18),0)</f>
        <v>0</v>
      </c>
      <c r="J154" s="572">
        <f t="shared" si="9"/>
        <v>0</v>
      </c>
    </row>
    <row r="155" spans="1:10" x14ac:dyDescent="0.4">
      <c r="A155" s="667" t="s">
        <v>429</v>
      </c>
      <c r="B155" s="79" t="str">
        <f>VLOOKUP('Area B'!B210,'Item List'!B:AJ,13,FALSE)</f>
        <v>None</v>
      </c>
      <c r="C155" s="79" t="str">
        <f>VLOOKUP(B155,'Item List'!B:AH,2,FALSE)</f>
        <v>None</v>
      </c>
      <c r="D155" s="79"/>
      <c r="E155" s="588">
        <f>VLOOKUP(B155,'Item List'!B:AM,34,FALSE)</f>
        <v>0</v>
      </c>
      <c r="F155" s="608">
        <f>VLOOKUP(B155,'Item List'!B:AH,4,FALSE)</f>
        <v>0</v>
      </c>
      <c r="G155" s="569">
        <f t="shared" si="10"/>
        <v>0</v>
      </c>
      <c r="H155" s="606"/>
      <c r="I155" s="607">
        <f>ROUNDUP((E155*'Project Materials'!$H$18),0)</f>
        <v>0</v>
      </c>
      <c r="J155" s="572">
        <f t="shared" si="9"/>
        <v>0</v>
      </c>
    </row>
    <row r="156" spans="1:10" x14ac:dyDescent="0.4">
      <c r="A156" s="667" t="s">
        <v>429</v>
      </c>
      <c r="B156" s="79" t="str">
        <f>VLOOKUP('Area B'!B211,'Item List'!B:AJ,13,FALSE)</f>
        <v>None</v>
      </c>
      <c r="C156" s="79" t="str">
        <f>VLOOKUP(B156,'Item List'!B:AH,2,FALSE)</f>
        <v>None</v>
      </c>
      <c r="D156" s="79"/>
      <c r="E156" s="588">
        <f>VLOOKUP(B156,'Item List'!B:AM,34,FALSE)</f>
        <v>0</v>
      </c>
      <c r="F156" s="608">
        <f>VLOOKUP(B156,'Item List'!B:AH,4,FALSE)</f>
        <v>0</v>
      </c>
      <c r="G156" s="569">
        <f t="shared" si="10"/>
        <v>0</v>
      </c>
      <c r="H156" s="606"/>
      <c r="I156" s="607">
        <f>ROUNDUP((E156*'Project Materials'!$H$18),0)</f>
        <v>0</v>
      </c>
      <c r="J156" s="572">
        <f t="shared" si="9"/>
        <v>0</v>
      </c>
    </row>
    <row r="157" spans="1:10" x14ac:dyDescent="0.4">
      <c r="A157" s="667" t="s">
        <v>429</v>
      </c>
      <c r="B157" s="79" t="str">
        <f>VLOOKUP('Area B'!B212,'Item List'!B:AJ,13,FALSE)</f>
        <v>None</v>
      </c>
      <c r="C157" s="79" t="str">
        <f>VLOOKUP(B157,'Item List'!B:AH,2,FALSE)</f>
        <v>None</v>
      </c>
      <c r="D157" s="79"/>
      <c r="E157" s="588">
        <f>VLOOKUP(B157,'Item List'!B:AM,34,FALSE)</f>
        <v>0</v>
      </c>
      <c r="F157" s="608">
        <f>VLOOKUP(B157,'Item List'!B:AH,4,FALSE)</f>
        <v>0</v>
      </c>
      <c r="G157" s="569">
        <f t="shared" si="10"/>
        <v>0</v>
      </c>
      <c r="H157" s="606"/>
      <c r="I157" s="607">
        <f>ROUNDUP((E157*'Project Materials'!$H$18),0)</f>
        <v>0</v>
      </c>
      <c r="J157" s="572">
        <f t="shared" si="9"/>
        <v>0</v>
      </c>
    </row>
    <row r="158" spans="1:10" x14ac:dyDescent="0.4">
      <c r="A158" s="667" t="s">
        <v>429</v>
      </c>
      <c r="B158" s="79" t="str">
        <f>VLOOKUP('Area B'!B213,'Item List'!B:AJ,13,FALSE)</f>
        <v>None</v>
      </c>
      <c r="C158" s="79" t="str">
        <f>VLOOKUP(B158,'Item List'!B:AH,2,FALSE)</f>
        <v>None</v>
      </c>
      <c r="D158" s="79"/>
      <c r="E158" s="588">
        <f>VLOOKUP(B158,'Item List'!B:AM,34,FALSE)</f>
        <v>0</v>
      </c>
      <c r="F158" s="608">
        <f>VLOOKUP(B158,'Item List'!B:AH,4,FALSE)</f>
        <v>0</v>
      </c>
      <c r="G158" s="569">
        <f t="shared" si="10"/>
        <v>0</v>
      </c>
      <c r="H158" s="606"/>
      <c r="I158" s="607">
        <f>ROUNDUP((E158*'Project Materials'!$H$18),0)</f>
        <v>0</v>
      </c>
      <c r="J158" s="572">
        <f t="shared" si="9"/>
        <v>0</v>
      </c>
    </row>
    <row r="159" spans="1:10" x14ac:dyDescent="0.4">
      <c r="A159" s="667" t="s">
        <v>429</v>
      </c>
      <c r="B159" s="79" t="str">
        <f>VLOOKUP('Area B'!B214,'Item List'!B:AJ,13,FALSE)</f>
        <v>None</v>
      </c>
      <c r="C159" s="79" t="str">
        <f>VLOOKUP(B159,'Item List'!B:AH,2,FALSE)</f>
        <v>None</v>
      </c>
      <c r="D159" s="79"/>
      <c r="E159" s="588">
        <f>VLOOKUP(B159,'Item List'!B:AM,34,FALSE)</f>
        <v>0</v>
      </c>
      <c r="F159" s="608">
        <f>VLOOKUP(B159,'Item List'!B:AH,4,FALSE)</f>
        <v>0</v>
      </c>
      <c r="G159" s="569">
        <f t="shared" si="10"/>
        <v>0</v>
      </c>
      <c r="H159" s="606"/>
      <c r="I159" s="607">
        <f>ROUNDUP((E159*'Project Materials'!$H$18),0)</f>
        <v>0</v>
      </c>
      <c r="J159" s="572">
        <f t="shared" si="9"/>
        <v>0</v>
      </c>
    </row>
    <row r="160" spans="1:10" x14ac:dyDescent="0.4">
      <c r="A160" s="667" t="s">
        <v>429</v>
      </c>
      <c r="B160" s="79" t="str">
        <f>VLOOKUP('Area B'!B215,'Item List'!B:AJ,13,FALSE)</f>
        <v>None</v>
      </c>
      <c r="C160" s="79" t="str">
        <f>VLOOKUP(B160,'Item List'!B:AH,2,FALSE)</f>
        <v>None</v>
      </c>
      <c r="D160" s="79"/>
      <c r="E160" s="588">
        <f>VLOOKUP(B160,'Item List'!B:AM,34,FALSE)</f>
        <v>0</v>
      </c>
      <c r="F160" s="608">
        <f>VLOOKUP(B160,'Item List'!B:AH,4,FALSE)</f>
        <v>0</v>
      </c>
      <c r="G160" s="569">
        <f t="shared" si="10"/>
        <v>0</v>
      </c>
      <c r="H160" s="606"/>
      <c r="I160" s="607">
        <f>ROUNDUP((E160*'Project Materials'!$H$18),0)</f>
        <v>0</v>
      </c>
      <c r="J160" s="572">
        <f t="shared" si="9"/>
        <v>0</v>
      </c>
    </row>
    <row r="161" spans="1:10" x14ac:dyDescent="0.4">
      <c r="A161" s="667" t="s">
        <v>429</v>
      </c>
      <c r="B161" s="79" t="str">
        <f>VLOOKUP('Area B'!B216,'Item List'!B:AJ,13,FALSE)</f>
        <v>None</v>
      </c>
      <c r="C161" s="79" t="str">
        <f>VLOOKUP(B161,'Item List'!B:AH,2,FALSE)</f>
        <v>None</v>
      </c>
      <c r="D161" s="79"/>
      <c r="E161" s="588">
        <f>VLOOKUP(B161,'Item List'!B:AM,34,FALSE)</f>
        <v>0</v>
      </c>
      <c r="F161" s="608">
        <f>VLOOKUP(B161,'Item List'!B:AH,4,FALSE)</f>
        <v>0</v>
      </c>
      <c r="G161" s="569">
        <f t="shared" si="10"/>
        <v>0</v>
      </c>
      <c r="H161" s="606"/>
      <c r="I161" s="607">
        <f>ROUNDUP((E161*'Project Materials'!$H$18),0)</f>
        <v>0</v>
      </c>
      <c r="J161" s="572">
        <f t="shared" si="9"/>
        <v>0</v>
      </c>
    </row>
    <row r="162" spans="1:10" x14ac:dyDescent="0.4">
      <c r="A162" s="667" t="s">
        <v>429</v>
      </c>
      <c r="B162" s="79" t="str">
        <f>VLOOKUP('Area B'!B217,'Item List'!B:AJ,13,FALSE)</f>
        <v>None</v>
      </c>
      <c r="C162" s="79" t="str">
        <f>VLOOKUP(B162,'Item List'!B:AH,2,FALSE)</f>
        <v>None</v>
      </c>
      <c r="D162" s="79"/>
      <c r="E162" s="588">
        <f>VLOOKUP(B162,'Item List'!B:AM,34,FALSE)</f>
        <v>0</v>
      </c>
      <c r="F162" s="608">
        <f>VLOOKUP(B162,'Item List'!B:AH,4,FALSE)</f>
        <v>0</v>
      </c>
      <c r="G162" s="569">
        <f t="shared" si="10"/>
        <v>0</v>
      </c>
      <c r="H162" s="606"/>
      <c r="I162" s="607">
        <f>ROUNDUP((E162*'Project Materials'!$H$18),0)</f>
        <v>0</v>
      </c>
      <c r="J162" s="572">
        <f t="shared" si="9"/>
        <v>0</v>
      </c>
    </row>
    <row r="163" spans="1:10" x14ac:dyDescent="0.4">
      <c r="A163" s="667" t="s">
        <v>429</v>
      </c>
      <c r="B163" s="79" t="str">
        <f>VLOOKUP('Area B'!B218,'Item List'!B:AJ,13,FALSE)</f>
        <v>None</v>
      </c>
      <c r="C163" s="79" t="str">
        <f>VLOOKUP(B163,'Item List'!B:AH,2,FALSE)</f>
        <v>None</v>
      </c>
      <c r="D163" s="79"/>
      <c r="E163" s="588">
        <f>VLOOKUP(B163,'Item List'!B:AM,34,FALSE)</f>
        <v>0</v>
      </c>
      <c r="F163" s="608">
        <f>VLOOKUP(B163,'Item List'!B:AH,4,FALSE)</f>
        <v>0</v>
      </c>
      <c r="G163" s="569">
        <f t="shared" si="10"/>
        <v>0</v>
      </c>
      <c r="H163" s="606"/>
      <c r="I163" s="607">
        <f>ROUNDUP((E163*'Project Materials'!$H$18),0)</f>
        <v>0</v>
      </c>
      <c r="J163" s="572">
        <f t="shared" si="9"/>
        <v>0</v>
      </c>
    </row>
    <row r="164" spans="1:10" x14ac:dyDescent="0.4">
      <c r="A164" s="667" t="s">
        <v>429</v>
      </c>
      <c r="B164" s="79" t="str">
        <f>VLOOKUP('Area B'!B219,'Item List'!B:AJ,13,FALSE)</f>
        <v>None</v>
      </c>
      <c r="C164" s="79" t="str">
        <f>VLOOKUP(B164,'Item List'!B:AH,2,FALSE)</f>
        <v>None</v>
      </c>
      <c r="D164" s="79"/>
      <c r="E164" s="588">
        <f>VLOOKUP(B164,'Item List'!B:AM,34,FALSE)</f>
        <v>0</v>
      </c>
      <c r="F164" s="608">
        <f>VLOOKUP(B164,'Item List'!B:AH,4,FALSE)</f>
        <v>0</v>
      </c>
      <c r="G164" s="569">
        <f t="shared" si="10"/>
        <v>0</v>
      </c>
      <c r="H164" s="606"/>
      <c r="I164" s="607">
        <f>ROUNDUP((E164*'Project Materials'!$H$18),0)</f>
        <v>0</v>
      </c>
      <c r="J164" s="572">
        <f t="shared" si="9"/>
        <v>0</v>
      </c>
    </row>
    <row r="165" spans="1:10" x14ac:dyDescent="0.4">
      <c r="A165" s="667" t="s">
        <v>429</v>
      </c>
      <c r="B165" s="79" t="str">
        <f>VLOOKUP('Area B'!B220,'Item List'!B:AJ,13,FALSE)</f>
        <v>None</v>
      </c>
      <c r="C165" s="79" t="str">
        <f>VLOOKUP(B165,'Item List'!B:AH,2,FALSE)</f>
        <v>None</v>
      </c>
      <c r="D165" s="79"/>
      <c r="E165" s="588">
        <f>VLOOKUP(B165,'Item List'!B:AM,34,FALSE)</f>
        <v>0</v>
      </c>
      <c r="F165" s="608">
        <f>VLOOKUP(B165,'Item List'!B:AH,4,FALSE)</f>
        <v>0</v>
      </c>
      <c r="G165" s="569">
        <f t="shared" si="10"/>
        <v>0</v>
      </c>
      <c r="H165" s="606"/>
      <c r="I165" s="607">
        <f>ROUNDUP((E165*'Project Materials'!$H$18),0)</f>
        <v>0</v>
      </c>
      <c r="J165" s="572">
        <f t="shared" si="9"/>
        <v>0</v>
      </c>
    </row>
    <row r="166" spans="1:10" x14ac:dyDescent="0.4">
      <c r="A166" s="667" t="s">
        <v>429</v>
      </c>
      <c r="B166" s="79" t="str">
        <f>VLOOKUP('Area B'!B221,'Item List'!B:AJ,13,FALSE)</f>
        <v>None</v>
      </c>
      <c r="C166" s="79" t="str">
        <f>VLOOKUP(B166,'Item List'!B:AH,2,FALSE)</f>
        <v>None</v>
      </c>
      <c r="D166" s="79"/>
      <c r="E166" s="588">
        <f>VLOOKUP(B166,'Item List'!B:AM,34,FALSE)</f>
        <v>0</v>
      </c>
      <c r="F166" s="608">
        <f>VLOOKUP(B166,'Item List'!B:AH,4,FALSE)</f>
        <v>0</v>
      </c>
      <c r="G166" s="569">
        <f t="shared" si="10"/>
        <v>0</v>
      </c>
      <c r="H166" s="606"/>
      <c r="I166" s="607">
        <f>ROUNDUP((E166*'Project Materials'!$H$18),0)</f>
        <v>0</v>
      </c>
      <c r="J166" s="572">
        <f t="shared" si="9"/>
        <v>0</v>
      </c>
    </row>
    <row r="167" spans="1:10" x14ac:dyDescent="0.4">
      <c r="A167" s="667" t="s">
        <v>429</v>
      </c>
      <c r="B167" s="79" t="str">
        <f>VLOOKUP('Area B'!B222,'Item List'!B:AJ,13,FALSE)</f>
        <v>None</v>
      </c>
      <c r="C167" s="79" t="str">
        <f>VLOOKUP(B167,'Item List'!B:AH,2,FALSE)</f>
        <v>None</v>
      </c>
      <c r="D167" s="79"/>
      <c r="E167" s="588">
        <f>VLOOKUP(B167,'Item List'!B:AM,34,FALSE)</f>
        <v>0</v>
      </c>
      <c r="F167" s="608">
        <f>VLOOKUP(B167,'Item List'!B:AH,4,FALSE)</f>
        <v>0</v>
      </c>
      <c r="G167" s="569">
        <f t="shared" si="10"/>
        <v>0</v>
      </c>
      <c r="H167" s="606"/>
      <c r="I167" s="607">
        <f>ROUNDUP((E167*'Project Materials'!$H$18),0)</f>
        <v>0</v>
      </c>
      <c r="J167" s="572">
        <f t="shared" si="9"/>
        <v>0</v>
      </c>
    </row>
    <row r="168" spans="1:10" x14ac:dyDescent="0.4">
      <c r="A168" s="667" t="s">
        <v>429</v>
      </c>
      <c r="B168" s="79" t="str">
        <f>VLOOKUP('Area B'!B223,'Item List'!B:AJ,13,FALSE)</f>
        <v>None</v>
      </c>
      <c r="C168" s="79" t="str">
        <f>VLOOKUP(B168,'Item List'!B:AH,2,FALSE)</f>
        <v>None</v>
      </c>
      <c r="D168" s="79"/>
      <c r="E168" s="588">
        <f>VLOOKUP(B168,'Item List'!B:AM,34,FALSE)</f>
        <v>0</v>
      </c>
      <c r="F168" s="608">
        <f>VLOOKUP(B168,'Item List'!B:AH,4,FALSE)</f>
        <v>0</v>
      </c>
      <c r="G168" s="569">
        <f t="shared" si="10"/>
        <v>0</v>
      </c>
      <c r="H168" s="606"/>
      <c r="I168" s="607">
        <f>ROUNDUP((E168*'Project Materials'!$H$18),0)</f>
        <v>0</v>
      </c>
      <c r="J168" s="572">
        <f t="shared" si="9"/>
        <v>0</v>
      </c>
    </row>
    <row r="169" spans="1:10" x14ac:dyDescent="0.4">
      <c r="A169" s="667" t="s">
        <v>429</v>
      </c>
      <c r="B169" s="79" t="str">
        <f>VLOOKUP('Area B'!B224,'Item List'!B:AJ,13,FALSE)</f>
        <v>None</v>
      </c>
      <c r="C169" s="79" t="str">
        <f>VLOOKUP(B169,'Item List'!B:AH,2,FALSE)</f>
        <v>None</v>
      </c>
      <c r="D169" s="79"/>
      <c r="E169" s="588">
        <f>VLOOKUP(B169,'Item List'!B:AM,34,FALSE)</f>
        <v>0</v>
      </c>
      <c r="F169" s="608">
        <f>VLOOKUP(B169,'Item List'!B:AH,4,FALSE)</f>
        <v>0</v>
      </c>
      <c r="G169" s="569">
        <f t="shared" si="10"/>
        <v>0</v>
      </c>
      <c r="H169" s="606"/>
      <c r="I169" s="607">
        <f>ROUNDUP((E169*'Project Materials'!$H$18),0)</f>
        <v>0</v>
      </c>
      <c r="J169" s="572">
        <f t="shared" si="9"/>
        <v>0</v>
      </c>
    </row>
    <row r="170" spans="1:10" x14ac:dyDescent="0.4">
      <c r="A170" s="667" t="s">
        <v>429</v>
      </c>
      <c r="B170" s="79" t="str">
        <f>VLOOKUP('Area B'!B225,'Item List'!B:AJ,13,FALSE)</f>
        <v>None</v>
      </c>
      <c r="C170" s="79" t="str">
        <f>VLOOKUP(B170,'Item List'!B:AH,2,FALSE)</f>
        <v>None</v>
      </c>
      <c r="D170" s="79"/>
      <c r="E170" s="588">
        <f>VLOOKUP(B170,'Item List'!B:AM,34,FALSE)</f>
        <v>0</v>
      </c>
      <c r="F170" s="608">
        <f>VLOOKUP(B170,'Item List'!B:AH,4,FALSE)</f>
        <v>0</v>
      </c>
      <c r="G170" s="569">
        <f t="shared" si="10"/>
        <v>0</v>
      </c>
      <c r="H170" s="606"/>
      <c r="I170" s="607">
        <f>ROUNDUP((E170*'Project Materials'!$H$18),0)</f>
        <v>0</v>
      </c>
      <c r="J170" s="572">
        <f t="shared" si="9"/>
        <v>0</v>
      </c>
    </row>
    <row r="171" spans="1:10" x14ac:dyDescent="0.4">
      <c r="A171" s="667" t="s">
        <v>429</v>
      </c>
      <c r="B171" s="79" t="str">
        <f>VLOOKUP('Area B'!B226,'Item List'!B:AJ,13,FALSE)</f>
        <v>None</v>
      </c>
      <c r="C171" s="79" t="str">
        <f>VLOOKUP(B171,'Item List'!B:AH,2,FALSE)</f>
        <v>None</v>
      </c>
      <c r="D171" s="79"/>
      <c r="E171" s="588">
        <f>VLOOKUP(B171,'Item List'!B:AM,34,FALSE)</f>
        <v>0</v>
      </c>
      <c r="F171" s="608">
        <f>VLOOKUP(B171,'Item List'!B:AH,4,FALSE)</f>
        <v>0</v>
      </c>
      <c r="G171" s="569">
        <f t="shared" si="10"/>
        <v>0</v>
      </c>
      <c r="H171" s="606"/>
      <c r="I171" s="607">
        <f>ROUNDUP((E171*'Project Materials'!$H$18),0)</f>
        <v>0</v>
      </c>
      <c r="J171" s="572">
        <f t="shared" si="9"/>
        <v>0</v>
      </c>
    </row>
    <row r="172" spans="1:10" x14ac:dyDescent="0.4">
      <c r="A172" s="667" t="s">
        <v>429</v>
      </c>
      <c r="B172" s="79" t="str">
        <f>VLOOKUP('Area B'!B227,'Item List'!B:AJ,13,FALSE)</f>
        <v>None</v>
      </c>
      <c r="C172" s="79" t="str">
        <f>VLOOKUP(B172,'Item List'!B:AH,2,FALSE)</f>
        <v>None</v>
      </c>
      <c r="D172" s="79"/>
      <c r="E172" s="588">
        <f>VLOOKUP(B172,'Item List'!B:AM,34,FALSE)</f>
        <v>0</v>
      </c>
      <c r="F172" s="608">
        <f>VLOOKUP(B172,'Item List'!B:AH,4,FALSE)</f>
        <v>0</v>
      </c>
      <c r="G172" s="569">
        <f t="shared" si="10"/>
        <v>0</v>
      </c>
      <c r="H172" s="606"/>
      <c r="I172" s="607">
        <f>ROUNDUP((E172*'Project Materials'!$H$18),0)</f>
        <v>0</v>
      </c>
      <c r="J172" s="572">
        <f t="shared" si="9"/>
        <v>0</v>
      </c>
    </row>
    <row r="173" spans="1:10" x14ac:dyDescent="0.4">
      <c r="A173" s="667" t="s">
        <v>429</v>
      </c>
      <c r="B173" s="79" t="str">
        <f>VLOOKUP('Area B'!B228,'Item List'!B:AJ,13,FALSE)</f>
        <v>None</v>
      </c>
      <c r="C173" s="79" t="str">
        <f>VLOOKUP(B173,'Item List'!B:AH,2,FALSE)</f>
        <v>None</v>
      </c>
      <c r="D173" s="79"/>
      <c r="E173" s="588">
        <f>VLOOKUP(B173,'Item List'!B:AM,34,FALSE)</f>
        <v>0</v>
      </c>
      <c r="F173" s="608">
        <f>VLOOKUP(B173,'Item List'!B:AH,4,FALSE)</f>
        <v>0</v>
      </c>
      <c r="G173" s="569">
        <f t="shared" si="10"/>
        <v>0</v>
      </c>
      <c r="H173" s="606"/>
      <c r="I173" s="607">
        <f>ROUNDUP((E173*'Project Materials'!$H$18),0)</f>
        <v>0</v>
      </c>
      <c r="J173" s="572">
        <f t="shared" si="9"/>
        <v>0</v>
      </c>
    </row>
    <row r="174" spans="1:10" x14ac:dyDescent="0.4">
      <c r="A174" s="667" t="s">
        <v>429</v>
      </c>
      <c r="B174" s="79" t="str">
        <f>VLOOKUP('Area B'!B229,'Item List'!B:AJ,13,FALSE)</f>
        <v>None</v>
      </c>
      <c r="C174" s="79" t="str">
        <f>VLOOKUP(B174,'Item List'!B:AH,2,FALSE)</f>
        <v>None</v>
      </c>
      <c r="D174" s="79"/>
      <c r="E174" s="588">
        <f>VLOOKUP(B174,'Item List'!B:AM,34,FALSE)</f>
        <v>0</v>
      </c>
      <c r="F174" s="608">
        <f>VLOOKUP(B174,'Item List'!B:AH,4,FALSE)</f>
        <v>0</v>
      </c>
      <c r="G174" s="569">
        <f t="shared" si="10"/>
        <v>0</v>
      </c>
      <c r="H174" s="606"/>
      <c r="I174" s="607">
        <f>ROUNDUP((E174*'Project Materials'!$H$18),0)</f>
        <v>0</v>
      </c>
      <c r="J174" s="572">
        <f t="shared" si="9"/>
        <v>0</v>
      </c>
    </row>
    <row r="175" spans="1:10" x14ac:dyDescent="0.4">
      <c r="A175" s="667" t="s">
        <v>429</v>
      </c>
      <c r="B175" s="79" t="str">
        <f>VLOOKUP('Area B'!B230,'Item List'!B:AJ,13,FALSE)</f>
        <v>None</v>
      </c>
      <c r="C175" s="79" t="str">
        <f>VLOOKUP(B175,'Item List'!B:AH,2,FALSE)</f>
        <v>None</v>
      </c>
      <c r="D175" s="79"/>
      <c r="E175" s="588">
        <f>VLOOKUP(B175,'Item List'!B:AM,34,FALSE)</f>
        <v>0</v>
      </c>
      <c r="F175" s="608">
        <f>VLOOKUP(B175,'Item List'!B:AH,4,FALSE)</f>
        <v>0</v>
      </c>
      <c r="G175" s="569">
        <f t="shared" si="10"/>
        <v>0</v>
      </c>
      <c r="H175" s="606"/>
      <c r="I175" s="607">
        <f>ROUNDUP((E175*'Project Materials'!$H$18),0)</f>
        <v>0</v>
      </c>
      <c r="J175" s="572">
        <f t="shared" si="9"/>
        <v>0</v>
      </c>
    </row>
    <row r="176" spans="1:10" x14ac:dyDescent="0.4">
      <c r="A176" s="667" t="s">
        <v>429</v>
      </c>
      <c r="B176" s="79" t="str">
        <f>VLOOKUP('Area B'!B231,'Item List'!B:AJ,13,FALSE)</f>
        <v>None</v>
      </c>
      <c r="C176" s="79" t="str">
        <f>VLOOKUP(B176,'Item List'!B:AH,2,FALSE)</f>
        <v>None</v>
      </c>
      <c r="D176" s="79"/>
      <c r="E176" s="588">
        <f>VLOOKUP(B176,'Item List'!B:AM,34,FALSE)</f>
        <v>0</v>
      </c>
      <c r="F176" s="608">
        <f>VLOOKUP(B176,'Item List'!B:AH,4,FALSE)</f>
        <v>0</v>
      </c>
      <c r="G176" s="569">
        <f t="shared" si="10"/>
        <v>0</v>
      </c>
      <c r="H176" s="606"/>
      <c r="I176" s="607">
        <f>ROUNDUP((E176*'Project Materials'!$H$18),0)</f>
        <v>0</v>
      </c>
      <c r="J176" s="572">
        <f t="shared" si="9"/>
        <v>0</v>
      </c>
    </row>
    <row r="177" spans="1:10" x14ac:dyDescent="0.4">
      <c r="A177" s="667" t="s">
        <v>429</v>
      </c>
      <c r="B177" s="79" t="str">
        <f>VLOOKUP('Area B'!B232,'Item List'!B:AJ,13,FALSE)</f>
        <v>None</v>
      </c>
      <c r="C177" s="79" t="str">
        <f>VLOOKUP(B177,'Item List'!B:AH,2,FALSE)</f>
        <v>None</v>
      </c>
      <c r="D177" s="79"/>
      <c r="E177" s="588">
        <f>VLOOKUP(B177,'Item List'!B:AM,34,FALSE)</f>
        <v>0</v>
      </c>
      <c r="F177" s="608">
        <f>VLOOKUP(B177,'Item List'!B:AH,4,FALSE)</f>
        <v>0</v>
      </c>
      <c r="G177" s="569">
        <f t="shared" si="10"/>
        <v>0</v>
      </c>
      <c r="H177" s="606"/>
      <c r="I177" s="607">
        <f>ROUNDUP((E177*'Project Materials'!$H$18),0)</f>
        <v>0</v>
      </c>
      <c r="J177" s="572">
        <f t="shared" si="9"/>
        <v>0</v>
      </c>
    </row>
    <row r="178" spans="1:10" x14ac:dyDescent="0.4">
      <c r="A178" s="667" t="s">
        <v>429</v>
      </c>
      <c r="B178" s="79" t="str">
        <f>VLOOKUP('Area B'!B233,'Item List'!B:AJ,13,FALSE)</f>
        <v>None</v>
      </c>
      <c r="C178" s="79" t="str">
        <f>VLOOKUP(B178,'Item List'!B:AH,2,FALSE)</f>
        <v>None</v>
      </c>
      <c r="D178" s="79"/>
      <c r="E178" s="588">
        <f>VLOOKUP(B178,'Item List'!B:AM,34,FALSE)</f>
        <v>0</v>
      </c>
      <c r="F178" s="608">
        <f>VLOOKUP(B178,'Item List'!B:AH,4,FALSE)</f>
        <v>0</v>
      </c>
      <c r="G178" s="569">
        <f t="shared" si="10"/>
        <v>0</v>
      </c>
      <c r="H178" s="606"/>
      <c r="I178" s="607">
        <f>ROUNDUP((E178*'Project Materials'!$H$18),0)</f>
        <v>0</v>
      </c>
      <c r="J178" s="572">
        <f t="shared" si="9"/>
        <v>0</v>
      </c>
    </row>
    <row r="179" spans="1:10" x14ac:dyDescent="0.4">
      <c r="A179" s="667" t="s">
        <v>429</v>
      </c>
      <c r="B179" s="79" t="str">
        <f>VLOOKUP('Area B'!B234,'Item List'!B:AJ,13,FALSE)</f>
        <v>None</v>
      </c>
      <c r="C179" s="79" t="str">
        <f>VLOOKUP(B179,'Item List'!B:AH,2,FALSE)</f>
        <v>None</v>
      </c>
      <c r="D179" s="79"/>
      <c r="E179" s="588">
        <f>VLOOKUP(B179,'Item List'!B:AM,34,FALSE)</f>
        <v>0</v>
      </c>
      <c r="F179" s="608">
        <f>VLOOKUP(B179,'Item List'!B:AH,4,FALSE)</f>
        <v>0</v>
      </c>
      <c r="G179" s="569">
        <f t="shared" si="10"/>
        <v>0</v>
      </c>
      <c r="H179" s="606"/>
      <c r="I179" s="607">
        <f>ROUNDUP((E179*'Project Materials'!$H$18),0)</f>
        <v>0</v>
      </c>
      <c r="J179" s="572">
        <f t="shared" ref="J179:J195" si="11">G179+(I179*F179)</f>
        <v>0</v>
      </c>
    </row>
    <row r="180" spans="1:10" x14ac:dyDescent="0.4">
      <c r="A180" s="667" t="s">
        <v>429</v>
      </c>
      <c r="B180" s="79" t="str">
        <f>VLOOKUP('Area B'!B235,'Item List'!B:AJ,13,FALSE)</f>
        <v>None</v>
      </c>
      <c r="C180" s="79" t="str">
        <f>VLOOKUP(B180,'Item List'!B:AH,2,FALSE)</f>
        <v>None</v>
      </c>
      <c r="D180" s="79"/>
      <c r="E180" s="588">
        <f>VLOOKUP(B180,'Item List'!B:AM,34,FALSE)</f>
        <v>0</v>
      </c>
      <c r="F180" s="608">
        <f>VLOOKUP(B180,'Item List'!B:AH,4,FALSE)</f>
        <v>0</v>
      </c>
      <c r="G180" s="569">
        <f t="shared" si="10"/>
        <v>0</v>
      </c>
      <c r="H180" s="606"/>
      <c r="I180" s="607">
        <f>ROUNDUP((E180*'Project Materials'!$H$18),0)</f>
        <v>0</v>
      </c>
      <c r="J180" s="572">
        <f t="shared" si="11"/>
        <v>0</v>
      </c>
    </row>
    <row r="181" spans="1:10" x14ac:dyDescent="0.4">
      <c r="A181" s="667" t="s">
        <v>429</v>
      </c>
      <c r="B181" s="79" t="str">
        <f>VLOOKUP('Area B'!B236,'Item List'!B:AJ,13,FALSE)</f>
        <v>None</v>
      </c>
      <c r="C181" s="79" t="str">
        <f>VLOOKUP(B181,'Item List'!B:AH,2,FALSE)</f>
        <v>None</v>
      </c>
      <c r="D181" s="79"/>
      <c r="E181" s="588">
        <f>VLOOKUP(B181,'Item List'!B:AM,34,FALSE)</f>
        <v>0</v>
      </c>
      <c r="F181" s="608">
        <f>VLOOKUP(B181,'Item List'!B:AH,4,FALSE)</f>
        <v>0</v>
      </c>
      <c r="G181" s="569">
        <f t="shared" si="10"/>
        <v>0</v>
      </c>
      <c r="H181" s="606"/>
      <c r="I181" s="607">
        <f>ROUNDUP((E181*'Project Materials'!$H$18),0)</f>
        <v>0</v>
      </c>
      <c r="J181" s="572">
        <f t="shared" si="11"/>
        <v>0</v>
      </c>
    </row>
    <row r="182" spans="1:10" x14ac:dyDescent="0.4">
      <c r="A182" s="667" t="s">
        <v>429</v>
      </c>
      <c r="B182" s="79" t="str">
        <f>VLOOKUP('Area B'!B237,'Item List'!B:AJ,13,FALSE)</f>
        <v>None</v>
      </c>
      <c r="C182" s="79" t="str">
        <f>VLOOKUP(B182,'Item List'!B:AH,2,FALSE)</f>
        <v>None</v>
      </c>
      <c r="D182" s="79"/>
      <c r="E182" s="588">
        <f>VLOOKUP(B182,'Item List'!B:AM,34,FALSE)</f>
        <v>0</v>
      </c>
      <c r="F182" s="608">
        <f>VLOOKUP(B182,'Item List'!B:AH,4,FALSE)</f>
        <v>0</v>
      </c>
      <c r="G182" s="569">
        <f t="shared" si="10"/>
        <v>0</v>
      </c>
      <c r="H182" s="606"/>
      <c r="I182" s="607">
        <f>ROUNDUP((E182*'Project Materials'!$H$18),0)</f>
        <v>0</v>
      </c>
      <c r="J182" s="572">
        <f t="shared" si="11"/>
        <v>0</v>
      </c>
    </row>
    <row r="183" spans="1:10" x14ac:dyDescent="0.4">
      <c r="A183" s="667" t="s">
        <v>429</v>
      </c>
      <c r="B183" s="79" t="str">
        <f>VLOOKUP('Area B'!B238,'Item List'!B:AJ,13,FALSE)</f>
        <v>None</v>
      </c>
      <c r="C183" s="79" t="str">
        <f>VLOOKUP(B183,'Item List'!B:AH,2,FALSE)</f>
        <v>None</v>
      </c>
      <c r="D183" s="79"/>
      <c r="E183" s="588">
        <f>VLOOKUP(B183,'Item List'!B:AM,34,FALSE)</f>
        <v>0</v>
      </c>
      <c r="F183" s="608">
        <f>VLOOKUP(B183,'Item List'!B:AH,4,FALSE)</f>
        <v>0</v>
      </c>
      <c r="G183" s="569">
        <f t="shared" si="10"/>
        <v>0</v>
      </c>
      <c r="H183" s="606"/>
      <c r="I183" s="607">
        <f>ROUNDUP((E183*'Project Materials'!$H$18),0)</f>
        <v>0</v>
      </c>
      <c r="J183" s="572">
        <f t="shared" si="11"/>
        <v>0</v>
      </c>
    </row>
    <row r="184" spans="1:10" x14ac:dyDescent="0.4">
      <c r="A184" s="667" t="s">
        <v>429</v>
      </c>
      <c r="B184" s="79" t="str">
        <f>VLOOKUP('Area B'!B239,'Item List'!B:AJ,13,FALSE)</f>
        <v>None</v>
      </c>
      <c r="C184" s="79" t="str">
        <f>VLOOKUP(B184,'Item List'!B:AH,2,FALSE)</f>
        <v>None</v>
      </c>
      <c r="D184" s="79"/>
      <c r="E184" s="588">
        <f>VLOOKUP(B184,'Item List'!B:AM,34,FALSE)</f>
        <v>0</v>
      </c>
      <c r="F184" s="608">
        <f>VLOOKUP(B184,'Item List'!B:AH,4,FALSE)</f>
        <v>0</v>
      </c>
      <c r="G184" s="569">
        <f t="shared" si="10"/>
        <v>0</v>
      </c>
      <c r="H184" s="606"/>
      <c r="I184" s="607">
        <f>ROUNDUP((E184*'Project Materials'!$H$18),0)</f>
        <v>0</v>
      </c>
      <c r="J184" s="572">
        <f t="shared" si="11"/>
        <v>0</v>
      </c>
    </row>
    <row r="185" spans="1:10" x14ac:dyDescent="0.4">
      <c r="A185" s="667" t="s">
        <v>429</v>
      </c>
      <c r="B185" s="79" t="str">
        <f>VLOOKUP('Area B'!B240,'Item List'!B:AJ,13,FALSE)</f>
        <v>None</v>
      </c>
      <c r="C185" s="79" t="str">
        <f>VLOOKUP(B185,'Item List'!B:AH,2,FALSE)</f>
        <v>None</v>
      </c>
      <c r="D185" s="79"/>
      <c r="E185" s="588">
        <f>VLOOKUP(B185,'Item List'!B:AM,34,FALSE)</f>
        <v>0</v>
      </c>
      <c r="F185" s="608">
        <f>VLOOKUP(B185,'Item List'!B:AH,4,FALSE)</f>
        <v>0</v>
      </c>
      <c r="G185" s="569">
        <f t="shared" si="10"/>
        <v>0</v>
      </c>
      <c r="H185" s="606"/>
      <c r="I185" s="607">
        <f>ROUNDUP((E185*'Project Materials'!$H$18),0)</f>
        <v>0</v>
      </c>
      <c r="J185" s="572">
        <f t="shared" si="11"/>
        <v>0</v>
      </c>
    </row>
    <row r="186" spans="1:10" x14ac:dyDescent="0.4">
      <c r="A186" s="667" t="s">
        <v>429</v>
      </c>
      <c r="B186" s="79" t="str">
        <f>VLOOKUP('Area B'!B241,'Item List'!B:AJ,13,FALSE)</f>
        <v>None</v>
      </c>
      <c r="C186" s="79" t="str">
        <f>VLOOKUP(B186,'Item List'!B:AH,2,FALSE)</f>
        <v>None</v>
      </c>
      <c r="D186" s="79"/>
      <c r="E186" s="588">
        <f>VLOOKUP(B186,'Item List'!B:AM,34,FALSE)</f>
        <v>0</v>
      </c>
      <c r="F186" s="608">
        <f>VLOOKUP(B186,'Item List'!B:AH,4,FALSE)</f>
        <v>0</v>
      </c>
      <c r="G186" s="569">
        <f t="shared" si="10"/>
        <v>0</v>
      </c>
      <c r="H186" s="606"/>
      <c r="I186" s="607">
        <f>ROUNDUP((E186*'Project Materials'!$H$18),0)</f>
        <v>0</v>
      </c>
      <c r="J186" s="572">
        <f t="shared" si="11"/>
        <v>0</v>
      </c>
    </row>
    <row r="187" spans="1:10" x14ac:dyDescent="0.4">
      <c r="A187" s="667" t="s">
        <v>429</v>
      </c>
      <c r="B187" s="79" t="str">
        <f>VLOOKUP('Area B'!B242,'Item List'!B:AJ,13,FALSE)</f>
        <v>None</v>
      </c>
      <c r="C187" s="79" t="str">
        <f>VLOOKUP(B187,'Item List'!B:AH,2,FALSE)</f>
        <v>None</v>
      </c>
      <c r="D187" s="79"/>
      <c r="E187" s="588">
        <f>VLOOKUP(B187,'Item List'!B:AM,34,FALSE)</f>
        <v>0</v>
      </c>
      <c r="F187" s="608">
        <f>VLOOKUP(B187,'Item List'!B:AH,4,FALSE)</f>
        <v>0</v>
      </c>
      <c r="G187" s="569">
        <f t="shared" si="10"/>
        <v>0</v>
      </c>
      <c r="H187" s="606"/>
      <c r="I187" s="607">
        <f>ROUNDUP((E187*'Project Materials'!$H$18),0)</f>
        <v>0</v>
      </c>
      <c r="J187" s="572">
        <f t="shared" si="11"/>
        <v>0</v>
      </c>
    </row>
    <row r="188" spans="1:10" x14ac:dyDescent="0.4">
      <c r="A188" s="667" t="s">
        <v>429</v>
      </c>
      <c r="B188" s="79" t="str">
        <f>VLOOKUP('Area B'!B243,'Item List'!B:AJ,13,FALSE)</f>
        <v>None</v>
      </c>
      <c r="C188" s="79" t="str">
        <f>VLOOKUP(B188,'Item List'!B:AH,2,FALSE)</f>
        <v>None</v>
      </c>
      <c r="D188" s="79"/>
      <c r="E188" s="588">
        <f>VLOOKUP(B188,'Item List'!B:AM,34,FALSE)</f>
        <v>0</v>
      </c>
      <c r="F188" s="608">
        <f>VLOOKUP(B188,'Item List'!B:AH,4,FALSE)</f>
        <v>0</v>
      </c>
      <c r="G188" s="569">
        <f t="shared" si="10"/>
        <v>0</v>
      </c>
      <c r="H188" s="606"/>
      <c r="I188" s="607">
        <f>ROUNDUP((E188*'Project Materials'!$H$18),0)</f>
        <v>0</v>
      </c>
      <c r="J188" s="572">
        <f t="shared" si="11"/>
        <v>0</v>
      </c>
    </row>
    <row r="189" spans="1:10" x14ac:dyDescent="0.4">
      <c r="A189" s="667" t="s">
        <v>429</v>
      </c>
      <c r="B189" s="79" t="str">
        <f>VLOOKUP('Area B'!B244,'Item List'!B:AJ,13,FALSE)</f>
        <v>None</v>
      </c>
      <c r="C189" s="79" t="str">
        <f>VLOOKUP(B189,'Item List'!B:AH,2,FALSE)</f>
        <v>None</v>
      </c>
      <c r="D189" s="79"/>
      <c r="E189" s="588">
        <f>VLOOKUP(B189,'Item List'!B:AM,34,FALSE)</f>
        <v>0</v>
      </c>
      <c r="F189" s="608">
        <f>VLOOKUP(B189,'Item List'!B:AH,4,FALSE)</f>
        <v>0</v>
      </c>
      <c r="G189" s="569">
        <f t="shared" si="10"/>
        <v>0</v>
      </c>
      <c r="H189" s="606"/>
      <c r="I189" s="607">
        <f>ROUNDUP((E189*'Project Materials'!$H$18),0)</f>
        <v>0</v>
      </c>
      <c r="J189" s="572">
        <f t="shared" si="11"/>
        <v>0</v>
      </c>
    </row>
    <row r="190" spans="1:10" x14ac:dyDescent="0.4">
      <c r="A190" s="667" t="s">
        <v>429</v>
      </c>
      <c r="B190" s="79" t="str">
        <f>VLOOKUP('Area B'!B245,'Item List'!B:AJ,13,FALSE)</f>
        <v>None</v>
      </c>
      <c r="C190" s="79" t="str">
        <f>VLOOKUP(B190,'Item List'!B:AH,2,FALSE)</f>
        <v>None</v>
      </c>
      <c r="D190" s="79"/>
      <c r="E190" s="588">
        <f>VLOOKUP(B190,'Item List'!B:AM,34,FALSE)</f>
        <v>0</v>
      </c>
      <c r="F190" s="608">
        <f>VLOOKUP(B190,'Item List'!B:AH,4,FALSE)</f>
        <v>0</v>
      </c>
      <c r="G190" s="569">
        <f t="shared" si="10"/>
        <v>0</v>
      </c>
      <c r="H190" s="606"/>
      <c r="I190" s="607">
        <f>ROUNDUP((E190*'Project Materials'!$H$18),0)</f>
        <v>0</v>
      </c>
      <c r="J190" s="572">
        <f t="shared" si="11"/>
        <v>0</v>
      </c>
    </row>
    <row r="191" spans="1:10" x14ac:dyDescent="0.4">
      <c r="A191" s="667" t="s">
        <v>429</v>
      </c>
      <c r="B191" s="79" t="str">
        <f>VLOOKUP('Area B'!B246,'Item List'!B:AJ,13,FALSE)</f>
        <v>None</v>
      </c>
      <c r="C191" s="79" t="str">
        <f>VLOOKUP(B191,'Item List'!B:AH,2,FALSE)</f>
        <v>None</v>
      </c>
      <c r="D191" s="79"/>
      <c r="E191" s="588">
        <f>VLOOKUP(B191,'Item List'!B:AM,34,FALSE)</f>
        <v>0</v>
      </c>
      <c r="F191" s="608">
        <f>VLOOKUP(B191,'Item List'!B:AH,4,FALSE)</f>
        <v>0</v>
      </c>
      <c r="G191" s="569">
        <f t="shared" si="10"/>
        <v>0</v>
      </c>
      <c r="H191" s="606"/>
      <c r="I191" s="607">
        <f>ROUNDUP((E191*'Project Materials'!$H$18),0)</f>
        <v>0</v>
      </c>
      <c r="J191" s="572">
        <f t="shared" si="11"/>
        <v>0</v>
      </c>
    </row>
    <row r="192" spans="1:10" x14ac:dyDescent="0.4">
      <c r="A192" s="667" t="s">
        <v>429</v>
      </c>
      <c r="B192" s="79" t="str">
        <f>VLOOKUP('Area B'!B247,'Item List'!B:AJ,13,FALSE)</f>
        <v>None</v>
      </c>
      <c r="C192" s="79" t="str">
        <f>VLOOKUP(B192,'Item List'!B:AH,2,FALSE)</f>
        <v>None</v>
      </c>
      <c r="D192" s="79"/>
      <c r="E192" s="588">
        <f>VLOOKUP(B192,'Item List'!B:AM,34,FALSE)</f>
        <v>0</v>
      </c>
      <c r="F192" s="608">
        <f>VLOOKUP(B192,'Item List'!B:AH,4,FALSE)</f>
        <v>0</v>
      </c>
      <c r="G192" s="569">
        <f t="shared" si="10"/>
        <v>0</v>
      </c>
      <c r="H192" s="606"/>
      <c r="I192" s="607">
        <f>ROUNDUP((E192*'Project Materials'!$H$18),0)</f>
        <v>0</v>
      </c>
      <c r="J192" s="572">
        <f t="shared" si="11"/>
        <v>0</v>
      </c>
    </row>
    <row r="193" spans="1:10" x14ac:dyDescent="0.4">
      <c r="A193" s="667" t="s">
        <v>429</v>
      </c>
      <c r="B193" s="79" t="str">
        <f>VLOOKUP('Area B'!B248,'Item List'!B:AJ,13,FALSE)</f>
        <v>None</v>
      </c>
      <c r="C193" s="79" t="str">
        <f>VLOOKUP(B193,'Item List'!B:AH,2,FALSE)</f>
        <v>None</v>
      </c>
      <c r="D193" s="79"/>
      <c r="E193" s="588">
        <f>VLOOKUP(B193,'Item List'!B:AM,34,FALSE)</f>
        <v>0</v>
      </c>
      <c r="F193" s="608">
        <f>VLOOKUP(B193,'Item List'!B:AH,4,FALSE)</f>
        <v>0</v>
      </c>
      <c r="G193" s="569">
        <f t="shared" si="10"/>
        <v>0</v>
      </c>
      <c r="H193" s="606"/>
      <c r="I193" s="607">
        <f>ROUNDUP((E193*'Project Materials'!$H$18),0)</f>
        <v>0</v>
      </c>
      <c r="J193" s="572">
        <f t="shared" si="11"/>
        <v>0</v>
      </c>
    </row>
    <row r="194" spans="1:10" x14ac:dyDescent="0.4">
      <c r="A194" s="667" t="s">
        <v>429</v>
      </c>
      <c r="B194" s="79" t="str">
        <f>VLOOKUP('Area B'!B249,'Item List'!B:AJ,13,FALSE)</f>
        <v>None</v>
      </c>
      <c r="C194" s="79" t="str">
        <f>VLOOKUP(B194,'Item List'!B:AH,2,FALSE)</f>
        <v>None</v>
      </c>
      <c r="D194" s="79"/>
      <c r="E194" s="588">
        <f>VLOOKUP(B194,'Item List'!B:AM,34,FALSE)</f>
        <v>0</v>
      </c>
      <c r="F194" s="608">
        <f>VLOOKUP(B194,'Item List'!B:AH,4,FALSE)</f>
        <v>0</v>
      </c>
      <c r="G194" s="569">
        <f t="shared" si="10"/>
        <v>0</v>
      </c>
      <c r="H194" s="606"/>
      <c r="I194" s="607">
        <f>ROUNDUP((E194*'Project Materials'!$H$18),0)</f>
        <v>0</v>
      </c>
      <c r="J194" s="572">
        <f t="shared" si="11"/>
        <v>0</v>
      </c>
    </row>
    <row r="195" spans="1:10" x14ac:dyDescent="0.4">
      <c r="A195" s="667" t="s">
        <v>429</v>
      </c>
      <c r="B195" s="79" t="str">
        <f>VLOOKUP('Area B'!B250,'Item List'!B:AJ,13,FALSE)</f>
        <v>None</v>
      </c>
      <c r="C195" s="598" t="str">
        <f>VLOOKUP(B195,'Item List'!B:AH,2,FALSE)</f>
        <v>None</v>
      </c>
      <c r="D195" s="598"/>
      <c r="E195" s="588">
        <f>VLOOKUP(B195,'Item List'!B:AM,34,FALSE)</f>
        <v>0</v>
      </c>
      <c r="F195" s="608">
        <f>VLOOKUP(B195,'Item List'!B:AH,4,FALSE)</f>
        <v>0</v>
      </c>
      <c r="G195" s="569">
        <f t="shared" si="10"/>
        <v>0</v>
      </c>
      <c r="H195" s="606"/>
      <c r="I195" s="607">
        <f>ROUNDUP((E195*'Project Materials'!$H$18),0)</f>
        <v>0</v>
      </c>
      <c r="J195" s="572">
        <f t="shared" si="11"/>
        <v>0</v>
      </c>
    </row>
    <row r="196" spans="1:10" ht="15" thickBot="1" x14ac:dyDescent="0.45">
      <c r="A196" s="574"/>
      <c r="B196" s="401"/>
      <c r="C196" s="401"/>
      <c r="D196" s="402"/>
      <c r="E196" s="400"/>
      <c r="F196" s="577"/>
      <c r="G196" s="399">
        <f>SUM(G47:G195)</f>
        <v>0</v>
      </c>
      <c r="H196" s="400"/>
      <c r="I196" s="577"/>
      <c r="J196" s="399">
        <f>SUM(J47:J195)</f>
        <v>0</v>
      </c>
    </row>
    <row r="197" spans="1:10" ht="16.3" thickTop="1" x14ac:dyDescent="0.45">
      <c r="A197" s="578" t="s">
        <v>429</v>
      </c>
      <c r="B197" s="578"/>
      <c r="C197" s="578"/>
      <c r="D197" s="578"/>
      <c r="E197" s="578"/>
      <c r="F197" s="578"/>
      <c r="G197" s="578"/>
      <c r="H197" s="578"/>
      <c r="I197" s="578"/>
      <c r="J197" s="578"/>
    </row>
    <row r="198" spans="1:10" x14ac:dyDescent="0.4">
      <c r="A198" s="670" t="s">
        <v>433</v>
      </c>
      <c r="B198" s="593" t="s">
        <v>11</v>
      </c>
      <c r="C198" s="593" t="s">
        <v>12</v>
      </c>
      <c r="D198" s="593"/>
      <c r="E198" s="584" t="s">
        <v>436</v>
      </c>
      <c r="F198" s="594" t="s">
        <v>437</v>
      </c>
      <c r="G198" s="594" t="s">
        <v>425</v>
      </c>
      <c r="H198" s="583" t="s">
        <v>501</v>
      </c>
      <c r="I198" s="584" t="s">
        <v>502</v>
      </c>
      <c r="J198" s="583" t="s">
        <v>500</v>
      </c>
    </row>
    <row r="199" spans="1:10" x14ac:dyDescent="0.4">
      <c r="A199" s="667" t="s">
        <v>0</v>
      </c>
      <c r="B199" s="79" t="str">
        <f>VLOOKUP('Area B'!$B$5,'Item List'!B:AJ,14,FALSE)</f>
        <v>None</v>
      </c>
      <c r="C199" s="79" t="str">
        <f>VLOOKUP(B199,'Item List'!B:AH,2,FALSE)</f>
        <v>None</v>
      </c>
      <c r="D199" s="79"/>
      <c r="E199" s="570">
        <f>VLOOKUP(B199,'Item List'!B:AM,34,FALSE)</f>
        <v>0</v>
      </c>
      <c r="F199" s="568">
        <f>VLOOKUP(B199,'Item List'!B:AJ,4,FALSE)</f>
        <v>0</v>
      </c>
      <c r="G199" s="568">
        <f t="shared" ref="G199:G246" si="12">F199*E199</f>
        <v>0</v>
      </c>
      <c r="H199" s="606"/>
      <c r="I199" s="607">
        <f>ROUNDUP((E199*'Project Materials'!$H$18),0)</f>
        <v>0</v>
      </c>
      <c r="J199" s="572">
        <f>G199+(I199*F199)</f>
        <v>0</v>
      </c>
    </row>
    <row r="200" spans="1:10" x14ac:dyDescent="0.4">
      <c r="A200" s="667" t="s">
        <v>0</v>
      </c>
      <c r="B200" s="79" t="str">
        <f>VLOOKUP('Area B'!$B$5,'Item List'!B:AJ,15,FALSE)</f>
        <v>None</v>
      </c>
      <c r="C200" s="79" t="str">
        <f>VLOOKUP(B200,'Item List'!B:AH,2,FALSE)</f>
        <v>None</v>
      </c>
      <c r="D200" s="79"/>
      <c r="E200" s="570">
        <f>VLOOKUP(B200,'Item List'!B:AM,34,FALSE)</f>
        <v>0</v>
      </c>
      <c r="F200" s="568">
        <f>VLOOKUP(B200,'Item List'!B:AJ,4,FALSE)</f>
        <v>0</v>
      </c>
      <c r="G200" s="568">
        <f t="shared" si="12"/>
        <v>0</v>
      </c>
      <c r="H200" s="606"/>
      <c r="I200" s="607">
        <f>ROUNDUP((E200*'Project Materials'!$H$18),0)</f>
        <v>0</v>
      </c>
      <c r="J200" s="572">
        <f t="shared" ref="J200:J251" si="13">G200+(I200*F200)</f>
        <v>0</v>
      </c>
    </row>
    <row r="201" spans="1:10" x14ac:dyDescent="0.4">
      <c r="A201" s="667" t="s">
        <v>0</v>
      </c>
      <c r="B201" s="79" t="str">
        <f>VLOOKUP('Area B'!$B$5,'Item List'!B:AJ,16,FALSE)</f>
        <v>None</v>
      </c>
      <c r="C201" s="79" t="str">
        <f>VLOOKUP(B201,'Item List'!B:AH,2,FALSE)</f>
        <v>None</v>
      </c>
      <c r="D201" s="79"/>
      <c r="E201" s="570">
        <f>IF(B201="none",0,2+'Project Materials'!H13*VLOOKUP(B201,'Item List'!B:AM,38,FALSE))</f>
        <v>0</v>
      </c>
      <c r="F201" s="568">
        <f>VLOOKUP(B201,'Item List'!B:AJ,4,FALSE)</f>
        <v>0</v>
      </c>
      <c r="G201" s="568">
        <f t="shared" si="12"/>
        <v>0</v>
      </c>
      <c r="H201" s="606"/>
      <c r="I201" s="607">
        <f>ROUNDUP((E201*'Project Materials'!$H$18),0)</f>
        <v>0</v>
      </c>
      <c r="J201" s="572">
        <f t="shared" si="13"/>
        <v>0</v>
      </c>
    </row>
    <row r="202" spans="1:10" x14ac:dyDescent="0.4">
      <c r="A202" s="667" t="s">
        <v>0</v>
      </c>
      <c r="B202" s="79" t="str">
        <f>VLOOKUP('Area B'!$B$5,'Item List'!B:AJ,17,FALSE)</f>
        <v>None</v>
      </c>
      <c r="C202" s="79" t="str">
        <f>VLOOKUP(B202,'Item List'!B:AH,2,FALSE)</f>
        <v>None</v>
      </c>
      <c r="D202" s="79"/>
      <c r="E202" s="570">
        <f>VLOOKUP(B202,'Item List'!B:AM,34,FALSE)</f>
        <v>0</v>
      </c>
      <c r="F202" s="568">
        <f>VLOOKUP(B202,'Item List'!B:AJ,4,FALSE)</f>
        <v>0</v>
      </c>
      <c r="G202" s="568">
        <f t="shared" si="12"/>
        <v>0</v>
      </c>
      <c r="H202" s="606"/>
      <c r="I202" s="607">
        <f>ROUNDUP((E202*'Project Materials'!$H$18),0)</f>
        <v>0</v>
      </c>
      <c r="J202" s="572">
        <f t="shared" si="13"/>
        <v>0</v>
      </c>
    </row>
    <row r="203" spans="1:10" x14ac:dyDescent="0.4">
      <c r="A203" s="667" t="s">
        <v>413</v>
      </c>
      <c r="B203" s="655" t="str">
        <f>VLOOKUP('Area B'!$B$6,'Item List'!B:AJ,14,FALSE)</f>
        <v>None</v>
      </c>
      <c r="C203" s="79" t="str">
        <f>VLOOKUP(B203,'Item List'!B:AH,2,FALSE)</f>
        <v>None</v>
      </c>
      <c r="D203" s="79"/>
      <c r="E203" s="570">
        <f>VLOOKUP(B203,'Item List'!B:AM,34,FALSE)</f>
        <v>0</v>
      </c>
      <c r="F203" s="568">
        <f>VLOOKUP(B203,'Item List'!B:AJ,4,FALSE)</f>
        <v>0</v>
      </c>
      <c r="G203" s="568">
        <f t="shared" si="12"/>
        <v>0</v>
      </c>
      <c r="H203" s="606"/>
      <c r="I203" s="607">
        <f>ROUNDUP((E203*'Project Materials'!$H$18),0)</f>
        <v>0</v>
      </c>
      <c r="J203" s="572">
        <f t="shared" si="13"/>
        <v>0</v>
      </c>
    </row>
    <row r="204" spans="1:10" x14ac:dyDescent="0.4">
      <c r="A204" s="667" t="s">
        <v>413</v>
      </c>
      <c r="B204" s="79" t="str">
        <f>VLOOKUP('Area B'!$B$6,'Item List'!B:AJ,15,FALSE)</f>
        <v>None</v>
      </c>
      <c r="C204" s="79" t="str">
        <f>VLOOKUP(B204,'Item List'!B:AH,2,FALSE)</f>
        <v>None</v>
      </c>
      <c r="D204" s="79"/>
      <c r="E204" s="570">
        <f>VLOOKUP(B204,'Item List'!B:AM,34,FALSE)</f>
        <v>0</v>
      </c>
      <c r="F204" s="568">
        <f>VLOOKUP(B204,'Item List'!B:AJ,4,FALSE)</f>
        <v>0</v>
      </c>
      <c r="G204" s="568">
        <f t="shared" si="12"/>
        <v>0</v>
      </c>
      <c r="H204" s="606"/>
      <c r="I204" s="607">
        <f>ROUNDUP((E204*'Project Materials'!$H$18),0)</f>
        <v>0</v>
      </c>
      <c r="J204" s="572">
        <f t="shared" si="13"/>
        <v>0</v>
      </c>
    </row>
    <row r="205" spans="1:10" x14ac:dyDescent="0.4">
      <c r="A205" s="667" t="s">
        <v>413</v>
      </c>
      <c r="B205" s="79" t="str">
        <f>VLOOKUP('Area B'!$B$6,'Item List'!B:AJ,16,FALSE)</f>
        <v>None</v>
      </c>
      <c r="C205" s="79" t="str">
        <f>VLOOKUP(B205,'Item List'!B:AH,2,FALSE)</f>
        <v>None</v>
      </c>
      <c r="D205" s="79"/>
      <c r="E205" s="570">
        <f>VLOOKUP(B205,'Item List'!B:AM,34,FALSE)</f>
        <v>0</v>
      </c>
      <c r="F205" s="568">
        <f>VLOOKUP(B205,'Item List'!B:AJ,4,FALSE)</f>
        <v>0</v>
      </c>
      <c r="G205" s="568">
        <f t="shared" si="12"/>
        <v>0</v>
      </c>
      <c r="H205" s="606"/>
      <c r="I205" s="607">
        <f>ROUNDUP((E205*'Project Materials'!$H$18),0)</f>
        <v>0</v>
      </c>
      <c r="J205" s="572">
        <f t="shared" si="13"/>
        <v>0</v>
      </c>
    </row>
    <row r="206" spans="1:10" x14ac:dyDescent="0.4">
      <c r="A206" s="667" t="s">
        <v>413</v>
      </c>
      <c r="B206" s="79" t="str">
        <f>VLOOKUP('Area B'!$B$6,'Item List'!B:AJ,17,FALSE)</f>
        <v>None</v>
      </c>
      <c r="C206" s="79" t="str">
        <f>VLOOKUP(B206,'Item List'!B:AH,2,FALSE)</f>
        <v>None</v>
      </c>
      <c r="D206" s="79"/>
      <c r="E206" s="570">
        <f>VLOOKUP(B206,'Item List'!B:AM,34,FALSE)</f>
        <v>0</v>
      </c>
      <c r="F206" s="568">
        <f>VLOOKUP(B206,'Item List'!B:AJ,4,FALSE)</f>
        <v>0</v>
      </c>
      <c r="G206" s="568">
        <f t="shared" si="12"/>
        <v>0</v>
      </c>
      <c r="H206" s="606"/>
      <c r="I206" s="607">
        <f>ROUNDUP((E206*'Project Materials'!$H$18),0)</f>
        <v>0</v>
      </c>
      <c r="J206" s="572">
        <f t="shared" si="13"/>
        <v>0</v>
      </c>
    </row>
    <row r="207" spans="1:10" x14ac:dyDescent="0.4">
      <c r="A207" s="667" t="s">
        <v>4</v>
      </c>
      <c r="B207" s="79" t="str">
        <f>VLOOKUP('Area B'!B12,'Item List'!B:AJ,14,FALSE)</f>
        <v>None</v>
      </c>
      <c r="C207" s="79" t="str">
        <f>VLOOKUP(B207,'Item List'!B:AH,2,FALSE)</f>
        <v>None</v>
      </c>
      <c r="D207" s="79"/>
      <c r="E207" s="570">
        <f>VLOOKUP(B207,'Item List'!B:AM,34,FALSE)</f>
        <v>0</v>
      </c>
      <c r="F207" s="568">
        <f>VLOOKUP(B207,'Item List'!B:AJ,4,FALSE)</f>
        <v>0</v>
      </c>
      <c r="G207" s="568">
        <f t="shared" si="12"/>
        <v>0</v>
      </c>
      <c r="H207" s="606"/>
      <c r="I207" s="607">
        <f>ROUNDUP((E207*'Project Materials'!$H$18),0)</f>
        <v>0</v>
      </c>
      <c r="J207" s="572">
        <f t="shared" si="13"/>
        <v>0</v>
      </c>
    </row>
    <row r="208" spans="1:10" x14ac:dyDescent="0.4">
      <c r="A208" s="667" t="s">
        <v>4</v>
      </c>
      <c r="B208" s="79" t="str">
        <f>VLOOKUP('Area B'!B12,'Item List'!B:AJ,15,FALSE)</f>
        <v>None</v>
      </c>
      <c r="C208" s="79" t="str">
        <f>VLOOKUP(B208,'Item List'!B:AH,2,FALSE)</f>
        <v>None</v>
      </c>
      <c r="D208" s="79"/>
      <c r="E208" s="570">
        <f>VLOOKUP(B208,'Item List'!B:AM,34,FALSE)</f>
        <v>0</v>
      </c>
      <c r="F208" s="568">
        <f>VLOOKUP(B208,'Item List'!B:AJ,4,FALSE)</f>
        <v>0</v>
      </c>
      <c r="G208" s="568">
        <f t="shared" si="12"/>
        <v>0</v>
      </c>
      <c r="H208" s="606"/>
      <c r="I208" s="607">
        <f>ROUNDUP((E208*'Project Materials'!$H$18),0)</f>
        <v>0</v>
      </c>
      <c r="J208" s="572">
        <f t="shared" si="13"/>
        <v>0</v>
      </c>
    </row>
    <row r="209" spans="1:10" x14ac:dyDescent="0.4">
      <c r="A209" s="667" t="s">
        <v>4</v>
      </c>
      <c r="B209" s="79" t="str">
        <f>VLOOKUP('Area B'!B12,'Item List'!B:AJ,16,FALSE)</f>
        <v>None</v>
      </c>
      <c r="C209" s="79" t="str">
        <f>VLOOKUP(B209,'Item List'!B:AH,2,FALSE)</f>
        <v>None</v>
      </c>
      <c r="D209" s="79"/>
      <c r="E209" s="570">
        <f>VLOOKUP(B209,'Item List'!B:AM,34,FALSE)</f>
        <v>0</v>
      </c>
      <c r="F209" s="568">
        <f>VLOOKUP(B209,'Item List'!B:AJ,4,FALSE)</f>
        <v>0</v>
      </c>
      <c r="G209" s="568">
        <f t="shared" si="12"/>
        <v>0</v>
      </c>
      <c r="H209" s="606"/>
      <c r="I209" s="607">
        <f>ROUNDUP((E209*'Project Materials'!$H$18),0)</f>
        <v>0</v>
      </c>
      <c r="J209" s="572">
        <f t="shared" si="13"/>
        <v>0</v>
      </c>
    </row>
    <row r="210" spans="1:10" x14ac:dyDescent="0.4">
      <c r="A210" s="667" t="s">
        <v>4</v>
      </c>
      <c r="B210" s="79" t="str">
        <f>VLOOKUP('Area B'!B12,'Item List'!B:AJ,17,FALSE)</f>
        <v>None</v>
      </c>
      <c r="C210" s="79" t="str">
        <f>VLOOKUP(B210,'Item List'!B:AH,2,FALSE)</f>
        <v>None</v>
      </c>
      <c r="D210" s="79"/>
      <c r="E210" s="570">
        <f>VLOOKUP(B210,'Item List'!B:AM,34,FALSE)</f>
        <v>0</v>
      </c>
      <c r="F210" s="568">
        <f>VLOOKUP(B210,'Item List'!B:AJ,4,FALSE)</f>
        <v>0</v>
      </c>
      <c r="G210" s="568">
        <f t="shared" si="12"/>
        <v>0</v>
      </c>
      <c r="H210" s="606"/>
      <c r="I210" s="607">
        <f>ROUNDUP((E210*'Project Materials'!$H$18),0)</f>
        <v>0</v>
      </c>
      <c r="J210" s="572">
        <f t="shared" si="13"/>
        <v>0</v>
      </c>
    </row>
    <row r="211" spans="1:10" x14ac:dyDescent="0.4">
      <c r="A211" s="667" t="s">
        <v>448</v>
      </c>
      <c r="B211" s="79" t="str">
        <f>VLOOKUP('Area B'!B29,'Item List'!B:AJ,14,FALSE)</f>
        <v>None</v>
      </c>
      <c r="C211" s="79" t="str">
        <f>VLOOKUP(B211,'Item List'!B:AH,2,FALSE)</f>
        <v>None</v>
      </c>
      <c r="D211" s="79"/>
      <c r="E211" s="570">
        <f>VLOOKUP(B211,'Item List'!B:AM,34,FALSE)</f>
        <v>0</v>
      </c>
      <c r="F211" s="568">
        <f>VLOOKUP(B211,'Item List'!B:AJ,4,FALSE)</f>
        <v>0</v>
      </c>
      <c r="G211" s="568">
        <f t="shared" si="12"/>
        <v>0</v>
      </c>
      <c r="H211" s="606"/>
      <c r="I211" s="607">
        <f>ROUNDUP((E211*'Project Materials'!$H$18),0)</f>
        <v>0</v>
      </c>
      <c r="J211" s="572">
        <f t="shared" si="13"/>
        <v>0</v>
      </c>
    </row>
    <row r="212" spans="1:10" x14ac:dyDescent="0.4">
      <c r="A212" s="667" t="s">
        <v>448</v>
      </c>
      <c r="B212" s="79" t="str">
        <f>VLOOKUP('Area B'!B29,'Item List'!B:AJ,15,FALSE)</f>
        <v>None</v>
      </c>
      <c r="C212" s="79" t="str">
        <f>VLOOKUP(B212,'Item List'!B:AH,2,FALSE)</f>
        <v>None</v>
      </c>
      <c r="D212" s="79"/>
      <c r="E212" s="570">
        <f>VLOOKUP(B212,'Item List'!B:AM,34,FALSE)</f>
        <v>0</v>
      </c>
      <c r="F212" s="568">
        <f>VLOOKUP(B212,'Item List'!B:AJ,4,FALSE)</f>
        <v>0</v>
      </c>
      <c r="G212" s="568">
        <f t="shared" si="12"/>
        <v>0</v>
      </c>
      <c r="H212" s="606"/>
      <c r="I212" s="607">
        <f>ROUNDUP((E212*'Project Materials'!$H$18),0)</f>
        <v>0</v>
      </c>
      <c r="J212" s="572">
        <f t="shared" si="13"/>
        <v>0</v>
      </c>
    </row>
    <row r="213" spans="1:10" x14ac:dyDescent="0.4">
      <c r="A213" s="667" t="s">
        <v>448</v>
      </c>
      <c r="B213" s="79" t="str">
        <f>VLOOKUP('Area B'!B29,'Item List'!B:AJ,16,FALSE)</f>
        <v>None</v>
      </c>
      <c r="C213" s="79" t="str">
        <f>VLOOKUP(B213,'Item List'!B:AH,2,FALSE)</f>
        <v>None</v>
      </c>
      <c r="D213" s="79"/>
      <c r="E213" s="570">
        <f>VLOOKUP(B213,'Item List'!B:AM,34,FALSE)</f>
        <v>0</v>
      </c>
      <c r="F213" s="568">
        <f>VLOOKUP(B213,'Item List'!B:AJ,4,FALSE)</f>
        <v>0</v>
      </c>
      <c r="G213" s="568">
        <f t="shared" si="12"/>
        <v>0</v>
      </c>
      <c r="H213" s="606"/>
      <c r="I213" s="607">
        <f>ROUNDUP((E213*'Project Materials'!$H$18),0)</f>
        <v>0</v>
      </c>
      <c r="J213" s="572">
        <f t="shared" si="13"/>
        <v>0</v>
      </c>
    </row>
    <row r="214" spans="1:10" x14ac:dyDescent="0.4">
      <c r="A214" s="667" t="s">
        <v>448</v>
      </c>
      <c r="B214" s="79" t="str">
        <f>VLOOKUP('Area B'!B29,'Item List'!B:AJ,17,FALSE)</f>
        <v>None</v>
      </c>
      <c r="C214" s="79" t="str">
        <f>VLOOKUP(B214,'Item List'!B:AH,2,FALSE)</f>
        <v>None</v>
      </c>
      <c r="D214" s="79"/>
      <c r="E214" s="570">
        <f>VLOOKUP(B214,'Item List'!B:AM,34,FALSE)</f>
        <v>0</v>
      </c>
      <c r="F214" s="568">
        <f>VLOOKUP(B214,'Item List'!B:AJ,4,FALSE)</f>
        <v>0</v>
      </c>
      <c r="G214" s="568">
        <f t="shared" si="12"/>
        <v>0</v>
      </c>
      <c r="H214" s="606"/>
      <c r="I214" s="607">
        <f>ROUNDUP((E214*'Project Materials'!$H$18),0)</f>
        <v>0</v>
      </c>
      <c r="J214" s="572">
        <f t="shared" si="13"/>
        <v>0</v>
      </c>
    </row>
    <row r="215" spans="1:10" x14ac:dyDescent="0.4">
      <c r="A215" s="667" t="s">
        <v>448</v>
      </c>
      <c r="B215" s="79" t="str">
        <f>VLOOKUP('Area B'!B30,'Item List'!B:AJ,14,FALSE)</f>
        <v>None</v>
      </c>
      <c r="C215" s="79" t="str">
        <f>VLOOKUP(B215,'Item List'!B:AH,2,FALSE)</f>
        <v>None</v>
      </c>
      <c r="D215" s="79"/>
      <c r="E215" s="570">
        <f>VLOOKUP(B215,'Item List'!B:AM,34,FALSE)</f>
        <v>0</v>
      </c>
      <c r="F215" s="568">
        <f>VLOOKUP(B215,'Item List'!B:AJ,4,FALSE)</f>
        <v>0</v>
      </c>
      <c r="G215" s="568">
        <f t="shared" si="12"/>
        <v>0</v>
      </c>
      <c r="H215" s="606"/>
      <c r="I215" s="607">
        <f>ROUNDUP((E215*'Project Materials'!$H$18),0)</f>
        <v>0</v>
      </c>
      <c r="J215" s="572">
        <f t="shared" si="13"/>
        <v>0</v>
      </c>
    </row>
    <row r="216" spans="1:10" x14ac:dyDescent="0.4">
      <c r="A216" s="667" t="s">
        <v>448</v>
      </c>
      <c r="B216" s="79" t="str">
        <f>VLOOKUP('Area B'!B30,'Item List'!B:AJ,15,FALSE)</f>
        <v>None</v>
      </c>
      <c r="C216" s="79" t="str">
        <f>VLOOKUP(B216,'Item List'!B:AH,2,FALSE)</f>
        <v>None</v>
      </c>
      <c r="D216" s="79"/>
      <c r="E216" s="570">
        <f>VLOOKUP(B216,'Item List'!B:AM,34,FALSE)</f>
        <v>0</v>
      </c>
      <c r="F216" s="568">
        <f>VLOOKUP(B216,'Item List'!B:AJ,4,FALSE)</f>
        <v>0</v>
      </c>
      <c r="G216" s="568">
        <f t="shared" si="12"/>
        <v>0</v>
      </c>
      <c r="H216" s="606"/>
      <c r="I216" s="607">
        <f>ROUNDUP((E216*'Project Materials'!$H$18),0)</f>
        <v>0</v>
      </c>
      <c r="J216" s="572">
        <f t="shared" si="13"/>
        <v>0</v>
      </c>
    </row>
    <row r="217" spans="1:10" x14ac:dyDescent="0.4">
      <c r="A217" s="667" t="s">
        <v>448</v>
      </c>
      <c r="B217" s="79" t="str">
        <f>VLOOKUP('Area B'!B30,'Item List'!B:AJ,16,FALSE)</f>
        <v>None</v>
      </c>
      <c r="C217" s="79" t="str">
        <f>VLOOKUP(B217,'Item List'!B:AH,2,FALSE)</f>
        <v>None</v>
      </c>
      <c r="D217" s="79"/>
      <c r="E217" s="570">
        <f>VLOOKUP(B217,'Item List'!B:AM,34,FALSE)</f>
        <v>0</v>
      </c>
      <c r="F217" s="568">
        <f>VLOOKUP(B217,'Item List'!B:AJ,4,FALSE)</f>
        <v>0</v>
      </c>
      <c r="G217" s="568">
        <f t="shared" si="12"/>
        <v>0</v>
      </c>
      <c r="H217" s="606"/>
      <c r="I217" s="607">
        <f>ROUNDUP((E217*'Project Materials'!$H$18),0)</f>
        <v>0</v>
      </c>
      <c r="J217" s="572">
        <f t="shared" si="13"/>
        <v>0</v>
      </c>
    </row>
    <row r="218" spans="1:10" x14ac:dyDescent="0.4">
      <c r="A218" s="667" t="s">
        <v>448</v>
      </c>
      <c r="B218" s="79" t="str">
        <f>VLOOKUP('Area B'!B30,'Item List'!B:AJ,17,FALSE)</f>
        <v>None</v>
      </c>
      <c r="C218" s="79" t="str">
        <f>VLOOKUP(B218,'Item List'!B:AH,2,FALSE)</f>
        <v>None</v>
      </c>
      <c r="D218" s="79"/>
      <c r="E218" s="570">
        <f>VLOOKUP(B218,'Item List'!B:AM,34,FALSE)</f>
        <v>0</v>
      </c>
      <c r="F218" s="568">
        <f>VLOOKUP(B218,'Item List'!B:AJ,4,FALSE)</f>
        <v>0</v>
      </c>
      <c r="G218" s="568">
        <f t="shared" si="12"/>
        <v>0</v>
      </c>
      <c r="H218" s="606"/>
      <c r="I218" s="607">
        <f>ROUNDUP((E218*'Project Materials'!$H$18),0)</f>
        <v>0</v>
      </c>
      <c r="J218" s="572">
        <f t="shared" si="13"/>
        <v>0</v>
      </c>
    </row>
    <row r="219" spans="1:10" x14ac:dyDescent="0.4">
      <c r="A219" s="667" t="s">
        <v>449</v>
      </c>
      <c r="B219" s="79" t="str">
        <f>VLOOKUP('Area B'!B31,'Item List'!B:AJ,14,FALSE)</f>
        <v>None</v>
      </c>
      <c r="C219" s="79" t="str">
        <f>VLOOKUP(B219,'Item List'!B:AH,2,FALSE)</f>
        <v>None</v>
      </c>
      <c r="D219" s="79"/>
      <c r="E219" s="570">
        <f>VLOOKUP(B219,'Item List'!B:AM,34,FALSE)</f>
        <v>0</v>
      </c>
      <c r="F219" s="568">
        <f>VLOOKUP(B219,'Item List'!B:AJ,4,FALSE)</f>
        <v>0</v>
      </c>
      <c r="G219" s="568">
        <f t="shared" si="12"/>
        <v>0</v>
      </c>
      <c r="H219" s="606"/>
      <c r="I219" s="607">
        <f>ROUNDUP((E219*'Project Materials'!$H$18),0)</f>
        <v>0</v>
      </c>
      <c r="J219" s="572">
        <f t="shared" si="13"/>
        <v>0</v>
      </c>
    </row>
    <row r="220" spans="1:10" x14ac:dyDescent="0.4">
      <c r="A220" s="667" t="s">
        <v>449</v>
      </c>
      <c r="B220" s="79" t="str">
        <f>VLOOKUP('Area B'!B31,'Item List'!B:AJ,15,FALSE)</f>
        <v>None</v>
      </c>
      <c r="C220" s="79" t="str">
        <f>VLOOKUP(B220,'Item List'!B:AH,2,FALSE)</f>
        <v>None</v>
      </c>
      <c r="D220" s="79"/>
      <c r="E220" s="570">
        <f>VLOOKUP(B220,'Item List'!B:AM,34,FALSE)</f>
        <v>0</v>
      </c>
      <c r="F220" s="568">
        <f>VLOOKUP(B220,'Item List'!B:AJ,4,FALSE)</f>
        <v>0</v>
      </c>
      <c r="G220" s="568">
        <f t="shared" si="12"/>
        <v>0</v>
      </c>
      <c r="H220" s="606"/>
      <c r="I220" s="607">
        <f>ROUNDUP((E220*'Project Materials'!$H$18),0)</f>
        <v>0</v>
      </c>
      <c r="J220" s="572">
        <f t="shared" si="13"/>
        <v>0</v>
      </c>
    </row>
    <row r="221" spans="1:10" x14ac:dyDescent="0.4">
      <c r="A221" s="667" t="s">
        <v>449</v>
      </c>
      <c r="B221" s="79" t="str">
        <f>VLOOKUP('Area B'!B31,'Item List'!B:AJ,16,FALSE)</f>
        <v>None</v>
      </c>
      <c r="C221" s="79" t="str">
        <f>VLOOKUP(B221,'Item List'!B:AH,2,FALSE)</f>
        <v>None</v>
      </c>
      <c r="D221" s="79"/>
      <c r="E221" s="570">
        <f>VLOOKUP(B222,'Item List'!B:AM,34,FALSE)</f>
        <v>0</v>
      </c>
      <c r="F221" s="568">
        <f>VLOOKUP(B221,'Item List'!B:AJ,4,FALSE)</f>
        <v>0</v>
      </c>
      <c r="G221" s="568">
        <f t="shared" si="12"/>
        <v>0</v>
      </c>
      <c r="H221" s="606"/>
      <c r="I221" s="607">
        <f>ROUNDUP((E221*'Project Materials'!$H$18),0)</f>
        <v>0</v>
      </c>
      <c r="J221" s="572">
        <f t="shared" si="13"/>
        <v>0</v>
      </c>
    </row>
    <row r="222" spans="1:10" x14ac:dyDescent="0.4">
      <c r="A222" s="667" t="s">
        <v>449</v>
      </c>
      <c r="B222" s="79" t="str">
        <f>VLOOKUP('Area B'!B31,'Item List'!B:AJ,17,FALSE)</f>
        <v>None</v>
      </c>
      <c r="C222" s="79" t="str">
        <f>VLOOKUP(B222,'Item List'!B:AH,2,FALSE)</f>
        <v>None</v>
      </c>
      <c r="D222" s="79"/>
      <c r="E222" s="570">
        <f>VLOOKUP(B222,'Item List'!B:AM,34,FALSE)</f>
        <v>0</v>
      </c>
      <c r="F222" s="568">
        <f>VLOOKUP(B222,'Item List'!B:AJ,4,FALSE)</f>
        <v>0</v>
      </c>
      <c r="G222" s="568">
        <f t="shared" si="12"/>
        <v>0</v>
      </c>
      <c r="H222" s="606"/>
      <c r="I222" s="607">
        <f>ROUNDUP((E222*'Project Materials'!$H$18),0)</f>
        <v>0</v>
      </c>
      <c r="J222" s="572">
        <f t="shared" si="13"/>
        <v>0</v>
      </c>
    </row>
    <row r="223" spans="1:10" x14ac:dyDescent="0.4">
      <c r="A223" s="667" t="s">
        <v>449</v>
      </c>
      <c r="B223" s="79" t="str">
        <f>VLOOKUP('Area B'!B32,'Item List'!B:AJ,14,FALSE)</f>
        <v>None</v>
      </c>
      <c r="C223" s="79" t="str">
        <f>VLOOKUP(B223,'Item List'!B:AH,2,FALSE)</f>
        <v>None</v>
      </c>
      <c r="D223" s="79"/>
      <c r="E223" s="570">
        <f>VLOOKUP(B223,'Item List'!B:AM,34,FALSE)</f>
        <v>0</v>
      </c>
      <c r="F223" s="568">
        <f>VLOOKUP(B223,'Item List'!B:AJ,4,FALSE)</f>
        <v>0</v>
      </c>
      <c r="G223" s="568">
        <f t="shared" si="12"/>
        <v>0</v>
      </c>
      <c r="H223" s="606"/>
      <c r="I223" s="607">
        <f>ROUNDUP((E223*'Project Materials'!$H$18),0)</f>
        <v>0</v>
      </c>
      <c r="J223" s="572">
        <f t="shared" si="13"/>
        <v>0</v>
      </c>
    </row>
    <row r="224" spans="1:10" x14ac:dyDescent="0.4">
      <c r="A224" s="667" t="s">
        <v>449</v>
      </c>
      <c r="B224" s="79" t="str">
        <f>VLOOKUP('Area B'!B32,'Item List'!B:AJ,15,FALSE)</f>
        <v>None</v>
      </c>
      <c r="C224" s="79" t="str">
        <f>VLOOKUP(B224,'Item List'!B:AH,2,FALSE)</f>
        <v>None</v>
      </c>
      <c r="D224" s="79"/>
      <c r="E224" s="570">
        <f>VLOOKUP(B224,'Item List'!B:AM,34,FALSE)</f>
        <v>0</v>
      </c>
      <c r="F224" s="568">
        <f>VLOOKUP(B224,'Item List'!B:AJ,4,FALSE)</f>
        <v>0</v>
      </c>
      <c r="G224" s="568">
        <f t="shared" si="12"/>
        <v>0</v>
      </c>
      <c r="H224" s="606"/>
      <c r="I224" s="607">
        <f>ROUNDUP((E224*'Project Materials'!$H$18),0)</f>
        <v>0</v>
      </c>
      <c r="J224" s="572">
        <f t="shared" si="13"/>
        <v>0</v>
      </c>
    </row>
    <row r="225" spans="1:10" x14ac:dyDescent="0.4">
      <c r="A225" s="667" t="s">
        <v>449</v>
      </c>
      <c r="B225" s="79" t="str">
        <f>VLOOKUP('Area B'!B32,'Item List'!B:AJ,16,FALSE)</f>
        <v>None</v>
      </c>
      <c r="C225" s="79" t="str">
        <f>VLOOKUP(B225,'Item List'!B:AH,2,FALSE)</f>
        <v>None</v>
      </c>
      <c r="D225" s="79"/>
      <c r="E225" s="570">
        <f>VLOOKUP(B225,'Item List'!B:AM,34,FALSE)</f>
        <v>0</v>
      </c>
      <c r="F225" s="568">
        <f>VLOOKUP(B225,'Item List'!B:AJ,4,FALSE)</f>
        <v>0</v>
      </c>
      <c r="G225" s="568">
        <f t="shared" si="12"/>
        <v>0</v>
      </c>
      <c r="H225" s="606"/>
      <c r="I225" s="607">
        <f>ROUNDUP((E225*'Project Materials'!$H$18),0)</f>
        <v>0</v>
      </c>
      <c r="J225" s="572">
        <f t="shared" si="13"/>
        <v>0</v>
      </c>
    </row>
    <row r="226" spans="1:10" x14ac:dyDescent="0.4">
      <c r="A226" s="667" t="s">
        <v>449</v>
      </c>
      <c r="B226" s="79" t="str">
        <f>VLOOKUP('Area B'!B32,'Item List'!B:AJ,17,FALSE)</f>
        <v>None</v>
      </c>
      <c r="C226" s="79" t="str">
        <f>VLOOKUP(B226,'Item List'!B:AH,2,FALSE)</f>
        <v>None</v>
      </c>
      <c r="D226" s="79"/>
      <c r="E226" s="570">
        <f>VLOOKUP(B226,'Item List'!B:AM,34,FALSE)</f>
        <v>0</v>
      </c>
      <c r="F226" s="568">
        <f>VLOOKUP(B226,'Item List'!B:AJ,4,FALSE)</f>
        <v>0</v>
      </c>
      <c r="G226" s="568">
        <f t="shared" si="12"/>
        <v>0</v>
      </c>
      <c r="H226" s="606"/>
      <c r="I226" s="607">
        <f>ROUNDUP((E226*'Project Materials'!$H$18),0)</f>
        <v>0</v>
      </c>
      <c r="J226" s="572">
        <f t="shared" si="13"/>
        <v>0</v>
      </c>
    </row>
    <row r="227" spans="1:10" x14ac:dyDescent="0.4">
      <c r="A227" s="667" t="s">
        <v>450</v>
      </c>
      <c r="B227" s="79" t="str">
        <f>VLOOKUP('Area B'!B33,'Item List'!B:AJ,14,FALSE)</f>
        <v>None</v>
      </c>
      <c r="C227" s="79" t="str">
        <f>VLOOKUP(B227,'Item List'!B:AH,2,FALSE)</f>
        <v>None</v>
      </c>
      <c r="D227" s="79"/>
      <c r="E227" s="570">
        <f>VLOOKUP(B227,'Item List'!B:AM,34,FALSE)</f>
        <v>0</v>
      </c>
      <c r="F227" s="568">
        <f>VLOOKUP(B227,'Item List'!B:AJ,4,FALSE)</f>
        <v>0</v>
      </c>
      <c r="G227" s="568">
        <f t="shared" si="12"/>
        <v>0</v>
      </c>
      <c r="H227" s="606"/>
      <c r="I227" s="607">
        <f>ROUNDUP((E227*'Project Materials'!$H$18),0)</f>
        <v>0</v>
      </c>
      <c r="J227" s="572">
        <f t="shared" si="13"/>
        <v>0</v>
      </c>
    </row>
    <row r="228" spans="1:10" x14ac:dyDescent="0.4">
      <c r="A228" s="667" t="s">
        <v>450</v>
      </c>
      <c r="B228" s="79" t="str">
        <f>VLOOKUP('Area B'!B33,'Item List'!B:AJ,15,FALSE)</f>
        <v>None</v>
      </c>
      <c r="C228" s="79" t="str">
        <f>VLOOKUP(B228,'Item List'!B:AH,2,FALSE)</f>
        <v>None</v>
      </c>
      <c r="D228" s="79"/>
      <c r="E228" s="570">
        <f>VLOOKUP(B228,'Item List'!B:AM,34,FALSE)</f>
        <v>0</v>
      </c>
      <c r="F228" s="568">
        <f>VLOOKUP(B228,'Item List'!B:AJ,4,FALSE)</f>
        <v>0</v>
      </c>
      <c r="G228" s="568">
        <f t="shared" si="12"/>
        <v>0</v>
      </c>
      <c r="H228" s="606"/>
      <c r="I228" s="607">
        <f>ROUNDUP((E228*'Project Materials'!$H$18),0)</f>
        <v>0</v>
      </c>
      <c r="J228" s="572">
        <f t="shared" si="13"/>
        <v>0</v>
      </c>
    </row>
    <row r="229" spans="1:10" x14ac:dyDescent="0.4">
      <c r="A229" s="667" t="s">
        <v>450</v>
      </c>
      <c r="B229" s="79" t="str">
        <f>VLOOKUP('Area B'!B33,'Item List'!B:AJ,16,FALSE)</f>
        <v>None</v>
      </c>
      <c r="C229" s="79" t="str">
        <f>VLOOKUP(B229,'Item List'!B:AH,2,FALSE)</f>
        <v>None</v>
      </c>
      <c r="D229" s="79"/>
      <c r="E229" s="570">
        <f>VLOOKUP(B229,'Item List'!B:AM,34,FALSE)</f>
        <v>0</v>
      </c>
      <c r="F229" s="568">
        <f>VLOOKUP(B229,'Item List'!B:AJ,4,FALSE)</f>
        <v>0</v>
      </c>
      <c r="G229" s="568">
        <f t="shared" si="12"/>
        <v>0</v>
      </c>
      <c r="H229" s="606"/>
      <c r="I229" s="607">
        <f>ROUNDUP((E229*'Project Materials'!$H$18),0)</f>
        <v>0</v>
      </c>
      <c r="J229" s="572">
        <f t="shared" si="13"/>
        <v>0</v>
      </c>
    </row>
    <row r="230" spans="1:10" x14ac:dyDescent="0.4">
      <c r="A230" s="667" t="s">
        <v>450</v>
      </c>
      <c r="B230" s="79" t="str">
        <f>VLOOKUP('Area B'!B33,'Item List'!B:AJ,17,FALSE)</f>
        <v>None</v>
      </c>
      <c r="C230" s="79" t="str">
        <f>VLOOKUP(B230,'Item List'!B:AH,2,FALSE)</f>
        <v>None</v>
      </c>
      <c r="D230" s="79"/>
      <c r="E230" s="570">
        <f>VLOOKUP(B230,'Item List'!B:AM,34,FALSE)</f>
        <v>0</v>
      </c>
      <c r="F230" s="568">
        <f>VLOOKUP(B230,'Item List'!B:AJ,4,FALSE)</f>
        <v>0</v>
      </c>
      <c r="G230" s="568">
        <f t="shared" si="12"/>
        <v>0</v>
      </c>
      <c r="H230" s="606"/>
      <c r="I230" s="607">
        <f>ROUNDUP((E230*'Project Materials'!$H$18),0)</f>
        <v>0</v>
      </c>
      <c r="J230" s="572">
        <f t="shared" si="13"/>
        <v>0</v>
      </c>
    </row>
    <row r="231" spans="1:10" x14ac:dyDescent="0.4">
      <c r="A231" s="667" t="s">
        <v>450</v>
      </c>
      <c r="B231" s="79" t="str">
        <f>VLOOKUP('Area B'!B34,'Item List'!B:AJ,14,FALSE)</f>
        <v>None</v>
      </c>
      <c r="C231" s="79" t="str">
        <f>VLOOKUP(B231,'Item List'!B:AH,2,FALSE)</f>
        <v>None</v>
      </c>
      <c r="D231" s="79"/>
      <c r="E231" s="570">
        <f>VLOOKUP(B231,'Item List'!B:AM,34,FALSE)</f>
        <v>0</v>
      </c>
      <c r="F231" s="568">
        <f>VLOOKUP(B231,'Item List'!B:AJ,4,FALSE)</f>
        <v>0</v>
      </c>
      <c r="G231" s="568">
        <f t="shared" si="12"/>
        <v>0</v>
      </c>
      <c r="H231" s="606"/>
      <c r="I231" s="607">
        <f>ROUNDUP((E231*'Project Materials'!$H$18),0)</f>
        <v>0</v>
      </c>
      <c r="J231" s="572">
        <f t="shared" si="13"/>
        <v>0</v>
      </c>
    </row>
    <row r="232" spans="1:10" x14ac:dyDescent="0.4">
      <c r="A232" s="667" t="s">
        <v>450</v>
      </c>
      <c r="B232" s="79" t="str">
        <f>VLOOKUP('Area B'!B34,'Item List'!B:AJ,15,FALSE)</f>
        <v>None</v>
      </c>
      <c r="C232" s="79" t="str">
        <f>VLOOKUP(B232,'Item List'!B:AH,2,FALSE)</f>
        <v>None</v>
      </c>
      <c r="D232" s="79"/>
      <c r="E232" s="570">
        <f>VLOOKUP(B232,'Item List'!B:AM,34,FALSE)</f>
        <v>0</v>
      </c>
      <c r="F232" s="568">
        <f>VLOOKUP(B232,'Item List'!B:AJ,4,FALSE)</f>
        <v>0</v>
      </c>
      <c r="G232" s="568">
        <f t="shared" si="12"/>
        <v>0</v>
      </c>
      <c r="H232" s="606"/>
      <c r="I232" s="607">
        <f>ROUNDUP((E232*'Project Materials'!$H$18),0)</f>
        <v>0</v>
      </c>
      <c r="J232" s="572">
        <f t="shared" si="13"/>
        <v>0</v>
      </c>
    </row>
    <row r="233" spans="1:10" x14ac:dyDescent="0.4">
      <c r="A233" s="667" t="s">
        <v>450</v>
      </c>
      <c r="B233" s="79" t="str">
        <f>VLOOKUP('Area B'!B34,'Item List'!B:AJ,16,FALSE)</f>
        <v>None</v>
      </c>
      <c r="C233" s="79" t="str">
        <f>VLOOKUP(B233,'Item List'!B:AH,2,FALSE)</f>
        <v>None</v>
      </c>
      <c r="D233" s="79"/>
      <c r="E233" s="570">
        <f>VLOOKUP(B233,'Item List'!B:AM,34,FALSE)</f>
        <v>0</v>
      </c>
      <c r="F233" s="568">
        <f>VLOOKUP(B233,'Item List'!B:AJ,4,FALSE)</f>
        <v>0</v>
      </c>
      <c r="G233" s="568">
        <f t="shared" si="12"/>
        <v>0</v>
      </c>
      <c r="H233" s="606"/>
      <c r="I233" s="607">
        <f>ROUNDUP((E233*'Project Materials'!$H$18),0)</f>
        <v>0</v>
      </c>
      <c r="J233" s="572">
        <f t="shared" si="13"/>
        <v>0</v>
      </c>
    </row>
    <row r="234" spans="1:10" x14ac:dyDescent="0.4">
      <c r="A234" s="667" t="s">
        <v>450</v>
      </c>
      <c r="B234" s="79" t="str">
        <f>VLOOKUP('Area B'!B34,'Item List'!B:AJ,17,FALSE)</f>
        <v>None</v>
      </c>
      <c r="C234" s="79" t="str">
        <f>VLOOKUP(B234,'Item List'!B:AH,2,FALSE)</f>
        <v>None</v>
      </c>
      <c r="D234" s="79"/>
      <c r="E234" s="570">
        <f>VLOOKUP(B234,'Item List'!B:AM,34,FALSE)</f>
        <v>0</v>
      </c>
      <c r="F234" s="568">
        <f>VLOOKUP(B234,'Item List'!B:AJ,4,FALSE)</f>
        <v>0</v>
      </c>
      <c r="G234" s="568">
        <f t="shared" si="12"/>
        <v>0</v>
      </c>
      <c r="H234" s="606"/>
      <c r="I234" s="607">
        <f>ROUNDUP((E234*'Project Materials'!$H$18),0)</f>
        <v>0</v>
      </c>
      <c r="J234" s="572">
        <f t="shared" si="13"/>
        <v>0</v>
      </c>
    </row>
    <row r="235" spans="1:10" x14ac:dyDescent="0.4">
      <c r="A235" s="667" t="s">
        <v>451</v>
      </c>
      <c r="B235" s="79" t="str">
        <f>VLOOKUP('Area B'!B35,'Item List'!B:AJ,14,FALSE)</f>
        <v>None</v>
      </c>
      <c r="C235" s="79" t="str">
        <f>VLOOKUP(B235,'Item List'!B:AH,2,FALSE)</f>
        <v>None</v>
      </c>
      <c r="D235" s="79"/>
      <c r="E235" s="570">
        <f>VLOOKUP(B235,'Item List'!B:AM,34,FALSE)</f>
        <v>0</v>
      </c>
      <c r="F235" s="568">
        <f>VLOOKUP(B235,'Item List'!B:AJ,4,FALSE)</f>
        <v>0</v>
      </c>
      <c r="G235" s="568">
        <f t="shared" si="12"/>
        <v>0</v>
      </c>
      <c r="H235" s="606"/>
      <c r="I235" s="607">
        <f>ROUNDUP((E235*'Project Materials'!$H$18),0)</f>
        <v>0</v>
      </c>
      <c r="J235" s="572">
        <f t="shared" si="13"/>
        <v>0</v>
      </c>
    </row>
    <row r="236" spans="1:10" x14ac:dyDescent="0.4">
      <c r="A236" s="667" t="s">
        <v>451</v>
      </c>
      <c r="B236" s="79" t="str">
        <f>VLOOKUP('Area B'!B35,'Item List'!B:AJ,15,FALSE)</f>
        <v>None</v>
      </c>
      <c r="C236" s="79" t="str">
        <f>VLOOKUP(B236,'Item List'!B:AH,2,FALSE)</f>
        <v>None</v>
      </c>
      <c r="D236" s="79"/>
      <c r="E236" s="570">
        <f>VLOOKUP(B236,'Item List'!B:AM,34,FALSE)</f>
        <v>0</v>
      </c>
      <c r="F236" s="568">
        <f>VLOOKUP(B236,'Item List'!B:AJ,4,FALSE)</f>
        <v>0</v>
      </c>
      <c r="G236" s="568">
        <f t="shared" si="12"/>
        <v>0</v>
      </c>
      <c r="H236" s="606"/>
      <c r="I236" s="607">
        <f>ROUNDUP((E236*'Project Materials'!$H$18),0)</f>
        <v>0</v>
      </c>
      <c r="J236" s="572">
        <f t="shared" si="13"/>
        <v>0</v>
      </c>
    </row>
    <row r="237" spans="1:10" x14ac:dyDescent="0.4">
      <c r="A237" s="667" t="s">
        <v>451</v>
      </c>
      <c r="B237" s="79" t="str">
        <f>VLOOKUP('Area B'!B35,'Item List'!B:AJ,16,FALSE)</f>
        <v>None</v>
      </c>
      <c r="C237" s="79" t="str">
        <f>VLOOKUP(B237,'Item List'!B:AH,2,FALSE)</f>
        <v>None</v>
      </c>
      <c r="D237" s="79"/>
      <c r="E237" s="570">
        <f>VLOOKUP(B237,'Item List'!B:AM,34,FALSE)</f>
        <v>0</v>
      </c>
      <c r="F237" s="568">
        <f>VLOOKUP(B237,'Item List'!B:AJ,4,FALSE)</f>
        <v>0</v>
      </c>
      <c r="G237" s="568">
        <f t="shared" si="12"/>
        <v>0</v>
      </c>
      <c r="H237" s="606"/>
      <c r="I237" s="607">
        <f>ROUNDUP((E237*'Project Materials'!$H$18),0)</f>
        <v>0</v>
      </c>
      <c r="J237" s="572">
        <f t="shared" si="13"/>
        <v>0</v>
      </c>
    </row>
    <row r="238" spans="1:10" x14ac:dyDescent="0.4">
      <c r="A238" s="667" t="s">
        <v>451</v>
      </c>
      <c r="B238" s="79" t="str">
        <f>VLOOKUP('Area B'!B35,'Item List'!B:AJ,17,FALSE)</f>
        <v>None</v>
      </c>
      <c r="C238" s="79" t="str">
        <f>VLOOKUP(B238,'Item List'!B:AH,2,FALSE)</f>
        <v>None</v>
      </c>
      <c r="D238" s="79"/>
      <c r="E238" s="570">
        <f>VLOOKUP(B238,'Item List'!B:AM,34,FALSE)</f>
        <v>0</v>
      </c>
      <c r="F238" s="568">
        <f>VLOOKUP(B238,'Item List'!B:AJ,4,FALSE)</f>
        <v>0</v>
      </c>
      <c r="G238" s="568">
        <f t="shared" si="12"/>
        <v>0</v>
      </c>
      <c r="H238" s="606"/>
      <c r="I238" s="607">
        <f>ROUNDUP((E238*'Project Materials'!$H$18),0)</f>
        <v>0</v>
      </c>
      <c r="J238" s="572">
        <f t="shared" si="13"/>
        <v>0</v>
      </c>
    </row>
    <row r="239" spans="1:10" x14ac:dyDescent="0.4">
      <c r="A239" s="667" t="s">
        <v>451</v>
      </c>
      <c r="B239" s="79" t="str">
        <f>VLOOKUP('Area B'!B36,'Item List'!B:AJ,14,FALSE)</f>
        <v>None</v>
      </c>
      <c r="C239" s="79" t="str">
        <f>VLOOKUP(B239,'Item List'!B:AH,2,FALSE)</f>
        <v>None</v>
      </c>
      <c r="D239" s="79"/>
      <c r="E239" s="570">
        <f>VLOOKUP(B239,'Item List'!B:AM,34,FALSE)</f>
        <v>0</v>
      </c>
      <c r="F239" s="568">
        <f>VLOOKUP(B239,'Item List'!B:AJ,4,FALSE)</f>
        <v>0</v>
      </c>
      <c r="G239" s="568">
        <f t="shared" si="12"/>
        <v>0</v>
      </c>
      <c r="H239" s="606"/>
      <c r="I239" s="607">
        <f>ROUNDUP((E239*'Project Materials'!$H$18),0)</f>
        <v>0</v>
      </c>
      <c r="J239" s="572">
        <f t="shared" si="13"/>
        <v>0</v>
      </c>
    </row>
    <row r="240" spans="1:10" x14ac:dyDescent="0.4">
      <c r="A240" s="667" t="s">
        <v>451</v>
      </c>
      <c r="B240" s="79" t="str">
        <f>VLOOKUP('Area B'!B36,'Item List'!B:AJ,15,FALSE)</f>
        <v>None</v>
      </c>
      <c r="C240" s="79" t="str">
        <f>VLOOKUP(B240,'Item List'!B:AH,2,FALSE)</f>
        <v>None</v>
      </c>
      <c r="D240" s="79"/>
      <c r="E240" s="570">
        <f>VLOOKUP(B240,'Item List'!B:AM,34,FALSE)</f>
        <v>0</v>
      </c>
      <c r="F240" s="568">
        <f>VLOOKUP(B240,'Item List'!B:AJ,4,FALSE)</f>
        <v>0</v>
      </c>
      <c r="G240" s="568">
        <f t="shared" si="12"/>
        <v>0</v>
      </c>
      <c r="H240" s="606"/>
      <c r="I240" s="607">
        <f>ROUNDUP((E240*'Project Materials'!$H$18),0)</f>
        <v>0</v>
      </c>
      <c r="J240" s="572">
        <f t="shared" si="13"/>
        <v>0</v>
      </c>
    </row>
    <row r="241" spans="1:10" x14ac:dyDescent="0.4">
      <c r="A241" s="667" t="s">
        <v>451</v>
      </c>
      <c r="B241" s="79" t="str">
        <f>VLOOKUP('Area B'!B36,'Item List'!B:AJ,16,FALSE)</f>
        <v>None</v>
      </c>
      <c r="C241" s="79" t="str">
        <f>VLOOKUP(B241,'Item List'!B:AH,2,FALSE)</f>
        <v>None</v>
      </c>
      <c r="D241" s="79"/>
      <c r="E241" s="570">
        <f>VLOOKUP(B241,'Item List'!B:AM,34,FALSE)</f>
        <v>0</v>
      </c>
      <c r="F241" s="568">
        <f>VLOOKUP(B241,'Item List'!B:AJ,4,FALSE)</f>
        <v>0</v>
      </c>
      <c r="G241" s="568">
        <f t="shared" si="12"/>
        <v>0</v>
      </c>
      <c r="H241" s="606"/>
      <c r="I241" s="607">
        <f>ROUNDUP((E241*'Project Materials'!$H$18),0)</f>
        <v>0</v>
      </c>
      <c r="J241" s="572">
        <f t="shared" si="13"/>
        <v>0</v>
      </c>
    </row>
    <row r="242" spans="1:10" x14ac:dyDescent="0.4">
      <c r="A242" s="667" t="s">
        <v>451</v>
      </c>
      <c r="B242" s="79" t="str">
        <f>VLOOKUP('Area B'!B36,'Item List'!B:AJ,17,FALSE)</f>
        <v>None</v>
      </c>
      <c r="C242" s="79" t="str">
        <f>VLOOKUP(B242,'Item List'!B:AH,2,FALSE)</f>
        <v>None</v>
      </c>
      <c r="D242" s="79"/>
      <c r="E242" s="570">
        <f>VLOOKUP(B242,'Item List'!B:AM,34,FALSE)</f>
        <v>0</v>
      </c>
      <c r="F242" s="568">
        <f>VLOOKUP(B242,'Item List'!B:AJ,4,FALSE)</f>
        <v>0</v>
      </c>
      <c r="G242" s="568">
        <f t="shared" si="12"/>
        <v>0</v>
      </c>
      <c r="H242" s="606"/>
      <c r="I242" s="607">
        <f>ROUNDUP((E242*'Project Materials'!$H$18),0)</f>
        <v>0</v>
      </c>
      <c r="J242" s="572">
        <f t="shared" si="13"/>
        <v>0</v>
      </c>
    </row>
    <row r="243" spans="1:10" x14ac:dyDescent="0.4">
      <c r="A243" s="667" t="s">
        <v>452</v>
      </c>
      <c r="B243" s="79" t="str">
        <f>VLOOKUP('Area B'!B40,'Item List'!B:AJ,14,FALSE)</f>
        <v>None</v>
      </c>
      <c r="C243" s="79" t="str">
        <f>VLOOKUP(B243,'Item List'!B:AH,2,FALSE)</f>
        <v>None</v>
      </c>
      <c r="D243" s="79"/>
      <c r="E243" s="570">
        <f>VLOOKUP(B243,'Item List'!B:AM,34,FALSE)</f>
        <v>0</v>
      </c>
      <c r="F243" s="568">
        <f>VLOOKUP(B243,'Item List'!B:AJ,4,FALSE)</f>
        <v>0</v>
      </c>
      <c r="G243" s="568">
        <f t="shared" si="12"/>
        <v>0</v>
      </c>
      <c r="H243" s="606"/>
      <c r="I243" s="607">
        <f>ROUNDUP((E243*'Project Materials'!$H$18),0)</f>
        <v>0</v>
      </c>
      <c r="J243" s="572">
        <f t="shared" si="13"/>
        <v>0</v>
      </c>
    </row>
    <row r="244" spans="1:10" x14ac:dyDescent="0.4">
      <c r="A244" s="667" t="s">
        <v>452</v>
      </c>
      <c r="B244" s="79" t="str">
        <f>VLOOKUP('Area B'!B40,'Item List'!B:AJ,15,FALSE)</f>
        <v>None</v>
      </c>
      <c r="C244" s="79" t="str">
        <f>VLOOKUP(B244,'Item List'!B:AH,2,FALSE)</f>
        <v>None</v>
      </c>
      <c r="D244" s="79"/>
      <c r="E244" s="570">
        <f>VLOOKUP(B244,'Item List'!B:AM,34,FALSE)</f>
        <v>0</v>
      </c>
      <c r="F244" s="568">
        <f>VLOOKUP(B244,'Item List'!B:AJ,4,FALSE)</f>
        <v>0</v>
      </c>
      <c r="G244" s="568">
        <f t="shared" si="12"/>
        <v>0</v>
      </c>
      <c r="H244" s="606"/>
      <c r="I244" s="607">
        <f>ROUNDUP((E244*'Project Materials'!$H$18),0)</f>
        <v>0</v>
      </c>
      <c r="J244" s="572">
        <f t="shared" si="13"/>
        <v>0</v>
      </c>
    </row>
    <row r="245" spans="1:10" x14ac:dyDescent="0.4">
      <c r="A245" s="667" t="s">
        <v>452</v>
      </c>
      <c r="B245" s="79" t="str">
        <f>VLOOKUP('Area B'!B40,'Item List'!B:AJ,16,FALSE)</f>
        <v>None</v>
      </c>
      <c r="C245" s="79" t="str">
        <f>VLOOKUP(B245,'Item List'!B:AH,2,FALSE)</f>
        <v>None</v>
      </c>
      <c r="D245" s="79"/>
      <c r="E245" s="570">
        <f>VLOOKUP(B245,'Item List'!B:AM,34,FALSE)</f>
        <v>0</v>
      </c>
      <c r="F245" s="568">
        <f>VLOOKUP(B245,'Item List'!B:AJ,4,FALSE)</f>
        <v>0</v>
      </c>
      <c r="G245" s="568">
        <f t="shared" si="12"/>
        <v>0</v>
      </c>
      <c r="H245" s="606"/>
      <c r="I245" s="607">
        <f>ROUNDUP((E245*'Project Materials'!$H$18),0)</f>
        <v>0</v>
      </c>
      <c r="J245" s="572">
        <f t="shared" si="13"/>
        <v>0</v>
      </c>
    </row>
    <row r="246" spans="1:10" x14ac:dyDescent="0.4">
      <c r="A246" s="667" t="s">
        <v>452</v>
      </c>
      <c r="B246" s="79" t="str">
        <f>VLOOKUP('Area B'!B40,'Item List'!B:AJ,17,FALSE)</f>
        <v>None</v>
      </c>
      <c r="C246" s="79" t="str">
        <f>VLOOKUP(B246,'Item List'!B:AH,2,FALSE)</f>
        <v>None</v>
      </c>
      <c r="D246" s="79"/>
      <c r="E246" s="570">
        <f>VLOOKUP(B246,'Item List'!B:AM,34,FALSE)</f>
        <v>0</v>
      </c>
      <c r="F246" s="568">
        <f>VLOOKUP(B246,'Item List'!B:AJ,4,FALSE)</f>
        <v>0</v>
      </c>
      <c r="G246" s="568">
        <f t="shared" si="12"/>
        <v>0</v>
      </c>
      <c r="H246" s="606"/>
      <c r="I246" s="607">
        <f>ROUNDUP((E246*'Project Materials'!$H$18),0)</f>
        <v>0</v>
      </c>
      <c r="J246" s="572">
        <f t="shared" si="13"/>
        <v>0</v>
      </c>
    </row>
    <row r="247" spans="1:10" x14ac:dyDescent="0.4">
      <c r="A247" s="667" t="s">
        <v>453</v>
      </c>
      <c r="B247" s="79" t="str">
        <f>VLOOKUP('Area B'!B41,'Item List'!B:AJ,14,FALSE)</f>
        <v>None</v>
      </c>
      <c r="C247" s="79" t="str">
        <f>VLOOKUP(B247,'Item List'!B:AH,2,FALSE)</f>
        <v>None</v>
      </c>
      <c r="D247" s="79"/>
      <c r="E247" s="570">
        <f>VLOOKUP(B247,'Item List'!B:AM,34,FALSE)</f>
        <v>0</v>
      </c>
      <c r="F247" s="568">
        <f>VLOOKUP(B247,'Item List'!B:AJ,4,FALSE)</f>
        <v>0</v>
      </c>
      <c r="G247" s="568">
        <f t="shared" ref="G247:G265" si="14">F247*E247</f>
        <v>0</v>
      </c>
      <c r="H247" s="606"/>
      <c r="I247" s="607">
        <f>ROUNDUP((E247*'Project Materials'!$H$18),0)</f>
        <v>0</v>
      </c>
      <c r="J247" s="572">
        <f t="shared" si="13"/>
        <v>0</v>
      </c>
    </row>
    <row r="248" spans="1:10" x14ac:dyDescent="0.4">
      <c r="A248" s="667" t="s">
        <v>453</v>
      </c>
      <c r="B248" s="79" t="str">
        <f>VLOOKUP('Area B'!B41,'Item List'!B:AJ,15,FALSE)</f>
        <v>None</v>
      </c>
      <c r="C248" s="79" t="str">
        <f>VLOOKUP(B248,'Item List'!B:AH,2,FALSE)</f>
        <v>None</v>
      </c>
      <c r="D248" s="79"/>
      <c r="E248" s="570">
        <f>VLOOKUP(B248,'Item List'!B:AM,34,FALSE)</f>
        <v>0</v>
      </c>
      <c r="F248" s="568">
        <f>VLOOKUP(B248,'Item List'!B:AJ,4,FALSE)</f>
        <v>0</v>
      </c>
      <c r="G248" s="568">
        <f t="shared" si="14"/>
        <v>0</v>
      </c>
      <c r="H248" s="606"/>
      <c r="I248" s="607">
        <f>ROUNDUP((E248*'Project Materials'!$H$18),0)</f>
        <v>0</v>
      </c>
      <c r="J248" s="572">
        <f t="shared" si="13"/>
        <v>0</v>
      </c>
    </row>
    <row r="249" spans="1:10" x14ac:dyDescent="0.4">
      <c r="A249" s="667" t="s">
        <v>453</v>
      </c>
      <c r="B249" s="79" t="str">
        <f>VLOOKUP('Area B'!B41,'Item List'!B:AJ,16,FALSE)</f>
        <v>None</v>
      </c>
      <c r="C249" s="79" t="str">
        <f>VLOOKUP(B249,'Item List'!B:AH,2,FALSE)</f>
        <v>None</v>
      </c>
      <c r="D249" s="79"/>
      <c r="E249" s="570">
        <f>VLOOKUP(B249,'Item List'!B:AM,34,FALSE)</f>
        <v>0</v>
      </c>
      <c r="F249" s="568">
        <f>VLOOKUP(B249,'Item List'!B:AJ,4,FALSE)</f>
        <v>0</v>
      </c>
      <c r="G249" s="568">
        <f t="shared" si="14"/>
        <v>0</v>
      </c>
      <c r="H249" s="606"/>
      <c r="I249" s="607">
        <f>ROUNDUP((E249*'Project Materials'!$H$18),0)</f>
        <v>0</v>
      </c>
      <c r="J249" s="572">
        <f t="shared" si="13"/>
        <v>0</v>
      </c>
    </row>
    <row r="250" spans="1:10" x14ac:dyDescent="0.4">
      <c r="A250" s="667" t="s">
        <v>453</v>
      </c>
      <c r="B250" s="79" t="str">
        <f>VLOOKUP('Area B'!B41,'Item List'!B:AJ,17,FALSE)</f>
        <v>None</v>
      </c>
      <c r="C250" s="79" t="str">
        <f>VLOOKUP(B250,'Item List'!B:AH,2,FALSE)</f>
        <v>None</v>
      </c>
      <c r="D250" s="79"/>
      <c r="E250" s="570">
        <f>VLOOKUP(B250,'Item List'!B:AM,34,FALSE)</f>
        <v>0</v>
      </c>
      <c r="F250" s="568">
        <f>VLOOKUP(B250,'Item List'!B:AJ,4,FALSE)</f>
        <v>0</v>
      </c>
      <c r="G250" s="568">
        <f t="shared" si="14"/>
        <v>0</v>
      </c>
      <c r="H250" s="606"/>
      <c r="I250" s="607">
        <f>ROUNDUP((E250*'Project Materials'!$H$18),0)</f>
        <v>0</v>
      </c>
      <c r="J250" s="572">
        <f t="shared" si="13"/>
        <v>0</v>
      </c>
    </row>
    <row r="251" spans="1:10" x14ac:dyDescent="0.4">
      <c r="A251" s="667" t="s">
        <v>457</v>
      </c>
      <c r="B251" s="390" t="s">
        <v>418</v>
      </c>
      <c r="C251" s="79" t="str">
        <f>VLOOKUP(B251,'Item List'!B:AH,2,FALSE)</f>
        <v>None</v>
      </c>
      <c r="D251" s="79"/>
      <c r="E251" s="397">
        <v>0</v>
      </c>
      <c r="F251" s="568">
        <f>VLOOKUP(B251,'Item List'!B:AJ,4,FALSE)</f>
        <v>0</v>
      </c>
      <c r="G251" s="568">
        <f t="shared" si="14"/>
        <v>0</v>
      </c>
      <c r="H251" s="606"/>
      <c r="I251" s="607">
        <f>ROUNDUP((E251*'Project Materials'!$H$18),0)</f>
        <v>0</v>
      </c>
      <c r="J251" s="572">
        <f t="shared" si="13"/>
        <v>0</v>
      </c>
    </row>
    <row r="252" spans="1:10" x14ac:dyDescent="0.4">
      <c r="A252" s="667" t="s">
        <v>457</v>
      </c>
      <c r="B252" s="390" t="s">
        <v>418</v>
      </c>
      <c r="C252" s="79" t="str">
        <f>VLOOKUP(B252,'Item List'!B:AH,2,FALSE)</f>
        <v>None</v>
      </c>
      <c r="D252" s="79"/>
      <c r="E252" s="397">
        <v>0</v>
      </c>
      <c r="F252" s="568">
        <f>VLOOKUP(B252,'Item List'!B:AJ,4,FALSE)</f>
        <v>0</v>
      </c>
      <c r="G252" s="568">
        <f t="shared" si="14"/>
        <v>0</v>
      </c>
      <c r="H252" s="606"/>
      <c r="I252" s="607">
        <f>ROUNDUP((E252*'Project Materials'!$H$18),0)</f>
        <v>0</v>
      </c>
      <c r="J252" s="572">
        <f t="shared" ref="J252:J265" si="15">G252+(I252*F252)</f>
        <v>0</v>
      </c>
    </row>
    <row r="253" spans="1:10" x14ac:dyDescent="0.4">
      <c r="A253" s="667" t="s">
        <v>457</v>
      </c>
      <c r="B253" s="390" t="s">
        <v>418</v>
      </c>
      <c r="C253" s="79" t="str">
        <f>VLOOKUP(B253,'Item List'!B:AH,2,FALSE)</f>
        <v>None</v>
      </c>
      <c r="D253" s="79"/>
      <c r="E253" s="397">
        <v>0</v>
      </c>
      <c r="F253" s="568">
        <f>VLOOKUP(B253,'Item List'!B:AJ,4,FALSE)</f>
        <v>0</v>
      </c>
      <c r="G253" s="568">
        <f t="shared" si="14"/>
        <v>0</v>
      </c>
      <c r="H253" s="606"/>
      <c r="I253" s="607">
        <f>ROUNDUP((E253*'Project Materials'!$H$18),0)</f>
        <v>0</v>
      </c>
      <c r="J253" s="572">
        <f t="shared" si="15"/>
        <v>0</v>
      </c>
    </row>
    <row r="254" spans="1:10" x14ac:dyDescent="0.4">
      <c r="A254" s="667" t="s">
        <v>457</v>
      </c>
      <c r="B254" s="390" t="s">
        <v>418</v>
      </c>
      <c r="C254" s="79" t="str">
        <f>VLOOKUP(B254,'Item List'!B:AH,2,FALSE)</f>
        <v>None</v>
      </c>
      <c r="D254" s="79"/>
      <c r="E254" s="397">
        <v>0</v>
      </c>
      <c r="F254" s="568">
        <f>VLOOKUP(B254,'Item List'!B:AJ,4,FALSE)</f>
        <v>0</v>
      </c>
      <c r="G254" s="568">
        <f t="shared" si="14"/>
        <v>0</v>
      </c>
      <c r="H254" s="606"/>
      <c r="I254" s="607">
        <f>ROUNDUP((E254*'Project Materials'!$H$18),0)</f>
        <v>0</v>
      </c>
      <c r="J254" s="572">
        <f t="shared" si="15"/>
        <v>0</v>
      </c>
    </row>
    <row r="255" spans="1:10" x14ac:dyDescent="0.4">
      <c r="A255" s="667" t="s">
        <v>457</v>
      </c>
      <c r="B255" s="390" t="s">
        <v>418</v>
      </c>
      <c r="C255" s="79" t="str">
        <f>VLOOKUP(B255,'Item List'!B:AH,2,FALSE)</f>
        <v>None</v>
      </c>
      <c r="D255" s="79"/>
      <c r="E255" s="397">
        <v>0</v>
      </c>
      <c r="F255" s="568">
        <f>VLOOKUP(B255,'Item List'!B:AJ,4,FALSE)</f>
        <v>0</v>
      </c>
      <c r="G255" s="568">
        <f t="shared" si="14"/>
        <v>0</v>
      </c>
      <c r="H255" s="606"/>
      <c r="I255" s="607">
        <f>ROUNDUP((E255*'Project Materials'!$H$18),0)</f>
        <v>0</v>
      </c>
      <c r="J255" s="572">
        <f t="shared" si="15"/>
        <v>0</v>
      </c>
    </row>
    <row r="256" spans="1:10" x14ac:dyDescent="0.4">
      <c r="A256" s="667" t="s">
        <v>457</v>
      </c>
      <c r="B256" s="390" t="s">
        <v>418</v>
      </c>
      <c r="C256" s="79" t="str">
        <f>VLOOKUP(B256,'Item List'!B:AH,2,FALSE)</f>
        <v>None</v>
      </c>
      <c r="D256" s="79"/>
      <c r="E256" s="397">
        <v>0</v>
      </c>
      <c r="F256" s="568">
        <f>VLOOKUP(B256,'Item List'!B:AJ,4,FALSE)</f>
        <v>0</v>
      </c>
      <c r="G256" s="568">
        <f t="shared" ref="G256:G263" si="16">F256*E256</f>
        <v>0</v>
      </c>
      <c r="H256" s="606"/>
      <c r="I256" s="607">
        <f>ROUNDUP((E256*'Project Materials'!$H$18),0)</f>
        <v>0</v>
      </c>
      <c r="J256" s="572">
        <f t="shared" si="15"/>
        <v>0</v>
      </c>
    </row>
    <row r="257" spans="1:10" x14ac:dyDescent="0.4">
      <c r="A257" s="667" t="s">
        <v>498</v>
      </c>
      <c r="B257" s="395"/>
      <c r="C257" s="395"/>
      <c r="D257" s="388"/>
      <c r="E257" s="388"/>
      <c r="F257" s="396"/>
      <c r="G257" s="568">
        <f t="shared" si="16"/>
        <v>0</v>
      </c>
      <c r="H257" s="606"/>
      <c r="I257" s="607">
        <f>ROUNDUP((E257*'Project Materials'!$H$18),0)</f>
        <v>0</v>
      </c>
      <c r="J257" s="572">
        <f t="shared" si="15"/>
        <v>0</v>
      </c>
    </row>
    <row r="258" spans="1:10" ht="18" customHeight="1" x14ac:dyDescent="0.4">
      <c r="A258" s="667" t="s">
        <v>498</v>
      </c>
      <c r="B258" s="395"/>
      <c r="C258" s="395"/>
      <c r="D258" s="388"/>
      <c r="E258" s="388"/>
      <c r="F258" s="396"/>
      <c r="G258" s="568">
        <f t="shared" si="16"/>
        <v>0</v>
      </c>
      <c r="H258" s="606"/>
      <c r="I258" s="607">
        <f>ROUNDUP((E258*'Project Materials'!$H$18),0)</f>
        <v>0</v>
      </c>
      <c r="J258" s="572">
        <f t="shared" si="15"/>
        <v>0</v>
      </c>
    </row>
    <row r="259" spans="1:10" x14ac:dyDescent="0.4">
      <c r="A259" s="667" t="s">
        <v>498</v>
      </c>
      <c r="B259" s="395"/>
      <c r="C259" s="395"/>
      <c r="D259" s="388"/>
      <c r="E259" s="388"/>
      <c r="F259" s="396"/>
      <c r="G259" s="568">
        <f t="shared" si="16"/>
        <v>0</v>
      </c>
      <c r="H259" s="606"/>
      <c r="I259" s="607">
        <f>ROUNDUP((E259*'Project Materials'!$H$18),0)</f>
        <v>0</v>
      </c>
      <c r="J259" s="572">
        <f t="shared" si="15"/>
        <v>0</v>
      </c>
    </row>
    <row r="260" spans="1:10" x14ac:dyDescent="0.4">
      <c r="A260" s="667" t="s">
        <v>498</v>
      </c>
      <c r="B260" s="395"/>
      <c r="C260" s="395"/>
      <c r="D260" s="388"/>
      <c r="E260" s="388"/>
      <c r="F260" s="396"/>
      <c r="G260" s="568">
        <f t="shared" si="16"/>
        <v>0</v>
      </c>
      <c r="H260" s="606"/>
      <c r="I260" s="607">
        <f>ROUNDUP((E260*'Project Materials'!$H$18),0)</f>
        <v>0</v>
      </c>
      <c r="J260" s="572">
        <f t="shared" si="15"/>
        <v>0</v>
      </c>
    </row>
    <row r="261" spans="1:10" x14ac:dyDescent="0.4">
      <c r="A261" s="667" t="s">
        <v>498</v>
      </c>
      <c r="B261" s="395"/>
      <c r="C261" s="395"/>
      <c r="D261" s="388"/>
      <c r="E261" s="388"/>
      <c r="F261" s="396"/>
      <c r="G261" s="568">
        <f t="shared" si="16"/>
        <v>0</v>
      </c>
      <c r="H261" s="606"/>
      <c r="I261" s="607">
        <f>ROUNDUP((E261*'Project Materials'!$H$18),0)</f>
        <v>0</v>
      </c>
      <c r="J261" s="572">
        <f t="shared" si="15"/>
        <v>0</v>
      </c>
    </row>
    <row r="262" spans="1:10" ht="18" customHeight="1" x14ac:dyDescent="0.4">
      <c r="A262" s="667" t="s">
        <v>498</v>
      </c>
      <c r="B262" s="395"/>
      <c r="C262" s="395"/>
      <c r="D262" s="388"/>
      <c r="E262" s="388"/>
      <c r="F262" s="396"/>
      <c r="G262" s="568">
        <f t="shared" si="16"/>
        <v>0</v>
      </c>
      <c r="H262" s="606"/>
      <c r="I262" s="607">
        <f>ROUNDUP((E262*'Project Materials'!$H$18),0)</f>
        <v>0</v>
      </c>
      <c r="J262" s="572">
        <f t="shared" si="15"/>
        <v>0</v>
      </c>
    </row>
    <row r="263" spans="1:10" x14ac:dyDescent="0.4">
      <c r="A263" s="667" t="s">
        <v>498</v>
      </c>
      <c r="B263" s="395"/>
      <c r="C263" s="395"/>
      <c r="D263" s="388"/>
      <c r="E263" s="388"/>
      <c r="F263" s="396"/>
      <c r="G263" s="568">
        <f t="shared" si="16"/>
        <v>0</v>
      </c>
      <c r="H263" s="606"/>
      <c r="I263" s="607">
        <f>ROUNDUP((E263*'Project Materials'!$H$18),0)</f>
        <v>0</v>
      </c>
      <c r="J263" s="572">
        <f t="shared" si="15"/>
        <v>0</v>
      </c>
    </row>
    <row r="264" spans="1:10" ht="18" customHeight="1" x14ac:dyDescent="0.4">
      <c r="A264" s="667" t="s">
        <v>498</v>
      </c>
      <c r="B264" s="395"/>
      <c r="C264" s="395"/>
      <c r="D264" s="388"/>
      <c r="E264" s="388"/>
      <c r="F264" s="396"/>
      <c r="G264" s="568">
        <f t="shared" si="14"/>
        <v>0</v>
      </c>
      <c r="H264" s="606"/>
      <c r="I264" s="607">
        <f>ROUNDUP((E264*'Project Materials'!$H$18),0)</f>
        <v>0</v>
      </c>
      <c r="J264" s="572">
        <f t="shared" si="15"/>
        <v>0</v>
      </c>
    </row>
    <row r="265" spans="1:10" x14ac:dyDescent="0.4">
      <c r="A265" s="667" t="s">
        <v>498</v>
      </c>
      <c r="B265" s="395"/>
      <c r="C265" s="395"/>
      <c r="D265" s="388"/>
      <c r="E265" s="388"/>
      <c r="F265" s="396"/>
      <c r="G265" s="568">
        <f t="shared" si="14"/>
        <v>0</v>
      </c>
      <c r="H265" s="606"/>
      <c r="I265" s="607">
        <f>ROUNDUP((E265*'Project Materials'!$H$18),0)</f>
        <v>0</v>
      </c>
      <c r="J265" s="572">
        <f t="shared" si="15"/>
        <v>0</v>
      </c>
    </row>
    <row r="266" spans="1:10" ht="16.5" customHeight="1" x14ac:dyDescent="0.4">
      <c r="A266" s="673"/>
      <c r="B266" s="633"/>
      <c r="C266" s="633"/>
      <c r="D266" s="674"/>
      <c r="E266" s="674"/>
      <c r="F266" s="675"/>
      <c r="G266" s="676">
        <f>SUM(G199:G265)</f>
        <v>0</v>
      </c>
      <c r="H266" s="677"/>
      <c r="I266" s="676"/>
      <c r="J266" s="676">
        <f>SUM(J199:J265)</f>
        <v>0</v>
      </c>
    </row>
    <row r="267" spans="1:10" x14ac:dyDescent="0.4">
      <c r="B267" s="79"/>
      <c r="C267" s="79"/>
      <c r="D267" s="570"/>
      <c r="E267" s="678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9" priority="14" operator="containsText" text="none">
      <formula>NOT(ISERROR(SEARCH("none",B47)))</formula>
    </cfRule>
  </conditionalFormatting>
  <conditionalFormatting sqref="B199:B250">
    <cfRule type="containsText" dxfId="108" priority="13" operator="containsText" text="none">
      <formula>NOT(ISERROR(SEARCH("none",B199)))</formula>
    </cfRule>
  </conditionalFormatting>
  <conditionalFormatting sqref="E26">
    <cfRule type="expression" dxfId="107" priority="12">
      <formula>(E26-E19)&lt;&gt;0</formula>
    </cfRule>
  </conditionalFormatting>
  <conditionalFormatting sqref="E19">
    <cfRule type="expression" dxfId="106" priority="11">
      <formula>(E19-E26)&lt;&gt;0</formula>
    </cfRule>
  </conditionalFormatting>
  <conditionalFormatting sqref="B64:B69">
    <cfRule type="containsText" dxfId="105" priority="10" operator="containsText" text="none">
      <formula>NOT(ISERROR(SEARCH("none",B64)))</formula>
    </cfRule>
  </conditionalFormatting>
  <conditionalFormatting sqref="B70:B75">
    <cfRule type="containsText" dxfId="104" priority="9" operator="containsText" text="none">
      <formula>NOT(ISERROR(SEARCH("none",B70)))</formula>
    </cfRule>
  </conditionalFormatting>
  <conditionalFormatting sqref="B76:B81">
    <cfRule type="containsText" dxfId="103" priority="8" operator="containsText" text="none">
      <formula>NOT(ISERROR(SEARCH("none",B76)))</formula>
    </cfRule>
  </conditionalFormatting>
  <conditionalFormatting sqref="B82:B87">
    <cfRule type="containsText" dxfId="102" priority="7" operator="containsText" text="none">
      <formula>NOT(ISERROR(SEARCH("none",B82)))</formula>
    </cfRule>
  </conditionalFormatting>
  <conditionalFormatting sqref="B88:B93">
    <cfRule type="containsText" dxfId="101" priority="6" operator="containsText" text="none">
      <formula>NOT(ISERROR(SEARCH("none",B88)))</formula>
    </cfRule>
  </conditionalFormatting>
  <conditionalFormatting sqref="B95:B106">
    <cfRule type="containsText" dxfId="100" priority="4" operator="containsText" text="none">
      <formula>NOT(ISERROR(SEARCH("none",B95)))</formula>
    </cfRule>
  </conditionalFormatting>
  <conditionalFormatting sqref="B107:B112">
    <cfRule type="containsText" dxfId="99" priority="3" operator="containsText" text="none">
      <formula>NOT(ISERROR(SEARCH("none",B107)))</formula>
    </cfRule>
  </conditionalFormatting>
  <conditionalFormatting sqref="B113:B118">
    <cfRule type="containsText" dxfId="98" priority="2" operator="containsText" text="none">
      <formula>NOT(ISERROR(SEARCH("none",B113)))</formula>
    </cfRule>
  </conditionalFormatting>
  <conditionalFormatting sqref="B119">
    <cfRule type="containsText" dxfId="97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2" bestFit="1" customWidth="1"/>
    <col min="2" max="2" width="24.53515625" style="82" customWidth="1"/>
    <col min="3" max="3" width="62.15234375" style="82" customWidth="1"/>
    <col min="4" max="4" width="13.3046875" style="586" customWidth="1"/>
    <col min="5" max="5" width="12.69140625" style="571" customWidth="1"/>
    <col min="6" max="6" width="12.15234375" style="568" customWidth="1"/>
    <col min="7" max="7" width="15.84375" style="679" customWidth="1"/>
    <col min="8" max="8" width="15" style="663" customWidth="1"/>
    <col min="9" max="9" width="21.3828125" style="680" customWidth="1"/>
    <col min="10" max="10" width="15.3828125" style="663" customWidth="1"/>
    <col min="11" max="11" width="11.15234375" style="663" bestFit="1" customWidth="1"/>
    <col min="12" max="14" width="8.84375" style="663"/>
    <col min="15" max="15" width="11.3046875" style="663" bestFit="1" customWidth="1"/>
    <col min="16" max="67" width="8.84375" style="663"/>
    <col min="68" max="16384" width="8.84375" style="82"/>
  </cols>
  <sheetData>
    <row r="1" spans="1:67" ht="15" thickBot="1" x14ac:dyDescent="0.45">
      <c r="A1" s="1125" t="str">
        <f>IF('Project Materials'!C27="","",'Project Materials'!C27)</f>
        <v/>
      </c>
      <c r="B1" s="1126"/>
      <c r="C1" s="1126"/>
      <c r="D1" s="1126"/>
      <c r="E1" s="1126"/>
      <c r="F1" s="1126"/>
      <c r="G1" s="1126"/>
      <c r="H1" s="1126"/>
      <c r="I1" s="1126"/>
      <c r="J1" s="1126"/>
      <c r="K1" s="1127"/>
    </row>
    <row r="2" spans="1:67" ht="29.15" x14ac:dyDescent="0.4">
      <c r="A2" s="593" t="s">
        <v>491</v>
      </c>
      <c r="B2" s="79" t="str">
        <f>IF(ISBLANK('Project Materials'!D2),"",'Project Materials'!D2)</f>
        <v/>
      </c>
      <c r="C2" s="593" t="s">
        <v>490</v>
      </c>
      <c r="D2" s="1121" t="str">
        <f>IF(ISBLANK('Project Materials'!I2),"",'Project Materials'!I2)</f>
        <v/>
      </c>
      <c r="E2" s="1121"/>
      <c r="F2" s="594" t="s">
        <v>492</v>
      </c>
      <c r="G2" s="664" t="str">
        <f>IF(ISBLANK('Project Materials'!N2),"",'Project Materials'!N2)</f>
        <v/>
      </c>
      <c r="H2" s="1122"/>
      <c r="I2" s="1122"/>
      <c r="J2" s="1122"/>
    </row>
    <row r="3" spans="1:67" ht="15.9" x14ac:dyDescent="0.45">
      <c r="A3" s="1123" t="s">
        <v>479</v>
      </c>
      <c r="B3" s="1123"/>
      <c r="C3" s="1123"/>
      <c r="D3" s="1123"/>
      <c r="E3" s="1123"/>
      <c r="F3" s="1123"/>
      <c r="G3" s="1123"/>
      <c r="H3" s="1123"/>
      <c r="I3" s="1123"/>
      <c r="J3" s="1123"/>
    </row>
    <row r="4" spans="1:67" ht="43.75" x14ac:dyDescent="0.4">
      <c r="A4" s="681" t="s">
        <v>433</v>
      </c>
      <c r="B4" s="84" t="s">
        <v>11</v>
      </c>
      <c r="C4" s="84" t="s">
        <v>12</v>
      </c>
      <c r="D4" s="600" t="s">
        <v>435</v>
      </c>
      <c r="E4" s="584" t="s">
        <v>436</v>
      </c>
      <c r="F4" s="594" t="s">
        <v>437</v>
      </c>
      <c r="G4" s="601" t="s">
        <v>425</v>
      </c>
      <c r="H4" s="583" t="s">
        <v>501</v>
      </c>
      <c r="I4" s="584" t="s">
        <v>716</v>
      </c>
      <c r="J4" s="583" t="s">
        <v>500</v>
      </c>
      <c r="K4" s="666" t="s">
        <v>870</v>
      </c>
      <c r="L4" s="1124" t="s">
        <v>867</v>
      </c>
      <c r="M4" s="1124"/>
    </row>
    <row r="5" spans="1:67" x14ac:dyDescent="0.4">
      <c r="A5" s="88" t="s">
        <v>0</v>
      </c>
      <c r="B5" s="390" t="s">
        <v>256</v>
      </c>
      <c r="C5" s="79" t="str">
        <f>VLOOKUP(B5,'Item List'!B:AH,2,FALSE)</f>
        <v>Top Rail 200 ( 20' )- Black</v>
      </c>
      <c r="D5" s="566">
        <f>IF(B5="none",0,SUM('Project Materials'!$O$27*'Project Materials'!$P$27))</f>
        <v>0</v>
      </c>
      <c r="E5" s="567">
        <f>IF(K5="",(CEILING(('Project Materials'!$O$27/20),L5)*'Project Materials'!$P$27),(CEILING(('Project Materials'!$O$27/K5),L5)*'Project Materials'!$P$27))</f>
        <v>0</v>
      </c>
      <c r="F5" s="568">
        <f>IF(K5&gt;0,K5/20*(VLOOKUP(B5,'Item List'!B:AH,4,FALSE)),IF(B5="None",0,VLOOKUP(B5,'Item List'!B:AH,4,FALSE)))</f>
        <v>60.93</v>
      </c>
      <c r="G5" s="569">
        <f>F5*E5</f>
        <v>0</v>
      </c>
      <c r="H5" s="570">
        <f>ROUNDUP(D5*'Project Materials'!$L$16,0)</f>
        <v>0</v>
      </c>
      <c r="I5" s="571">
        <f>ROUNDUP(IF(B5="none",0,(SUM(H5/VLOOKUP(B5,'Item List'!B:AH,3,FALSE)))),0)</f>
        <v>0</v>
      </c>
      <c r="J5" s="572">
        <f>G5+(I5*F5)</f>
        <v>0</v>
      </c>
      <c r="K5" s="659"/>
      <c r="L5" s="1118">
        <v>0.5</v>
      </c>
      <c r="M5" s="1118"/>
      <c r="N5" s="663" t="s">
        <v>868</v>
      </c>
    </row>
    <row r="6" spans="1:67" x14ac:dyDescent="0.4">
      <c r="A6" s="88" t="s">
        <v>413</v>
      </c>
      <c r="B6" s="390" t="s">
        <v>24</v>
      </c>
      <c r="C6" s="79" t="str">
        <f>VLOOKUP(B6,'Item List'!B:AH,2,FALSE)</f>
        <v>Series 200 Bottom Rail (20')- Black</v>
      </c>
      <c r="D6" s="566">
        <f>IF(B6="none",0,SUM('Project Materials'!$O$27*'Project Materials'!$P$27))</f>
        <v>0</v>
      </c>
      <c r="E6" s="567">
        <f>IFERROR(CEILING(IF(K6="",(CEILING(('Project Materials'!$O$27/VLOOKUP(B6,'Item List'!B:AM,3,FALSE)),L6)*'Project Materials'!$P$27),(CEILING(('Project Materials'!$O$27/K6),L6)*'Project Materials'!$P$27)),L6),0)</f>
        <v>0</v>
      </c>
      <c r="F6" s="568">
        <f>IF(B6="None",0,VLOOKUP(B6,'Item List'!B:AH,4,FALSE))</f>
        <v>40.35</v>
      </c>
      <c r="G6" s="569">
        <f>F6*E6</f>
        <v>0</v>
      </c>
      <c r="H6" s="570">
        <f>ROUNDUP(D6*'Project Materials'!$L$16,0)</f>
        <v>0</v>
      </c>
      <c r="I6" s="571">
        <f>ROUNDUP(IF(B6="none",0,(SUM(H6/VLOOKUP(B6,'Item List'!B:AH,3,FALSE)))),0)</f>
        <v>0</v>
      </c>
      <c r="J6" s="572">
        <f>G6+(I6*F6)</f>
        <v>0</v>
      </c>
      <c r="K6" s="659"/>
      <c r="L6" s="1118">
        <v>0.25</v>
      </c>
      <c r="M6" s="1118"/>
      <c r="N6" s="663" t="s">
        <v>869</v>
      </c>
    </row>
    <row r="7" spans="1:67" x14ac:dyDescent="0.4">
      <c r="A7" s="88" t="s">
        <v>871</v>
      </c>
      <c r="B7" s="390" t="s">
        <v>418</v>
      </c>
      <c r="C7" s="79" t="str">
        <f>VLOOKUP(B7,'Item List'!B:AH,2,FALSE)</f>
        <v>None</v>
      </c>
      <c r="D7" s="566">
        <f>IF(B7="none",0,SUM('Project Materials'!$O$27*'Project Materials'!$P$27))</f>
        <v>0</v>
      </c>
      <c r="E7" s="573">
        <f>IF(K7="",(CEILING(('Project Materials'!$O$27/20),0.5)*'Project Materials'!$P$27),(CEILING(('Project Materials'!$O$27/K7),0.5)*'Project Materials'!$P$27))</f>
        <v>0</v>
      </c>
      <c r="F7" s="568">
        <f>IF(B7="None",0,VLOOKUP(B7,'Item List'!B:AH,4,FALSE))</f>
        <v>0</v>
      </c>
      <c r="G7" s="569">
        <f>F7*E7</f>
        <v>0</v>
      </c>
      <c r="H7" s="570">
        <f>ROUNDUP(D7*'Project Materials'!$L$16,0)</f>
        <v>0</v>
      </c>
      <c r="I7" s="571">
        <f>ROUNDUP(IF(B7="none",0,(SUM(H7/VLOOKUP(B7,'Item List'!B:AH,3,FALSE)))),0)</f>
        <v>0</v>
      </c>
      <c r="J7" s="572">
        <f>G7+(I7*F7)</f>
        <v>0</v>
      </c>
      <c r="K7" s="659"/>
      <c r="L7" s="668"/>
      <c r="M7" s="668"/>
    </row>
    <row r="8" spans="1:67" x14ac:dyDescent="0.4">
      <c r="A8" s="88" t="s">
        <v>413</v>
      </c>
      <c r="B8" s="390" t="s">
        <v>418</v>
      </c>
      <c r="C8" s="79" t="str">
        <f>VLOOKUP(B8,'Item List'!B:AH,2,FALSE)</f>
        <v>None</v>
      </c>
      <c r="D8" s="566">
        <f>IF(B8="none",0,SUM('Project Materials'!$O$27*'Project Materials'!$P$27))</f>
        <v>0</v>
      </c>
      <c r="E8" s="573">
        <f>CEILING(IF(K8="",(CEILING(('Project Materials'!$O$27/20),0.25)*'Project Materials'!$P$27),(CEILING(('Project Materials'!$O$27/K8),0.25)*'Project Materials'!$P$27)),0.5)</f>
        <v>0</v>
      </c>
      <c r="F8" s="568">
        <f>IF(B8="None",0,VLOOKUP(B8,'Item List'!B:AH,4,FALSE))</f>
        <v>0</v>
      </c>
      <c r="G8" s="569">
        <f>F8*E8</f>
        <v>0</v>
      </c>
      <c r="H8" s="570">
        <f>ROUNDUP(D8*'Project Materials'!$L$16,0)</f>
        <v>0</v>
      </c>
      <c r="I8" s="571">
        <f>ROUNDUP(IF(B8="none",0,(SUM(H8/VLOOKUP(B8,'Item List'!B:AH,3,FALSE)))),0)</f>
        <v>0</v>
      </c>
      <c r="J8" s="572">
        <f>G8+(I8*F8)</f>
        <v>0</v>
      </c>
      <c r="K8" s="659"/>
    </row>
    <row r="9" spans="1:67" ht="15" thickBot="1" x14ac:dyDescent="0.45">
      <c r="A9" s="574"/>
      <c r="B9" s="575"/>
      <c r="C9" s="574"/>
      <c r="D9" s="576"/>
      <c r="E9" s="577"/>
      <c r="F9" s="399"/>
      <c r="G9" s="399">
        <f>SUM(G5:G8)</f>
        <v>0</v>
      </c>
      <c r="H9" s="399"/>
      <c r="I9" s="399"/>
      <c r="J9" s="399">
        <f>SUM(J5:J8)</f>
        <v>0</v>
      </c>
      <c r="BO9" s="82"/>
    </row>
    <row r="10" spans="1:67" ht="16.3" thickTop="1" x14ac:dyDescent="0.45">
      <c r="A10" s="578" t="s">
        <v>4</v>
      </c>
      <c r="B10" s="578"/>
      <c r="C10" s="578"/>
      <c r="D10" s="578"/>
      <c r="E10" s="578"/>
      <c r="F10" s="578"/>
      <c r="G10" s="578"/>
      <c r="H10" s="578"/>
      <c r="I10" s="578"/>
      <c r="J10" s="578"/>
    </row>
    <row r="11" spans="1:67" x14ac:dyDescent="0.4">
      <c r="A11" s="681" t="s">
        <v>433</v>
      </c>
      <c r="B11" s="84" t="s">
        <v>11</v>
      </c>
      <c r="C11" s="84" t="s">
        <v>12</v>
      </c>
      <c r="D11" s="580" t="s">
        <v>435</v>
      </c>
      <c r="E11" s="581" t="s">
        <v>436</v>
      </c>
      <c r="F11" s="582" t="s">
        <v>437</v>
      </c>
      <c r="G11" s="583" t="s">
        <v>425</v>
      </c>
      <c r="H11" s="583" t="s">
        <v>501</v>
      </c>
      <c r="I11" s="584" t="s">
        <v>502</v>
      </c>
      <c r="J11" s="583" t="s">
        <v>500</v>
      </c>
    </row>
    <row r="12" spans="1:67" x14ac:dyDescent="0.4">
      <c r="A12" s="682" t="s">
        <v>700</v>
      </c>
      <c r="B12" s="390" t="s">
        <v>418</v>
      </c>
      <c r="C12" s="79" t="str">
        <f>VLOOKUP(B12,'Item List'!B:AJ,2,FALSE)</f>
        <v>None</v>
      </c>
      <c r="D12" s="586">
        <f>IF(B12="None",0,SUM('Project Materials'!K27*('Project Materials'!H27/12))*'Project Materials'!P27)</f>
        <v>0</v>
      </c>
      <c r="E12" s="571">
        <f>IFERROR(IF(B12="none",0,'Project Materials'!K27/(ROUNDDOWN(1/('Project Materials'!$H$27/(VLOOKUP('Area C'!B12,'Item List'!B:AJ,3,FALSE)*12)),0)))*'Project Materials'!P27,0)</f>
        <v>0</v>
      </c>
      <c r="F12" s="568">
        <f>VLOOKUP(B12,'Item List'!B:AJ,4,FALSE)</f>
        <v>0</v>
      </c>
      <c r="G12" s="569">
        <f t="shared" ref="G12:G18" si="0">F12*E12</f>
        <v>0</v>
      </c>
      <c r="H12" s="570">
        <f>ROUNDUP(D12*'Project Materials'!$L$17,0)</f>
        <v>0</v>
      </c>
      <c r="I12" s="571">
        <f>ROUNDUP(IF(B12="none",0,(SUM(H12/VLOOKUP(B12,'Item List'!B:AH,3,FALSE)))),0)</f>
        <v>0</v>
      </c>
      <c r="J12" s="572">
        <f>G12+(I12*F12)</f>
        <v>0</v>
      </c>
    </row>
    <row r="13" spans="1:67" x14ac:dyDescent="0.4">
      <c r="A13" s="682" t="s">
        <v>701</v>
      </c>
      <c r="B13" s="390" t="s">
        <v>418</v>
      </c>
      <c r="C13" s="79" t="str">
        <f>VLOOKUP(B13,'Item List'!B:AJ,2,FALSE)</f>
        <v>None</v>
      </c>
      <c r="D13" s="586">
        <f>IF(B13="None",0,SUM('Project Materials'!J27*('Project Materials'!H27/12))*'Project Materials'!P27)</f>
        <v>0</v>
      </c>
      <c r="E13" s="571">
        <f>IFERROR(IF(B13="none",0,'Project Materials'!J27/(ROUNDDOWN(1/('Project Materials'!$H$27/(VLOOKUP('Area C'!B13,'Item List'!B:AJ,3,FALSE)*12)),0)))*'Project Materials'!P27,0)</f>
        <v>0</v>
      </c>
      <c r="F13" s="568">
        <f>VLOOKUP(B13,'Item List'!B:AJ,4,FALSE)</f>
        <v>0</v>
      </c>
      <c r="G13" s="569">
        <f t="shared" si="0"/>
        <v>0</v>
      </c>
      <c r="H13" s="570">
        <f>ROUNDUP(D13*'Project Materials'!$L$17,0)</f>
        <v>0</v>
      </c>
      <c r="I13" s="571">
        <f>ROUNDUP(IF(B13="none",0,(SUM(H13/VLOOKUP(B13,'Item List'!B:AH,3,FALSE)))),0)</f>
        <v>0</v>
      </c>
      <c r="J13" s="572">
        <f>G13+(I13*F13)</f>
        <v>0</v>
      </c>
    </row>
    <row r="14" spans="1:67" x14ac:dyDescent="0.4">
      <c r="A14" s="682" t="s">
        <v>702</v>
      </c>
      <c r="B14" s="390" t="s">
        <v>418</v>
      </c>
      <c r="C14" s="79" t="str">
        <f>VLOOKUP(B14,'Item List'!B:AJ,2,FALSE)</f>
        <v>None</v>
      </c>
      <c r="D14" s="586">
        <f>IF(B14="None",0,SUM('Project Materials'!M27*('Project Materials'!H27/12))*'Project Materials'!P27)</f>
        <v>0</v>
      </c>
      <c r="E14" s="571">
        <f>IFERROR(IF(B14="none",0,('Project Materials'!L27+'Project Materials'!M27)/(ROUNDDOWN(1/('Project Materials'!$H$27/(VLOOKUP('Area C'!B14,'Item List'!B:AJ,3,FALSE)*12)),0)))*'Project Materials'!P27,0)</f>
        <v>0</v>
      </c>
      <c r="F14" s="568">
        <f>VLOOKUP(B14,'Item List'!B:AJ,4,FALSE)</f>
        <v>0</v>
      </c>
      <c r="G14" s="569">
        <f t="shared" si="0"/>
        <v>0</v>
      </c>
      <c r="H14" s="570">
        <f>ROUNDUP(D14*'Project Materials'!$L$17,0)</f>
        <v>0</v>
      </c>
      <c r="I14" s="571">
        <f>ROUNDUP(IF(B14="none",0,(SUM(H14/VLOOKUP(B14,'Item List'!B:AH,3,FALSE)))),0)</f>
        <v>0</v>
      </c>
      <c r="J14" s="572">
        <f>G14+(I14*F14)</f>
        <v>0</v>
      </c>
    </row>
    <row r="15" spans="1:67" x14ac:dyDescent="0.4">
      <c r="A15" s="682" t="s">
        <v>703</v>
      </c>
      <c r="B15" s="390" t="s">
        <v>574</v>
      </c>
      <c r="C15" s="79" t="str">
        <f>VLOOKUP(B15,'Item List'!B:AJ,2,FALSE)</f>
        <v>Post-42" with 5" x 5"  Base Plate  (42 5/8")- Black Unlined</v>
      </c>
      <c r="D15" s="587"/>
      <c r="E15" s="588">
        <f>IF(B15="None",0,SUM('Project Materials'!K27*'Project Materials'!P27))</f>
        <v>0</v>
      </c>
      <c r="F15" s="568">
        <f>VLOOKUP(B15,'Item List'!B:AJ,4,FALSE)</f>
        <v>25.01</v>
      </c>
      <c r="G15" s="569">
        <f t="shared" si="0"/>
        <v>0</v>
      </c>
      <c r="H15" s="570">
        <f>ROUNDUP(E15*'Project Materials'!$L$17,0)</f>
        <v>0</v>
      </c>
      <c r="I15" s="589"/>
      <c r="J15" s="572">
        <f>G15+(H15*F15)</f>
        <v>0</v>
      </c>
    </row>
    <row r="16" spans="1:67" x14ac:dyDescent="0.4">
      <c r="A16" s="682" t="s">
        <v>704</v>
      </c>
      <c r="B16" s="390" t="s">
        <v>574</v>
      </c>
      <c r="C16" s="79" t="str">
        <f>VLOOKUP(B16,'Item List'!B:AJ,2,FALSE)</f>
        <v>Post-42" with 5" x 5"  Base Plate  (42 5/8")- Black Unlined</v>
      </c>
      <c r="D16" s="587"/>
      <c r="E16" s="588">
        <f>IF(B16="None",0,SUM('Project Materials'!J27*'Project Materials'!P27))</f>
        <v>0</v>
      </c>
      <c r="F16" s="568">
        <f>VLOOKUP(B16,'Item List'!B:AJ,4,FALSE)</f>
        <v>25.01</v>
      </c>
      <c r="G16" s="569">
        <f t="shared" si="0"/>
        <v>0</v>
      </c>
      <c r="H16" s="570">
        <f>ROUNDUP(E16*'Project Materials'!$L$17,0)</f>
        <v>0</v>
      </c>
      <c r="I16" s="589"/>
      <c r="J16" s="572">
        <f>G16+(H16*F16)</f>
        <v>0</v>
      </c>
    </row>
    <row r="17" spans="1:11" x14ac:dyDescent="0.4">
      <c r="A17" s="682" t="s">
        <v>711</v>
      </c>
      <c r="B17" s="390" t="s">
        <v>574</v>
      </c>
      <c r="C17" s="79" t="str">
        <f>VLOOKUP(B17,'Item List'!B:AJ,2,FALSE)</f>
        <v>Post-42" with 5" x 5"  Base Plate  (42 5/8")- Black Unlined</v>
      </c>
      <c r="D17" s="587"/>
      <c r="E17" s="588">
        <f>IF(B17="None",0,SUM('Project Materials'!L27*'Project Materials'!P27))</f>
        <v>0</v>
      </c>
      <c r="F17" s="568">
        <f>VLOOKUP(B17,'Item List'!B:AJ,4,FALSE)</f>
        <v>25.01</v>
      </c>
      <c r="G17" s="569">
        <f t="shared" si="0"/>
        <v>0</v>
      </c>
      <c r="H17" s="570">
        <f>ROUNDUP(E17*'Project Materials'!$L$17,0)</f>
        <v>0</v>
      </c>
      <c r="I17" s="589"/>
      <c r="J17" s="572">
        <f>G17+(H17*F17)</f>
        <v>0</v>
      </c>
    </row>
    <row r="18" spans="1:11" x14ac:dyDescent="0.4">
      <c r="A18" s="682" t="s">
        <v>712</v>
      </c>
      <c r="B18" s="390" t="s">
        <v>574</v>
      </c>
      <c r="C18" s="79" t="str">
        <f>VLOOKUP(B18,'Item List'!B:AJ,2,FALSE)</f>
        <v>Post-42" with 5" x 5"  Base Plate  (42 5/8")- Black Unlined</v>
      </c>
      <c r="D18" s="587"/>
      <c r="E18" s="588">
        <f>IF(B18="None",0,SUM('Project Materials'!M27*'Project Materials'!P27))</f>
        <v>0</v>
      </c>
      <c r="F18" s="568">
        <f>VLOOKUP(B18,'Item List'!B:AJ,4,FALSE)</f>
        <v>25.01</v>
      </c>
      <c r="G18" s="569">
        <f t="shared" si="0"/>
        <v>0</v>
      </c>
      <c r="H18" s="570">
        <f>ROUNDUP(E18*'Project Materials'!$L$17,0)</f>
        <v>0</v>
      </c>
      <c r="I18" s="589"/>
      <c r="J18" s="572">
        <f>G18+(H18*F18)</f>
        <v>0</v>
      </c>
    </row>
    <row r="19" spans="1:11" ht="15" thickBot="1" x14ac:dyDescent="0.45">
      <c r="A19" s="574" t="s">
        <v>714</v>
      </c>
      <c r="B19" s="575"/>
      <c r="C19" s="574"/>
      <c r="D19" s="590"/>
      <c r="E19" s="398">
        <f>SUM(E12:E18)</f>
        <v>0</v>
      </c>
      <c r="F19" s="591"/>
      <c r="G19" s="399">
        <f>SUM(G12:G18)</f>
        <v>0</v>
      </c>
      <c r="H19" s="591"/>
      <c r="I19" s="591"/>
      <c r="J19" s="399">
        <f>SUM(J12:J18)</f>
        <v>0</v>
      </c>
    </row>
    <row r="20" spans="1:11" ht="16.3" thickTop="1" x14ac:dyDescent="0.45">
      <c r="A20" s="578" t="s">
        <v>6</v>
      </c>
      <c r="B20" s="578"/>
      <c r="C20" s="578"/>
      <c r="D20" s="578"/>
      <c r="E20" s="578"/>
      <c r="F20" s="578"/>
      <c r="G20" s="578"/>
      <c r="H20" s="578"/>
      <c r="I20" s="578"/>
      <c r="J20" s="578"/>
    </row>
    <row r="21" spans="1:11" x14ac:dyDescent="0.4">
      <c r="A21" s="683" t="s">
        <v>433</v>
      </c>
      <c r="B21" s="593" t="s">
        <v>11</v>
      </c>
      <c r="C21" s="593" t="s">
        <v>12</v>
      </c>
      <c r="D21" s="593"/>
      <c r="E21" s="584" t="s">
        <v>436</v>
      </c>
      <c r="F21" s="594" t="s">
        <v>437</v>
      </c>
      <c r="G21" s="583" t="s">
        <v>425</v>
      </c>
      <c r="H21" s="583" t="s">
        <v>501</v>
      </c>
      <c r="I21" s="584" t="s">
        <v>502</v>
      </c>
      <c r="J21" s="583" t="s">
        <v>500</v>
      </c>
    </row>
    <row r="22" spans="1:11" x14ac:dyDescent="0.4">
      <c r="A22" s="682" t="s">
        <v>6</v>
      </c>
      <c r="B22" s="390" t="s">
        <v>418</v>
      </c>
      <c r="C22" s="79" t="str">
        <f>VLOOKUP(B22,'Item List'!B:AH,2,FALSE)</f>
        <v>None</v>
      </c>
      <c r="D22" s="79"/>
      <c r="E22" s="588">
        <f>VLOOKUP(B22,'Item List'!B:AJ,35,FALSE)</f>
        <v>0</v>
      </c>
      <c r="F22" s="568">
        <f>IF(B22="None",0,VLOOKUP(B22,'Item List'!B:AH,4,FALSE))</f>
        <v>0</v>
      </c>
      <c r="G22" s="569">
        <f>F22*E22</f>
        <v>0</v>
      </c>
      <c r="H22" s="79"/>
      <c r="I22" s="596">
        <f>ROUNDUP((E22*'Project Materials'!$L$18),0)</f>
        <v>0</v>
      </c>
      <c r="J22" s="572">
        <f>G22+(I22*F22)</f>
        <v>0</v>
      </c>
    </row>
    <row r="23" spans="1:11" x14ac:dyDescent="0.4">
      <c r="A23" s="682" t="s">
        <v>6</v>
      </c>
      <c r="B23" s="390" t="s">
        <v>418</v>
      </c>
      <c r="C23" s="79" t="str">
        <f>VLOOKUP(B23,'Item List'!B:AH,2,FALSE)</f>
        <v>None</v>
      </c>
      <c r="D23" s="79"/>
      <c r="E23" s="588">
        <f>VLOOKUP(B23,'Item List'!B:AJ,35,FALSE)</f>
        <v>0</v>
      </c>
      <c r="F23" s="568">
        <f>IF(B23="None",0,VLOOKUP(B23,'Item List'!B:AH,4,FALSE))</f>
        <v>0</v>
      </c>
      <c r="G23" s="569">
        <f>F23*E23</f>
        <v>0</v>
      </c>
      <c r="H23" s="79"/>
      <c r="I23" s="596">
        <f>ROUNDUP((E23*'Project Materials'!$L$18),0)</f>
        <v>0</v>
      </c>
      <c r="J23" s="572">
        <f>G23+(I23*F23)</f>
        <v>0</v>
      </c>
    </row>
    <row r="24" spans="1:11" x14ac:dyDescent="0.4">
      <c r="A24" s="682" t="s">
        <v>6</v>
      </c>
      <c r="B24" s="390" t="s">
        <v>418</v>
      </c>
      <c r="C24" s="79" t="str">
        <f>VLOOKUP(B24,'Item List'!B:AH,2,FALSE)</f>
        <v>None</v>
      </c>
      <c r="D24" s="79"/>
      <c r="E24" s="588">
        <f>VLOOKUP(B24,'Item List'!B:AJ,35,FALSE)</f>
        <v>0</v>
      </c>
      <c r="F24" s="568">
        <f>IF(B24="None",0,VLOOKUP(B24,'Item List'!B:AH,4,FALSE))</f>
        <v>0</v>
      </c>
      <c r="G24" s="569">
        <f>F24*E24</f>
        <v>0</v>
      </c>
      <c r="H24" s="79"/>
      <c r="I24" s="596">
        <f>ROUNDUP((E24*'Project Materials'!$L$18),0)</f>
        <v>0</v>
      </c>
      <c r="J24" s="572">
        <f>G24+(I24*F24)</f>
        <v>0</v>
      </c>
    </row>
    <row r="25" spans="1:11" x14ac:dyDescent="0.4">
      <c r="A25" s="682" t="s">
        <v>6</v>
      </c>
      <c r="B25" s="390" t="s">
        <v>418</v>
      </c>
      <c r="C25" s="598" t="str">
        <f>VLOOKUP(B25,'Item List'!B:AH,2,FALSE)</f>
        <v>None</v>
      </c>
      <c r="D25" s="598"/>
      <c r="E25" s="588">
        <f>VLOOKUP(B25,'Item List'!B:AJ,35,FALSE)</f>
        <v>0</v>
      </c>
      <c r="F25" s="568">
        <f>IF(B25="None",0,VLOOKUP(B25,'Item List'!B:AH,4,FALSE))</f>
        <v>0</v>
      </c>
      <c r="G25" s="569">
        <f>F25*E25</f>
        <v>0</v>
      </c>
      <c r="H25" s="79"/>
      <c r="I25" s="596">
        <f>ROUNDUP((E25*'Project Materials'!$L$18),0)</f>
        <v>0</v>
      </c>
      <c r="J25" s="572">
        <f>G25+(I25*F25)</f>
        <v>0</v>
      </c>
    </row>
    <row r="26" spans="1:11" ht="15" thickBot="1" x14ac:dyDescent="0.45">
      <c r="A26" s="574"/>
      <c r="B26" s="575"/>
      <c r="C26" s="574"/>
      <c r="D26" s="599"/>
      <c r="E26" s="398">
        <f>SUM(E22:E25)</f>
        <v>0</v>
      </c>
      <c r="F26" s="577"/>
      <c r="G26" s="399">
        <f>SUM(G22:G25)</f>
        <v>0</v>
      </c>
      <c r="H26" s="577"/>
      <c r="I26" s="577"/>
      <c r="J26" s="399">
        <f>SUM(J22:J25)</f>
        <v>0</v>
      </c>
    </row>
    <row r="27" spans="1:11" ht="16.3" thickTop="1" x14ac:dyDescent="0.45">
      <c r="A27" s="578" t="s">
        <v>8</v>
      </c>
      <c r="B27" s="578"/>
      <c r="C27" s="578"/>
      <c r="D27" s="578"/>
      <c r="E27" s="578"/>
      <c r="F27" s="578"/>
      <c r="G27" s="578"/>
      <c r="H27" s="578"/>
      <c r="I27" s="578"/>
      <c r="J27" s="578"/>
      <c r="K27" s="671"/>
    </row>
    <row r="28" spans="1:11" x14ac:dyDescent="0.4">
      <c r="A28" s="683" t="s">
        <v>433</v>
      </c>
      <c r="B28" s="84" t="s">
        <v>11</v>
      </c>
      <c r="C28" s="84" t="s">
        <v>12</v>
      </c>
      <c r="D28" s="600" t="s">
        <v>484</v>
      </c>
      <c r="E28" s="584" t="s">
        <v>436</v>
      </c>
      <c r="F28" s="594" t="s">
        <v>437</v>
      </c>
      <c r="G28" s="601" t="s">
        <v>425</v>
      </c>
      <c r="H28" s="583" t="s">
        <v>501</v>
      </c>
      <c r="I28" s="584" t="s">
        <v>502</v>
      </c>
      <c r="J28" s="583" t="s">
        <v>500</v>
      </c>
    </row>
    <row r="29" spans="1:11" x14ac:dyDescent="0.4">
      <c r="A29" s="88" t="s">
        <v>443</v>
      </c>
      <c r="B29" s="390" t="s">
        <v>418</v>
      </c>
      <c r="C29" s="79" t="str">
        <f>VLOOKUP(B29,'Item List'!B:AH,2,FALSE)</f>
        <v>None</v>
      </c>
      <c r="D29" s="586">
        <f>ROUNDUP(IF(B29="None",0,SUM('Project Materials'!$V$27*'Project Materials'!$I$27)/12),0)</f>
        <v>0</v>
      </c>
      <c r="E29" s="588">
        <f>IF(B29="None",0,ROUNDUP(SUM(('Project Materials'!O27*'Project Materials'!P27)*VLOOKUP(B29,'Item List'!B:AJ,3,FALSE)),0))</f>
        <v>0</v>
      </c>
      <c r="F29" s="568">
        <f>IF(B29="None",0,VLOOKUP(B29,'Item List'!B:AH,4,FALSE))</f>
        <v>0</v>
      </c>
      <c r="G29" s="569">
        <f>F29*E29</f>
        <v>0</v>
      </c>
      <c r="H29" s="570">
        <f>ROUNDUP(D29*'Project Materials'!$L$17,0)</f>
        <v>0</v>
      </c>
      <c r="I29" s="571">
        <f>ROUNDUP(IF(B29="none",0,(SUM(H29/VLOOKUP(B29,'Item List'!B:AH,3,FALSE)))),0)</f>
        <v>0</v>
      </c>
      <c r="J29" s="572">
        <f>G29+(I29*F29)</f>
        <v>0</v>
      </c>
    </row>
    <row r="30" spans="1:11" x14ac:dyDescent="0.4">
      <c r="A30" s="88" t="s">
        <v>443</v>
      </c>
      <c r="B30" s="390" t="s">
        <v>418</v>
      </c>
      <c r="C30" s="79" t="str">
        <f>VLOOKUP(B30,'Item List'!B:AH,2,FALSE)</f>
        <v>None</v>
      </c>
      <c r="D30" s="586">
        <f>IF(B30="None",0,SUM('Project Materials'!$V$27*'Project Materials'!$I$27)/12)</f>
        <v>0</v>
      </c>
      <c r="E30" s="588">
        <f>IF(B30="None",0,ROUNDUP(SUM('Project Materials'!O27*VLOOKUP(B30,'Item List'!B:AJ,3,FALSE)),0))</f>
        <v>0</v>
      </c>
      <c r="F30" s="568">
        <f>IF(B30="None",0,VLOOKUP(B30,'Item List'!B:AH,4,FALSE))</f>
        <v>0</v>
      </c>
      <c r="G30" s="569">
        <f>F30*E30</f>
        <v>0</v>
      </c>
      <c r="H30" s="570">
        <f>ROUNDUP(D30*'Project Materials'!$L$17,0)</f>
        <v>0</v>
      </c>
      <c r="I30" s="571">
        <f>ROUNDUP(IF(B30="none",0,(SUM(H30/VLOOKUP(B30,'Item List'!B:AH,3,FALSE)))),0)</f>
        <v>0</v>
      </c>
      <c r="J30" s="572">
        <f>G30+(I30*F30)</f>
        <v>0</v>
      </c>
    </row>
    <row r="31" spans="1:11" x14ac:dyDescent="0.4">
      <c r="A31" s="88" t="s">
        <v>444</v>
      </c>
      <c r="B31" s="390" t="s">
        <v>469</v>
      </c>
      <c r="C31" s="79" t="str">
        <f>VLOOKUP(B31,'Item List'!B:AH,2,FALSE)</f>
        <v>1/4" Clear Tempered Glass per Sq Ft</v>
      </c>
      <c r="D31" s="586">
        <f>ROUNDUP(IF(B31="None",0,'Project Materials'!L12*'Project Materials'!L13),1)</f>
        <v>0</v>
      </c>
      <c r="F31" s="568">
        <f>IF(B31="None",0,VLOOKUP(B31,'Item List'!B:AH,4,FALSE))</f>
        <v>2.37</v>
      </c>
      <c r="G31" s="569">
        <f>D31*F31</f>
        <v>0</v>
      </c>
      <c r="H31" s="570">
        <f>ROUNDUP(D31*'Project Materials'!$L$18,0)</f>
        <v>0</v>
      </c>
      <c r="I31" s="602"/>
      <c r="J31" s="572">
        <f>G31+(H31*F31)</f>
        <v>0</v>
      </c>
    </row>
    <row r="32" spans="1:11" x14ac:dyDescent="0.4">
      <c r="A32" s="88" t="s">
        <v>497</v>
      </c>
      <c r="B32" s="390" t="s">
        <v>472</v>
      </c>
      <c r="C32" s="79" t="str">
        <f>VLOOKUP(B32,'Item List'!B:AH,2,FALSE)</f>
        <v>Polished Edges 1/4" Glass, per inch</v>
      </c>
      <c r="D32" s="603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68">
        <f>IF(B32="None",0,VLOOKUP(B32,'Item List'!B:AH,4,FALSE))</f>
        <v>7.0000000000000007E-2</v>
      </c>
      <c r="G32" s="569">
        <f>D32*F32</f>
        <v>0</v>
      </c>
      <c r="H32" s="570">
        <f>ROUNDUP(D32*'Project Materials'!$L$18,0)</f>
        <v>0</v>
      </c>
      <c r="I32" s="602"/>
      <c r="J32" s="572">
        <f>G32+(H32*F32)</f>
        <v>0</v>
      </c>
    </row>
    <row r="33" spans="1:10" x14ac:dyDescent="0.4">
      <c r="A33" s="88" t="s">
        <v>445</v>
      </c>
      <c r="B33" s="390" t="s">
        <v>418</v>
      </c>
      <c r="C33" s="79" t="str">
        <f>VLOOKUP(B33,'Item List'!B:AH,2,FALSE)</f>
        <v>None</v>
      </c>
      <c r="D33" s="586" t="str">
        <f>IF(B33="None","",(('Project Materials'!$L$7+2)*'Project Materials'!$L$8*'Project Materials'!L9)*'Project Materials'!$P$27)</f>
        <v/>
      </c>
      <c r="E33" s="571">
        <f>IF(B33="None",0,(ROUNDUP((D33/(VLOOKUP(B33,'Item List'!B:AJ,3,FALSE))),0)))</f>
        <v>0</v>
      </c>
      <c r="F33" s="568">
        <f>IF(B33="None",0,VLOOKUP(B33,'Item List'!B:AH,4,FALSE))</f>
        <v>0</v>
      </c>
      <c r="G33" s="569">
        <f>F33*E33</f>
        <v>0</v>
      </c>
      <c r="H33" s="604"/>
      <c r="I33" s="571">
        <f>ROUNDUP(IF(B33="none",0,(SUM(H33/VLOOKUP(B33,'Item List'!B:AH,3,FALSE)))),0)</f>
        <v>0</v>
      </c>
      <c r="J33" s="572">
        <f>G33+(I33*F33)</f>
        <v>0</v>
      </c>
    </row>
    <row r="34" spans="1:10" x14ac:dyDescent="0.4">
      <c r="A34" s="88" t="s">
        <v>445</v>
      </c>
      <c r="B34" s="390" t="s">
        <v>418</v>
      </c>
      <c r="C34" s="79" t="str">
        <f>VLOOKUP(B34,'Item List'!B:AH,2,FALSE)</f>
        <v>None</v>
      </c>
      <c r="D34" s="586" t="str">
        <f>IF(B34="None","",(('Project Materials'!$H$7+2)*'Project Materials'!$H$8*'Project Materials'!H9)*'Project Materials'!$P$27)</f>
        <v/>
      </c>
      <c r="E34" s="571">
        <f>IF(B34="None",0,(ROUNDUP((D34/(VLOOKUP(B34,'Item List'!B:AJ,3,FALSE))),0)))</f>
        <v>0</v>
      </c>
      <c r="F34" s="568">
        <f>IF(B34="None",0,VLOOKUP(B34,'Item List'!B:AH,4,FALSE))</f>
        <v>0</v>
      </c>
      <c r="G34" s="569">
        <f>F34*E34</f>
        <v>0</v>
      </c>
      <c r="H34" s="604"/>
      <c r="I34" s="571">
        <f>ROUNDUP(IF(B34="none",0,(SUM(H34/VLOOKUP(B34,'Item List'!B:AH,3,FALSE)))),0)</f>
        <v>0</v>
      </c>
      <c r="J34" s="572">
        <f>G34+(I34*F34)</f>
        <v>0</v>
      </c>
    </row>
    <row r="35" spans="1:10" x14ac:dyDescent="0.4">
      <c r="A35" s="88" t="s">
        <v>446</v>
      </c>
      <c r="B35" s="390" t="s">
        <v>418</v>
      </c>
      <c r="C35" s="79" t="str">
        <f>VLOOKUP(B35,'Item List'!B:AH,2,FALSE)</f>
        <v>None</v>
      </c>
      <c r="D35" s="587"/>
      <c r="E35" s="605"/>
      <c r="F35" s="568">
        <f>IF(B35="None",0,VLOOKUP(B35,'Item List'!B:AH,4,FALSE))</f>
        <v>0</v>
      </c>
      <c r="G35" s="569">
        <f>F35*E35</f>
        <v>0</v>
      </c>
      <c r="H35" s="604"/>
      <c r="I35" s="586">
        <f>ROUNDUP(E35*'Project Materials'!$L$18,0)</f>
        <v>0</v>
      </c>
      <c r="J35" s="572">
        <f>G35+(I35*F35)</f>
        <v>0</v>
      </c>
    </row>
    <row r="36" spans="1:10" x14ac:dyDescent="0.4">
      <c r="A36" s="88" t="s">
        <v>446</v>
      </c>
      <c r="B36" s="390" t="s">
        <v>418</v>
      </c>
      <c r="C36" s="79" t="str">
        <f>VLOOKUP(B36,'Item List'!B:AH,2,FALSE)</f>
        <v>None</v>
      </c>
      <c r="D36" s="587"/>
      <c r="E36" s="605"/>
      <c r="F36" s="568">
        <f>IF(B36="None",0,VLOOKUP(B36,'Item List'!B:AH,4,FALSE))</f>
        <v>0</v>
      </c>
      <c r="G36" s="569">
        <f>F36*E36</f>
        <v>0</v>
      </c>
      <c r="H36" s="604"/>
      <c r="I36" s="586">
        <f>ROUNDUP(E36*'Project Materials'!$L$18,0)</f>
        <v>0</v>
      </c>
      <c r="J36" s="572">
        <f>G36+(I36*F36)</f>
        <v>0</v>
      </c>
    </row>
    <row r="37" spans="1:10" ht="15" thickBot="1" x14ac:dyDescent="0.45">
      <c r="A37" s="574"/>
      <c r="B37" s="575"/>
      <c r="C37" s="574"/>
      <c r="D37" s="576"/>
      <c r="E37" s="400"/>
      <c r="F37" s="577"/>
      <c r="G37" s="399">
        <f>SUM(G29:G36)</f>
        <v>0</v>
      </c>
      <c r="H37" s="577"/>
      <c r="I37" s="577"/>
      <c r="J37" s="399">
        <f>SUM(J29:J36)</f>
        <v>0</v>
      </c>
    </row>
    <row r="38" spans="1:10" ht="16.3" thickTop="1" x14ac:dyDescent="0.45">
      <c r="A38" s="578" t="s">
        <v>363</v>
      </c>
      <c r="B38" s="578"/>
      <c r="C38" s="578"/>
      <c r="D38" s="578"/>
      <c r="E38" s="578"/>
      <c r="F38" s="578"/>
      <c r="G38" s="578"/>
      <c r="H38" s="578"/>
      <c r="I38" s="578"/>
      <c r="J38" s="578"/>
    </row>
    <row r="39" spans="1:10" x14ac:dyDescent="0.4">
      <c r="A39" s="681" t="s">
        <v>433</v>
      </c>
      <c r="B39" s="84" t="s">
        <v>11</v>
      </c>
      <c r="C39" s="84" t="s">
        <v>12</v>
      </c>
      <c r="D39" s="84"/>
      <c r="E39" s="581" t="s">
        <v>436</v>
      </c>
      <c r="F39" s="582" t="s">
        <v>437</v>
      </c>
      <c r="G39" s="583" t="s">
        <v>425</v>
      </c>
      <c r="H39" s="583" t="s">
        <v>501</v>
      </c>
      <c r="I39" s="584" t="s">
        <v>502</v>
      </c>
      <c r="J39" s="583" t="s">
        <v>500</v>
      </c>
    </row>
    <row r="40" spans="1:10" x14ac:dyDescent="0.4">
      <c r="A40" s="88" t="s">
        <v>438</v>
      </c>
      <c r="B40" s="79" t="str">
        <f>VLOOKUP('Area C'!B5,'Item List'!B:AH,19,FALSE)</f>
        <v>200EP POW Blk</v>
      </c>
      <c r="C40" s="79" t="str">
        <f>VLOOKUP(B40,'Item List'!B:AH,2,FALSE)</f>
        <v>Top Rail End Plate w/Screws- Black</v>
      </c>
      <c r="D40" s="79"/>
      <c r="E40" s="571">
        <f>IF(B40="none",0,'Project Materials'!$W$27)</f>
        <v>0</v>
      </c>
      <c r="F40" s="568">
        <f>IF(B40="None",0,VLOOKUP(B40,'Item List'!B:AH,4,FALSE))</f>
        <v>1.25</v>
      </c>
      <c r="G40" s="569">
        <f>F40*E40</f>
        <v>0</v>
      </c>
      <c r="H40" s="606"/>
      <c r="I40" s="607">
        <f>ROUNDUP((E40*'Project Materials'!$L$18),0)</f>
        <v>0</v>
      </c>
      <c r="J40" s="572">
        <f>G40+(I40*F40)</f>
        <v>0</v>
      </c>
    </row>
    <row r="41" spans="1:10" x14ac:dyDescent="0.4">
      <c r="A41" s="88" t="s">
        <v>439</v>
      </c>
      <c r="B41" s="79" t="str">
        <f>VLOOKUP('Area C'!B6,'Item List'!B:AH,19,FALSE)</f>
        <v>None</v>
      </c>
      <c r="C41" s="79" t="str">
        <f>VLOOKUP(B41,'Item List'!B:AH,2,FALSE)</f>
        <v>None</v>
      </c>
      <c r="D41" s="79"/>
      <c r="E41" s="571">
        <f>IF(B41="none",0,'Project Materials'!$X$27)</f>
        <v>0</v>
      </c>
      <c r="F41" s="568">
        <f>IF(B41="None",0,VLOOKUP(B41,'Item List'!B:AH,4,FALSE))</f>
        <v>0</v>
      </c>
      <c r="G41" s="569">
        <f>F41*E41</f>
        <v>0</v>
      </c>
      <c r="H41" s="606"/>
      <c r="I41" s="607">
        <f>ROUNDUP((E41*'Project Materials'!$L$18),0)</f>
        <v>0</v>
      </c>
      <c r="J41" s="572">
        <f>G41+(I41*F41)</f>
        <v>0</v>
      </c>
    </row>
    <row r="42" spans="1:10" x14ac:dyDescent="0.4">
      <c r="A42" s="88" t="s">
        <v>438</v>
      </c>
      <c r="B42" s="79" t="str">
        <f>VLOOKUP('Area C'!B7,'Item List'!B:AH,19,FALSE)</f>
        <v>None</v>
      </c>
      <c r="C42" s="79" t="str">
        <f>VLOOKUP(B42,'Item List'!B:AH,2,FALSE)</f>
        <v>None</v>
      </c>
      <c r="D42" s="79"/>
      <c r="E42" s="571">
        <f>IF(B42="none",0,'Project Materials'!$W$27)</f>
        <v>0</v>
      </c>
      <c r="F42" s="568">
        <f>IF(B42="None",0,VLOOKUP(B42,'Item List'!B:AH,4,FALSE))</f>
        <v>0</v>
      </c>
      <c r="G42" s="569">
        <f>F42*E42</f>
        <v>0</v>
      </c>
      <c r="H42" s="606"/>
      <c r="I42" s="607">
        <f>ROUNDUP((E42*'Project Materials'!$L$18),0)</f>
        <v>0</v>
      </c>
      <c r="J42" s="572">
        <f>G42+(I42*F42)</f>
        <v>0</v>
      </c>
    </row>
    <row r="43" spans="1:10" x14ac:dyDescent="0.4">
      <c r="A43" s="88" t="s">
        <v>439</v>
      </c>
      <c r="B43" s="79" t="str">
        <f>VLOOKUP('Area C'!B8,'Item List'!B:AH,19,FALSE)</f>
        <v>None</v>
      </c>
      <c r="C43" s="598" t="str">
        <f>VLOOKUP(B43,'Item List'!B:AH,2,FALSE)</f>
        <v>None</v>
      </c>
      <c r="D43" s="598"/>
      <c r="E43" s="571">
        <f>IF(B43="none",0,'Project Materials'!$X$27)</f>
        <v>0</v>
      </c>
      <c r="F43" s="568">
        <f>IF(B43="None",0,VLOOKUP(B43,'Item List'!B:AH,4,FALSE))</f>
        <v>0</v>
      </c>
      <c r="G43" s="569">
        <f>F43*E43</f>
        <v>0</v>
      </c>
      <c r="H43" s="606"/>
      <c r="I43" s="607">
        <f>ROUNDUP((E43*'Project Materials'!$L$18),0)</f>
        <v>0</v>
      </c>
      <c r="J43" s="572">
        <f>G43+(I43*F43)</f>
        <v>0</v>
      </c>
    </row>
    <row r="44" spans="1:10" ht="15" thickBot="1" x14ac:dyDescent="0.45">
      <c r="A44" s="574"/>
      <c r="B44" s="574"/>
      <c r="C44" s="574"/>
      <c r="D44" s="599"/>
      <c r="E44" s="400"/>
      <c r="F44" s="577"/>
      <c r="G44" s="399">
        <f>SUM(G40:G43)</f>
        <v>0</v>
      </c>
      <c r="H44" s="400"/>
      <c r="I44" s="577"/>
      <c r="J44" s="399">
        <f>SUM(J40:J43)</f>
        <v>0</v>
      </c>
    </row>
    <row r="45" spans="1:10" ht="16.3" thickTop="1" x14ac:dyDescent="0.45">
      <c r="A45" s="578" t="s">
        <v>7</v>
      </c>
      <c r="B45" s="578"/>
      <c r="C45" s="578"/>
      <c r="D45" s="578"/>
      <c r="E45" s="578"/>
      <c r="F45" s="578"/>
      <c r="G45" s="578"/>
      <c r="H45" s="578"/>
      <c r="I45" s="578"/>
      <c r="J45" s="578"/>
    </row>
    <row r="46" spans="1:10" x14ac:dyDescent="0.4">
      <c r="A46" s="681" t="s">
        <v>433</v>
      </c>
      <c r="B46" s="593" t="s">
        <v>11</v>
      </c>
      <c r="C46" s="593" t="s">
        <v>12</v>
      </c>
      <c r="D46" s="593"/>
      <c r="E46" s="584" t="s">
        <v>436</v>
      </c>
      <c r="F46" s="594" t="s">
        <v>437</v>
      </c>
      <c r="G46" s="601" t="s">
        <v>425</v>
      </c>
      <c r="H46" s="583" t="s">
        <v>501</v>
      </c>
      <c r="I46" s="584" t="s">
        <v>502</v>
      </c>
      <c r="J46" s="583" t="s">
        <v>500</v>
      </c>
    </row>
    <row r="47" spans="1:10" x14ac:dyDescent="0.4">
      <c r="A47" s="88" t="s">
        <v>796</v>
      </c>
      <c r="B47" s="79" t="str">
        <f>IF('Area C'!B5="None","None",VLOOKUP('Area C'!$B$5,'Item List'!B:AL,20,FALSE))</f>
        <v>None</v>
      </c>
      <c r="C47" s="79" t="str">
        <f>VLOOKUP(B47,'Item List'!B:AH,2,FALSE)</f>
        <v>None</v>
      </c>
      <c r="D47" s="79"/>
      <c r="E47" s="588">
        <f>VLOOKUP(B47,'Item List'!B:AM,35,FALSE)</f>
        <v>0</v>
      </c>
      <c r="F47" s="608">
        <f>VLOOKUP(B47,'Item List'!B:AH,4,FALSE)</f>
        <v>0</v>
      </c>
      <c r="G47" s="569">
        <f>F47*E47</f>
        <v>0</v>
      </c>
      <c r="H47" s="606"/>
      <c r="I47" s="607">
        <f>ROUNDUP((E47*'Project Materials'!$L$18),0)</f>
        <v>0</v>
      </c>
      <c r="J47" s="572">
        <f>G47+(I47*F47)</f>
        <v>0</v>
      </c>
    </row>
    <row r="48" spans="1:10" x14ac:dyDescent="0.4">
      <c r="A48" s="88" t="s">
        <v>797</v>
      </c>
      <c r="B48" s="79" t="str">
        <f>IF('Area C'!B6="None","None",VLOOKUP('Area C'!$B6,'Item List'!B:AL,20,FALSE))</f>
        <v>none</v>
      </c>
      <c r="C48" s="79" t="str">
        <f>VLOOKUP(B48,'Item List'!B:AH,2,FALSE)</f>
        <v>None</v>
      </c>
      <c r="D48" s="79"/>
      <c r="E48" s="588">
        <f>VLOOKUP(B48,'Item List'!B:AM,35,FALSE)</f>
        <v>0</v>
      </c>
      <c r="F48" s="608">
        <f>VLOOKUP(B48,'Item List'!B:AH,4,FALSE)</f>
        <v>0</v>
      </c>
      <c r="G48" s="569">
        <f>F48*E48</f>
        <v>0</v>
      </c>
      <c r="H48" s="606"/>
      <c r="I48" s="607">
        <f>ROUNDUP((E48*'Project Materials'!$L$18),0)</f>
        <v>0</v>
      </c>
      <c r="J48" s="572">
        <f>G48+(I48*F48)</f>
        <v>0</v>
      </c>
    </row>
    <row r="49" spans="1:10" x14ac:dyDescent="0.4">
      <c r="A49" s="88" t="s">
        <v>796</v>
      </c>
      <c r="B49" s="79" t="str">
        <f>IF('Area C'!B7="None","None",VLOOKUP('Area C'!$B7,'Item List'!B:AL,20,FALSE))</f>
        <v>None</v>
      </c>
      <c r="C49" s="609" t="str">
        <f>VLOOKUP(B49,'Item List'!B:AH,2,FALSE)</f>
        <v>None</v>
      </c>
      <c r="D49" s="609"/>
      <c r="E49" s="588">
        <f>VLOOKUP(B49,'Item List'!B:AM,35,FALSE)</f>
        <v>0</v>
      </c>
      <c r="F49" s="608">
        <f>VLOOKUP(B49,'Item List'!B:AH,4,FALSE)</f>
        <v>0</v>
      </c>
      <c r="G49" s="569">
        <f>F49*E49</f>
        <v>0</v>
      </c>
      <c r="H49" s="606"/>
      <c r="I49" s="607">
        <f>ROUNDUP((E49*'Project Materials'!$L$18),0)</f>
        <v>0</v>
      </c>
      <c r="J49" s="572">
        <f>G49+(I49*F49)</f>
        <v>0</v>
      </c>
    </row>
    <row r="50" spans="1:10" x14ac:dyDescent="0.4">
      <c r="A50" s="88" t="s">
        <v>797</v>
      </c>
      <c r="B50" s="598" t="str">
        <f>IF('Area C'!B8="None","None",VLOOKUP('Area C'!$B8,'Item List'!B:AL,20,FALSE))</f>
        <v>None</v>
      </c>
      <c r="C50" s="610" t="str">
        <f>VLOOKUP(B50,'Item List'!B:AH,2,FALSE)</f>
        <v>None</v>
      </c>
      <c r="D50" s="610"/>
      <c r="E50" s="611">
        <f>VLOOKUP(B50,'Item List'!B:AM,35,FALSE)</f>
        <v>0</v>
      </c>
      <c r="F50" s="612">
        <f>VLOOKUP(B50,'Item List'!B:AH,4,FALSE)</f>
        <v>0</v>
      </c>
      <c r="G50" s="613">
        <f>F50*E50</f>
        <v>0</v>
      </c>
      <c r="H50" s="614"/>
      <c r="I50" s="615">
        <f>ROUNDUP((E50*'Project Materials'!$L$18),0)</f>
        <v>0</v>
      </c>
      <c r="J50" s="616">
        <f>G50+(I50*F50)</f>
        <v>0</v>
      </c>
    </row>
    <row r="51" spans="1:10" x14ac:dyDescent="0.4">
      <c r="A51" s="617"/>
      <c r="B51" s="618"/>
      <c r="C51" s="619"/>
      <c r="D51" s="619"/>
      <c r="E51" s="620"/>
      <c r="F51" s="621"/>
      <c r="G51" s="622"/>
      <c r="H51" s="618"/>
      <c r="I51" s="623"/>
      <c r="J51" s="624"/>
    </row>
    <row r="52" spans="1:10" x14ac:dyDescent="0.4">
      <c r="A52" s="682" t="s">
        <v>700</v>
      </c>
      <c r="B52" s="79" t="str">
        <f>VLOOKUP('Area C'!$B$12,'Item List'!B:AL,20,FALSE)</f>
        <v>None</v>
      </c>
      <c r="C52" s="79" t="str">
        <f>VLOOKUP(B52,'Item List'!B:AH,2,FALSE)</f>
        <v>None</v>
      </c>
      <c r="D52" s="79"/>
      <c r="E52" s="625">
        <f>$E$12*VLOOKUP(B52,'Item List'!B:AM,38,FALSE)</f>
        <v>0</v>
      </c>
      <c r="F52" s="608">
        <f>VLOOKUP(B52,'Item List'!B:AH,4,FALSE)</f>
        <v>0</v>
      </c>
      <c r="G52" s="569">
        <f>F52*E52</f>
        <v>0</v>
      </c>
      <c r="H52" s="606"/>
      <c r="I52" s="607">
        <f>ROUNDUP((E52*'Project Materials'!$L$18),0)</f>
        <v>0</v>
      </c>
      <c r="J52" s="572">
        <f>G52+(I52*F52)</f>
        <v>0</v>
      </c>
    </row>
    <row r="53" spans="1:10" x14ac:dyDescent="0.4">
      <c r="A53" s="682" t="s">
        <v>700</v>
      </c>
      <c r="B53" s="79" t="str">
        <f>VLOOKUP('Area C'!$B$12,'Item List'!B:AL,21,FALSE)</f>
        <v>None</v>
      </c>
      <c r="C53" s="79" t="str">
        <f>VLOOKUP(B53,'Item List'!B:AH,2,FALSE)</f>
        <v>None</v>
      </c>
      <c r="D53" s="79"/>
      <c r="E53" s="625">
        <f>$E$12*VLOOKUP(B53,'Item List'!B:AM,38,FALSE)</f>
        <v>0</v>
      </c>
      <c r="F53" s="608">
        <f>VLOOKUP(B53,'Item List'!B:AH,4,FALSE)</f>
        <v>0</v>
      </c>
      <c r="G53" s="569">
        <f>F53*E53</f>
        <v>0</v>
      </c>
      <c r="H53" s="606"/>
      <c r="I53" s="607">
        <f>ROUNDUP((E53*'Project Materials'!$L$18),0)</f>
        <v>0</v>
      </c>
      <c r="J53" s="572">
        <f>G53+(I53*F53)</f>
        <v>0</v>
      </c>
    </row>
    <row r="54" spans="1:10" x14ac:dyDescent="0.4">
      <c r="A54" s="682" t="s">
        <v>700</v>
      </c>
      <c r="B54" s="79" t="str">
        <f>VLOOKUP('Area C'!$B$12,'Item List'!B:AL,22,FALSE)</f>
        <v>None</v>
      </c>
      <c r="C54" s="79" t="str">
        <f>VLOOKUP(B54,'Item List'!B:AH,2,FALSE)</f>
        <v>None</v>
      </c>
      <c r="D54" s="79"/>
      <c r="E54" s="625">
        <f>$E$12*VLOOKUP(B54,'Item List'!B:AM,38,FALSE)</f>
        <v>0</v>
      </c>
      <c r="F54" s="608">
        <f>VLOOKUP(B54,'Item List'!B:AH,4,FALSE)</f>
        <v>0</v>
      </c>
      <c r="G54" s="569">
        <f>F54*E54</f>
        <v>0</v>
      </c>
      <c r="H54" s="606"/>
      <c r="I54" s="607">
        <f>ROUNDUP((E54*'Project Materials'!$L$18),0)</f>
        <v>0</v>
      </c>
      <c r="J54" s="572">
        <f>G54+(I54*F54)</f>
        <v>0</v>
      </c>
    </row>
    <row r="55" spans="1:10" x14ac:dyDescent="0.4">
      <c r="A55" s="682" t="s">
        <v>700</v>
      </c>
      <c r="B55" s="79" t="str">
        <f>VLOOKUP('Area C'!$B$12,'Item List'!B:AL,23,FALSE)</f>
        <v>None</v>
      </c>
      <c r="C55" s="79" t="str">
        <f>VLOOKUP(B55,'Item List'!B:AH,2,FALSE)</f>
        <v>None</v>
      </c>
      <c r="D55" s="79"/>
      <c r="E55" s="625">
        <f>$E$12*VLOOKUP(B55,'Item List'!B:AM,38,FALSE)</f>
        <v>0</v>
      </c>
      <c r="F55" s="608">
        <f>VLOOKUP(B55,'Item List'!B:AH,4,FALSE)</f>
        <v>0</v>
      </c>
      <c r="G55" s="569">
        <f>F55*E55</f>
        <v>0</v>
      </c>
      <c r="H55" s="606"/>
      <c r="I55" s="607">
        <f>ROUNDUP((E55*'Project Materials'!$L$18),0)</f>
        <v>0</v>
      </c>
      <c r="J55" s="572">
        <f>G55+(I55*F55)</f>
        <v>0</v>
      </c>
    </row>
    <row r="56" spans="1:10" x14ac:dyDescent="0.4">
      <c r="A56" s="682" t="s">
        <v>700</v>
      </c>
      <c r="B56" s="79" t="str">
        <f>VLOOKUP('Area C'!$B$12,'Item List'!B:AL,24,FALSE)</f>
        <v>None</v>
      </c>
      <c r="C56" s="79" t="str">
        <f>VLOOKUP(B56,'Item List'!B:AH,2,FALSE)</f>
        <v>None</v>
      </c>
      <c r="D56" s="79"/>
      <c r="E56" s="625">
        <f>$E$12*VLOOKUP(B56,'Item List'!B:AM,38,FALSE)</f>
        <v>0</v>
      </c>
      <c r="F56" s="608">
        <f>VLOOKUP(B56,'Item List'!B:AH,4,FALSE)</f>
        <v>0</v>
      </c>
      <c r="G56" s="569">
        <f t="shared" ref="G56:G93" si="1">F56*E56</f>
        <v>0</v>
      </c>
      <c r="H56" s="606"/>
      <c r="I56" s="607">
        <f>ROUNDUP((E56*'Project Materials'!$L$18),0)</f>
        <v>0</v>
      </c>
      <c r="J56" s="572">
        <f t="shared" ref="J56:J93" si="2">G56+(I56*F56)</f>
        <v>0</v>
      </c>
    </row>
    <row r="57" spans="1:10" x14ac:dyDescent="0.4">
      <c r="A57" s="682" t="s">
        <v>700</v>
      </c>
      <c r="B57" s="598" t="str">
        <f>VLOOKUP('Area C'!$B$12,'Item List'!B:AL,25,FALSE)</f>
        <v>None</v>
      </c>
      <c r="C57" s="598" t="str">
        <f>VLOOKUP(B57,'Item List'!B:AH,2,FALSE)</f>
        <v>None</v>
      </c>
      <c r="D57" s="598"/>
      <c r="E57" s="626">
        <f>$E$12*VLOOKUP(B57,'Item List'!B:AM,38,FALSE)</f>
        <v>0</v>
      </c>
      <c r="F57" s="612">
        <f>VLOOKUP(B57,'Item List'!B:AH,4,FALSE)</f>
        <v>0</v>
      </c>
      <c r="G57" s="613">
        <f t="shared" si="1"/>
        <v>0</v>
      </c>
      <c r="H57" s="614"/>
      <c r="I57" s="615">
        <f>ROUNDUP((E57*'Project Materials'!$L$18),0)</f>
        <v>0</v>
      </c>
      <c r="J57" s="616">
        <f t="shared" si="2"/>
        <v>0</v>
      </c>
    </row>
    <row r="58" spans="1:10" x14ac:dyDescent="0.4">
      <c r="A58" s="682" t="s">
        <v>701</v>
      </c>
      <c r="B58" s="79" t="str">
        <f>VLOOKUP('Area C'!$B$13,'Item List'!B:AL,20,FALSE)</f>
        <v>None</v>
      </c>
      <c r="C58" s="79" t="str">
        <f>VLOOKUP(B58,'Item List'!B:AH,2,FALSE)</f>
        <v>None</v>
      </c>
      <c r="D58" s="79"/>
      <c r="E58" s="625">
        <f>$E$13*VLOOKUP(B58,'Item List'!B:AM,38,FALSE)</f>
        <v>0</v>
      </c>
      <c r="F58" s="608">
        <f>VLOOKUP(B58,'Item List'!B:AH,4,FALSE)</f>
        <v>0</v>
      </c>
      <c r="G58" s="569">
        <f t="shared" si="1"/>
        <v>0</v>
      </c>
      <c r="H58" s="606"/>
      <c r="I58" s="607">
        <f>ROUNDUP((E58*'Project Materials'!$L$18),0)</f>
        <v>0</v>
      </c>
      <c r="J58" s="572">
        <f t="shared" si="2"/>
        <v>0</v>
      </c>
    </row>
    <row r="59" spans="1:10" x14ac:dyDescent="0.4">
      <c r="A59" s="682" t="s">
        <v>701</v>
      </c>
      <c r="B59" s="79" t="str">
        <f>VLOOKUP('Area C'!$B$13,'Item List'!B:AL,21,FALSE)</f>
        <v>None</v>
      </c>
      <c r="C59" s="79" t="str">
        <f>VLOOKUP(B59,'Item List'!B:AH,2,FALSE)</f>
        <v>None</v>
      </c>
      <c r="D59" s="79"/>
      <c r="E59" s="625">
        <f>$E$13*VLOOKUP(B59,'Item List'!B:AM,38,FALSE)</f>
        <v>0</v>
      </c>
      <c r="F59" s="608">
        <f>VLOOKUP(B59,'Item List'!B:AH,4,FALSE)</f>
        <v>0</v>
      </c>
      <c r="G59" s="569">
        <f t="shared" si="1"/>
        <v>0</v>
      </c>
      <c r="H59" s="606"/>
      <c r="I59" s="607">
        <f>ROUNDUP((E59*'Project Materials'!$L$18),0)</f>
        <v>0</v>
      </c>
      <c r="J59" s="572">
        <f t="shared" si="2"/>
        <v>0</v>
      </c>
    </row>
    <row r="60" spans="1:10" x14ac:dyDescent="0.4">
      <c r="A60" s="682" t="s">
        <v>701</v>
      </c>
      <c r="B60" s="79" t="str">
        <f>VLOOKUP('Area C'!$B$13,'Item List'!B:AL,22,FALSE)</f>
        <v>None</v>
      </c>
      <c r="C60" s="79" t="str">
        <f>VLOOKUP(B60,'Item List'!B:AH,2,FALSE)</f>
        <v>None</v>
      </c>
      <c r="D60" s="79"/>
      <c r="E60" s="625">
        <f>$E$13*VLOOKUP(B60,'Item List'!B:AM,38,FALSE)</f>
        <v>0</v>
      </c>
      <c r="F60" s="608">
        <f>VLOOKUP(B60,'Item List'!B:AH,4,FALSE)</f>
        <v>0</v>
      </c>
      <c r="G60" s="569">
        <f t="shared" si="1"/>
        <v>0</v>
      </c>
      <c r="H60" s="606"/>
      <c r="I60" s="607">
        <f>ROUNDUP((E60*'Project Materials'!$L$18),0)</f>
        <v>0</v>
      </c>
      <c r="J60" s="572">
        <f t="shared" si="2"/>
        <v>0</v>
      </c>
    </row>
    <row r="61" spans="1:10" x14ac:dyDescent="0.4">
      <c r="A61" s="682" t="s">
        <v>701</v>
      </c>
      <c r="B61" s="79" t="str">
        <f>VLOOKUP('Area C'!$B$13,'Item List'!B:AL,23,FALSE)</f>
        <v>None</v>
      </c>
      <c r="C61" s="79" t="str">
        <f>VLOOKUP(B61,'Item List'!B:AH,2,FALSE)</f>
        <v>None</v>
      </c>
      <c r="D61" s="79"/>
      <c r="E61" s="625">
        <f>$E$13*VLOOKUP(B61,'Item List'!B:AM,38,FALSE)</f>
        <v>0</v>
      </c>
      <c r="F61" s="608">
        <f>VLOOKUP(B61,'Item List'!B:AH,4,FALSE)</f>
        <v>0</v>
      </c>
      <c r="G61" s="569">
        <f t="shared" si="1"/>
        <v>0</v>
      </c>
      <c r="H61" s="606"/>
      <c r="I61" s="607">
        <f>ROUNDUP((E61*'Project Materials'!$L$18),0)</f>
        <v>0</v>
      </c>
      <c r="J61" s="572">
        <f t="shared" si="2"/>
        <v>0</v>
      </c>
    </row>
    <row r="62" spans="1:10" x14ac:dyDescent="0.4">
      <c r="A62" s="682" t="s">
        <v>701</v>
      </c>
      <c r="B62" s="79" t="str">
        <f>VLOOKUP('Area C'!$B$13,'Item List'!B:AL,24,FALSE)</f>
        <v>None</v>
      </c>
      <c r="C62" s="79" t="str">
        <f>VLOOKUP(B62,'Item List'!B:AH,2,FALSE)</f>
        <v>None</v>
      </c>
      <c r="D62" s="79"/>
      <c r="E62" s="625">
        <f>$E$13*VLOOKUP(B62,'Item List'!B:AM,38,FALSE)</f>
        <v>0</v>
      </c>
      <c r="F62" s="608">
        <f>VLOOKUP(B62,'Item List'!B:AH,4,FALSE)</f>
        <v>0</v>
      </c>
      <c r="G62" s="569">
        <f t="shared" si="1"/>
        <v>0</v>
      </c>
      <c r="H62" s="606"/>
      <c r="I62" s="607">
        <f>ROUNDUP((E62*'Project Materials'!$L$18),0)</f>
        <v>0</v>
      </c>
      <c r="J62" s="572">
        <f t="shared" si="2"/>
        <v>0</v>
      </c>
    </row>
    <row r="63" spans="1:10" x14ac:dyDescent="0.4">
      <c r="A63" s="682" t="s">
        <v>701</v>
      </c>
      <c r="B63" s="628" t="str">
        <f>VLOOKUP('Area C'!$B$13,'Item List'!B:AL,25,FALSE)</f>
        <v>None</v>
      </c>
      <c r="C63" s="628" t="str">
        <f>VLOOKUP(B63,'Item List'!B:AH,2,FALSE)</f>
        <v>None</v>
      </c>
      <c r="D63" s="628"/>
      <c r="E63" s="626">
        <f>$E$13*VLOOKUP(B63,'Item List'!B:AM,38,FALSE)</f>
        <v>0</v>
      </c>
      <c r="F63" s="629">
        <f>VLOOKUP(B63,'Item List'!B:AH,4,FALSE)</f>
        <v>0</v>
      </c>
      <c r="G63" s="630">
        <f t="shared" si="1"/>
        <v>0</v>
      </c>
      <c r="H63" s="606"/>
      <c r="I63" s="631">
        <f>ROUNDUP((E63*'Project Materials'!$L$18),0)</f>
        <v>0</v>
      </c>
      <c r="J63" s="632">
        <f t="shared" si="2"/>
        <v>0</v>
      </c>
    </row>
    <row r="64" spans="1:10" x14ac:dyDescent="0.4">
      <c r="A64" s="682" t="s">
        <v>702</v>
      </c>
      <c r="B64" s="79" t="str">
        <f>VLOOKUP('Area C'!$B$14,'Item List'!B:AL,20,FALSE)</f>
        <v>None</v>
      </c>
      <c r="C64" s="79" t="str">
        <f>VLOOKUP(B64,'Item List'!B:AH,2,FALSE)</f>
        <v>None</v>
      </c>
      <c r="D64" s="79"/>
      <c r="E64" s="625">
        <f>$E$14*VLOOKUP(B64,'Item List'!B:AM,38,FALSE)</f>
        <v>0</v>
      </c>
      <c r="F64" s="608">
        <f>VLOOKUP(B64,'Item List'!B:AH,4,FALSE)</f>
        <v>0</v>
      </c>
      <c r="G64" s="569">
        <f t="shared" si="1"/>
        <v>0</v>
      </c>
      <c r="H64" s="606"/>
      <c r="I64" s="607">
        <f>ROUNDUP((E64*'Project Materials'!$L$18),0)</f>
        <v>0</v>
      </c>
      <c r="J64" s="572">
        <f t="shared" si="2"/>
        <v>0</v>
      </c>
    </row>
    <row r="65" spans="1:10" x14ac:dyDescent="0.4">
      <c r="A65" s="682" t="s">
        <v>702</v>
      </c>
      <c r="B65" s="79" t="str">
        <f>VLOOKUP('Area C'!$B$14,'Item List'!B:AL,21,FALSE)</f>
        <v>None</v>
      </c>
      <c r="C65" s="79" t="str">
        <f>VLOOKUP(B65,'Item List'!B:AH,2,FALSE)</f>
        <v>None</v>
      </c>
      <c r="D65" s="79"/>
      <c r="E65" s="625">
        <f>$E$14*VLOOKUP(B65,'Item List'!B:AM,38,FALSE)</f>
        <v>0</v>
      </c>
      <c r="F65" s="608">
        <f>VLOOKUP(B65,'Item List'!B:AH,4,FALSE)</f>
        <v>0</v>
      </c>
      <c r="G65" s="569">
        <f t="shared" si="1"/>
        <v>0</v>
      </c>
      <c r="H65" s="606"/>
      <c r="I65" s="607">
        <f>ROUNDUP((E65*'Project Materials'!$L$18),0)</f>
        <v>0</v>
      </c>
      <c r="J65" s="572">
        <f t="shared" si="2"/>
        <v>0</v>
      </c>
    </row>
    <row r="66" spans="1:10" x14ac:dyDescent="0.4">
      <c r="A66" s="682" t="s">
        <v>702</v>
      </c>
      <c r="B66" s="79" t="str">
        <f>VLOOKUP('Area C'!$B$14,'Item List'!B:AL,22,FALSE)</f>
        <v>None</v>
      </c>
      <c r="C66" s="79" t="str">
        <f>VLOOKUP(B66,'Item List'!B:AH,2,FALSE)</f>
        <v>None</v>
      </c>
      <c r="D66" s="79"/>
      <c r="E66" s="588">
        <f>$E$14*VLOOKUP(B66,'Item List'!B:AM,38,FALSE)</f>
        <v>0</v>
      </c>
      <c r="F66" s="608">
        <f>VLOOKUP(B66,'Item List'!B:AH,4,FALSE)</f>
        <v>0</v>
      </c>
      <c r="G66" s="569">
        <f t="shared" si="1"/>
        <v>0</v>
      </c>
      <c r="H66" s="606"/>
      <c r="I66" s="607">
        <f>ROUNDUP((E66*'Project Materials'!$L$18),0)</f>
        <v>0</v>
      </c>
      <c r="J66" s="572">
        <f t="shared" si="2"/>
        <v>0</v>
      </c>
    </row>
    <row r="67" spans="1:10" x14ac:dyDescent="0.4">
      <c r="A67" s="682" t="s">
        <v>702</v>
      </c>
      <c r="B67" s="79" t="str">
        <f>VLOOKUP('Area C'!$B$14,'Item List'!B:AL,23,FALSE)</f>
        <v>None</v>
      </c>
      <c r="C67" s="79" t="str">
        <f>VLOOKUP(B67,'Item List'!B:AH,2,FALSE)</f>
        <v>None</v>
      </c>
      <c r="D67" s="79"/>
      <c r="E67" s="588">
        <f>$E$14*VLOOKUP(B67,'Item List'!B:AM,38,FALSE)</f>
        <v>0</v>
      </c>
      <c r="F67" s="608">
        <f>VLOOKUP(B67,'Item List'!B:AH,4,FALSE)</f>
        <v>0</v>
      </c>
      <c r="G67" s="569">
        <f t="shared" si="1"/>
        <v>0</v>
      </c>
      <c r="H67" s="606"/>
      <c r="I67" s="607">
        <f>ROUNDUP((E67*'Project Materials'!$L$18),0)</f>
        <v>0</v>
      </c>
      <c r="J67" s="572">
        <f t="shared" si="2"/>
        <v>0</v>
      </c>
    </row>
    <row r="68" spans="1:10" x14ac:dyDescent="0.4">
      <c r="A68" s="682" t="s">
        <v>702</v>
      </c>
      <c r="B68" s="79" t="str">
        <f>VLOOKUP('Area C'!$B$14,'Item List'!B:AL,24,FALSE)</f>
        <v>None</v>
      </c>
      <c r="C68" s="79" t="str">
        <f>VLOOKUP(B68,'Item List'!B:AH,2,FALSE)</f>
        <v>None</v>
      </c>
      <c r="D68" s="79"/>
      <c r="E68" s="588">
        <f>$E$14*VLOOKUP(B68,'Item List'!B:AM,38,FALSE)</f>
        <v>0</v>
      </c>
      <c r="F68" s="608">
        <f>VLOOKUP(B68,'Item List'!B:AH,4,FALSE)</f>
        <v>0</v>
      </c>
      <c r="G68" s="569">
        <f t="shared" si="1"/>
        <v>0</v>
      </c>
      <c r="H68" s="606"/>
      <c r="I68" s="607">
        <f>ROUNDUP((E68*'Project Materials'!$L$18),0)</f>
        <v>0</v>
      </c>
      <c r="J68" s="572">
        <f t="shared" si="2"/>
        <v>0</v>
      </c>
    </row>
    <row r="69" spans="1:10" x14ac:dyDescent="0.4">
      <c r="A69" s="682" t="s">
        <v>702</v>
      </c>
      <c r="B69" s="598" t="str">
        <f>VLOOKUP('Area C'!$B$14,'Item List'!B:AL,25,FALSE)</f>
        <v>None</v>
      </c>
      <c r="C69" s="598" t="str">
        <f>VLOOKUP(B69,'Item List'!B:AH,2,FALSE)</f>
        <v>None</v>
      </c>
      <c r="D69" s="598"/>
      <c r="E69" s="611">
        <f>$E$14*VLOOKUP(B69,'Item List'!B:AM,38,FALSE)</f>
        <v>0</v>
      </c>
      <c r="F69" s="612">
        <f>VLOOKUP(B69,'Item List'!B:AH,4,FALSE)</f>
        <v>0</v>
      </c>
      <c r="G69" s="613">
        <f t="shared" si="1"/>
        <v>0</v>
      </c>
      <c r="H69" s="614"/>
      <c r="I69" s="615">
        <f>ROUNDUP((E69*'Project Materials'!$L$18),0)</f>
        <v>0</v>
      </c>
      <c r="J69" s="616">
        <f t="shared" si="2"/>
        <v>0</v>
      </c>
    </row>
    <row r="70" spans="1:10" x14ac:dyDescent="0.4">
      <c r="A70" s="682" t="s">
        <v>703</v>
      </c>
      <c r="B70" s="79" t="str">
        <f>VLOOKUP('Area C'!$B$15,'Item List'!B:AL,20,FALSE)</f>
        <v>3/8" x 5" SS Lag Screw</v>
      </c>
      <c r="C70" s="79" t="str">
        <f>VLOOKUP(B70,'Item List'!B:AH,2,FALSE)</f>
        <v>3/8" x 5" Stainless Steel Lag Screw</v>
      </c>
      <c r="D70" s="79"/>
      <c r="E70" s="588">
        <f>$E$15*VLOOKUP(B70,'Item List'!B:AM,38,FALSE)</f>
        <v>0</v>
      </c>
      <c r="F70" s="608">
        <f>VLOOKUP(B70,'Item List'!B:AH,4,FALSE)</f>
        <v>0.6</v>
      </c>
      <c r="G70" s="569">
        <f t="shared" si="1"/>
        <v>0</v>
      </c>
      <c r="H70" s="606"/>
      <c r="I70" s="607">
        <f>ROUNDUP((E70*'Project Materials'!$L$18),0)</f>
        <v>0</v>
      </c>
      <c r="J70" s="572">
        <f t="shared" si="2"/>
        <v>0</v>
      </c>
    </row>
    <row r="71" spans="1:10" x14ac:dyDescent="0.4">
      <c r="A71" s="682" t="s">
        <v>703</v>
      </c>
      <c r="B71" s="79" t="str">
        <f>VLOOKUP('Area C'!$B$15,'Item List'!B:AL,21,FALSE)</f>
        <v>SS W805X100 - Blk</v>
      </c>
      <c r="C71" s="79" t="str">
        <f>VLOOKUP(B71,'Item List'!B:AH,2,FALSE)</f>
        <v>TR &amp; BR Screws - #10 x 5/8" Phillips Pan Head Self Drill Stainless Steel Zinc Plated - Black- One screw</v>
      </c>
      <c r="D71" s="79"/>
      <c r="E71" s="588">
        <f>$E$15*VLOOKUP(B71,'Item List'!B:AM,38,FALSE)</f>
        <v>0</v>
      </c>
      <c r="F71" s="608">
        <f>VLOOKUP(B71,'Item List'!B:AH,4,FALSE)</f>
        <v>0.1</v>
      </c>
      <c r="G71" s="569">
        <f t="shared" si="1"/>
        <v>0</v>
      </c>
      <c r="H71" s="606"/>
      <c r="I71" s="607">
        <f>ROUNDUP((E71*'Project Materials'!$L$18),0)</f>
        <v>0</v>
      </c>
      <c r="J71" s="572">
        <f t="shared" si="2"/>
        <v>0</v>
      </c>
    </row>
    <row r="72" spans="1:10" x14ac:dyDescent="0.4">
      <c r="A72" s="682" t="s">
        <v>703</v>
      </c>
      <c r="B72" s="79" t="str">
        <f>VLOOKUP('Area C'!$B$15,'Item List'!B:AL,22,FALSE)</f>
        <v>NC- Blk</v>
      </c>
      <c r="C72" s="79" t="str">
        <f>VLOOKUP(B72,'Item List'!B:AH,2,FALSE)</f>
        <v>Nylon Bolt Cap- Black</v>
      </c>
      <c r="D72" s="79"/>
      <c r="E72" s="588">
        <f>$E$15*VLOOKUP(B72,'Item List'!B:AM,38,FALSE)</f>
        <v>0</v>
      </c>
      <c r="F72" s="608">
        <f>VLOOKUP(B72,'Item List'!B:AH,4,FALSE)</f>
        <v>7.1279999999999996E-2</v>
      </c>
      <c r="G72" s="569">
        <f t="shared" si="1"/>
        <v>0</v>
      </c>
      <c r="H72" s="606"/>
      <c r="I72" s="607">
        <f>ROUNDUP((E72*'Project Materials'!$L$18),0)</f>
        <v>0</v>
      </c>
      <c r="J72" s="572">
        <f t="shared" si="2"/>
        <v>0</v>
      </c>
    </row>
    <row r="73" spans="1:10" x14ac:dyDescent="0.4">
      <c r="A73" s="682" t="s">
        <v>703</v>
      </c>
      <c r="B73" s="79" t="str">
        <f>VLOOKUP('Area C'!$B$15,'Item List'!B:AL,23,FALSE)</f>
        <v>CW POW</v>
      </c>
      <c r="C73" s="79" t="str">
        <f>VLOOKUP(B73,'Item List'!B:AH,2,FALSE)</f>
        <v>Washer - Bolt Head Cover</v>
      </c>
      <c r="D73" s="79"/>
      <c r="E73" s="588">
        <f>$E$15*VLOOKUP(B73,'Item List'!B:AM,38,FALSE)</f>
        <v>0</v>
      </c>
      <c r="F73" s="608">
        <f>VLOOKUP(B73,'Item List'!B:AH,4,FALSE)</f>
        <v>0.11799999999999999</v>
      </c>
      <c r="G73" s="569">
        <f t="shared" si="1"/>
        <v>0</v>
      </c>
      <c r="H73" s="606"/>
      <c r="I73" s="607">
        <f>ROUNDUP((E73*'Project Materials'!$L$18),0)</f>
        <v>0</v>
      </c>
      <c r="J73" s="572">
        <f t="shared" si="2"/>
        <v>0</v>
      </c>
    </row>
    <row r="74" spans="1:10" x14ac:dyDescent="0.4">
      <c r="A74" s="682" t="s">
        <v>703</v>
      </c>
      <c r="B74" s="79" t="str">
        <f>VLOOKUP('Area C'!$B$15,'Item List'!B:AL,24,FALSE)</f>
        <v>None</v>
      </c>
      <c r="C74" s="79" t="str">
        <f>VLOOKUP(B74,'Item List'!B:AH,2,FALSE)</f>
        <v>None</v>
      </c>
      <c r="D74" s="79"/>
      <c r="E74" s="588">
        <f>$E$15*VLOOKUP(B74,'Item List'!B:AM,38,FALSE)</f>
        <v>0</v>
      </c>
      <c r="F74" s="608">
        <f>VLOOKUP(B74,'Item List'!B:AH,4,FALSE)</f>
        <v>0</v>
      </c>
      <c r="G74" s="569">
        <f t="shared" si="1"/>
        <v>0</v>
      </c>
      <c r="H74" s="606"/>
      <c r="I74" s="607">
        <f>ROUNDUP((E74*'Project Materials'!$L$18),0)</f>
        <v>0</v>
      </c>
      <c r="J74" s="572">
        <f t="shared" si="2"/>
        <v>0</v>
      </c>
    </row>
    <row r="75" spans="1:10" x14ac:dyDescent="0.4">
      <c r="A75" s="682" t="s">
        <v>703</v>
      </c>
      <c r="B75" s="598" t="str">
        <f>VLOOKUP('Area C'!$B$15,'Item List'!B:AL,25,FALSE)</f>
        <v>None</v>
      </c>
      <c r="C75" s="598" t="str">
        <f>VLOOKUP(B75,'Item List'!B:AH,2,FALSE)</f>
        <v>None</v>
      </c>
      <c r="D75" s="598"/>
      <c r="E75" s="611">
        <f>$E$15*VLOOKUP(B75,'Item List'!B:AM,38,FALSE)</f>
        <v>0</v>
      </c>
      <c r="F75" s="612">
        <f>VLOOKUP(B75,'Item List'!B:AH,4,FALSE)</f>
        <v>0</v>
      </c>
      <c r="G75" s="613">
        <f t="shared" si="1"/>
        <v>0</v>
      </c>
      <c r="H75" s="614"/>
      <c r="I75" s="615">
        <f>ROUNDUP((E75*'Project Materials'!$L$18),0)</f>
        <v>0</v>
      </c>
      <c r="J75" s="616">
        <f t="shared" si="2"/>
        <v>0</v>
      </c>
    </row>
    <row r="76" spans="1:10" x14ac:dyDescent="0.4">
      <c r="A76" s="682" t="s">
        <v>704</v>
      </c>
      <c r="B76" s="79" t="str">
        <f>VLOOKUP('Area C'!$B$16,'Item List'!B:AL,20,FALSE)</f>
        <v>3/8" x 5" SS Lag Screw</v>
      </c>
      <c r="C76" s="79" t="str">
        <f>VLOOKUP(B76,'Item List'!B:AH,2,FALSE)</f>
        <v>3/8" x 5" Stainless Steel Lag Screw</v>
      </c>
      <c r="D76" s="79"/>
      <c r="E76" s="588">
        <f>$E$16*VLOOKUP(B76,'Item List'!B:AM,38,FALSE)</f>
        <v>0</v>
      </c>
      <c r="F76" s="608">
        <f>VLOOKUP(B76,'Item List'!B:AH,4,FALSE)</f>
        <v>0.6</v>
      </c>
      <c r="G76" s="569">
        <f t="shared" si="1"/>
        <v>0</v>
      </c>
      <c r="H76" s="606"/>
      <c r="I76" s="607">
        <f>ROUNDUP((E76*'Project Materials'!$L$18),0)</f>
        <v>0</v>
      </c>
      <c r="J76" s="572">
        <f t="shared" si="2"/>
        <v>0</v>
      </c>
    </row>
    <row r="77" spans="1:10" x14ac:dyDescent="0.4">
      <c r="A77" s="682" t="s">
        <v>704</v>
      </c>
      <c r="B77" s="79" t="str">
        <f>VLOOKUP('Area C'!$B$16,'Item List'!B:AL,21,FALSE)</f>
        <v>SS W805X100 - Blk</v>
      </c>
      <c r="C77" s="79" t="str">
        <f>VLOOKUP(B77,'Item List'!B:AH,2,FALSE)</f>
        <v>TR &amp; BR Screws - #10 x 5/8" Phillips Pan Head Self Drill Stainless Steel Zinc Plated - Black- One screw</v>
      </c>
      <c r="D77" s="79"/>
      <c r="E77" s="588">
        <f>$E$16*VLOOKUP(B77,'Item List'!B:AM,38,FALSE)</f>
        <v>0</v>
      </c>
      <c r="F77" s="608">
        <f>VLOOKUP(B77,'Item List'!B:AH,4,FALSE)</f>
        <v>0.1</v>
      </c>
      <c r="G77" s="569">
        <f t="shared" si="1"/>
        <v>0</v>
      </c>
      <c r="H77" s="606"/>
      <c r="I77" s="607">
        <f>ROUNDUP((E77*'Project Materials'!$L$18),0)</f>
        <v>0</v>
      </c>
      <c r="J77" s="572">
        <f t="shared" si="2"/>
        <v>0</v>
      </c>
    </row>
    <row r="78" spans="1:10" x14ac:dyDescent="0.4">
      <c r="A78" s="682" t="s">
        <v>704</v>
      </c>
      <c r="B78" s="79" t="str">
        <f>VLOOKUP('Area C'!$B$16,'Item List'!B:AL,22,FALSE)</f>
        <v>NC- Blk</v>
      </c>
      <c r="C78" s="79" t="str">
        <f>VLOOKUP(B78,'Item List'!B:AH,2,FALSE)</f>
        <v>Nylon Bolt Cap- Black</v>
      </c>
      <c r="D78" s="79"/>
      <c r="E78" s="588">
        <f>$E$16*VLOOKUP(B78,'Item List'!B:AM,38,FALSE)</f>
        <v>0</v>
      </c>
      <c r="F78" s="608">
        <f>VLOOKUP(B78,'Item List'!B:AH,4,FALSE)</f>
        <v>7.1279999999999996E-2</v>
      </c>
      <c r="G78" s="569">
        <f t="shared" si="1"/>
        <v>0</v>
      </c>
      <c r="H78" s="606"/>
      <c r="I78" s="607">
        <f>ROUNDUP((E78*'Project Materials'!$L$18),0)</f>
        <v>0</v>
      </c>
      <c r="J78" s="572">
        <f t="shared" si="2"/>
        <v>0</v>
      </c>
    </row>
    <row r="79" spans="1:10" x14ac:dyDescent="0.4">
      <c r="A79" s="682" t="s">
        <v>704</v>
      </c>
      <c r="B79" s="79" t="str">
        <f>VLOOKUP('Area C'!$B$16,'Item List'!B:AL,23,FALSE)</f>
        <v>CW POW</v>
      </c>
      <c r="C79" s="79" t="str">
        <f>VLOOKUP(B79,'Item List'!B:AH,2,FALSE)</f>
        <v>Washer - Bolt Head Cover</v>
      </c>
      <c r="D79" s="79"/>
      <c r="E79" s="588">
        <f>$E$16*VLOOKUP(B79,'Item List'!B:AM,38,FALSE)</f>
        <v>0</v>
      </c>
      <c r="F79" s="608">
        <f>VLOOKUP(B79,'Item List'!B:AH,4,FALSE)</f>
        <v>0.11799999999999999</v>
      </c>
      <c r="G79" s="569">
        <f t="shared" si="1"/>
        <v>0</v>
      </c>
      <c r="H79" s="606"/>
      <c r="I79" s="607">
        <f>ROUNDUP((E79*'Project Materials'!$L$18),0)</f>
        <v>0</v>
      </c>
      <c r="J79" s="572">
        <f t="shared" si="2"/>
        <v>0</v>
      </c>
    </row>
    <row r="80" spans="1:10" x14ac:dyDescent="0.4">
      <c r="A80" s="682" t="s">
        <v>704</v>
      </c>
      <c r="B80" s="79" t="str">
        <f>VLOOKUP('Area C'!$B$16,'Item List'!B:AL,24,FALSE)</f>
        <v>None</v>
      </c>
      <c r="C80" s="79" t="str">
        <f>VLOOKUP(B80,'Item List'!B:AH,2,FALSE)</f>
        <v>None</v>
      </c>
      <c r="D80" s="79"/>
      <c r="E80" s="588">
        <f>$E$16*VLOOKUP(B80,'Item List'!B:AM,38,FALSE)</f>
        <v>0</v>
      </c>
      <c r="F80" s="608">
        <f>VLOOKUP(B80,'Item List'!B:AH,4,FALSE)</f>
        <v>0</v>
      </c>
      <c r="G80" s="569">
        <f t="shared" si="1"/>
        <v>0</v>
      </c>
      <c r="H80" s="606"/>
      <c r="I80" s="607">
        <f>ROUNDUP((E80*'Project Materials'!$L$18),0)</f>
        <v>0</v>
      </c>
      <c r="J80" s="572">
        <f t="shared" si="2"/>
        <v>0</v>
      </c>
    </row>
    <row r="81" spans="1:10" x14ac:dyDescent="0.4">
      <c r="A81" s="682" t="s">
        <v>704</v>
      </c>
      <c r="B81" s="598" t="str">
        <f>VLOOKUP('Area C'!$B$16,'Item List'!B:AL,25,FALSE)</f>
        <v>None</v>
      </c>
      <c r="C81" s="598" t="str">
        <f>VLOOKUP(B81,'Item List'!B:AH,2,FALSE)</f>
        <v>None</v>
      </c>
      <c r="D81" s="598"/>
      <c r="E81" s="611">
        <f>$E$16*VLOOKUP(B81,'Item List'!B:AM,38,FALSE)</f>
        <v>0</v>
      </c>
      <c r="F81" s="612">
        <f>VLOOKUP(B81,'Item List'!B:AH,4,FALSE)</f>
        <v>0</v>
      </c>
      <c r="G81" s="613">
        <f t="shared" si="1"/>
        <v>0</v>
      </c>
      <c r="H81" s="614"/>
      <c r="I81" s="615">
        <f>ROUNDUP((E81*'Project Materials'!$L$18),0)</f>
        <v>0</v>
      </c>
      <c r="J81" s="616">
        <f t="shared" si="2"/>
        <v>0</v>
      </c>
    </row>
    <row r="82" spans="1:10" x14ac:dyDescent="0.4">
      <c r="A82" s="682" t="s">
        <v>711</v>
      </c>
      <c r="B82" s="79" t="str">
        <f>VLOOKUP('Area C'!$B$17,'Item List'!B:AL,20,FALSE)</f>
        <v>3/8" x 5" SS Lag Screw</v>
      </c>
      <c r="C82" s="633" t="str">
        <f>VLOOKUP(B82,'Item List'!B:AH,2,FALSE)</f>
        <v>3/8" x 5" Stainless Steel Lag Screw</v>
      </c>
      <c r="D82" s="633"/>
      <c r="E82" s="588">
        <f>$E$17*VLOOKUP(B82,'Item List'!B:AM,38,FALSE)</f>
        <v>0</v>
      </c>
      <c r="F82" s="608">
        <f>VLOOKUP(B82,'Item List'!B:AH,4,FALSE)</f>
        <v>0.6</v>
      </c>
      <c r="G82" s="569">
        <f t="shared" si="1"/>
        <v>0</v>
      </c>
      <c r="H82" s="606"/>
      <c r="I82" s="607">
        <f>ROUNDUP((E82*'Project Materials'!$L$18),0)</f>
        <v>0</v>
      </c>
      <c r="J82" s="572">
        <f t="shared" si="2"/>
        <v>0</v>
      </c>
    </row>
    <row r="83" spans="1:10" x14ac:dyDescent="0.4">
      <c r="A83" s="682" t="s">
        <v>711</v>
      </c>
      <c r="B83" s="79" t="str">
        <f>VLOOKUP('Area C'!$B$17,'Item List'!B:AL,21,FALSE)</f>
        <v>SS W805X100 - Blk</v>
      </c>
      <c r="C83" s="633" t="str">
        <f>VLOOKUP(B83,'Item List'!B:AH,2,FALSE)</f>
        <v>TR &amp; BR Screws - #10 x 5/8" Phillips Pan Head Self Drill Stainless Steel Zinc Plated - Black- One screw</v>
      </c>
      <c r="D83" s="633"/>
      <c r="E83" s="588">
        <f>$E$17*VLOOKUP(B83,'Item List'!B:AM,38,FALSE)</f>
        <v>0</v>
      </c>
      <c r="F83" s="608">
        <f>VLOOKUP(B83,'Item List'!B:AH,4,FALSE)</f>
        <v>0.1</v>
      </c>
      <c r="G83" s="569">
        <f t="shared" si="1"/>
        <v>0</v>
      </c>
      <c r="H83" s="606"/>
      <c r="I83" s="607">
        <f>ROUNDUP((E83*'Project Materials'!$L$18),0)</f>
        <v>0</v>
      </c>
      <c r="J83" s="572">
        <f t="shared" si="2"/>
        <v>0</v>
      </c>
    </row>
    <row r="84" spans="1:10" x14ac:dyDescent="0.4">
      <c r="A84" s="682" t="s">
        <v>711</v>
      </c>
      <c r="B84" s="79" t="str">
        <f>VLOOKUP('Area C'!$B$17,'Item List'!B:AL,22,FALSE)</f>
        <v>NC- Blk</v>
      </c>
      <c r="C84" s="633" t="str">
        <f>VLOOKUP(B84,'Item List'!B:AH,2,FALSE)</f>
        <v>Nylon Bolt Cap- Black</v>
      </c>
      <c r="D84" s="633"/>
      <c r="E84" s="588">
        <f>$E$17*VLOOKUP(B84,'Item List'!B:AM,38,FALSE)</f>
        <v>0</v>
      </c>
      <c r="F84" s="608">
        <f>VLOOKUP(B84,'Item List'!B:AH,4,FALSE)</f>
        <v>7.1279999999999996E-2</v>
      </c>
      <c r="G84" s="569">
        <f t="shared" si="1"/>
        <v>0</v>
      </c>
      <c r="H84" s="606"/>
      <c r="I84" s="607">
        <f>ROUNDUP((E84*'Project Materials'!$L$18),0)</f>
        <v>0</v>
      </c>
      <c r="J84" s="572">
        <f t="shared" si="2"/>
        <v>0</v>
      </c>
    </row>
    <row r="85" spans="1:10" x14ac:dyDescent="0.4">
      <c r="A85" s="682" t="s">
        <v>711</v>
      </c>
      <c r="B85" s="79" t="str">
        <f>VLOOKUP('Area C'!$B$17,'Item List'!B:AL,23,FALSE)</f>
        <v>CW POW</v>
      </c>
      <c r="C85" s="633" t="str">
        <f>VLOOKUP(B85,'Item List'!B:AH,2,FALSE)</f>
        <v>Washer - Bolt Head Cover</v>
      </c>
      <c r="D85" s="633"/>
      <c r="E85" s="588">
        <f>$E$17*VLOOKUP(B85,'Item List'!B:AM,38,FALSE)</f>
        <v>0</v>
      </c>
      <c r="F85" s="608">
        <f>VLOOKUP(B85,'Item List'!B:AH,4,FALSE)</f>
        <v>0.11799999999999999</v>
      </c>
      <c r="G85" s="569">
        <f t="shared" si="1"/>
        <v>0</v>
      </c>
      <c r="H85" s="606"/>
      <c r="I85" s="607">
        <f>ROUNDUP((E85*'Project Materials'!$L$18),0)</f>
        <v>0</v>
      </c>
      <c r="J85" s="572">
        <f t="shared" si="2"/>
        <v>0</v>
      </c>
    </row>
    <row r="86" spans="1:10" x14ac:dyDescent="0.4">
      <c r="A86" s="682" t="s">
        <v>711</v>
      </c>
      <c r="B86" s="79" t="str">
        <f>VLOOKUP('Area C'!$B$17,'Item List'!B:AL,24,FALSE)</f>
        <v>None</v>
      </c>
      <c r="C86" s="633" t="str">
        <f>VLOOKUP(B86,'Item List'!B:AH,2,FALSE)</f>
        <v>None</v>
      </c>
      <c r="D86" s="633"/>
      <c r="E86" s="588">
        <f>$E$17*VLOOKUP(B86,'Item List'!B:AM,38,FALSE)</f>
        <v>0</v>
      </c>
      <c r="F86" s="608">
        <f>VLOOKUP(B86,'Item List'!B:AH,4,FALSE)</f>
        <v>0</v>
      </c>
      <c r="G86" s="569">
        <f t="shared" si="1"/>
        <v>0</v>
      </c>
      <c r="H86" s="606"/>
      <c r="I86" s="607">
        <f>ROUNDUP((E86*'Project Materials'!$L$18),0)</f>
        <v>0</v>
      </c>
      <c r="J86" s="572">
        <f t="shared" si="2"/>
        <v>0</v>
      </c>
    </row>
    <row r="87" spans="1:10" x14ac:dyDescent="0.4">
      <c r="A87" s="682" t="s">
        <v>711</v>
      </c>
      <c r="B87" s="598" t="str">
        <f>VLOOKUP('Area C'!$B$17,'Item List'!B:AL,25,FALSE)</f>
        <v>None</v>
      </c>
      <c r="C87" s="633" t="str">
        <f>VLOOKUP(B87,'Item List'!B:AH,2,FALSE)</f>
        <v>None</v>
      </c>
      <c r="D87" s="633"/>
      <c r="E87" s="634">
        <f>$E$17*VLOOKUP(B87,'Item List'!B:AM,38,FALSE)</f>
        <v>0</v>
      </c>
      <c r="F87" s="635">
        <f>VLOOKUP(B87,'Item List'!B:AH,4,FALSE)</f>
        <v>0</v>
      </c>
      <c r="G87" s="636">
        <f t="shared" si="1"/>
        <v>0</v>
      </c>
      <c r="H87" s="637"/>
      <c r="I87" s="638">
        <f>ROUNDUP((E87*'Project Materials'!$L$18),0)</f>
        <v>0</v>
      </c>
      <c r="J87" s="639">
        <f t="shared" si="2"/>
        <v>0</v>
      </c>
    </row>
    <row r="88" spans="1:10" x14ac:dyDescent="0.4">
      <c r="A88" s="682" t="s">
        <v>712</v>
      </c>
      <c r="B88" s="79" t="str">
        <f>VLOOKUP('Area C'!$B$18,'Item List'!B:AL,20,FALSE)</f>
        <v>3/8" x 5" SS Lag Screw</v>
      </c>
      <c r="C88" s="627" t="str">
        <f>VLOOKUP(B88,'Item List'!B:AH,2,FALSE)</f>
        <v>3/8" x 5" Stainless Steel Lag Screw</v>
      </c>
      <c r="D88" s="627"/>
      <c r="E88" s="640">
        <f>$E$18*VLOOKUP(B88,'Item List'!B:AM,38,FALSE)</f>
        <v>0</v>
      </c>
      <c r="F88" s="641">
        <f>VLOOKUP(B88,'Item List'!B:AH,4,FALSE)</f>
        <v>0.6</v>
      </c>
      <c r="G88" s="642">
        <f t="shared" si="1"/>
        <v>0</v>
      </c>
      <c r="H88" s="643"/>
      <c r="I88" s="644">
        <f>ROUNDUP((E88*'Project Materials'!$L$18),0)</f>
        <v>0</v>
      </c>
      <c r="J88" s="645">
        <f t="shared" si="2"/>
        <v>0</v>
      </c>
    </row>
    <row r="89" spans="1:10" x14ac:dyDescent="0.4">
      <c r="A89" s="682" t="s">
        <v>712</v>
      </c>
      <c r="B89" s="79" t="str">
        <f>VLOOKUP('Area C'!$B$18,'Item List'!B:AL,21,FALSE)</f>
        <v>SS W805X100 - Blk</v>
      </c>
      <c r="C89" s="633" t="str">
        <f>VLOOKUP(B89,'Item List'!B:AH,2,FALSE)</f>
        <v>TR &amp; BR Screws - #10 x 5/8" Phillips Pan Head Self Drill Stainless Steel Zinc Plated - Black- One screw</v>
      </c>
      <c r="D89" s="633"/>
      <c r="E89" s="634">
        <f>$E$18*VLOOKUP(B89,'Item List'!B:AM,38,FALSE)</f>
        <v>0</v>
      </c>
      <c r="F89" s="635">
        <f>VLOOKUP(B89,'Item List'!B:AH,4,FALSE)</f>
        <v>0.1</v>
      </c>
      <c r="G89" s="636">
        <f t="shared" si="1"/>
        <v>0</v>
      </c>
      <c r="H89" s="637"/>
      <c r="I89" s="638">
        <f>ROUNDUP((E89*'Project Materials'!$L$18),0)</f>
        <v>0</v>
      </c>
      <c r="J89" s="639">
        <f t="shared" si="2"/>
        <v>0</v>
      </c>
    </row>
    <row r="90" spans="1:10" x14ac:dyDescent="0.4">
      <c r="A90" s="682" t="s">
        <v>712</v>
      </c>
      <c r="B90" s="79" t="str">
        <f>VLOOKUP('Area C'!$B$18,'Item List'!B:AL,22,FALSE)</f>
        <v>NC- Blk</v>
      </c>
      <c r="C90" s="633" t="str">
        <f>VLOOKUP(B90,'Item List'!B:AH,2,FALSE)</f>
        <v>Nylon Bolt Cap- Black</v>
      </c>
      <c r="D90" s="633"/>
      <c r="E90" s="634">
        <f>$E$18*VLOOKUP(B90,'Item List'!B:AM,38,FALSE)</f>
        <v>0</v>
      </c>
      <c r="F90" s="635">
        <f>VLOOKUP(B90,'Item List'!B:AH,4,FALSE)</f>
        <v>7.1279999999999996E-2</v>
      </c>
      <c r="G90" s="636">
        <f t="shared" si="1"/>
        <v>0</v>
      </c>
      <c r="H90" s="637"/>
      <c r="I90" s="638">
        <f>ROUNDUP((E90*'Project Materials'!$L$18),0)</f>
        <v>0</v>
      </c>
      <c r="J90" s="639">
        <f t="shared" si="2"/>
        <v>0</v>
      </c>
    </row>
    <row r="91" spans="1:10" x14ac:dyDescent="0.4">
      <c r="A91" s="682" t="s">
        <v>712</v>
      </c>
      <c r="B91" s="79" t="str">
        <f>VLOOKUP('Area C'!$B$18,'Item List'!B:AL,23,FALSE)</f>
        <v>CW POW</v>
      </c>
      <c r="C91" s="633" t="str">
        <f>VLOOKUP(B91,'Item List'!B:AH,2,FALSE)</f>
        <v>Washer - Bolt Head Cover</v>
      </c>
      <c r="D91" s="633"/>
      <c r="E91" s="634">
        <f>$E$18*VLOOKUP(B91,'Item List'!B:AM,38,FALSE)</f>
        <v>0</v>
      </c>
      <c r="F91" s="635">
        <f>VLOOKUP(B91,'Item List'!B:AH,4,FALSE)</f>
        <v>0.11799999999999999</v>
      </c>
      <c r="G91" s="636">
        <f t="shared" si="1"/>
        <v>0</v>
      </c>
      <c r="H91" s="637"/>
      <c r="I91" s="638">
        <f>ROUNDUP((E91*'Project Materials'!$L$18),0)</f>
        <v>0</v>
      </c>
      <c r="J91" s="639">
        <f t="shared" si="2"/>
        <v>0</v>
      </c>
    </row>
    <row r="92" spans="1:10" x14ac:dyDescent="0.4">
      <c r="A92" s="682" t="s">
        <v>712</v>
      </c>
      <c r="B92" s="79" t="str">
        <f>VLOOKUP('Area C'!$B$18,'Item List'!B:AL,24,FALSE)</f>
        <v>None</v>
      </c>
      <c r="C92" s="633" t="str">
        <f>VLOOKUP(B92,'Item List'!B:AH,2,FALSE)</f>
        <v>None</v>
      </c>
      <c r="D92" s="633"/>
      <c r="E92" s="634">
        <f>$E$18*VLOOKUP(B92,'Item List'!B:AM,38,FALSE)</f>
        <v>0</v>
      </c>
      <c r="F92" s="635">
        <f>VLOOKUP(B92,'Item List'!B:AH,4,FALSE)</f>
        <v>0</v>
      </c>
      <c r="G92" s="636">
        <f t="shared" si="1"/>
        <v>0</v>
      </c>
      <c r="H92" s="637"/>
      <c r="I92" s="638">
        <f>ROUNDUP((E92*'Project Materials'!$L$18),0)</f>
        <v>0</v>
      </c>
      <c r="J92" s="639">
        <f t="shared" si="2"/>
        <v>0</v>
      </c>
    </row>
    <row r="93" spans="1:10" x14ac:dyDescent="0.4">
      <c r="A93" s="682" t="s">
        <v>712</v>
      </c>
      <c r="B93" s="598" t="str">
        <f>VLOOKUP('Area C'!$B$18,'Item List'!B:AL,25,FALSE)</f>
        <v>None</v>
      </c>
      <c r="C93" s="598" t="str">
        <f>VLOOKUP(B93,'Item List'!B:AH,2,FALSE)</f>
        <v>None</v>
      </c>
      <c r="D93" s="598"/>
      <c r="E93" s="611">
        <f>$E$18*VLOOKUP(B93,'Item List'!B:AM,38,FALSE)</f>
        <v>0</v>
      </c>
      <c r="F93" s="612">
        <f>VLOOKUP(B93,'Item List'!B:AH,4,FALSE)</f>
        <v>0</v>
      </c>
      <c r="G93" s="613">
        <f t="shared" si="1"/>
        <v>0</v>
      </c>
      <c r="H93" s="614"/>
      <c r="I93" s="615">
        <f>ROUNDUP((E93*'Project Materials'!$L$18),0)</f>
        <v>0</v>
      </c>
      <c r="J93" s="616">
        <f t="shared" si="2"/>
        <v>0</v>
      </c>
    </row>
    <row r="94" spans="1:10" x14ac:dyDescent="0.4">
      <c r="A94" s="617"/>
      <c r="B94" s="646"/>
      <c r="C94" s="651"/>
      <c r="D94" s="651"/>
      <c r="E94" s="648"/>
      <c r="F94" s="649"/>
      <c r="G94" s="650"/>
      <c r="H94" s="646"/>
      <c r="I94" s="651"/>
      <c r="J94" s="652"/>
    </row>
    <row r="95" spans="1:10" x14ac:dyDescent="0.4">
      <c r="A95" s="88" t="s">
        <v>6</v>
      </c>
      <c r="B95" s="79" t="str">
        <f>VLOOKUP('Area C'!$B$22,'Item List'!B:AL,20,FALSE)</f>
        <v>None</v>
      </c>
      <c r="C95" s="79" t="str">
        <f>VLOOKUP(B95,'Item List'!B:AH,2,FALSE)</f>
        <v>None</v>
      </c>
      <c r="D95" s="79"/>
      <c r="E95" s="625">
        <f>$E$22*VLOOKUP(B95,'Item List'!B:AM,38,FALSE)</f>
        <v>0</v>
      </c>
      <c r="F95" s="608">
        <f>VLOOKUP(B95,'Item List'!B:AH,4,FALSE)</f>
        <v>0</v>
      </c>
      <c r="G95" s="569">
        <f>F95*E95</f>
        <v>0</v>
      </c>
      <c r="H95" s="606"/>
      <c r="I95" s="607">
        <f>ROUNDUP((E95*'Project Materials'!$L$18),0)</f>
        <v>0</v>
      </c>
      <c r="J95" s="572">
        <f>G95+(I95*F95)</f>
        <v>0</v>
      </c>
    </row>
    <row r="96" spans="1:10" x14ac:dyDescent="0.4">
      <c r="A96" s="88" t="s">
        <v>6</v>
      </c>
      <c r="B96" s="79" t="str">
        <f>VLOOKUP('Area C'!$B$22,'Item List'!B:AL,21,FALSE)</f>
        <v>None</v>
      </c>
      <c r="C96" s="79" t="str">
        <f>VLOOKUP(B96,'Item List'!B:AH,2,FALSE)</f>
        <v>None</v>
      </c>
      <c r="D96" s="79"/>
      <c r="E96" s="625">
        <f>$E$22*VLOOKUP(B96,'Item List'!B:AM,38,FALSE)</f>
        <v>0</v>
      </c>
      <c r="F96" s="608">
        <f>VLOOKUP(B96,'Item List'!B:AH,4,FALSE)</f>
        <v>0</v>
      </c>
      <c r="G96" s="569">
        <f>F96*E96</f>
        <v>0</v>
      </c>
      <c r="H96" s="606"/>
      <c r="I96" s="607">
        <f>ROUNDUP((E96*'Project Materials'!$L$18),0)</f>
        <v>0</v>
      </c>
      <c r="J96" s="572">
        <f>G96+(I96*F96)</f>
        <v>0</v>
      </c>
    </row>
    <row r="97" spans="1:10" x14ac:dyDescent="0.4">
      <c r="A97" s="88" t="s">
        <v>6</v>
      </c>
      <c r="B97" s="79" t="str">
        <f>VLOOKUP('Area C'!$B$22,'Item List'!B:AL,22,FALSE)</f>
        <v>None</v>
      </c>
      <c r="C97" s="79" t="str">
        <f>VLOOKUP(B97,'Item List'!B:AH,2,FALSE)</f>
        <v>None</v>
      </c>
      <c r="D97" s="79"/>
      <c r="E97" s="625">
        <f>$E$22*VLOOKUP(B97,'Item List'!B:AM,38,FALSE)</f>
        <v>0</v>
      </c>
      <c r="F97" s="608">
        <f>VLOOKUP(B97,'Item List'!B:AH,4,FALSE)</f>
        <v>0</v>
      </c>
      <c r="G97" s="569">
        <f>F97*E97</f>
        <v>0</v>
      </c>
      <c r="H97" s="606"/>
      <c r="I97" s="607">
        <f>ROUNDUP((E97*'Project Materials'!$L$18),0)</f>
        <v>0</v>
      </c>
      <c r="J97" s="572">
        <f>G97+(I97*F97)</f>
        <v>0</v>
      </c>
    </row>
    <row r="98" spans="1:10" x14ac:dyDescent="0.4">
      <c r="A98" s="88" t="s">
        <v>6</v>
      </c>
      <c r="B98" s="79" t="str">
        <f>VLOOKUP('Area C'!$B$22,'Item List'!B:AL,23,FALSE)</f>
        <v>None</v>
      </c>
      <c r="C98" s="79" t="str">
        <f>VLOOKUP(B98,'Item List'!B:AH,2,FALSE)</f>
        <v>None</v>
      </c>
      <c r="D98" s="79"/>
      <c r="E98" s="625">
        <f>$E$22*VLOOKUP(B98,'Item List'!B:AM,38,FALSE)</f>
        <v>0</v>
      </c>
      <c r="F98" s="608">
        <f>VLOOKUP(B98,'Item List'!B:AH,4,FALSE)</f>
        <v>0</v>
      </c>
      <c r="G98" s="569">
        <f>F98*E98</f>
        <v>0</v>
      </c>
      <c r="H98" s="606"/>
      <c r="I98" s="607">
        <f>ROUNDUP((E98*'Project Materials'!$L$18),0)</f>
        <v>0</v>
      </c>
      <c r="J98" s="572">
        <f>G98+(I98*F98)</f>
        <v>0</v>
      </c>
    </row>
    <row r="99" spans="1:10" x14ac:dyDescent="0.4">
      <c r="A99" s="88" t="s">
        <v>6</v>
      </c>
      <c r="B99" s="79" t="str">
        <f>VLOOKUP('Area C'!$B$22,'Item List'!B:AL,24,FALSE)</f>
        <v>None</v>
      </c>
      <c r="C99" s="79" t="str">
        <f>VLOOKUP(B99,'Item List'!B:AH,2,FALSE)</f>
        <v>None</v>
      </c>
      <c r="D99" s="79"/>
      <c r="E99" s="625">
        <f>$E$22*VLOOKUP(B99,'Item List'!B:AM,38,FALSE)</f>
        <v>0</v>
      </c>
      <c r="F99" s="608">
        <f>VLOOKUP(B99,'Item List'!B:AH,4,FALSE)</f>
        <v>0</v>
      </c>
      <c r="G99" s="569">
        <f t="shared" ref="G99:G118" si="3">F99*E99</f>
        <v>0</v>
      </c>
      <c r="H99" s="606"/>
      <c r="I99" s="607">
        <f>ROUNDUP((E99*'Project Materials'!$L$18),0)</f>
        <v>0</v>
      </c>
      <c r="J99" s="572">
        <f t="shared" ref="J99:J118" si="4">G99+(I99*F99)</f>
        <v>0</v>
      </c>
    </row>
    <row r="100" spans="1:10" x14ac:dyDescent="0.4">
      <c r="A100" s="684" t="s">
        <v>6</v>
      </c>
      <c r="B100" s="598" t="str">
        <f>VLOOKUP('Area C'!$B$22,'Item List'!B:AL,25,FALSE)</f>
        <v>None</v>
      </c>
      <c r="C100" s="598" t="str">
        <f>VLOOKUP(B100,'Item List'!B:AH,2,FALSE)</f>
        <v>None</v>
      </c>
      <c r="D100" s="598"/>
      <c r="E100" s="626">
        <f>$E$22*VLOOKUP(B100,'Item List'!B:AM,38,FALSE)</f>
        <v>0</v>
      </c>
      <c r="F100" s="612">
        <f>VLOOKUP(B100,'Item List'!B:AH,4,FALSE)</f>
        <v>0</v>
      </c>
      <c r="G100" s="613">
        <f t="shared" si="3"/>
        <v>0</v>
      </c>
      <c r="H100" s="614"/>
      <c r="I100" s="615">
        <f>ROUNDUP((E100*'Project Materials'!$L$18),0)</f>
        <v>0</v>
      </c>
      <c r="J100" s="616">
        <f t="shared" si="4"/>
        <v>0</v>
      </c>
    </row>
    <row r="101" spans="1:10" x14ac:dyDescent="0.4">
      <c r="A101" s="88" t="s">
        <v>6</v>
      </c>
      <c r="B101" s="79" t="str">
        <f>VLOOKUP('Area C'!$B$23,'Item List'!B:AL,20,FALSE)</f>
        <v>None</v>
      </c>
      <c r="C101" s="79" t="str">
        <f>VLOOKUP(B101,'Item List'!B:AH,2,FALSE)</f>
        <v>None</v>
      </c>
      <c r="D101" s="79"/>
      <c r="E101" s="625">
        <f>$E$23*VLOOKUP(B101,'Item List'!B:AM,38,FALSE)</f>
        <v>0</v>
      </c>
      <c r="F101" s="608">
        <f>VLOOKUP(B101,'Item List'!B:AH,4,FALSE)</f>
        <v>0</v>
      </c>
      <c r="G101" s="569">
        <f t="shared" si="3"/>
        <v>0</v>
      </c>
      <c r="H101" s="606"/>
      <c r="I101" s="607">
        <f>ROUNDUP((E101*'Project Materials'!$L$18),0)</f>
        <v>0</v>
      </c>
      <c r="J101" s="572">
        <f t="shared" si="4"/>
        <v>0</v>
      </c>
    </row>
    <row r="102" spans="1:10" x14ac:dyDescent="0.4">
      <c r="A102" s="88" t="s">
        <v>6</v>
      </c>
      <c r="B102" s="79" t="str">
        <f>VLOOKUP('Area C'!$B$23,'Item List'!B:AL,21,FALSE)</f>
        <v>None</v>
      </c>
      <c r="C102" s="79" t="str">
        <f>VLOOKUP(B102,'Item List'!B:AH,2,FALSE)</f>
        <v>None</v>
      </c>
      <c r="D102" s="79"/>
      <c r="E102" s="625">
        <f>$E$23*VLOOKUP(B102,'Item List'!B:AM,38,FALSE)</f>
        <v>0</v>
      </c>
      <c r="F102" s="608">
        <f>VLOOKUP(B102,'Item List'!B:AH,4,FALSE)</f>
        <v>0</v>
      </c>
      <c r="G102" s="569">
        <f t="shared" si="3"/>
        <v>0</v>
      </c>
      <c r="H102" s="606"/>
      <c r="I102" s="607">
        <f>ROUNDUP((E102*'Project Materials'!$L$18),0)</f>
        <v>0</v>
      </c>
      <c r="J102" s="572">
        <f t="shared" si="4"/>
        <v>0</v>
      </c>
    </row>
    <row r="103" spans="1:10" x14ac:dyDescent="0.4">
      <c r="A103" s="88" t="s">
        <v>6</v>
      </c>
      <c r="B103" s="79" t="str">
        <f>VLOOKUP('Area C'!$B$23,'Item List'!B:AL,22,FALSE)</f>
        <v>None</v>
      </c>
      <c r="C103" s="79" t="str">
        <f>VLOOKUP(B103,'Item List'!B:AH,2,FALSE)</f>
        <v>None</v>
      </c>
      <c r="D103" s="79"/>
      <c r="E103" s="625">
        <f>$E$23*VLOOKUP(B103,'Item List'!B:AM,38,FALSE)</f>
        <v>0</v>
      </c>
      <c r="F103" s="608">
        <f>VLOOKUP(B103,'Item List'!B:AH,4,FALSE)</f>
        <v>0</v>
      </c>
      <c r="G103" s="569">
        <f t="shared" si="3"/>
        <v>0</v>
      </c>
      <c r="H103" s="606"/>
      <c r="I103" s="607">
        <f>ROUNDUP((E103*'Project Materials'!$L$18),0)</f>
        <v>0</v>
      </c>
      <c r="J103" s="572">
        <f t="shared" si="4"/>
        <v>0</v>
      </c>
    </row>
    <row r="104" spans="1:10" x14ac:dyDescent="0.4">
      <c r="A104" s="88" t="s">
        <v>6</v>
      </c>
      <c r="B104" s="79" t="str">
        <f>VLOOKUP('Area C'!$B$23,'Item List'!B:AL,23,FALSE)</f>
        <v>None</v>
      </c>
      <c r="C104" s="79" t="str">
        <f>VLOOKUP(B104,'Item List'!B:AH,2,FALSE)</f>
        <v>None</v>
      </c>
      <c r="D104" s="79"/>
      <c r="E104" s="625">
        <f>$E$23*VLOOKUP(B104,'Item List'!B:AM,38,FALSE)</f>
        <v>0</v>
      </c>
      <c r="F104" s="608">
        <f>VLOOKUP(B104,'Item List'!B:AH,4,FALSE)</f>
        <v>0</v>
      </c>
      <c r="G104" s="569">
        <f t="shared" si="3"/>
        <v>0</v>
      </c>
      <c r="H104" s="606"/>
      <c r="I104" s="607">
        <f>ROUNDUP((E104*'Project Materials'!$L$18),0)</f>
        <v>0</v>
      </c>
      <c r="J104" s="572">
        <f t="shared" si="4"/>
        <v>0</v>
      </c>
    </row>
    <row r="105" spans="1:10" x14ac:dyDescent="0.4">
      <c r="A105" s="88" t="s">
        <v>6</v>
      </c>
      <c r="B105" s="79" t="str">
        <f>VLOOKUP('Area C'!$B$23,'Item List'!B:AL,24,FALSE)</f>
        <v>None</v>
      </c>
      <c r="C105" s="79" t="str">
        <f>VLOOKUP(B105,'Item List'!B:AH,2,FALSE)</f>
        <v>None</v>
      </c>
      <c r="D105" s="79"/>
      <c r="E105" s="625">
        <f>$E$23*VLOOKUP(B105,'Item List'!B:AM,38,FALSE)</f>
        <v>0</v>
      </c>
      <c r="F105" s="608">
        <f>VLOOKUP(B105,'Item List'!B:AH,4,FALSE)</f>
        <v>0</v>
      </c>
      <c r="G105" s="569">
        <f t="shared" si="3"/>
        <v>0</v>
      </c>
      <c r="H105" s="606"/>
      <c r="I105" s="607">
        <f>ROUNDUP((E105*'Project Materials'!$L$18),0)</f>
        <v>0</v>
      </c>
      <c r="J105" s="572">
        <f t="shared" si="4"/>
        <v>0</v>
      </c>
    </row>
    <row r="106" spans="1:10" x14ac:dyDescent="0.4">
      <c r="A106" s="684" t="s">
        <v>6</v>
      </c>
      <c r="B106" s="628" t="str">
        <f>VLOOKUP('Area C'!$B$23,'Item List'!B:AL,25,FALSE)</f>
        <v>None</v>
      </c>
      <c r="C106" s="628" t="str">
        <f>VLOOKUP(B106,'Item List'!B:AH,2,FALSE)</f>
        <v>None</v>
      </c>
      <c r="D106" s="628"/>
      <c r="E106" s="626">
        <f>$E$23*VLOOKUP(B106,'Item List'!B:AM,38,FALSE)</f>
        <v>0</v>
      </c>
      <c r="F106" s="629">
        <f>VLOOKUP(B106,'Item List'!B:AH,4,FALSE)</f>
        <v>0</v>
      </c>
      <c r="G106" s="630">
        <f t="shared" si="3"/>
        <v>0</v>
      </c>
      <c r="H106" s="606"/>
      <c r="I106" s="631">
        <f>ROUNDUP((E106*'Project Materials'!$L$18),0)</f>
        <v>0</v>
      </c>
      <c r="J106" s="632">
        <f t="shared" si="4"/>
        <v>0</v>
      </c>
    </row>
    <row r="107" spans="1:10" x14ac:dyDescent="0.4">
      <c r="A107" s="88" t="s">
        <v>6</v>
      </c>
      <c r="B107" s="79" t="str">
        <f>VLOOKUP('Area C'!$B$24,'Item List'!B:AL,20,FALSE)</f>
        <v>None</v>
      </c>
      <c r="C107" s="79" t="str">
        <f>VLOOKUP(B107,'Item List'!B:AH,2,FALSE)</f>
        <v>None</v>
      </c>
      <c r="D107" s="79"/>
      <c r="E107" s="625">
        <f>$E$24*VLOOKUP(B107,'Item List'!B:AM,38,FALSE)</f>
        <v>0</v>
      </c>
      <c r="F107" s="608">
        <f>VLOOKUP(B107,'Item List'!B:AH,4,FALSE)</f>
        <v>0</v>
      </c>
      <c r="G107" s="569">
        <f t="shared" si="3"/>
        <v>0</v>
      </c>
      <c r="H107" s="606"/>
      <c r="I107" s="607">
        <f>ROUNDUP((E107*'Project Materials'!$L$18),0)</f>
        <v>0</v>
      </c>
      <c r="J107" s="572">
        <f t="shared" si="4"/>
        <v>0</v>
      </c>
    </row>
    <row r="108" spans="1:10" x14ac:dyDescent="0.4">
      <c r="A108" s="88" t="s">
        <v>6</v>
      </c>
      <c r="B108" s="79" t="str">
        <f>VLOOKUP('Area C'!$B$24,'Item List'!B:AL,21,FALSE)</f>
        <v>None</v>
      </c>
      <c r="C108" s="79" t="str">
        <f>VLOOKUP(B108,'Item List'!B:AH,2,FALSE)</f>
        <v>None</v>
      </c>
      <c r="D108" s="79"/>
      <c r="E108" s="625">
        <f>$E$24*VLOOKUP(B108,'Item List'!B:AM,38,FALSE)</f>
        <v>0</v>
      </c>
      <c r="F108" s="608">
        <f>VLOOKUP(B108,'Item List'!B:AH,4,FALSE)</f>
        <v>0</v>
      </c>
      <c r="G108" s="569">
        <f t="shared" si="3"/>
        <v>0</v>
      </c>
      <c r="H108" s="606"/>
      <c r="I108" s="607">
        <f>ROUNDUP((E108*'Project Materials'!$L$18),0)</f>
        <v>0</v>
      </c>
      <c r="J108" s="572">
        <f t="shared" si="4"/>
        <v>0</v>
      </c>
    </row>
    <row r="109" spans="1:10" x14ac:dyDescent="0.4">
      <c r="A109" s="88" t="s">
        <v>6</v>
      </c>
      <c r="B109" s="79" t="str">
        <f>VLOOKUP('Area C'!$B$24,'Item List'!B:AL,22,FALSE)</f>
        <v>None</v>
      </c>
      <c r="C109" s="79" t="str">
        <f>VLOOKUP(B109,'Item List'!B:AH,2,FALSE)</f>
        <v>None</v>
      </c>
      <c r="D109" s="79"/>
      <c r="E109" s="588">
        <f>$E$24*VLOOKUP(B109,'Item List'!B:AM,38,FALSE)</f>
        <v>0</v>
      </c>
      <c r="F109" s="608">
        <f>VLOOKUP(B109,'Item List'!B:AH,4,FALSE)</f>
        <v>0</v>
      </c>
      <c r="G109" s="569">
        <f t="shared" si="3"/>
        <v>0</v>
      </c>
      <c r="H109" s="606"/>
      <c r="I109" s="607">
        <f>ROUNDUP((E109*'Project Materials'!$L$18),0)</f>
        <v>0</v>
      </c>
      <c r="J109" s="572">
        <f t="shared" si="4"/>
        <v>0</v>
      </c>
    </row>
    <row r="110" spans="1:10" x14ac:dyDescent="0.4">
      <c r="A110" s="88" t="s">
        <v>6</v>
      </c>
      <c r="B110" s="79" t="str">
        <f>VLOOKUP('Area C'!$B$24,'Item List'!B:AL,23,FALSE)</f>
        <v>None</v>
      </c>
      <c r="C110" s="79" t="str">
        <f>VLOOKUP(B110,'Item List'!B:AH,2,FALSE)</f>
        <v>None</v>
      </c>
      <c r="D110" s="79"/>
      <c r="E110" s="588">
        <f>$E$24*VLOOKUP(B110,'Item List'!B:AM,38,FALSE)</f>
        <v>0</v>
      </c>
      <c r="F110" s="608">
        <f>VLOOKUP(B110,'Item List'!B:AH,4,FALSE)</f>
        <v>0</v>
      </c>
      <c r="G110" s="569">
        <f t="shared" si="3"/>
        <v>0</v>
      </c>
      <c r="H110" s="606"/>
      <c r="I110" s="607">
        <f>ROUNDUP((E110*'Project Materials'!$L$18),0)</f>
        <v>0</v>
      </c>
      <c r="J110" s="572">
        <f t="shared" si="4"/>
        <v>0</v>
      </c>
    </row>
    <row r="111" spans="1:10" x14ac:dyDescent="0.4">
      <c r="A111" s="88" t="s">
        <v>6</v>
      </c>
      <c r="B111" s="79" t="str">
        <f>VLOOKUP('Area C'!$B$24,'Item List'!B:AL,24,FALSE)</f>
        <v>None</v>
      </c>
      <c r="C111" s="79" t="str">
        <f>VLOOKUP(B111,'Item List'!B:AH,2,FALSE)</f>
        <v>None</v>
      </c>
      <c r="D111" s="79"/>
      <c r="E111" s="588">
        <f>$E$24*VLOOKUP(B111,'Item List'!B:AM,38,FALSE)</f>
        <v>0</v>
      </c>
      <c r="F111" s="608">
        <f>VLOOKUP(B111,'Item List'!B:AH,4,FALSE)</f>
        <v>0</v>
      </c>
      <c r="G111" s="569">
        <f t="shared" si="3"/>
        <v>0</v>
      </c>
      <c r="H111" s="606"/>
      <c r="I111" s="607">
        <f>ROUNDUP((E111*'Project Materials'!$L$18),0)</f>
        <v>0</v>
      </c>
      <c r="J111" s="572">
        <f t="shared" si="4"/>
        <v>0</v>
      </c>
    </row>
    <row r="112" spans="1:10" x14ac:dyDescent="0.4">
      <c r="A112" s="684" t="s">
        <v>6</v>
      </c>
      <c r="B112" s="598" t="str">
        <f>VLOOKUP('Area C'!$B$24,'Item List'!B:AL,25,FALSE)</f>
        <v>None</v>
      </c>
      <c r="C112" s="598" t="str">
        <f>VLOOKUP(B112,'Item List'!B:AH,2,FALSE)</f>
        <v>None</v>
      </c>
      <c r="D112" s="598"/>
      <c r="E112" s="611">
        <f>$E$24*VLOOKUP(B112,'Item List'!B:AM,38,FALSE)</f>
        <v>0</v>
      </c>
      <c r="F112" s="612">
        <f>VLOOKUP(B112,'Item List'!B:AH,4,FALSE)</f>
        <v>0</v>
      </c>
      <c r="G112" s="613">
        <f t="shared" si="3"/>
        <v>0</v>
      </c>
      <c r="H112" s="614"/>
      <c r="I112" s="615">
        <f>ROUNDUP((E112*'Project Materials'!$L$18),0)</f>
        <v>0</v>
      </c>
      <c r="J112" s="616">
        <f t="shared" si="4"/>
        <v>0</v>
      </c>
    </row>
    <row r="113" spans="1:10" x14ac:dyDescent="0.4">
      <c r="A113" s="88" t="s">
        <v>6</v>
      </c>
      <c r="B113" s="79" t="str">
        <f>VLOOKUP('Area C'!$B$25,'Item List'!B:AL,20,FALSE)</f>
        <v>None</v>
      </c>
      <c r="C113" s="79" t="str">
        <f>VLOOKUP(B113,'Item List'!B:AH,2,FALSE)</f>
        <v>None</v>
      </c>
      <c r="D113" s="79"/>
      <c r="E113" s="588">
        <f>$E$25*VLOOKUP(B113,'Item List'!B:AM,38,FALSE)</f>
        <v>0</v>
      </c>
      <c r="F113" s="608">
        <f>VLOOKUP(B113,'Item List'!B:AH,4,FALSE)</f>
        <v>0</v>
      </c>
      <c r="G113" s="569">
        <f t="shared" si="3"/>
        <v>0</v>
      </c>
      <c r="H113" s="606"/>
      <c r="I113" s="607">
        <f>ROUNDUP((E113*'Project Materials'!$L$18),0)</f>
        <v>0</v>
      </c>
      <c r="J113" s="572">
        <f t="shared" si="4"/>
        <v>0</v>
      </c>
    </row>
    <row r="114" spans="1:10" x14ac:dyDescent="0.4">
      <c r="A114" s="88" t="s">
        <v>6</v>
      </c>
      <c r="B114" s="79" t="str">
        <f>VLOOKUP('Area C'!$B$25,'Item List'!B:AL,21,FALSE)</f>
        <v>None</v>
      </c>
      <c r="C114" s="79" t="str">
        <f>VLOOKUP(B114,'Item List'!B:AH,2,FALSE)</f>
        <v>None</v>
      </c>
      <c r="D114" s="79"/>
      <c r="E114" s="588">
        <f>$E$25*VLOOKUP(B114,'Item List'!B:AM,38,FALSE)</f>
        <v>0</v>
      </c>
      <c r="F114" s="608">
        <f>VLOOKUP(B114,'Item List'!B:AH,4,FALSE)</f>
        <v>0</v>
      </c>
      <c r="G114" s="569">
        <f t="shared" si="3"/>
        <v>0</v>
      </c>
      <c r="H114" s="606"/>
      <c r="I114" s="607">
        <f>ROUNDUP((E114*'Project Materials'!$L$18),0)</f>
        <v>0</v>
      </c>
      <c r="J114" s="572">
        <f t="shared" si="4"/>
        <v>0</v>
      </c>
    </row>
    <row r="115" spans="1:10" x14ac:dyDescent="0.4">
      <c r="A115" s="88" t="s">
        <v>6</v>
      </c>
      <c r="B115" s="79" t="str">
        <f>VLOOKUP('Area C'!$B$25,'Item List'!B:AL,22,FALSE)</f>
        <v>None</v>
      </c>
      <c r="C115" s="79" t="str">
        <f>VLOOKUP(B115,'Item List'!B:AH,2,FALSE)</f>
        <v>None</v>
      </c>
      <c r="D115" s="79"/>
      <c r="E115" s="588">
        <f>$E$25*VLOOKUP(B115,'Item List'!B:AM,38,FALSE)</f>
        <v>0</v>
      </c>
      <c r="F115" s="608">
        <f>VLOOKUP(B115,'Item List'!B:AH,4,FALSE)</f>
        <v>0</v>
      </c>
      <c r="G115" s="569">
        <f t="shared" si="3"/>
        <v>0</v>
      </c>
      <c r="H115" s="606"/>
      <c r="I115" s="607">
        <f>ROUNDUP((E115*'Project Materials'!$L$18),0)</f>
        <v>0</v>
      </c>
      <c r="J115" s="572">
        <f t="shared" si="4"/>
        <v>0</v>
      </c>
    </row>
    <row r="116" spans="1:10" x14ac:dyDescent="0.4">
      <c r="A116" s="88" t="s">
        <v>6</v>
      </c>
      <c r="B116" s="79" t="str">
        <f>VLOOKUP('Area C'!$B$25,'Item List'!B:AL,23,FALSE)</f>
        <v>None</v>
      </c>
      <c r="C116" s="79" t="str">
        <f>VLOOKUP(B116,'Item List'!B:AH,2,FALSE)</f>
        <v>None</v>
      </c>
      <c r="D116" s="79"/>
      <c r="E116" s="588">
        <f>$E$25*VLOOKUP(B116,'Item List'!B:AM,38,FALSE)</f>
        <v>0</v>
      </c>
      <c r="F116" s="608">
        <f>VLOOKUP(B116,'Item List'!B:AH,4,FALSE)</f>
        <v>0</v>
      </c>
      <c r="G116" s="569">
        <f t="shared" si="3"/>
        <v>0</v>
      </c>
      <c r="H116" s="606"/>
      <c r="I116" s="607">
        <f>ROUNDUP((E116*'Project Materials'!$L$18),0)</f>
        <v>0</v>
      </c>
      <c r="J116" s="572">
        <f t="shared" si="4"/>
        <v>0</v>
      </c>
    </row>
    <row r="117" spans="1:10" x14ac:dyDescent="0.4">
      <c r="A117" s="88" t="s">
        <v>6</v>
      </c>
      <c r="B117" s="79" t="str">
        <f>VLOOKUP('Area C'!$B$25,'Item List'!B:AL,24,FALSE)</f>
        <v>None</v>
      </c>
      <c r="C117" s="79" t="str">
        <f>VLOOKUP(B117,'Item List'!B:AH,2,FALSE)</f>
        <v>None</v>
      </c>
      <c r="D117" s="79"/>
      <c r="E117" s="588">
        <f>$E$25*VLOOKUP(B117,'Item List'!B:AM,38,FALSE)</f>
        <v>0</v>
      </c>
      <c r="F117" s="608">
        <f>VLOOKUP(B117,'Item List'!B:AH,4,FALSE)</f>
        <v>0</v>
      </c>
      <c r="G117" s="569">
        <f t="shared" si="3"/>
        <v>0</v>
      </c>
      <c r="H117" s="606"/>
      <c r="I117" s="607">
        <f>ROUNDUP((E117*'Project Materials'!$L$18),0)</f>
        <v>0</v>
      </c>
      <c r="J117" s="572">
        <f t="shared" si="4"/>
        <v>0</v>
      </c>
    </row>
    <row r="118" spans="1:10" x14ac:dyDescent="0.4">
      <c r="A118" s="88" t="s">
        <v>6</v>
      </c>
      <c r="B118" s="598" t="str">
        <f>VLOOKUP('Area C'!$B$25,'Item List'!B:AL,25,FALSE)</f>
        <v>None</v>
      </c>
      <c r="C118" s="598" t="str">
        <f>VLOOKUP(B118,'Item List'!B:AH,2,FALSE)</f>
        <v>None</v>
      </c>
      <c r="D118" s="598"/>
      <c r="E118" s="611">
        <f>$E$25*VLOOKUP(B118,'Item List'!B:AM,38,FALSE)</f>
        <v>0</v>
      </c>
      <c r="F118" s="612">
        <f>VLOOKUP(B118,'Item List'!B:AH,4,FALSE)</f>
        <v>0</v>
      </c>
      <c r="G118" s="613">
        <f t="shared" si="3"/>
        <v>0</v>
      </c>
      <c r="H118" s="614"/>
      <c r="I118" s="615">
        <f>ROUNDUP((E118*'Project Materials'!$L$18),0)</f>
        <v>0</v>
      </c>
      <c r="J118" s="616">
        <f t="shared" si="4"/>
        <v>0</v>
      </c>
    </row>
    <row r="119" spans="1:10" x14ac:dyDescent="0.4">
      <c r="A119" s="617"/>
      <c r="B119" s="646"/>
      <c r="C119" s="646"/>
      <c r="D119" s="646"/>
      <c r="E119" s="648"/>
      <c r="F119" s="649"/>
      <c r="G119" s="650"/>
      <c r="H119" s="646"/>
      <c r="I119" s="651"/>
      <c r="J119" s="652"/>
    </row>
    <row r="120" spans="1:10" x14ac:dyDescent="0.4">
      <c r="A120" s="88" t="s">
        <v>448</v>
      </c>
      <c r="B120" s="79" t="str">
        <f>VLOOKUP('Area C'!B29,'Item List'!B:AL,20,FALSE)</f>
        <v>None</v>
      </c>
      <c r="C120" s="79" t="str">
        <f>VLOOKUP(B120,'Item List'!B:AH,2,FALSE)</f>
        <v>None</v>
      </c>
      <c r="D120" s="79"/>
      <c r="E120" s="588">
        <f>VLOOKUP(B120,'Item List'!B:AM,35,FALSE)</f>
        <v>0</v>
      </c>
      <c r="F120" s="608">
        <f>VLOOKUP(B120,'Item List'!B:AH,4,FALSE)</f>
        <v>0</v>
      </c>
      <c r="G120" s="569">
        <f t="shared" ref="G120:G131" si="5">F120*E120</f>
        <v>0</v>
      </c>
      <c r="H120" s="606"/>
      <c r="I120" s="607">
        <f>ROUNDUP((E120*'Project Materials'!$L$18),0)</f>
        <v>0</v>
      </c>
      <c r="J120" s="572">
        <f t="shared" ref="J120:J131" si="6">G120+(I120*F120)</f>
        <v>0</v>
      </c>
    </row>
    <row r="121" spans="1:10" x14ac:dyDescent="0.4">
      <c r="A121" s="684" t="s">
        <v>448</v>
      </c>
      <c r="B121" s="598" t="str">
        <f>VLOOKUP('Area C'!B30,'Item List'!B:AL,20,FALSE)</f>
        <v>None</v>
      </c>
      <c r="C121" s="598" t="str">
        <f>VLOOKUP(B121,'Item List'!B:AH,2,FALSE)</f>
        <v>None</v>
      </c>
      <c r="D121" s="598"/>
      <c r="E121" s="611">
        <f>VLOOKUP(B121,'Item List'!B:AM,35,FALSE)</f>
        <v>0</v>
      </c>
      <c r="F121" s="612">
        <f>VLOOKUP(B121,'Item List'!B:AH,4,FALSE)</f>
        <v>0</v>
      </c>
      <c r="G121" s="613">
        <f t="shared" si="5"/>
        <v>0</v>
      </c>
      <c r="H121" s="614"/>
      <c r="I121" s="615">
        <f>ROUNDUP((E121*'Project Materials'!$L$18),0)</f>
        <v>0</v>
      </c>
      <c r="J121" s="616">
        <f t="shared" si="6"/>
        <v>0</v>
      </c>
    </row>
    <row r="122" spans="1:10" x14ac:dyDescent="0.4">
      <c r="A122" s="88" t="s">
        <v>449</v>
      </c>
      <c r="B122" s="79" t="str">
        <f>VLOOKUP('Area C'!B31,'Item List'!B:AL,20,FALSE)</f>
        <v>None</v>
      </c>
      <c r="C122" s="79" t="str">
        <f>VLOOKUP(B122,'Item List'!B:AH,2,FALSE)</f>
        <v>None</v>
      </c>
      <c r="D122" s="79"/>
      <c r="E122" s="588">
        <f>VLOOKUP(B122,'Item List'!B:AM,35,FALSE)</f>
        <v>0</v>
      </c>
      <c r="F122" s="608">
        <f>VLOOKUP(B122,'Item List'!B:AH,4,FALSE)</f>
        <v>0</v>
      </c>
      <c r="G122" s="569">
        <f t="shared" si="5"/>
        <v>0</v>
      </c>
      <c r="H122" s="606"/>
      <c r="I122" s="607">
        <f>ROUNDUP((E122*'Project Materials'!$L$18),0)</f>
        <v>0</v>
      </c>
      <c r="J122" s="572">
        <f t="shared" si="6"/>
        <v>0</v>
      </c>
    </row>
    <row r="123" spans="1:10" x14ac:dyDescent="0.4">
      <c r="A123" s="684" t="s">
        <v>449</v>
      </c>
      <c r="B123" s="598" t="str">
        <f>VLOOKUP('Area C'!B32,'Item List'!B:AL,20,FALSE)</f>
        <v>None</v>
      </c>
      <c r="C123" s="598" t="str">
        <f>VLOOKUP(B123,'Item List'!B:AH,2,FALSE)</f>
        <v>None</v>
      </c>
      <c r="D123" s="598"/>
      <c r="E123" s="611">
        <f>VLOOKUP(B123,'Item List'!B:AM,35,FALSE)</f>
        <v>0</v>
      </c>
      <c r="F123" s="612">
        <f>VLOOKUP(B123,'Item List'!B:AH,4,FALSE)</f>
        <v>0</v>
      </c>
      <c r="G123" s="613">
        <f t="shared" si="5"/>
        <v>0</v>
      </c>
      <c r="H123" s="614"/>
      <c r="I123" s="615">
        <f>ROUNDUP((E123*'Project Materials'!$L$18),0)</f>
        <v>0</v>
      </c>
      <c r="J123" s="616">
        <f t="shared" si="6"/>
        <v>0</v>
      </c>
    </row>
    <row r="124" spans="1:10" x14ac:dyDescent="0.4">
      <c r="A124" s="88" t="s">
        <v>450</v>
      </c>
      <c r="B124" s="79" t="str">
        <f>VLOOKUP('Area C'!B33,'Item List'!B:AL,20,FALSE)</f>
        <v>None</v>
      </c>
      <c r="C124" s="79" t="str">
        <f>VLOOKUP(B124,'Item List'!B:AH,2,FALSE)</f>
        <v>None</v>
      </c>
      <c r="D124" s="79"/>
      <c r="E124" s="588">
        <f>VLOOKUP(B124,'Item List'!B:AM,35,FALSE)</f>
        <v>0</v>
      </c>
      <c r="F124" s="608">
        <f>VLOOKUP(B124,'Item List'!B:AH,4,FALSE)</f>
        <v>0</v>
      </c>
      <c r="G124" s="569">
        <f t="shared" si="5"/>
        <v>0</v>
      </c>
      <c r="H124" s="606"/>
      <c r="I124" s="607">
        <f>ROUNDUP((E124*'Project Materials'!$L$18),0)</f>
        <v>0</v>
      </c>
      <c r="J124" s="572">
        <f t="shared" si="6"/>
        <v>0</v>
      </c>
    </row>
    <row r="125" spans="1:10" x14ac:dyDescent="0.4">
      <c r="A125" s="684" t="s">
        <v>450</v>
      </c>
      <c r="B125" s="598" t="str">
        <f>VLOOKUP('Area C'!B34,'Item List'!B:AL,20,FALSE)</f>
        <v>None</v>
      </c>
      <c r="C125" s="598" t="str">
        <f>VLOOKUP(B125,'Item List'!B:AH,2,FALSE)</f>
        <v>None</v>
      </c>
      <c r="D125" s="598"/>
      <c r="E125" s="611">
        <f>VLOOKUP(B125,'Item List'!B:AM,35,FALSE)</f>
        <v>0</v>
      </c>
      <c r="F125" s="612">
        <f>VLOOKUP(B125,'Item List'!B:AH,4,FALSE)</f>
        <v>0</v>
      </c>
      <c r="G125" s="613">
        <f t="shared" si="5"/>
        <v>0</v>
      </c>
      <c r="H125" s="614"/>
      <c r="I125" s="615">
        <f>ROUNDUP((E125*'Project Materials'!$L$18),0)</f>
        <v>0</v>
      </c>
      <c r="J125" s="616">
        <f t="shared" si="6"/>
        <v>0</v>
      </c>
    </row>
    <row r="126" spans="1:10" x14ac:dyDescent="0.4">
      <c r="A126" s="88" t="s">
        <v>451</v>
      </c>
      <c r="B126" s="79" t="str">
        <f>VLOOKUP('Area C'!B35,'Item List'!B:AL,20,FALSE)</f>
        <v>None</v>
      </c>
      <c r="C126" s="79" t="str">
        <f>VLOOKUP(B126,'Item List'!B:AH,2,FALSE)</f>
        <v>None</v>
      </c>
      <c r="D126" s="79"/>
      <c r="E126" s="588">
        <f>VLOOKUP(B126,'Item List'!B:AM,35,FALSE)</f>
        <v>0</v>
      </c>
      <c r="F126" s="608">
        <f>VLOOKUP(B126,'Item List'!B:AH,4,FALSE)</f>
        <v>0</v>
      </c>
      <c r="G126" s="569">
        <f t="shared" si="5"/>
        <v>0</v>
      </c>
      <c r="H126" s="606"/>
      <c r="I126" s="607">
        <f>ROUNDUP((E126*'Project Materials'!$L$18),0)</f>
        <v>0</v>
      </c>
      <c r="J126" s="572">
        <f t="shared" si="6"/>
        <v>0</v>
      </c>
    </row>
    <row r="127" spans="1:10" x14ac:dyDescent="0.4">
      <c r="A127" s="684" t="s">
        <v>451</v>
      </c>
      <c r="B127" s="598" t="str">
        <f>VLOOKUP('Area C'!B36,'Item List'!B:AL,20,FALSE)</f>
        <v>None</v>
      </c>
      <c r="C127" s="598" t="str">
        <f>VLOOKUP(B127,'Item List'!B:AH,2,FALSE)</f>
        <v>None</v>
      </c>
      <c r="D127" s="598"/>
      <c r="E127" s="611">
        <f>VLOOKUP(B127,'Item List'!B:AM,35,FALSE)</f>
        <v>0</v>
      </c>
      <c r="F127" s="612">
        <f>VLOOKUP(B127,'Item List'!B:AH,4,FALSE)</f>
        <v>0</v>
      </c>
      <c r="G127" s="613">
        <f t="shared" si="5"/>
        <v>0</v>
      </c>
      <c r="H127" s="614"/>
      <c r="I127" s="615">
        <f>ROUNDUP((E127*'Project Materials'!$L$18),0)</f>
        <v>0</v>
      </c>
      <c r="J127" s="616">
        <f t="shared" si="6"/>
        <v>0</v>
      </c>
    </row>
    <row r="128" spans="1:10" x14ac:dyDescent="0.4">
      <c r="A128" s="88" t="s">
        <v>363</v>
      </c>
      <c r="B128" s="79" t="str">
        <f>VLOOKUP('Area C'!B40,'Item List'!B:AL,20,FALSE)</f>
        <v>SS End Plate Screw</v>
      </c>
      <c r="C128" s="79" t="str">
        <f>VLOOKUP(B128,'Item List'!B:AH,2,FALSE)</f>
        <v>#8 X 3/4 Philips Flat Self Drilling18-8 S/S</v>
      </c>
      <c r="D128" s="79"/>
      <c r="E128" s="588">
        <f>E40*VLOOKUP(B128,'Item List'!B:AM,38,FALSE)</f>
        <v>0</v>
      </c>
      <c r="F128" s="608">
        <f>VLOOKUP(B128,'Item List'!B:AH,4,FALSE)</f>
        <v>5.2600000000000001E-2</v>
      </c>
      <c r="G128" s="569">
        <f t="shared" si="5"/>
        <v>0</v>
      </c>
      <c r="H128" s="606"/>
      <c r="I128" s="607">
        <f>ROUNDUP((E128*'Project Materials'!$L$18),0)</f>
        <v>0</v>
      </c>
      <c r="J128" s="572">
        <f t="shared" si="6"/>
        <v>0</v>
      </c>
    </row>
    <row r="129" spans="1:10" x14ac:dyDescent="0.4">
      <c r="A129" s="684" t="s">
        <v>363</v>
      </c>
      <c r="B129" s="598" t="str">
        <f>VLOOKUP('Area C'!B41,'Item List'!B:AL,20,FALSE)</f>
        <v>None</v>
      </c>
      <c r="C129" s="598" t="str">
        <f>VLOOKUP(B129,'Item List'!B:AH,2,FALSE)</f>
        <v>None</v>
      </c>
      <c r="D129" s="598"/>
      <c r="E129" s="611">
        <f>E41*VLOOKUP(B129,'Item List'!B:AM,38,FALSE)</f>
        <v>0</v>
      </c>
      <c r="F129" s="612">
        <f>VLOOKUP(B129,'Item List'!B:AH,4,FALSE)</f>
        <v>0</v>
      </c>
      <c r="G129" s="613">
        <f t="shared" si="5"/>
        <v>0</v>
      </c>
      <c r="H129" s="614"/>
      <c r="I129" s="615">
        <f>ROUNDUP((E129*'Project Materials'!$L$18),0)</f>
        <v>0</v>
      </c>
      <c r="J129" s="616">
        <f t="shared" si="6"/>
        <v>0</v>
      </c>
    </row>
    <row r="130" spans="1:10" x14ac:dyDescent="0.4">
      <c r="A130" s="88" t="s">
        <v>7</v>
      </c>
      <c r="B130" s="79" t="str">
        <f>VLOOKUP('Area C'!B47,'Item List'!B:AL,20,FALSE)</f>
        <v>None</v>
      </c>
      <c r="C130" s="79" t="str">
        <f>VLOOKUP(B130,'Item List'!B:AH,2,FALSE)</f>
        <v>None</v>
      </c>
      <c r="D130" s="79"/>
      <c r="E130" s="588">
        <f>VLOOKUP(B130,'Item List'!B:AM,35,FALSE)</f>
        <v>0</v>
      </c>
      <c r="F130" s="608">
        <f>VLOOKUP(B130,'Item List'!B:AH,4,FALSE)</f>
        <v>0</v>
      </c>
      <c r="G130" s="569">
        <f t="shared" si="5"/>
        <v>0</v>
      </c>
      <c r="H130" s="606"/>
      <c r="I130" s="607">
        <f>ROUNDUP((E130*'Project Materials'!$L$18),0)</f>
        <v>0</v>
      </c>
      <c r="J130" s="572">
        <f t="shared" si="6"/>
        <v>0</v>
      </c>
    </row>
    <row r="131" spans="1:10" x14ac:dyDescent="0.4">
      <c r="A131" s="88" t="s">
        <v>7</v>
      </c>
      <c r="B131" s="79" t="str">
        <f>VLOOKUP('Area C'!B47,'Item List'!B:AL,25,FALSE)</f>
        <v>None</v>
      </c>
      <c r="C131" s="79" t="str">
        <f>VLOOKUP(B131,'Item List'!B:AH,2,FALSE)</f>
        <v>None</v>
      </c>
      <c r="D131" s="79"/>
      <c r="E131" s="588">
        <f>VLOOKUP(B131,'Item List'!B:AM,35,FALSE)</f>
        <v>0</v>
      </c>
      <c r="F131" s="608">
        <f>VLOOKUP(B131,'Item List'!B:AH,4,FALSE)</f>
        <v>0</v>
      </c>
      <c r="G131" s="569">
        <f t="shared" si="5"/>
        <v>0</v>
      </c>
      <c r="H131" s="606"/>
      <c r="I131" s="607">
        <f>ROUNDUP((E131*'Project Materials'!$L$18),0)</f>
        <v>0</v>
      </c>
      <c r="J131" s="572">
        <f t="shared" si="6"/>
        <v>0</v>
      </c>
    </row>
    <row r="132" spans="1:10" x14ac:dyDescent="0.4">
      <c r="A132" s="88" t="s">
        <v>7</v>
      </c>
      <c r="B132" s="79" t="str">
        <f>VLOOKUP('Area C'!B48,'Item List'!B:AL,20,FALSE)</f>
        <v>None</v>
      </c>
      <c r="C132" s="79" t="str">
        <f>VLOOKUP(B132,'Item List'!B:AH,2,FALSE)</f>
        <v>None</v>
      </c>
      <c r="D132" s="79"/>
      <c r="E132" s="588">
        <f>VLOOKUP(B132,'Item List'!B:AM,35,FALSE)</f>
        <v>0</v>
      </c>
      <c r="F132" s="608">
        <f>VLOOKUP(B132,'Item List'!B:AH,4,FALSE)</f>
        <v>0</v>
      </c>
      <c r="G132" s="569">
        <f t="shared" ref="G132:G143" si="7">F132*E132</f>
        <v>0</v>
      </c>
      <c r="H132" s="606"/>
      <c r="I132" s="607">
        <f>ROUNDUP((E132*'Project Materials'!$L$18),0)</f>
        <v>0</v>
      </c>
      <c r="J132" s="572">
        <f t="shared" ref="J132:J143" si="8">G132+(I132*F132)</f>
        <v>0</v>
      </c>
    </row>
    <row r="133" spans="1:10" x14ac:dyDescent="0.4">
      <c r="A133" s="88" t="s">
        <v>7</v>
      </c>
      <c r="B133" s="79" t="str">
        <f>VLOOKUP('Area C'!B48,'Item List'!B:AL,25,FALSE)</f>
        <v>None</v>
      </c>
      <c r="C133" s="79" t="str">
        <f>VLOOKUP(B133,'Item List'!B:AH,2,FALSE)</f>
        <v>None</v>
      </c>
      <c r="D133" s="79"/>
      <c r="E133" s="588">
        <f>VLOOKUP(B135,'Item List'!B:AM,35,FALSE)</f>
        <v>0</v>
      </c>
      <c r="F133" s="608">
        <f>VLOOKUP(B133,'Item List'!B:AH,4,FALSE)</f>
        <v>0</v>
      </c>
      <c r="G133" s="569">
        <f t="shared" si="7"/>
        <v>0</v>
      </c>
      <c r="H133" s="606"/>
      <c r="I133" s="607">
        <f>ROUNDUP((E133*'Project Materials'!$L$18),0)</f>
        <v>0</v>
      </c>
      <c r="J133" s="572">
        <f t="shared" si="8"/>
        <v>0</v>
      </c>
    </row>
    <row r="134" spans="1:10" x14ac:dyDescent="0.4">
      <c r="A134" s="88" t="s">
        <v>7</v>
      </c>
      <c r="B134" s="79" t="str">
        <f>VLOOKUP('Area C'!B49,'Item List'!B:AL,20,FALSE)</f>
        <v>None</v>
      </c>
      <c r="C134" s="79" t="str">
        <f>VLOOKUP(B134,'Item List'!B:AH,2,FALSE)</f>
        <v>None</v>
      </c>
      <c r="D134" s="79"/>
      <c r="E134" s="588">
        <f>VLOOKUP(B134,'Item List'!B:AM,35,FALSE)</f>
        <v>0</v>
      </c>
      <c r="F134" s="608">
        <f>VLOOKUP(B134,'Item List'!B:AH,4,FALSE)</f>
        <v>0</v>
      </c>
      <c r="G134" s="569">
        <f t="shared" si="7"/>
        <v>0</v>
      </c>
      <c r="H134" s="606"/>
      <c r="I134" s="607">
        <f>ROUNDUP((E134*'Project Materials'!$L$18),0)</f>
        <v>0</v>
      </c>
      <c r="J134" s="572">
        <f t="shared" si="8"/>
        <v>0</v>
      </c>
    </row>
    <row r="135" spans="1:10" x14ac:dyDescent="0.4">
      <c r="A135" s="88" t="s">
        <v>7</v>
      </c>
      <c r="B135" s="79" t="str">
        <f>VLOOKUP('Area C'!B49,'Item List'!B:AL,25,FALSE)</f>
        <v>None</v>
      </c>
      <c r="C135" s="79" t="str">
        <f>VLOOKUP(B135,'Item List'!B:AH,2,FALSE)</f>
        <v>None</v>
      </c>
      <c r="D135" s="79"/>
      <c r="E135" s="588">
        <f>VLOOKUP(B135,'Item List'!B:AM,35,FALSE)</f>
        <v>0</v>
      </c>
      <c r="F135" s="608">
        <f>VLOOKUP(B135,'Item List'!B:AH,4,FALSE)</f>
        <v>0</v>
      </c>
      <c r="G135" s="569">
        <f t="shared" si="7"/>
        <v>0</v>
      </c>
      <c r="H135" s="606"/>
      <c r="I135" s="607">
        <f>ROUNDUP((E135*'Project Materials'!$L$18),0)</f>
        <v>0</v>
      </c>
      <c r="J135" s="572">
        <f t="shared" si="8"/>
        <v>0</v>
      </c>
    </row>
    <row r="136" spans="1:10" x14ac:dyDescent="0.4">
      <c r="A136" s="88" t="s">
        <v>7</v>
      </c>
      <c r="B136" s="79" t="str">
        <f>VLOOKUP('Area C'!B50,'Item List'!B:AL,20,FALSE)</f>
        <v>None</v>
      </c>
      <c r="C136" s="79" t="str">
        <f>VLOOKUP(B136,'Item List'!B:AH,2,FALSE)</f>
        <v>None</v>
      </c>
      <c r="D136" s="79"/>
      <c r="E136" s="588">
        <f>VLOOKUP(B136,'Item List'!B:AM,35,FALSE)</f>
        <v>0</v>
      </c>
      <c r="F136" s="608">
        <f>VLOOKUP(B136,'Item List'!B:AH,4,FALSE)</f>
        <v>0</v>
      </c>
      <c r="G136" s="569">
        <f t="shared" si="7"/>
        <v>0</v>
      </c>
      <c r="H136" s="606"/>
      <c r="I136" s="607">
        <f>ROUNDUP((E136*'Project Materials'!$L$18),0)</f>
        <v>0</v>
      </c>
      <c r="J136" s="572">
        <f t="shared" si="8"/>
        <v>0</v>
      </c>
    </row>
    <row r="137" spans="1:10" x14ac:dyDescent="0.4">
      <c r="A137" s="88" t="s">
        <v>7</v>
      </c>
      <c r="B137" s="79" t="str">
        <f>VLOOKUP('Area C'!B50,'Item List'!B:AL,25,FALSE)</f>
        <v>None</v>
      </c>
      <c r="C137" s="79" t="str">
        <f>VLOOKUP(B137,'Item List'!B:AH,2,FALSE)</f>
        <v>None</v>
      </c>
      <c r="D137" s="79"/>
      <c r="E137" s="588">
        <f>VLOOKUP(B137,'Item List'!B:AM,35,FALSE)</f>
        <v>0</v>
      </c>
      <c r="F137" s="608">
        <f>VLOOKUP(B137,'Item List'!B:AH,4,FALSE)</f>
        <v>0</v>
      </c>
      <c r="G137" s="569">
        <f t="shared" si="7"/>
        <v>0</v>
      </c>
      <c r="H137" s="606"/>
      <c r="I137" s="607">
        <f>ROUNDUP((E137*'Project Materials'!$L$18),0)</f>
        <v>0</v>
      </c>
      <c r="J137" s="572">
        <f t="shared" si="8"/>
        <v>0</v>
      </c>
    </row>
    <row r="138" spans="1:10" x14ac:dyDescent="0.4">
      <c r="A138" s="88" t="s">
        <v>7</v>
      </c>
      <c r="B138" s="79" t="str">
        <f>VLOOKUP('Area C'!B52,'Item List'!B:AL,20,FALSE)</f>
        <v>None</v>
      </c>
      <c r="C138" s="79" t="str">
        <f>VLOOKUP(B138,'Item List'!B:AH,2,FALSE)</f>
        <v>None</v>
      </c>
      <c r="D138" s="79"/>
      <c r="E138" s="588">
        <f>VLOOKUP(B138,'Item List'!B:AM,35,FALSE)</f>
        <v>0</v>
      </c>
      <c r="F138" s="608">
        <f>VLOOKUP(B138,'Item List'!B:AH,4,FALSE)</f>
        <v>0</v>
      </c>
      <c r="G138" s="569">
        <f t="shared" si="7"/>
        <v>0</v>
      </c>
      <c r="H138" s="606"/>
      <c r="I138" s="607">
        <f>ROUNDUP((E138*'Project Materials'!$L$18),0)</f>
        <v>0</v>
      </c>
      <c r="J138" s="572">
        <f t="shared" si="8"/>
        <v>0</v>
      </c>
    </row>
    <row r="139" spans="1:10" x14ac:dyDescent="0.4">
      <c r="A139" s="88" t="s">
        <v>7</v>
      </c>
      <c r="B139" s="79" t="str">
        <f>VLOOKUP('Area C'!B52,'Item List'!B:AL,25,FALSE)</f>
        <v>None</v>
      </c>
      <c r="C139" s="79" t="str">
        <f>VLOOKUP(B139,'Item List'!B:AH,2,FALSE)</f>
        <v>None</v>
      </c>
      <c r="D139" s="79"/>
      <c r="E139" s="588">
        <f>VLOOKUP(B139,'Item List'!B:AM,35,FALSE)</f>
        <v>0</v>
      </c>
      <c r="F139" s="608">
        <f>VLOOKUP(B139,'Item List'!B:AH,4,FALSE)</f>
        <v>0</v>
      </c>
      <c r="G139" s="569">
        <f t="shared" si="7"/>
        <v>0</v>
      </c>
      <c r="H139" s="606"/>
      <c r="I139" s="607">
        <f>ROUNDUP((E139*'Project Materials'!$L$18),0)</f>
        <v>0</v>
      </c>
      <c r="J139" s="572">
        <f t="shared" si="8"/>
        <v>0</v>
      </c>
    </row>
    <row r="140" spans="1:10" x14ac:dyDescent="0.4">
      <c r="A140" s="88" t="s">
        <v>7</v>
      </c>
      <c r="B140" s="79" t="str">
        <f>VLOOKUP('Area C'!B53,'Item List'!B:AL,20,FALSE)</f>
        <v>None</v>
      </c>
      <c r="C140" s="79" t="str">
        <f>VLOOKUP(B140,'Item List'!B:AH,2,FALSE)</f>
        <v>None</v>
      </c>
      <c r="D140" s="79"/>
      <c r="E140" s="588">
        <f>VLOOKUP(B140,'Item List'!B:AM,35,FALSE)</f>
        <v>0</v>
      </c>
      <c r="F140" s="608">
        <f>VLOOKUP(B140,'Item List'!B:AH,4,FALSE)</f>
        <v>0</v>
      </c>
      <c r="G140" s="569">
        <f t="shared" si="7"/>
        <v>0</v>
      </c>
      <c r="H140" s="606"/>
      <c r="I140" s="607">
        <f>ROUNDUP((E140*'Project Materials'!$L$18),0)</f>
        <v>0</v>
      </c>
      <c r="J140" s="572">
        <f t="shared" si="8"/>
        <v>0</v>
      </c>
    </row>
    <row r="141" spans="1:10" x14ac:dyDescent="0.4">
      <c r="A141" s="88" t="s">
        <v>7</v>
      </c>
      <c r="B141" s="79" t="str">
        <f>VLOOKUP('Area C'!B53,'Item List'!B:AL,25,FALSE)</f>
        <v>None</v>
      </c>
      <c r="C141" s="79" t="str">
        <f>VLOOKUP(B141,'Item List'!B:AH,2,FALSE)</f>
        <v>None</v>
      </c>
      <c r="D141" s="79"/>
      <c r="E141" s="588">
        <f>VLOOKUP(B141,'Item List'!B:AM,35,FALSE)</f>
        <v>0</v>
      </c>
      <c r="F141" s="608">
        <f>VLOOKUP(B141,'Item List'!B:AH,4,FALSE)</f>
        <v>0</v>
      </c>
      <c r="G141" s="569">
        <f t="shared" si="7"/>
        <v>0</v>
      </c>
      <c r="H141" s="606"/>
      <c r="I141" s="607">
        <f>ROUNDUP((E141*'Project Materials'!$L$18),0)</f>
        <v>0</v>
      </c>
      <c r="J141" s="572">
        <f t="shared" si="8"/>
        <v>0</v>
      </c>
    </row>
    <row r="142" spans="1:10" x14ac:dyDescent="0.4">
      <c r="A142" s="88" t="s">
        <v>7</v>
      </c>
      <c r="B142" s="79" t="str">
        <f>VLOOKUP('Area C'!B54,'Item List'!B:AL,20,FALSE)</f>
        <v>None</v>
      </c>
      <c r="C142" s="79" t="str">
        <f>VLOOKUP(B142,'Item List'!B:AH,2,FALSE)</f>
        <v>None</v>
      </c>
      <c r="D142" s="79"/>
      <c r="E142" s="588">
        <f>VLOOKUP(B142,'Item List'!B:AM,35,FALSE)</f>
        <v>0</v>
      </c>
      <c r="F142" s="608">
        <f>VLOOKUP(B142,'Item List'!B:AH,4,FALSE)</f>
        <v>0</v>
      </c>
      <c r="G142" s="569">
        <f t="shared" si="7"/>
        <v>0</v>
      </c>
      <c r="H142" s="606"/>
      <c r="I142" s="607">
        <f>ROUNDUP((E142*'Project Materials'!$L$18),0)</f>
        <v>0</v>
      </c>
      <c r="J142" s="572">
        <f t="shared" si="8"/>
        <v>0</v>
      </c>
    </row>
    <row r="143" spans="1:10" x14ac:dyDescent="0.4">
      <c r="A143" s="88" t="s">
        <v>7</v>
      </c>
      <c r="B143" s="79" t="str">
        <f>VLOOKUP('Area C'!B54,'Item List'!B:AL,25,FALSE)</f>
        <v>None</v>
      </c>
      <c r="C143" s="79" t="str">
        <f>VLOOKUP(B143,'Item List'!B:AH,2,FALSE)</f>
        <v>None</v>
      </c>
      <c r="D143" s="79"/>
      <c r="E143" s="588">
        <f>VLOOKUP(B143,'Item List'!B:AM,35,FALSE)</f>
        <v>0</v>
      </c>
      <c r="F143" s="608">
        <f>VLOOKUP(B143,'Item List'!B:AH,4,FALSE)</f>
        <v>0</v>
      </c>
      <c r="G143" s="569">
        <f t="shared" si="7"/>
        <v>0</v>
      </c>
      <c r="H143" s="606"/>
      <c r="I143" s="607">
        <f>ROUNDUP((E143*'Project Materials'!$L$18),0)</f>
        <v>0</v>
      </c>
      <c r="J143" s="572">
        <f t="shared" si="8"/>
        <v>0</v>
      </c>
    </row>
    <row r="144" spans="1:10" x14ac:dyDescent="0.4">
      <c r="A144" s="88" t="s">
        <v>429</v>
      </c>
      <c r="B144" s="79" t="str">
        <f>VLOOKUP('Area C'!B199,'Item List'!B:AJ,20,FALSE)</f>
        <v>None</v>
      </c>
      <c r="C144" s="79" t="str">
        <f>VLOOKUP(B144,'Item List'!B:AH,2,FALSE)</f>
        <v>None</v>
      </c>
      <c r="D144" s="79"/>
      <c r="E144" s="588">
        <f>VLOOKUP(B144,'Item List'!B:AM,35,FALSE)</f>
        <v>0</v>
      </c>
      <c r="F144" s="608">
        <f>VLOOKUP(B144,'Item List'!B:AH,4,FALSE)</f>
        <v>0</v>
      </c>
      <c r="G144" s="569">
        <f>F144*E144</f>
        <v>0</v>
      </c>
      <c r="H144" s="606"/>
      <c r="I144" s="607">
        <f>ROUNDUP((E144*'Project Materials'!$L$18),0)</f>
        <v>0</v>
      </c>
      <c r="J144" s="572">
        <f t="shared" ref="J144:J178" si="9">G144+(I144*F144)</f>
        <v>0</v>
      </c>
    </row>
    <row r="145" spans="1:10" x14ac:dyDescent="0.4">
      <c r="A145" s="88" t="s">
        <v>429</v>
      </c>
      <c r="B145" s="79" t="str">
        <f>VLOOKUP('Area C'!B200,'Item List'!B:AJ,20,FALSE)</f>
        <v>None</v>
      </c>
      <c r="C145" s="79" t="str">
        <f>VLOOKUP(B145,'Item List'!B:AH,2,FALSE)</f>
        <v>None</v>
      </c>
      <c r="D145" s="79"/>
      <c r="E145" s="588">
        <f>VLOOKUP(B145,'Item List'!B:AM,35,FALSE)</f>
        <v>0</v>
      </c>
      <c r="F145" s="608">
        <f>VLOOKUP(B145,'Item List'!B:AH,4,FALSE)</f>
        <v>0</v>
      </c>
      <c r="G145" s="569">
        <f>F145*E145</f>
        <v>0</v>
      </c>
      <c r="H145" s="606"/>
      <c r="I145" s="607">
        <f>ROUNDUP((E145*'Project Materials'!$L$18),0)</f>
        <v>0</v>
      </c>
      <c r="J145" s="572">
        <f t="shared" si="9"/>
        <v>0</v>
      </c>
    </row>
    <row r="146" spans="1:10" x14ac:dyDescent="0.4">
      <c r="A146" s="88" t="s">
        <v>429</v>
      </c>
      <c r="B146" s="79" t="str">
        <f>VLOOKUP('Area C'!B201,'Item List'!B:AJ,20,FALSE)</f>
        <v>None</v>
      </c>
      <c r="C146" s="79" t="str">
        <f>VLOOKUP(B146,'Item List'!B:AH,2,FALSE)</f>
        <v>None</v>
      </c>
      <c r="D146" s="79"/>
      <c r="E146" s="588">
        <f>VLOOKUP(B146,'Item List'!B:AM,35,FALSE)</f>
        <v>0</v>
      </c>
      <c r="F146" s="608">
        <f>VLOOKUP(B146,'Item List'!B:AH,4,FALSE)</f>
        <v>0</v>
      </c>
      <c r="G146" s="569">
        <f t="shared" ref="G146:G195" si="10">F146*E146</f>
        <v>0</v>
      </c>
      <c r="H146" s="606"/>
      <c r="I146" s="607">
        <f>ROUNDUP((E146*'Project Materials'!$L$18),0)</f>
        <v>0</v>
      </c>
      <c r="J146" s="572">
        <f t="shared" si="9"/>
        <v>0</v>
      </c>
    </row>
    <row r="147" spans="1:10" x14ac:dyDescent="0.4">
      <c r="A147" s="88" t="s">
        <v>429</v>
      </c>
      <c r="B147" s="79" t="str">
        <f>VLOOKUP('Area C'!B202,'Item List'!B:AJ,20,FALSE)</f>
        <v>None</v>
      </c>
      <c r="C147" s="79" t="str">
        <f>VLOOKUP(B147,'Item List'!B:AH,2,FALSE)</f>
        <v>None</v>
      </c>
      <c r="D147" s="79"/>
      <c r="E147" s="588">
        <f>VLOOKUP(B147,'Item List'!B:AM,35,FALSE)</f>
        <v>0</v>
      </c>
      <c r="F147" s="608">
        <f>VLOOKUP(B147,'Item List'!B:AH,4,FALSE)</f>
        <v>0</v>
      </c>
      <c r="G147" s="569">
        <f t="shared" si="10"/>
        <v>0</v>
      </c>
      <c r="H147" s="606"/>
      <c r="I147" s="607">
        <f>ROUNDUP((E147*'Project Materials'!$L$18),0)</f>
        <v>0</v>
      </c>
      <c r="J147" s="572">
        <f t="shared" si="9"/>
        <v>0</v>
      </c>
    </row>
    <row r="148" spans="1:10" x14ac:dyDescent="0.4">
      <c r="A148" s="88" t="s">
        <v>429</v>
      </c>
      <c r="B148" s="79" t="str">
        <f>VLOOKUP('Area C'!B203,'Item List'!B:AJ,20,FALSE)</f>
        <v>RCB screws- DP</v>
      </c>
      <c r="C148" s="79" t="str">
        <f>VLOOKUP(B148,'Item List'!B:AH,2,FALSE)</f>
        <v>RCB screws- Drill Points  #10 x 2" Phillips Pan SS</v>
      </c>
      <c r="D148" s="79"/>
      <c r="E148" s="588">
        <f>VLOOKUP(B148,'Item List'!B:AM,35,FALSE)</f>
        <v>0</v>
      </c>
      <c r="F148" s="608">
        <f>VLOOKUP(B148,'Item List'!B:AH,4,FALSE)</f>
        <v>7.2999999999999995E-2</v>
      </c>
      <c r="G148" s="569">
        <f t="shared" si="10"/>
        <v>0</v>
      </c>
      <c r="H148" s="606"/>
      <c r="I148" s="607">
        <f>ROUNDUP((E148*'Project Materials'!$L$18),0)</f>
        <v>0</v>
      </c>
      <c r="J148" s="572">
        <f t="shared" si="9"/>
        <v>0</v>
      </c>
    </row>
    <row r="149" spans="1:10" x14ac:dyDescent="0.4">
      <c r="A149" s="88" t="s">
        <v>429</v>
      </c>
      <c r="B149" s="79" t="str">
        <f>VLOOKUP('Area C'!B204,'Item List'!B:AJ,20,FALSE)</f>
        <v>None</v>
      </c>
      <c r="C149" s="79" t="str">
        <f>VLOOKUP(B149,'Item List'!B:AH,2,FALSE)</f>
        <v>None</v>
      </c>
      <c r="D149" s="79"/>
      <c r="E149" s="588">
        <f>VLOOKUP(B149,'Item List'!B:AM,35,FALSE)</f>
        <v>0</v>
      </c>
      <c r="F149" s="608">
        <f>VLOOKUP(B149,'Item List'!B:AH,4,FALSE)</f>
        <v>0</v>
      </c>
      <c r="G149" s="569">
        <f t="shared" si="10"/>
        <v>0</v>
      </c>
      <c r="H149" s="606"/>
      <c r="I149" s="607">
        <f>ROUNDUP((E149*'Project Materials'!$L$18),0)</f>
        <v>0</v>
      </c>
      <c r="J149" s="572">
        <f t="shared" si="9"/>
        <v>0</v>
      </c>
    </row>
    <row r="150" spans="1:10" x14ac:dyDescent="0.4">
      <c r="A150" s="88" t="s">
        <v>429</v>
      </c>
      <c r="B150" s="79" t="str">
        <f>VLOOKUP('Area C'!B205,'Item List'!B:AJ,20,FALSE)</f>
        <v>None</v>
      </c>
      <c r="C150" s="79" t="str">
        <f>VLOOKUP(B150,'Item List'!B:AH,2,FALSE)</f>
        <v>None</v>
      </c>
      <c r="D150" s="79"/>
      <c r="E150" s="588">
        <f>VLOOKUP(B150,'Item List'!B:AM,35,FALSE)</f>
        <v>0</v>
      </c>
      <c r="F150" s="608">
        <f>VLOOKUP(B150,'Item List'!B:AH,4,FALSE)</f>
        <v>0</v>
      </c>
      <c r="G150" s="569">
        <f t="shared" si="10"/>
        <v>0</v>
      </c>
      <c r="H150" s="606"/>
      <c r="I150" s="607">
        <f>ROUNDUP((E150*'Project Materials'!$L$18),0)</f>
        <v>0</v>
      </c>
      <c r="J150" s="572">
        <f t="shared" si="9"/>
        <v>0</v>
      </c>
    </row>
    <row r="151" spans="1:10" x14ac:dyDescent="0.4">
      <c r="A151" s="88" t="s">
        <v>429</v>
      </c>
      <c r="B151" s="79" t="str">
        <f>VLOOKUP('Area C'!B206,'Item List'!B:AJ,20,FALSE)</f>
        <v>None</v>
      </c>
      <c r="C151" s="79" t="str">
        <f>VLOOKUP(B151,'Item List'!B:AH,2,FALSE)</f>
        <v>None</v>
      </c>
      <c r="D151" s="79"/>
      <c r="E151" s="588">
        <f>VLOOKUP(B151,'Item List'!B:AM,35,FALSE)</f>
        <v>0</v>
      </c>
      <c r="F151" s="608">
        <f>VLOOKUP(B151,'Item List'!B:AH,4,FALSE)</f>
        <v>0</v>
      </c>
      <c r="G151" s="569">
        <f t="shared" si="10"/>
        <v>0</v>
      </c>
      <c r="H151" s="606"/>
      <c r="I151" s="607">
        <f>ROUNDUP((E151*'Project Materials'!$L$18),0)</f>
        <v>0</v>
      </c>
      <c r="J151" s="572">
        <f t="shared" si="9"/>
        <v>0</v>
      </c>
    </row>
    <row r="152" spans="1:10" x14ac:dyDescent="0.4">
      <c r="A152" s="88" t="s">
        <v>429</v>
      </c>
      <c r="B152" s="79" t="str">
        <f>VLOOKUP('Area C'!B207,'Item List'!B:AJ,20,FALSE)</f>
        <v>None</v>
      </c>
      <c r="C152" s="79" t="str">
        <f>VLOOKUP(B152,'Item List'!B:AH,2,FALSE)</f>
        <v>None</v>
      </c>
      <c r="D152" s="79"/>
      <c r="E152" s="588">
        <f>VLOOKUP(B152,'Item List'!B:AM,35,FALSE)</f>
        <v>0</v>
      </c>
      <c r="F152" s="608">
        <f>VLOOKUP(B152,'Item List'!B:AH,4,FALSE)</f>
        <v>0</v>
      </c>
      <c r="G152" s="569">
        <f t="shared" si="10"/>
        <v>0</v>
      </c>
      <c r="H152" s="606"/>
      <c r="I152" s="607">
        <f>ROUNDUP((E152*'Project Materials'!$L$18),0)</f>
        <v>0</v>
      </c>
      <c r="J152" s="572">
        <f t="shared" si="9"/>
        <v>0</v>
      </c>
    </row>
    <row r="153" spans="1:10" x14ac:dyDescent="0.4">
      <c r="A153" s="88" t="s">
        <v>429</v>
      </c>
      <c r="B153" s="79" t="str">
        <f>VLOOKUP('Area C'!B208,'Item List'!B:AJ,20,FALSE)</f>
        <v>None</v>
      </c>
      <c r="C153" s="79" t="str">
        <f>VLOOKUP(B153,'Item List'!B:AH,2,FALSE)</f>
        <v>None</v>
      </c>
      <c r="D153" s="79"/>
      <c r="E153" s="588">
        <f>VLOOKUP(B153,'Item List'!B:AM,35,FALSE)</f>
        <v>0</v>
      </c>
      <c r="F153" s="608">
        <f>VLOOKUP(B153,'Item List'!B:AH,4,FALSE)</f>
        <v>0</v>
      </c>
      <c r="G153" s="569">
        <f t="shared" si="10"/>
        <v>0</v>
      </c>
      <c r="H153" s="606"/>
      <c r="I153" s="607">
        <f>ROUNDUP((E153*'Project Materials'!$L$18),0)</f>
        <v>0</v>
      </c>
      <c r="J153" s="572">
        <f t="shared" si="9"/>
        <v>0</v>
      </c>
    </row>
    <row r="154" spans="1:10" x14ac:dyDescent="0.4">
      <c r="A154" s="88" t="s">
        <v>429</v>
      </c>
      <c r="B154" s="79" t="str">
        <f>VLOOKUP('Area C'!B209,'Item List'!B:AJ,20,FALSE)</f>
        <v>None</v>
      </c>
      <c r="C154" s="79" t="str">
        <f>VLOOKUP(B154,'Item List'!B:AH,2,FALSE)</f>
        <v>None</v>
      </c>
      <c r="D154" s="79"/>
      <c r="E154" s="588">
        <f>VLOOKUP(B154,'Item List'!B:AM,35,FALSE)</f>
        <v>0</v>
      </c>
      <c r="F154" s="608">
        <f>VLOOKUP(B154,'Item List'!B:AH,4,FALSE)</f>
        <v>0</v>
      </c>
      <c r="G154" s="569">
        <f t="shared" si="10"/>
        <v>0</v>
      </c>
      <c r="H154" s="606"/>
      <c r="I154" s="607">
        <f>ROUNDUP((E154*'Project Materials'!$L$18),0)</f>
        <v>0</v>
      </c>
      <c r="J154" s="572">
        <f t="shared" si="9"/>
        <v>0</v>
      </c>
    </row>
    <row r="155" spans="1:10" x14ac:dyDescent="0.4">
      <c r="A155" s="88" t="s">
        <v>429</v>
      </c>
      <c r="B155" s="79" t="str">
        <f>VLOOKUP('Area C'!B210,'Item List'!B:AJ,20,FALSE)</f>
        <v>None</v>
      </c>
      <c r="C155" s="79" t="str">
        <f>VLOOKUP(B155,'Item List'!B:AH,2,FALSE)</f>
        <v>None</v>
      </c>
      <c r="D155" s="79"/>
      <c r="E155" s="588">
        <f>VLOOKUP(B155,'Item List'!B:AM,35,FALSE)</f>
        <v>0</v>
      </c>
      <c r="F155" s="608">
        <f>VLOOKUP(B155,'Item List'!B:AH,4,FALSE)</f>
        <v>0</v>
      </c>
      <c r="G155" s="569">
        <f t="shared" si="10"/>
        <v>0</v>
      </c>
      <c r="H155" s="606"/>
      <c r="I155" s="607">
        <f>ROUNDUP((E155*'Project Materials'!$L$18),0)</f>
        <v>0</v>
      </c>
      <c r="J155" s="572">
        <f t="shared" si="9"/>
        <v>0</v>
      </c>
    </row>
    <row r="156" spans="1:10" x14ac:dyDescent="0.4">
      <c r="A156" s="88" t="s">
        <v>429</v>
      </c>
      <c r="B156" s="79" t="str">
        <f>VLOOKUP('Area C'!B211,'Item List'!B:AJ,20,FALSE)</f>
        <v>None</v>
      </c>
      <c r="C156" s="79" t="str">
        <f>VLOOKUP(B156,'Item List'!B:AH,2,FALSE)</f>
        <v>None</v>
      </c>
      <c r="D156" s="79"/>
      <c r="E156" s="588">
        <f>VLOOKUP(B156,'Item List'!B:AM,35,FALSE)</f>
        <v>0</v>
      </c>
      <c r="F156" s="608">
        <f>VLOOKUP(B156,'Item List'!B:AH,4,FALSE)</f>
        <v>0</v>
      </c>
      <c r="G156" s="569">
        <f t="shared" si="10"/>
        <v>0</v>
      </c>
      <c r="H156" s="606"/>
      <c r="I156" s="607">
        <f>ROUNDUP((E156*'Project Materials'!$L$18),0)</f>
        <v>0</v>
      </c>
      <c r="J156" s="572">
        <f t="shared" si="9"/>
        <v>0</v>
      </c>
    </row>
    <row r="157" spans="1:10" x14ac:dyDescent="0.4">
      <c r="A157" s="88" t="s">
        <v>429</v>
      </c>
      <c r="B157" s="79" t="str">
        <f>VLOOKUP('Area C'!B212,'Item List'!B:AJ,20,FALSE)</f>
        <v>None</v>
      </c>
      <c r="C157" s="79" t="str">
        <f>VLOOKUP(B157,'Item List'!B:AH,2,FALSE)</f>
        <v>None</v>
      </c>
      <c r="D157" s="79"/>
      <c r="E157" s="588">
        <f>VLOOKUP(B157,'Item List'!B:AM,35,FALSE)</f>
        <v>0</v>
      </c>
      <c r="F157" s="608">
        <f>VLOOKUP(B157,'Item List'!B:AH,4,FALSE)</f>
        <v>0</v>
      </c>
      <c r="G157" s="569">
        <f t="shared" si="10"/>
        <v>0</v>
      </c>
      <c r="H157" s="606"/>
      <c r="I157" s="607">
        <f>ROUNDUP((E157*'Project Materials'!$L$18),0)</f>
        <v>0</v>
      </c>
      <c r="J157" s="572">
        <f t="shared" si="9"/>
        <v>0</v>
      </c>
    </row>
    <row r="158" spans="1:10" x14ac:dyDescent="0.4">
      <c r="A158" s="88" t="s">
        <v>429</v>
      </c>
      <c r="B158" s="79" t="str">
        <f>VLOOKUP('Area C'!B213,'Item List'!B:AJ,20,FALSE)</f>
        <v>None</v>
      </c>
      <c r="C158" s="79" t="str">
        <f>VLOOKUP(B158,'Item List'!B:AH,2,FALSE)</f>
        <v>None</v>
      </c>
      <c r="D158" s="79"/>
      <c r="E158" s="588">
        <f>VLOOKUP(B158,'Item List'!B:AM,35,FALSE)</f>
        <v>0</v>
      </c>
      <c r="F158" s="608">
        <f>VLOOKUP(B158,'Item List'!B:AH,4,FALSE)</f>
        <v>0</v>
      </c>
      <c r="G158" s="569">
        <f t="shared" si="10"/>
        <v>0</v>
      </c>
      <c r="H158" s="606"/>
      <c r="I158" s="607">
        <f>ROUNDUP((E158*'Project Materials'!$L$18),0)</f>
        <v>0</v>
      </c>
      <c r="J158" s="572">
        <f t="shared" si="9"/>
        <v>0</v>
      </c>
    </row>
    <row r="159" spans="1:10" x14ac:dyDescent="0.4">
      <c r="A159" s="88" t="s">
        <v>429</v>
      </c>
      <c r="B159" s="79" t="str">
        <f>VLOOKUP('Area C'!B214,'Item List'!B:AJ,20,FALSE)</f>
        <v>None</v>
      </c>
      <c r="C159" s="79" t="str">
        <f>VLOOKUP(B159,'Item List'!B:AH,2,FALSE)</f>
        <v>None</v>
      </c>
      <c r="D159" s="79"/>
      <c r="E159" s="588">
        <f>VLOOKUP(B159,'Item List'!B:AM,35,FALSE)</f>
        <v>0</v>
      </c>
      <c r="F159" s="608">
        <f>VLOOKUP(B159,'Item List'!B:AH,4,FALSE)</f>
        <v>0</v>
      </c>
      <c r="G159" s="569">
        <f t="shared" si="10"/>
        <v>0</v>
      </c>
      <c r="H159" s="606"/>
      <c r="I159" s="607">
        <f>ROUNDUP((E159*'Project Materials'!$L$18),0)</f>
        <v>0</v>
      </c>
      <c r="J159" s="572">
        <f t="shared" si="9"/>
        <v>0</v>
      </c>
    </row>
    <row r="160" spans="1:10" x14ac:dyDescent="0.4">
      <c r="A160" s="88" t="s">
        <v>429</v>
      </c>
      <c r="B160" s="79" t="str">
        <f>VLOOKUP('Area C'!B215,'Item List'!B:AJ,20,FALSE)</f>
        <v>None</v>
      </c>
      <c r="C160" s="79" t="str">
        <f>VLOOKUP(B160,'Item List'!B:AH,2,FALSE)</f>
        <v>None</v>
      </c>
      <c r="D160" s="79"/>
      <c r="E160" s="588">
        <f>VLOOKUP(B160,'Item List'!B:AM,35,FALSE)</f>
        <v>0</v>
      </c>
      <c r="F160" s="608">
        <f>VLOOKUP(B160,'Item List'!B:AH,4,FALSE)</f>
        <v>0</v>
      </c>
      <c r="G160" s="569">
        <f t="shared" si="10"/>
        <v>0</v>
      </c>
      <c r="H160" s="606"/>
      <c r="I160" s="607">
        <f>ROUNDUP((E160*'Project Materials'!$L$18),0)</f>
        <v>0</v>
      </c>
      <c r="J160" s="572">
        <f t="shared" si="9"/>
        <v>0</v>
      </c>
    </row>
    <row r="161" spans="1:10" x14ac:dyDescent="0.4">
      <c r="A161" s="88" t="s">
        <v>429</v>
      </c>
      <c r="B161" s="79" t="str">
        <f>VLOOKUP('Area C'!B216,'Item List'!B:AJ,20,FALSE)</f>
        <v>None</v>
      </c>
      <c r="C161" s="79" t="str">
        <f>VLOOKUP(B161,'Item List'!B:AH,2,FALSE)</f>
        <v>None</v>
      </c>
      <c r="D161" s="79"/>
      <c r="E161" s="588">
        <f>VLOOKUP(B161,'Item List'!B:AM,35,FALSE)</f>
        <v>0</v>
      </c>
      <c r="F161" s="608">
        <f>VLOOKUP(B161,'Item List'!B:AH,4,FALSE)</f>
        <v>0</v>
      </c>
      <c r="G161" s="569">
        <f t="shared" si="10"/>
        <v>0</v>
      </c>
      <c r="H161" s="606"/>
      <c r="I161" s="607">
        <f>ROUNDUP((E161*'Project Materials'!$L$18),0)</f>
        <v>0</v>
      </c>
      <c r="J161" s="572">
        <f t="shared" si="9"/>
        <v>0</v>
      </c>
    </row>
    <row r="162" spans="1:10" x14ac:dyDescent="0.4">
      <c r="A162" s="88" t="s">
        <v>429</v>
      </c>
      <c r="B162" s="79" t="str">
        <f>VLOOKUP('Area C'!B217,'Item List'!B:AJ,20,FALSE)</f>
        <v>None</v>
      </c>
      <c r="C162" s="79" t="str">
        <f>VLOOKUP(B162,'Item List'!B:AH,2,FALSE)</f>
        <v>None</v>
      </c>
      <c r="D162" s="79"/>
      <c r="E162" s="588">
        <f>VLOOKUP(B162,'Item List'!B:AM,35,FALSE)</f>
        <v>0</v>
      </c>
      <c r="F162" s="608">
        <f>VLOOKUP(B162,'Item List'!B:AH,4,FALSE)</f>
        <v>0</v>
      </c>
      <c r="G162" s="569">
        <f t="shared" si="10"/>
        <v>0</v>
      </c>
      <c r="H162" s="606"/>
      <c r="I162" s="607">
        <f>ROUNDUP((E162*'Project Materials'!$L$18),0)</f>
        <v>0</v>
      </c>
      <c r="J162" s="572">
        <f t="shared" si="9"/>
        <v>0</v>
      </c>
    </row>
    <row r="163" spans="1:10" x14ac:dyDescent="0.4">
      <c r="A163" s="88" t="s">
        <v>429</v>
      </c>
      <c r="B163" s="79" t="str">
        <f>VLOOKUP('Area C'!B218,'Item List'!B:AJ,20,FALSE)</f>
        <v>None</v>
      </c>
      <c r="C163" s="79" t="str">
        <f>VLOOKUP(B163,'Item List'!B:AH,2,FALSE)</f>
        <v>None</v>
      </c>
      <c r="D163" s="79"/>
      <c r="E163" s="588">
        <f>VLOOKUP(B163,'Item List'!B:AM,35,FALSE)</f>
        <v>0</v>
      </c>
      <c r="F163" s="608">
        <f>VLOOKUP(B163,'Item List'!B:AH,4,FALSE)</f>
        <v>0</v>
      </c>
      <c r="G163" s="569">
        <f t="shared" si="10"/>
        <v>0</v>
      </c>
      <c r="H163" s="606"/>
      <c r="I163" s="607">
        <f>ROUNDUP((E163*'Project Materials'!$L$18),0)</f>
        <v>0</v>
      </c>
      <c r="J163" s="572">
        <f t="shared" si="9"/>
        <v>0</v>
      </c>
    </row>
    <row r="164" spans="1:10" x14ac:dyDescent="0.4">
      <c r="A164" s="88" t="s">
        <v>429</v>
      </c>
      <c r="B164" s="79" t="str">
        <f>VLOOKUP('Area C'!B219,'Item List'!B:AJ,20,FALSE)</f>
        <v>None</v>
      </c>
      <c r="C164" s="79" t="str">
        <f>VLOOKUP(B164,'Item List'!B:AH,2,FALSE)</f>
        <v>None</v>
      </c>
      <c r="D164" s="79"/>
      <c r="E164" s="588">
        <f>VLOOKUP(B164,'Item List'!B:AM,35,FALSE)</f>
        <v>0</v>
      </c>
      <c r="F164" s="608">
        <f>VLOOKUP(B164,'Item List'!B:AH,4,FALSE)</f>
        <v>0</v>
      </c>
      <c r="G164" s="569">
        <f t="shared" si="10"/>
        <v>0</v>
      </c>
      <c r="H164" s="606"/>
      <c r="I164" s="607">
        <f>ROUNDUP((E164*'Project Materials'!$L$18),0)</f>
        <v>0</v>
      </c>
      <c r="J164" s="572">
        <f t="shared" si="9"/>
        <v>0</v>
      </c>
    </row>
    <row r="165" spans="1:10" x14ac:dyDescent="0.4">
      <c r="A165" s="88" t="s">
        <v>429</v>
      </c>
      <c r="B165" s="79" t="str">
        <f>VLOOKUP('Area C'!B220,'Item List'!B:AJ,20,FALSE)</f>
        <v>None</v>
      </c>
      <c r="C165" s="79" t="str">
        <f>VLOOKUP(B165,'Item List'!B:AH,2,FALSE)</f>
        <v>None</v>
      </c>
      <c r="D165" s="79"/>
      <c r="E165" s="588">
        <f>VLOOKUP(B165,'Item List'!B:AM,35,FALSE)</f>
        <v>0</v>
      </c>
      <c r="F165" s="608">
        <f>VLOOKUP(B165,'Item List'!B:AH,4,FALSE)</f>
        <v>0</v>
      </c>
      <c r="G165" s="569">
        <f t="shared" si="10"/>
        <v>0</v>
      </c>
      <c r="H165" s="606"/>
      <c r="I165" s="607">
        <f>ROUNDUP((E165*'Project Materials'!$L$18),0)</f>
        <v>0</v>
      </c>
      <c r="J165" s="572">
        <f t="shared" si="9"/>
        <v>0</v>
      </c>
    </row>
    <row r="166" spans="1:10" x14ac:dyDescent="0.4">
      <c r="A166" s="88" t="s">
        <v>429</v>
      </c>
      <c r="B166" s="79" t="str">
        <f>VLOOKUP('Area C'!B221,'Item List'!B:AJ,20,FALSE)</f>
        <v>None</v>
      </c>
      <c r="C166" s="79" t="str">
        <f>VLOOKUP(B166,'Item List'!B:AH,2,FALSE)</f>
        <v>None</v>
      </c>
      <c r="D166" s="79"/>
      <c r="E166" s="588">
        <f>VLOOKUP(B166,'Item List'!B:AM,35,FALSE)</f>
        <v>0</v>
      </c>
      <c r="F166" s="608">
        <f>VLOOKUP(B166,'Item List'!B:AH,4,FALSE)</f>
        <v>0</v>
      </c>
      <c r="G166" s="569">
        <f t="shared" si="10"/>
        <v>0</v>
      </c>
      <c r="H166" s="606"/>
      <c r="I166" s="607">
        <f>ROUNDUP((E166*'Project Materials'!$L$18),0)</f>
        <v>0</v>
      </c>
      <c r="J166" s="572">
        <f t="shared" si="9"/>
        <v>0</v>
      </c>
    </row>
    <row r="167" spans="1:10" x14ac:dyDescent="0.4">
      <c r="A167" s="88" t="s">
        <v>429</v>
      </c>
      <c r="B167" s="79" t="str">
        <f>VLOOKUP('Area C'!B222,'Item List'!B:AJ,20,FALSE)</f>
        <v>None</v>
      </c>
      <c r="C167" s="79" t="str">
        <f>VLOOKUP(B167,'Item List'!B:AH,2,FALSE)</f>
        <v>None</v>
      </c>
      <c r="D167" s="79"/>
      <c r="E167" s="588">
        <f>VLOOKUP(B167,'Item List'!B:AM,35,FALSE)</f>
        <v>0</v>
      </c>
      <c r="F167" s="608">
        <f>VLOOKUP(B167,'Item List'!B:AH,4,FALSE)</f>
        <v>0</v>
      </c>
      <c r="G167" s="569">
        <f t="shared" si="10"/>
        <v>0</v>
      </c>
      <c r="H167" s="606"/>
      <c r="I167" s="607">
        <f>ROUNDUP((E167*'Project Materials'!$L$18),0)</f>
        <v>0</v>
      </c>
      <c r="J167" s="572">
        <f t="shared" si="9"/>
        <v>0</v>
      </c>
    </row>
    <row r="168" spans="1:10" x14ac:dyDescent="0.4">
      <c r="A168" s="88" t="s">
        <v>429</v>
      </c>
      <c r="B168" s="79" t="str">
        <f>VLOOKUP('Area C'!B223,'Item List'!B:AJ,20,FALSE)</f>
        <v>None</v>
      </c>
      <c r="C168" s="79" t="str">
        <f>VLOOKUP(B168,'Item List'!B:AH,2,FALSE)</f>
        <v>None</v>
      </c>
      <c r="D168" s="79"/>
      <c r="E168" s="588">
        <f>VLOOKUP(B168,'Item List'!B:AM,35,FALSE)</f>
        <v>0</v>
      </c>
      <c r="F168" s="608">
        <f>VLOOKUP(B168,'Item List'!B:AH,4,FALSE)</f>
        <v>0</v>
      </c>
      <c r="G168" s="569">
        <f t="shared" si="10"/>
        <v>0</v>
      </c>
      <c r="H168" s="606"/>
      <c r="I168" s="607">
        <f>ROUNDUP((E168*'Project Materials'!$L$18),0)</f>
        <v>0</v>
      </c>
      <c r="J168" s="572">
        <f t="shared" si="9"/>
        <v>0</v>
      </c>
    </row>
    <row r="169" spans="1:10" x14ac:dyDescent="0.4">
      <c r="A169" s="88" t="s">
        <v>429</v>
      </c>
      <c r="B169" s="79" t="str">
        <f>VLOOKUP('Area C'!B224,'Item List'!B:AJ,20,FALSE)</f>
        <v>None</v>
      </c>
      <c r="C169" s="79" t="str">
        <f>VLOOKUP(B169,'Item List'!B:AH,2,FALSE)</f>
        <v>None</v>
      </c>
      <c r="D169" s="79"/>
      <c r="E169" s="588">
        <f>VLOOKUP(B169,'Item List'!B:AM,35,FALSE)</f>
        <v>0</v>
      </c>
      <c r="F169" s="608">
        <f>VLOOKUP(B169,'Item List'!B:AH,4,FALSE)</f>
        <v>0</v>
      </c>
      <c r="G169" s="569">
        <f t="shared" si="10"/>
        <v>0</v>
      </c>
      <c r="H169" s="606"/>
      <c r="I169" s="607">
        <f>ROUNDUP((E169*'Project Materials'!$L$18),0)</f>
        <v>0</v>
      </c>
      <c r="J169" s="572">
        <f t="shared" si="9"/>
        <v>0</v>
      </c>
    </row>
    <row r="170" spans="1:10" x14ac:dyDescent="0.4">
      <c r="A170" s="88" t="s">
        <v>429</v>
      </c>
      <c r="B170" s="79" t="str">
        <f>VLOOKUP('Area C'!B225,'Item List'!B:AJ,20,FALSE)</f>
        <v>None</v>
      </c>
      <c r="C170" s="79" t="str">
        <f>VLOOKUP(B170,'Item List'!B:AH,2,FALSE)</f>
        <v>None</v>
      </c>
      <c r="D170" s="79"/>
      <c r="E170" s="588">
        <f>VLOOKUP(B170,'Item List'!B:AM,35,FALSE)</f>
        <v>0</v>
      </c>
      <c r="F170" s="608">
        <f>VLOOKUP(B170,'Item List'!B:AH,4,FALSE)</f>
        <v>0</v>
      </c>
      <c r="G170" s="569">
        <f t="shared" si="10"/>
        <v>0</v>
      </c>
      <c r="H170" s="606"/>
      <c r="I170" s="607">
        <f>ROUNDUP((E170*'Project Materials'!$L$18),0)</f>
        <v>0</v>
      </c>
      <c r="J170" s="572">
        <f t="shared" si="9"/>
        <v>0</v>
      </c>
    </row>
    <row r="171" spans="1:10" x14ac:dyDescent="0.4">
      <c r="A171" s="88" t="s">
        <v>429</v>
      </c>
      <c r="B171" s="79" t="str">
        <f>VLOOKUP('Area C'!B226,'Item List'!B:AJ,20,FALSE)</f>
        <v>None</v>
      </c>
      <c r="C171" s="79" t="str">
        <f>VLOOKUP(B171,'Item List'!B:AH,2,FALSE)</f>
        <v>None</v>
      </c>
      <c r="D171" s="79"/>
      <c r="E171" s="588">
        <f>VLOOKUP(B171,'Item List'!B:AM,35,FALSE)</f>
        <v>0</v>
      </c>
      <c r="F171" s="608">
        <f>VLOOKUP(B171,'Item List'!B:AH,4,FALSE)</f>
        <v>0</v>
      </c>
      <c r="G171" s="569">
        <f t="shared" si="10"/>
        <v>0</v>
      </c>
      <c r="H171" s="606"/>
      <c r="I171" s="607">
        <f>ROUNDUP((E171*'Project Materials'!$L$18),0)</f>
        <v>0</v>
      </c>
      <c r="J171" s="572">
        <f t="shared" si="9"/>
        <v>0</v>
      </c>
    </row>
    <row r="172" spans="1:10" x14ac:dyDescent="0.4">
      <c r="A172" s="88" t="s">
        <v>429</v>
      </c>
      <c r="B172" s="79" t="str">
        <f>VLOOKUP('Area C'!B227,'Item List'!B:AJ,20,FALSE)</f>
        <v>None</v>
      </c>
      <c r="C172" s="79" t="str">
        <f>VLOOKUP(B172,'Item List'!B:AH,2,FALSE)</f>
        <v>None</v>
      </c>
      <c r="D172" s="79"/>
      <c r="E172" s="588">
        <f>VLOOKUP(B172,'Item List'!B:AM,35,FALSE)</f>
        <v>0</v>
      </c>
      <c r="F172" s="608">
        <f>VLOOKUP(B172,'Item List'!B:AH,4,FALSE)</f>
        <v>0</v>
      </c>
      <c r="G172" s="569">
        <f t="shared" si="10"/>
        <v>0</v>
      </c>
      <c r="H172" s="606"/>
      <c r="I172" s="607">
        <f>ROUNDUP((E172*'Project Materials'!$L$18),0)</f>
        <v>0</v>
      </c>
      <c r="J172" s="572">
        <f t="shared" si="9"/>
        <v>0</v>
      </c>
    </row>
    <row r="173" spans="1:10" x14ac:dyDescent="0.4">
      <c r="A173" s="88" t="s">
        <v>429</v>
      </c>
      <c r="B173" s="79" t="str">
        <f>VLOOKUP('Area C'!B228,'Item List'!B:AJ,20,FALSE)</f>
        <v>None</v>
      </c>
      <c r="C173" s="79" t="str">
        <f>VLOOKUP(B173,'Item List'!B:AH,2,FALSE)</f>
        <v>None</v>
      </c>
      <c r="D173" s="79"/>
      <c r="E173" s="588">
        <f>VLOOKUP(B173,'Item List'!B:AM,35,FALSE)</f>
        <v>0</v>
      </c>
      <c r="F173" s="608">
        <f>VLOOKUP(B173,'Item List'!B:AH,4,FALSE)</f>
        <v>0</v>
      </c>
      <c r="G173" s="569">
        <f t="shared" si="10"/>
        <v>0</v>
      </c>
      <c r="H173" s="606"/>
      <c r="I173" s="607">
        <f>ROUNDUP((E173*'Project Materials'!$L$18),0)</f>
        <v>0</v>
      </c>
      <c r="J173" s="572">
        <f t="shared" si="9"/>
        <v>0</v>
      </c>
    </row>
    <row r="174" spans="1:10" x14ac:dyDescent="0.4">
      <c r="A174" s="88" t="s">
        <v>429</v>
      </c>
      <c r="B174" s="79" t="str">
        <f>VLOOKUP('Area C'!B229,'Item List'!B:AJ,20,FALSE)</f>
        <v>None</v>
      </c>
      <c r="C174" s="79" t="str">
        <f>VLOOKUP(B174,'Item List'!B:AH,2,FALSE)</f>
        <v>None</v>
      </c>
      <c r="D174" s="79"/>
      <c r="E174" s="588">
        <f>VLOOKUP(B174,'Item List'!B:AM,35,FALSE)</f>
        <v>0</v>
      </c>
      <c r="F174" s="608">
        <f>VLOOKUP(B174,'Item List'!B:AH,4,FALSE)</f>
        <v>0</v>
      </c>
      <c r="G174" s="569">
        <f t="shared" si="10"/>
        <v>0</v>
      </c>
      <c r="H174" s="606"/>
      <c r="I174" s="607">
        <f>ROUNDUP((E174*'Project Materials'!$L$18),0)</f>
        <v>0</v>
      </c>
      <c r="J174" s="572">
        <f t="shared" si="9"/>
        <v>0</v>
      </c>
    </row>
    <row r="175" spans="1:10" x14ac:dyDescent="0.4">
      <c r="A175" s="88" t="s">
        <v>429</v>
      </c>
      <c r="B175" s="79" t="str">
        <f>VLOOKUP('Area C'!B230,'Item List'!B:AJ,20,FALSE)</f>
        <v>None</v>
      </c>
      <c r="C175" s="79" t="str">
        <f>VLOOKUP(B175,'Item List'!B:AH,2,FALSE)</f>
        <v>None</v>
      </c>
      <c r="D175" s="79"/>
      <c r="E175" s="588">
        <f>VLOOKUP(B175,'Item List'!B:AM,35,FALSE)</f>
        <v>0</v>
      </c>
      <c r="F175" s="608">
        <f>VLOOKUP(B175,'Item List'!B:AH,4,FALSE)</f>
        <v>0</v>
      </c>
      <c r="G175" s="569">
        <f t="shared" si="10"/>
        <v>0</v>
      </c>
      <c r="H175" s="606"/>
      <c r="I175" s="607">
        <f>ROUNDUP((E175*'Project Materials'!$L$18),0)</f>
        <v>0</v>
      </c>
      <c r="J175" s="572">
        <f t="shared" si="9"/>
        <v>0</v>
      </c>
    </row>
    <row r="176" spans="1:10" x14ac:dyDescent="0.4">
      <c r="A176" s="88" t="s">
        <v>429</v>
      </c>
      <c r="B176" s="79" t="str">
        <f>VLOOKUP('Area C'!B231,'Item List'!B:AJ,20,FALSE)</f>
        <v>None</v>
      </c>
      <c r="C176" s="79" t="str">
        <f>VLOOKUP(B176,'Item List'!B:AH,2,FALSE)</f>
        <v>None</v>
      </c>
      <c r="D176" s="79"/>
      <c r="E176" s="588">
        <f>VLOOKUP(B176,'Item List'!B:AM,35,FALSE)</f>
        <v>0</v>
      </c>
      <c r="F176" s="608">
        <f>VLOOKUP(B176,'Item List'!B:AH,4,FALSE)</f>
        <v>0</v>
      </c>
      <c r="G176" s="569">
        <f t="shared" si="10"/>
        <v>0</v>
      </c>
      <c r="H176" s="606"/>
      <c r="I176" s="607">
        <f>ROUNDUP((E176*'Project Materials'!$L$18),0)</f>
        <v>0</v>
      </c>
      <c r="J176" s="572">
        <f t="shared" si="9"/>
        <v>0</v>
      </c>
    </row>
    <row r="177" spans="1:10" x14ac:dyDescent="0.4">
      <c r="A177" s="88" t="s">
        <v>429</v>
      </c>
      <c r="B177" s="79" t="str">
        <f>VLOOKUP('Area C'!B232,'Item List'!B:AJ,20,FALSE)</f>
        <v>None</v>
      </c>
      <c r="C177" s="79" t="str">
        <f>VLOOKUP(B177,'Item List'!B:AH,2,FALSE)</f>
        <v>None</v>
      </c>
      <c r="D177" s="79"/>
      <c r="E177" s="588">
        <f>VLOOKUP(B177,'Item List'!B:AM,35,FALSE)</f>
        <v>0</v>
      </c>
      <c r="F177" s="608">
        <f>VLOOKUP(B177,'Item List'!B:AH,4,FALSE)</f>
        <v>0</v>
      </c>
      <c r="G177" s="569">
        <f t="shared" si="10"/>
        <v>0</v>
      </c>
      <c r="H177" s="606"/>
      <c r="I177" s="607">
        <f>ROUNDUP((E177*'Project Materials'!$L$18),0)</f>
        <v>0</v>
      </c>
      <c r="J177" s="572">
        <f t="shared" si="9"/>
        <v>0</v>
      </c>
    </row>
    <row r="178" spans="1:10" x14ac:dyDescent="0.4">
      <c r="A178" s="88" t="s">
        <v>429</v>
      </c>
      <c r="B178" s="79" t="str">
        <f>VLOOKUP('Area C'!B233,'Item List'!B:AJ,20,FALSE)</f>
        <v>None</v>
      </c>
      <c r="C178" s="79" t="str">
        <f>VLOOKUP(B178,'Item List'!B:AH,2,FALSE)</f>
        <v>None</v>
      </c>
      <c r="D178" s="79"/>
      <c r="E178" s="588">
        <f>VLOOKUP(B178,'Item List'!B:AM,35,FALSE)</f>
        <v>0</v>
      </c>
      <c r="F178" s="608">
        <f>VLOOKUP(B178,'Item List'!B:AH,4,FALSE)</f>
        <v>0</v>
      </c>
      <c r="G178" s="569">
        <f t="shared" si="10"/>
        <v>0</v>
      </c>
      <c r="H178" s="606"/>
      <c r="I178" s="607">
        <f>ROUNDUP((E178*'Project Materials'!$L$18),0)</f>
        <v>0</v>
      </c>
      <c r="J178" s="572">
        <f t="shared" si="9"/>
        <v>0</v>
      </c>
    </row>
    <row r="179" spans="1:10" x14ac:dyDescent="0.4">
      <c r="A179" s="88" t="s">
        <v>429</v>
      </c>
      <c r="B179" s="79" t="str">
        <f>VLOOKUP('Area C'!B234,'Item List'!B:AJ,20,FALSE)</f>
        <v>None</v>
      </c>
      <c r="C179" s="79" t="str">
        <f>VLOOKUP(B179,'Item List'!B:AH,2,FALSE)</f>
        <v>None</v>
      </c>
      <c r="D179" s="79"/>
      <c r="E179" s="588">
        <f>VLOOKUP(B179,'Item List'!B:AM,35,FALSE)</f>
        <v>0</v>
      </c>
      <c r="F179" s="608">
        <f>VLOOKUP(B179,'Item List'!B:AH,4,FALSE)</f>
        <v>0</v>
      </c>
      <c r="G179" s="569">
        <f t="shared" si="10"/>
        <v>0</v>
      </c>
      <c r="H179" s="606"/>
      <c r="I179" s="607">
        <f>ROUNDUP((E179*'Project Materials'!$L$18),0)</f>
        <v>0</v>
      </c>
      <c r="J179" s="572">
        <f t="shared" ref="J179:J195" si="11">G179+(I179*F179)</f>
        <v>0</v>
      </c>
    </row>
    <row r="180" spans="1:10" x14ac:dyDescent="0.4">
      <c r="A180" s="88" t="s">
        <v>429</v>
      </c>
      <c r="B180" s="79" t="str">
        <f>VLOOKUP('Area C'!B235,'Item List'!B:AJ,20,FALSE)</f>
        <v>None</v>
      </c>
      <c r="C180" s="79" t="str">
        <f>VLOOKUP(B180,'Item List'!B:AH,2,FALSE)</f>
        <v>None</v>
      </c>
      <c r="D180" s="79"/>
      <c r="E180" s="588">
        <f>VLOOKUP(B180,'Item List'!B:AM,35,FALSE)</f>
        <v>0</v>
      </c>
      <c r="F180" s="608">
        <f>VLOOKUP(B180,'Item List'!B:AH,4,FALSE)</f>
        <v>0</v>
      </c>
      <c r="G180" s="569">
        <f t="shared" si="10"/>
        <v>0</v>
      </c>
      <c r="H180" s="606"/>
      <c r="I180" s="607">
        <f>ROUNDUP((E180*'Project Materials'!$L$18),0)</f>
        <v>0</v>
      </c>
      <c r="J180" s="572">
        <f t="shared" si="11"/>
        <v>0</v>
      </c>
    </row>
    <row r="181" spans="1:10" x14ac:dyDescent="0.4">
      <c r="A181" s="88" t="s">
        <v>429</v>
      </c>
      <c r="B181" s="79" t="str">
        <f>VLOOKUP('Area C'!B236,'Item List'!B:AJ,20,FALSE)</f>
        <v>None</v>
      </c>
      <c r="C181" s="79" t="str">
        <f>VLOOKUP(B181,'Item List'!B:AH,2,FALSE)</f>
        <v>None</v>
      </c>
      <c r="D181" s="79"/>
      <c r="E181" s="588">
        <f>VLOOKUP(B181,'Item List'!B:AM,35,FALSE)</f>
        <v>0</v>
      </c>
      <c r="F181" s="608">
        <f>VLOOKUP(B181,'Item List'!B:AH,4,FALSE)</f>
        <v>0</v>
      </c>
      <c r="G181" s="569">
        <f t="shared" si="10"/>
        <v>0</v>
      </c>
      <c r="H181" s="606"/>
      <c r="I181" s="607">
        <f>ROUNDUP((E181*'Project Materials'!$L$18),0)</f>
        <v>0</v>
      </c>
      <c r="J181" s="572">
        <f t="shared" si="11"/>
        <v>0</v>
      </c>
    </row>
    <row r="182" spans="1:10" x14ac:dyDescent="0.4">
      <c r="A182" s="88" t="s">
        <v>429</v>
      </c>
      <c r="B182" s="79" t="str">
        <f>VLOOKUP('Area C'!B237,'Item List'!B:AJ,20,FALSE)</f>
        <v>None</v>
      </c>
      <c r="C182" s="79" t="str">
        <f>VLOOKUP(B182,'Item List'!B:AH,2,FALSE)</f>
        <v>None</v>
      </c>
      <c r="D182" s="79"/>
      <c r="E182" s="588">
        <f>VLOOKUP(B182,'Item List'!B:AM,35,FALSE)</f>
        <v>0</v>
      </c>
      <c r="F182" s="608">
        <f>VLOOKUP(B182,'Item List'!B:AH,4,FALSE)</f>
        <v>0</v>
      </c>
      <c r="G182" s="569">
        <f t="shared" si="10"/>
        <v>0</v>
      </c>
      <c r="H182" s="606"/>
      <c r="I182" s="607">
        <f>ROUNDUP((E182*'Project Materials'!$L$18),0)</f>
        <v>0</v>
      </c>
      <c r="J182" s="572">
        <f t="shared" si="11"/>
        <v>0</v>
      </c>
    </row>
    <row r="183" spans="1:10" x14ac:dyDescent="0.4">
      <c r="A183" s="88" t="s">
        <v>429</v>
      </c>
      <c r="B183" s="79" t="str">
        <f>VLOOKUP('Area C'!B238,'Item List'!B:AJ,20,FALSE)</f>
        <v>None</v>
      </c>
      <c r="C183" s="79" t="str">
        <f>VLOOKUP(B183,'Item List'!B:AH,2,FALSE)</f>
        <v>None</v>
      </c>
      <c r="D183" s="79"/>
      <c r="E183" s="588">
        <f>VLOOKUP(B183,'Item List'!B:AM,35,FALSE)</f>
        <v>0</v>
      </c>
      <c r="F183" s="608">
        <f>VLOOKUP(B183,'Item List'!B:AH,4,FALSE)</f>
        <v>0</v>
      </c>
      <c r="G183" s="569">
        <f t="shared" si="10"/>
        <v>0</v>
      </c>
      <c r="H183" s="606"/>
      <c r="I183" s="607">
        <f>ROUNDUP((E183*'Project Materials'!$L$18),0)</f>
        <v>0</v>
      </c>
      <c r="J183" s="572">
        <f t="shared" si="11"/>
        <v>0</v>
      </c>
    </row>
    <row r="184" spans="1:10" x14ac:dyDescent="0.4">
      <c r="A184" s="88" t="s">
        <v>429</v>
      </c>
      <c r="B184" s="79" t="str">
        <f>VLOOKUP('Area C'!B239,'Item List'!B:AJ,20,FALSE)</f>
        <v>None</v>
      </c>
      <c r="C184" s="79" t="str">
        <f>VLOOKUP(B184,'Item List'!B:AH,2,FALSE)</f>
        <v>None</v>
      </c>
      <c r="D184" s="79"/>
      <c r="E184" s="588">
        <f>VLOOKUP(B184,'Item List'!B:AM,35,FALSE)</f>
        <v>0</v>
      </c>
      <c r="F184" s="608">
        <f>VLOOKUP(B184,'Item List'!B:AH,4,FALSE)</f>
        <v>0</v>
      </c>
      <c r="G184" s="569">
        <f t="shared" si="10"/>
        <v>0</v>
      </c>
      <c r="H184" s="606"/>
      <c r="I184" s="607">
        <f>ROUNDUP((E184*'Project Materials'!$L$18),0)</f>
        <v>0</v>
      </c>
      <c r="J184" s="572">
        <f t="shared" si="11"/>
        <v>0</v>
      </c>
    </row>
    <row r="185" spans="1:10" x14ac:dyDescent="0.4">
      <c r="A185" s="88" t="s">
        <v>429</v>
      </c>
      <c r="B185" s="79" t="str">
        <f>VLOOKUP('Area C'!B240,'Item List'!B:AJ,20,FALSE)</f>
        <v>None</v>
      </c>
      <c r="C185" s="79" t="str">
        <f>VLOOKUP(B185,'Item List'!B:AH,2,FALSE)</f>
        <v>None</v>
      </c>
      <c r="D185" s="79"/>
      <c r="E185" s="588">
        <f>VLOOKUP(B185,'Item List'!B:AM,35,FALSE)</f>
        <v>0</v>
      </c>
      <c r="F185" s="608">
        <f>VLOOKUP(B185,'Item List'!B:AH,4,FALSE)</f>
        <v>0</v>
      </c>
      <c r="G185" s="569">
        <f t="shared" si="10"/>
        <v>0</v>
      </c>
      <c r="H185" s="606"/>
      <c r="I185" s="607">
        <f>ROUNDUP((E185*'Project Materials'!$L$18),0)</f>
        <v>0</v>
      </c>
      <c r="J185" s="572">
        <f t="shared" si="11"/>
        <v>0</v>
      </c>
    </row>
    <row r="186" spans="1:10" x14ac:dyDescent="0.4">
      <c r="A186" s="88" t="s">
        <v>429</v>
      </c>
      <c r="B186" s="79" t="str">
        <f>VLOOKUP('Area C'!B241,'Item List'!B:AJ,20,FALSE)</f>
        <v>None</v>
      </c>
      <c r="C186" s="79" t="str">
        <f>VLOOKUP(B186,'Item List'!B:AH,2,FALSE)</f>
        <v>None</v>
      </c>
      <c r="D186" s="79"/>
      <c r="E186" s="588">
        <f>VLOOKUP(B186,'Item List'!B:AM,35,FALSE)</f>
        <v>0</v>
      </c>
      <c r="F186" s="608">
        <f>VLOOKUP(B186,'Item List'!B:AH,4,FALSE)</f>
        <v>0</v>
      </c>
      <c r="G186" s="569">
        <f t="shared" si="10"/>
        <v>0</v>
      </c>
      <c r="H186" s="606"/>
      <c r="I186" s="607">
        <f>ROUNDUP((E186*'Project Materials'!$L$18),0)</f>
        <v>0</v>
      </c>
      <c r="J186" s="572">
        <f t="shared" si="11"/>
        <v>0</v>
      </c>
    </row>
    <row r="187" spans="1:10" x14ac:dyDescent="0.4">
      <c r="A187" s="88" t="s">
        <v>429</v>
      </c>
      <c r="B187" s="79" t="str">
        <f>VLOOKUP('Area C'!B242,'Item List'!B:AJ,20,FALSE)</f>
        <v>None</v>
      </c>
      <c r="C187" s="79" t="str">
        <f>VLOOKUP(B187,'Item List'!B:AH,2,FALSE)</f>
        <v>None</v>
      </c>
      <c r="D187" s="79"/>
      <c r="E187" s="588">
        <f>VLOOKUP(B187,'Item List'!B:AM,35,FALSE)</f>
        <v>0</v>
      </c>
      <c r="F187" s="608">
        <f>VLOOKUP(B187,'Item List'!B:AH,4,FALSE)</f>
        <v>0</v>
      </c>
      <c r="G187" s="569">
        <f t="shared" si="10"/>
        <v>0</v>
      </c>
      <c r="H187" s="606"/>
      <c r="I187" s="607">
        <f>ROUNDUP((E187*'Project Materials'!$L$18),0)</f>
        <v>0</v>
      </c>
      <c r="J187" s="572">
        <f t="shared" si="11"/>
        <v>0</v>
      </c>
    </row>
    <row r="188" spans="1:10" x14ac:dyDescent="0.4">
      <c r="A188" s="88" t="s">
        <v>429</v>
      </c>
      <c r="B188" s="79" t="str">
        <f>VLOOKUP('Area C'!B243,'Item List'!B:AJ,20,FALSE)</f>
        <v>None</v>
      </c>
      <c r="C188" s="79" t="str">
        <f>VLOOKUP(B188,'Item List'!B:AH,2,FALSE)</f>
        <v>None</v>
      </c>
      <c r="D188" s="79"/>
      <c r="E188" s="588">
        <f>VLOOKUP(B188,'Item List'!B:AM,35,FALSE)</f>
        <v>0</v>
      </c>
      <c r="F188" s="608">
        <f>VLOOKUP(B188,'Item List'!B:AH,4,FALSE)</f>
        <v>0</v>
      </c>
      <c r="G188" s="569">
        <f t="shared" si="10"/>
        <v>0</v>
      </c>
      <c r="H188" s="606"/>
      <c r="I188" s="607">
        <f>ROUNDUP((E188*'Project Materials'!$L$18),0)</f>
        <v>0</v>
      </c>
      <c r="J188" s="572">
        <f t="shared" si="11"/>
        <v>0</v>
      </c>
    </row>
    <row r="189" spans="1:10" x14ac:dyDescent="0.4">
      <c r="A189" s="88" t="s">
        <v>429</v>
      </c>
      <c r="B189" s="79" t="str">
        <f>VLOOKUP('Area C'!B244,'Item List'!B:AJ,20,FALSE)</f>
        <v>None</v>
      </c>
      <c r="C189" s="79" t="str">
        <f>VLOOKUP(B189,'Item List'!B:AH,2,FALSE)</f>
        <v>None</v>
      </c>
      <c r="D189" s="79"/>
      <c r="E189" s="588">
        <f>VLOOKUP(B189,'Item List'!B:AM,35,FALSE)</f>
        <v>0</v>
      </c>
      <c r="F189" s="608">
        <f>VLOOKUP(B189,'Item List'!B:AH,4,FALSE)</f>
        <v>0</v>
      </c>
      <c r="G189" s="569">
        <f t="shared" si="10"/>
        <v>0</v>
      </c>
      <c r="H189" s="606"/>
      <c r="I189" s="607">
        <f>ROUNDUP((E189*'Project Materials'!$L$18),0)</f>
        <v>0</v>
      </c>
      <c r="J189" s="572">
        <f t="shared" si="11"/>
        <v>0</v>
      </c>
    </row>
    <row r="190" spans="1:10" x14ac:dyDescent="0.4">
      <c r="A190" s="88" t="s">
        <v>429</v>
      </c>
      <c r="B190" s="79" t="str">
        <f>VLOOKUP('Area C'!B245,'Item List'!B:AJ,20,FALSE)</f>
        <v>None</v>
      </c>
      <c r="C190" s="79" t="str">
        <f>VLOOKUP(B190,'Item List'!B:AH,2,FALSE)</f>
        <v>None</v>
      </c>
      <c r="D190" s="79"/>
      <c r="E190" s="588">
        <f>VLOOKUP(B190,'Item List'!B:AM,35,FALSE)</f>
        <v>0</v>
      </c>
      <c r="F190" s="608">
        <f>VLOOKUP(B190,'Item List'!B:AH,4,FALSE)</f>
        <v>0</v>
      </c>
      <c r="G190" s="569">
        <f t="shared" si="10"/>
        <v>0</v>
      </c>
      <c r="H190" s="606"/>
      <c r="I190" s="607">
        <f>ROUNDUP((E190*'Project Materials'!$L$18),0)</f>
        <v>0</v>
      </c>
      <c r="J190" s="572">
        <f t="shared" si="11"/>
        <v>0</v>
      </c>
    </row>
    <row r="191" spans="1:10" x14ac:dyDescent="0.4">
      <c r="A191" s="88" t="s">
        <v>429</v>
      </c>
      <c r="B191" s="79" t="str">
        <f>VLOOKUP('Area C'!B246,'Item List'!B:AJ,20,FALSE)</f>
        <v>None</v>
      </c>
      <c r="C191" s="79" t="str">
        <f>VLOOKUP(B191,'Item List'!B:AH,2,FALSE)</f>
        <v>None</v>
      </c>
      <c r="D191" s="79"/>
      <c r="E191" s="588">
        <f>VLOOKUP(B191,'Item List'!B:AM,35,FALSE)</f>
        <v>0</v>
      </c>
      <c r="F191" s="608">
        <f>VLOOKUP(B191,'Item List'!B:AH,4,FALSE)</f>
        <v>0</v>
      </c>
      <c r="G191" s="569">
        <f t="shared" si="10"/>
        <v>0</v>
      </c>
      <c r="H191" s="606"/>
      <c r="I191" s="607">
        <f>ROUNDUP((E191*'Project Materials'!$L$18),0)</f>
        <v>0</v>
      </c>
      <c r="J191" s="572">
        <f t="shared" si="11"/>
        <v>0</v>
      </c>
    </row>
    <row r="192" spans="1:10" x14ac:dyDescent="0.4">
      <c r="A192" s="88" t="s">
        <v>429</v>
      </c>
      <c r="B192" s="79" t="str">
        <f>VLOOKUP('Area C'!B247,'Item List'!B:AJ,20,FALSE)</f>
        <v>None</v>
      </c>
      <c r="C192" s="79" t="str">
        <f>VLOOKUP(B192,'Item List'!B:AH,2,FALSE)</f>
        <v>None</v>
      </c>
      <c r="D192" s="79"/>
      <c r="E192" s="588">
        <f>VLOOKUP(B192,'Item List'!B:AM,35,FALSE)</f>
        <v>0</v>
      </c>
      <c r="F192" s="608">
        <f>VLOOKUP(B192,'Item List'!B:AH,4,FALSE)</f>
        <v>0</v>
      </c>
      <c r="G192" s="569">
        <f t="shared" si="10"/>
        <v>0</v>
      </c>
      <c r="H192" s="606"/>
      <c r="I192" s="607">
        <f>ROUNDUP((E192*'Project Materials'!$L$18),0)</f>
        <v>0</v>
      </c>
      <c r="J192" s="572">
        <f t="shared" si="11"/>
        <v>0</v>
      </c>
    </row>
    <row r="193" spans="1:10" x14ac:dyDescent="0.4">
      <c r="A193" s="88" t="s">
        <v>429</v>
      </c>
      <c r="B193" s="79" t="str">
        <f>VLOOKUP('Area C'!B248,'Item List'!B:AJ,20,FALSE)</f>
        <v>None</v>
      </c>
      <c r="C193" s="79" t="str">
        <f>VLOOKUP(B193,'Item List'!B:AH,2,FALSE)</f>
        <v>None</v>
      </c>
      <c r="D193" s="79"/>
      <c r="E193" s="588">
        <f>VLOOKUP(B193,'Item List'!B:AM,35,FALSE)</f>
        <v>0</v>
      </c>
      <c r="F193" s="608">
        <f>VLOOKUP(B193,'Item List'!B:AH,4,FALSE)</f>
        <v>0</v>
      </c>
      <c r="G193" s="569">
        <f t="shared" si="10"/>
        <v>0</v>
      </c>
      <c r="H193" s="606"/>
      <c r="I193" s="607">
        <f>ROUNDUP((E193*'Project Materials'!$L$18),0)</f>
        <v>0</v>
      </c>
      <c r="J193" s="572">
        <f t="shared" si="11"/>
        <v>0</v>
      </c>
    </row>
    <row r="194" spans="1:10" x14ac:dyDescent="0.4">
      <c r="A194" s="88" t="s">
        <v>429</v>
      </c>
      <c r="B194" s="79" t="str">
        <f>VLOOKUP('Area C'!B249,'Item List'!B:AJ,20,FALSE)</f>
        <v>None</v>
      </c>
      <c r="C194" s="79" t="str">
        <f>VLOOKUP(B194,'Item List'!B:AH,2,FALSE)</f>
        <v>None</v>
      </c>
      <c r="D194" s="79"/>
      <c r="E194" s="588">
        <f>VLOOKUP(B194,'Item List'!B:AM,35,FALSE)</f>
        <v>0</v>
      </c>
      <c r="F194" s="608">
        <f>VLOOKUP(B194,'Item List'!B:AH,4,FALSE)</f>
        <v>0</v>
      </c>
      <c r="G194" s="569">
        <f t="shared" si="10"/>
        <v>0</v>
      </c>
      <c r="H194" s="606"/>
      <c r="I194" s="607">
        <f>ROUNDUP((E194*'Project Materials'!$L$18),0)</f>
        <v>0</v>
      </c>
      <c r="J194" s="572">
        <f t="shared" si="11"/>
        <v>0</v>
      </c>
    </row>
    <row r="195" spans="1:10" x14ac:dyDescent="0.4">
      <c r="A195" s="88" t="s">
        <v>429</v>
      </c>
      <c r="B195" s="79" t="str">
        <f>VLOOKUP('Area C'!B250,'Item List'!B:AJ,20,FALSE)</f>
        <v>None</v>
      </c>
      <c r="C195" s="598" t="str">
        <f>VLOOKUP(B195,'Item List'!B:AH,2,FALSE)</f>
        <v>None</v>
      </c>
      <c r="D195" s="598"/>
      <c r="E195" s="588">
        <f>VLOOKUP(B195,'Item List'!B:AM,35,FALSE)</f>
        <v>0</v>
      </c>
      <c r="F195" s="608">
        <f>VLOOKUP(B195,'Item List'!B:AH,4,FALSE)</f>
        <v>0</v>
      </c>
      <c r="G195" s="569">
        <f t="shared" si="10"/>
        <v>0</v>
      </c>
      <c r="H195" s="606"/>
      <c r="I195" s="607">
        <f>ROUNDUP((E195*'Project Materials'!$L$18),0)</f>
        <v>0</v>
      </c>
      <c r="J195" s="572">
        <f t="shared" si="11"/>
        <v>0</v>
      </c>
    </row>
    <row r="196" spans="1:10" ht="15" thickBot="1" x14ac:dyDescent="0.45">
      <c r="A196" s="574"/>
      <c r="B196" s="401"/>
      <c r="C196" s="401"/>
      <c r="D196" s="402"/>
      <c r="E196" s="400"/>
      <c r="F196" s="577"/>
      <c r="G196" s="399">
        <f>SUM(G47:G195)</f>
        <v>0</v>
      </c>
      <c r="H196" s="400"/>
      <c r="I196" s="577"/>
      <c r="J196" s="399">
        <f>SUM(J47:J195)</f>
        <v>0</v>
      </c>
    </row>
    <row r="197" spans="1:10" ht="16.3" thickTop="1" x14ac:dyDescent="0.45">
      <c r="A197" s="578" t="s">
        <v>429</v>
      </c>
      <c r="B197" s="578"/>
      <c r="C197" s="578"/>
      <c r="D197" s="578"/>
      <c r="E197" s="578"/>
      <c r="F197" s="578"/>
      <c r="G197" s="578"/>
      <c r="H197" s="578"/>
      <c r="I197" s="578"/>
      <c r="J197" s="578"/>
    </row>
    <row r="198" spans="1:10" x14ac:dyDescent="0.4">
      <c r="A198" s="683" t="s">
        <v>433</v>
      </c>
      <c r="B198" s="593" t="s">
        <v>11</v>
      </c>
      <c r="C198" s="593" t="s">
        <v>12</v>
      </c>
      <c r="D198" s="593"/>
      <c r="E198" s="584" t="s">
        <v>436</v>
      </c>
      <c r="F198" s="594" t="s">
        <v>437</v>
      </c>
      <c r="G198" s="594" t="s">
        <v>425</v>
      </c>
      <c r="H198" s="583" t="s">
        <v>501</v>
      </c>
      <c r="I198" s="584" t="s">
        <v>502</v>
      </c>
      <c r="J198" s="583" t="s">
        <v>500</v>
      </c>
    </row>
    <row r="199" spans="1:10" x14ac:dyDescent="0.4">
      <c r="A199" s="88" t="s">
        <v>0</v>
      </c>
      <c r="B199" s="79" t="str">
        <f>VLOOKUP('Area C'!$B$5,'Item List'!B:AJ,21,FALSE)</f>
        <v>INT-90°/650 rail</v>
      </c>
      <c r="C199" s="79" t="str">
        <f>VLOOKUP(B199,'Item List'!B:AH,2,FALSE)</f>
        <v>Internal 90° Splice Corner</v>
      </c>
      <c r="D199" s="79"/>
      <c r="E199" s="570">
        <f>VLOOKUP(B199,'Item List'!B:AM,35,FALSE)</f>
        <v>0</v>
      </c>
      <c r="F199" s="568">
        <f>VLOOKUP(B199,'Item List'!B:AJ,4,FALSE)</f>
        <v>5.47</v>
      </c>
      <c r="G199" s="568">
        <f t="shared" ref="G199:G255" si="12">F199*E199</f>
        <v>0</v>
      </c>
      <c r="H199" s="606"/>
      <c r="I199" s="607">
        <f>ROUNDUP((E199*'Project Materials'!$L$18),0)</f>
        <v>0</v>
      </c>
      <c r="J199" s="572">
        <f>G199+(I199*F199)</f>
        <v>0</v>
      </c>
    </row>
    <row r="200" spans="1:10" x14ac:dyDescent="0.4">
      <c r="A200" s="88" t="s">
        <v>0</v>
      </c>
      <c r="B200" s="79" t="str">
        <f>VLOOKUP('Area C'!$B$5,'Item List'!B:AJ,22,FALSE)</f>
        <v>None</v>
      </c>
      <c r="C200" s="79" t="str">
        <f>VLOOKUP(B200,'Item List'!B:AH,2,FALSE)</f>
        <v>None</v>
      </c>
      <c r="D200" s="79"/>
      <c r="E200" s="570">
        <f>VLOOKUP(B200,'Item List'!B:AM,35,FALSE)</f>
        <v>0</v>
      </c>
      <c r="F200" s="568">
        <f>VLOOKUP(B200,'Item List'!B:AJ,4,FALSE)</f>
        <v>0</v>
      </c>
      <c r="G200" s="568">
        <f t="shared" si="12"/>
        <v>0</v>
      </c>
      <c r="H200" s="606"/>
      <c r="I200" s="607">
        <f>ROUNDUP((E200*'Project Materials'!$L$18),0)</f>
        <v>0</v>
      </c>
      <c r="J200" s="572">
        <f t="shared" ref="J200:J263" si="13">G200+(I200*F200)</f>
        <v>0</v>
      </c>
    </row>
    <row r="201" spans="1:10" x14ac:dyDescent="0.4">
      <c r="A201" s="88" t="s">
        <v>0</v>
      </c>
      <c r="B201" s="79" t="str">
        <f>VLOOKUP('Area C'!$B$5,'Item List'!B:AJ,23,FALSE)</f>
        <v>None</v>
      </c>
      <c r="C201" s="79" t="str">
        <f>VLOOKUP(B201,'Item List'!B:AH,2,FALSE)</f>
        <v>None</v>
      </c>
      <c r="D201" s="79"/>
      <c r="E201" s="570">
        <f>IF(B201="none",0,2+'Project Materials'!L13*VLOOKUP(B201,'Item List'!B:AM,38,FALSE))</f>
        <v>0</v>
      </c>
      <c r="F201" s="568">
        <f>VLOOKUP(B201,'Item List'!B:AJ,4,FALSE)</f>
        <v>0</v>
      </c>
      <c r="G201" s="568">
        <f t="shared" si="12"/>
        <v>0</v>
      </c>
      <c r="H201" s="606"/>
      <c r="I201" s="607">
        <f>ROUNDUP((E201*'Project Materials'!$L$18),0)</f>
        <v>0</v>
      </c>
      <c r="J201" s="572">
        <f t="shared" si="13"/>
        <v>0</v>
      </c>
    </row>
    <row r="202" spans="1:10" x14ac:dyDescent="0.4">
      <c r="A202" s="88" t="s">
        <v>0</v>
      </c>
      <c r="B202" s="79" t="str">
        <f>VLOOKUP('Area C'!$B$5,'Item List'!B:AJ,24,FALSE)</f>
        <v>None</v>
      </c>
      <c r="C202" s="79" t="str">
        <f>VLOOKUP(B202,'Item List'!B:AH,2,FALSE)</f>
        <v>None</v>
      </c>
      <c r="D202" s="79"/>
      <c r="E202" s="570">
        <f>VLOOKUP(B202,'Item List'!B:AM,35,FALSE)</f>
        <v>0</v>
      </c>
      <c r="F202" s="568">
        <f>VLOOKUP(B202,'Item List'!B:AJ,4,FALSE)</f>
        <v>0</v>
      </c>
      <c r="G202" s="568">
        <f t="shared" si="12"/>
        <v>0</v>
      </c>
      <c r="H202" s="606"/>
      <c r="I202" s="607">
        <f>ROUNDUP((E202*'Project Materials'!$L$18),0)</f>
        <v>0</v>
      </c>
      <c r="J202" s="572">
        <f t="shared" si="13"/>
        <v>0</v>
      </c>
    </row>
    <row r="203" spans="1:10" x14ac:dyDescent="0.4">
      <c r="A203" s="88" t="s">
        <v>413</v>
      </c>
      <c r="B203" s="655" t="str">
        <f>VLOOKUP('Area C'!$B$6,'Item List'!B:AJ,21,FALSE)</f>
        <v>RCB2</v>
      </c>
      <c r="C203" s="79" t="str">
        <f>VLOOKUP(B203,'Item List'!B:AH,2,FALSE)</f>
        <v>Rail Connecting Block for BR 200 (1")</v>
      </c>
      <c r="D203" s="79"/>
      <c r="E203" s="570">
        <f>VLOOKUP(B203,'Item List'!B:AM,35,FALSE)</f>
        <v>0</v>
      </c>
      <c r="F203" s="568">
        <f>VLOOKUP(B203,'Item List'!B:AJ,4,FALSE)</f>
        <v>0.28000000000000003</v>
      </c>
      <c r="G203" s="568">
        <f t="shared" si="12"/>
        <v>0</v>
      </c>
      <c r="H203" s="606"/>
      <c r="I203" s="607">
        <f>ROUNDUP((E203*'Project Materials'!$L$18),0)</f>
        <v>0</v>
      </c>
      <c r="J203" s="572">
        <f t="shared" si="13"/>
        <v>0</v>
      </c>
    </row>
    <row r="204" spans="1:10" x14ac:dyDescent="0.4">
      <c r="A204" s="88" t="s">
        <v>413</v>
      </c>
      <c r="B204" s="79" t="str">
        <f>VLOOKUP('Area C'!$B$6,'Item List'!B:AJ,22,FALSE)</f>
        <v>None</v>
      </c>
      <c r="C204" s="79" t="str">
        <f>VLOOKUP(B204,'Item List'!B:AH,2,FALSE)</f>
        <v>None</v>
      </c>
      <c r="D204" s="79"/>
      <c r="E204" s="570">
        <f>VLOOKUP(B204,'Item List'!B:AM,35,FALSE)</f>
        <v>0</v>
      </c>
      <c r="F204" s="568">
        <f>VLOOKUP(B204,'Item List'!B:AJ,4,FALSE)</f>
        <v>0</v>
      </c>
      <c r="G204" s="568">
        <f t="shared" si="12"/>
        <v>0</v>
      </c>
      <c r="H204" s="606"/>
      <c r="I204" s="607">
        <f>ROUNDUP((E204*'Project Materials'!$L$18),0)</f>
        <v>0</v>
      </c>
      <c r="J204" s="572">
        <f t="shared" si="13"/>
        <v>0</v>
      </c>
    </row>
    <row r="205" spans="1:10" x14ac:dyDescent="0.4">
      <c r="A205" s="88" t="s">
        <v>413</v>
      </c>
      <c r="B205" s="79" t="str">
        <f>VLOOKUP('Area C'!$B$6,'Item List'!B:AJ,23,FALSE)</f>
        <v>None</v>
      </c>
      <c r="C205" s="79" t="str">
        <f>VLOOKUP(B205,'Item List'!B:AH,2,FALSE)</f>
        <v>None</v>
      </c>
      <c r="D205" s="79"/>
      <c r="E205" s="570">
        <f>VLOOKUP(B205,'Item List'!B:AM,35,FALSE)</f>
        <v>0</v>
      </c>
      <c r="F205" s="568">
        <f>VLOOKUP(B205,'Item List'!B:AJ,4,FALSE)</f>
        <v>0</v>
      </c>
      <c r="G205" s="568">
        <f t="shared" si="12"/>
        <v>0</v>
      </c>
      <c r="H205" s="606"/>
      <c r="I205" s="607">
        <f>ROUNDUP((E205*'Project Materials'!$L$18),0)</f>
        <v>0</v>
      </c>
      <c r="J205" s="572">
        <f t="shared" si="13"/>
        <v>0</v>
      </c>
    </row>
    <row r="206" spans="1:10" x14ac:dyDescent="0.4">
      <c r="A206" s="88" t="s">
        <v>413</v>
      </c>
      <c r="B206" s="79" t="str">
        <f>VLOOKUP('Area C'!$B$6,'Item List'!B:AJ,24,FALSE)</f>
        <v>None</v>
      </c>
      <c r="C206" s="79" t="str">
        <f>VLOOKUP(B206,'Item List'!B:AH,2,FALSE)</f>
        <v>None</v>
      </c>
      <c r="D206" s="79"/>
      <c r="E206" s="570">
        <f>VLOOKUP(B206,'Item List'!B:AM,35,FALSE)</f>
        <v>0</v>
      </c>
      <c r="F206" s="568">
        <f>VLOOKUP(B206,'Item List'!B:AJ,4,FALSE)</f>
        <v>0</v>
      </c>
      <c r="G206" s="568">
        <f t="shared" si="12"/>
        <v>0</v>
      </c>
      <c r="H206" s="606"/>
      <c r="I206" s="607">
        <f>ROUNDUP((E206*'Project Materials'!$L$18),0)</f>
        <v>0</v>
      </c>
      <c r="J206" s="572">
        <f t="shared" si="13"/>
        <v>0</v>
      </c>
    </row>
    <row r="207" spans="1:10" x14ac:dyDescent="0.4">
      <c r="A207" s="88" t="s">
        <v>4</v>
      </c>
      <c r="B207" s="79" t="str">
        <f>VLOOKUP('Area C'!B12,'Item List'!B:AJ,21,FALSE)</f>
        <v>None</v>
      </c>
      <c r="C207" s="79" t="str">
        <f>VLOOKUP(B207,'Item List'!B:AH,2,FALSE)</f>
        <v>None</v>
      </c>
      <c r="D207" s="79"/>
      <c r="E207" s="570">
        <f>VLOOKUP(B207,'Item List'!B:AM,35,FALSE)</f>
        <v>0</v>
      </c>
      <c r="F207" s="568">
        <f>VLOOKUP(B207,'Item List'!B:AJ,4,FALSE)</f>
        <v>0</v>
      </c>
      <c r="G207" s="568">
        <f t="shared" si="12"/>
        <v>0</v>
      </c>
      <c r="H207" s="606"/>
      <c r="I207" s="607">
        <f>ROUNDUP((E207*'Project Materials'!$L$18),0)</f>
        <v>0</v>
      </c>
      <c r="J207" s="572">
        <f t="shared" si="13"/>
        <v>0</v>
      </c>
    </row>
    <row r="208" spans="1:10" x14ac:dyDescent="0.4">
      <c r="A208" s="88" t="s">
        <v>4</v>
      </c>
      <c r="B208" s="79" t="str">
        <f>VLOOKUP('Area C'!B12,'Item List'!B:AJ,22,FALSE)</f>
        <v>None</v>
      </c>
      <c r="C208" s="79" t="str">
        <f>VLOOKUP(B208,'Item List'!B:AH,2,FALSE)</f>
        <v>None</v>
      </c>
      <c r="D208" s="79"/>
      <c r="E208" s="570">
        <f>VLOOKUP(B208,'Item List'!B:AM,35,FALSE)</f>
        <v>0</v>
      </c>
      <c r="F208" s="568">
        <f>VLOOKUP(B208,'Item List'!B:AJ,4,FALSE)</f>
        <v>0</v>
      </c>
      <c r="G208" s="568">
        <f t="shared" si="12"/>
        <v>0</v>
      </c>
      <c r="H208" s="606"/>
      <c r="I208" s="607">
        <f>ROUNDUP((E208*'Project Materials'!$L$18),0)</f>
        <v>0</v>
      </c>
      <c r="J208" s="572">
        <f t="shared" si="13"/>
        <v>0</v>
      </c>
    </row>
    <row r="209" spans="1:10" x14ac:dyDescent="0.4">
      <c r="A209" s="88" t="s">
        <v>4</v>
      </c>
      <c r="B209" s="79" t="str">
        <f>VLOOKUP('Area C'!B12,'Item List'!B:AJ,23,FALSE)</f>
        <v>None</v>
      </c>
      <c r="C209" s="79" t="str">
        <f>VLOOKUP(B209,'Item List'!B:AH,2,FALSE)</f>
        <v>None</v>
      </c>
      <c r="D209" s="79"/>
      <c r="E209" s="570">
        <f>VLOOKUP(B209,'Item List'!B:AM,35,FALSE)</f>
        <v>0</v>
      </c>
      <c r="F209" s="568">
        <f>VLOOKUP(B209,'Item List'!B:AJ,4,FALSE)</f>
        <v>0</v>
      </c>
      <c r="G209" s="568">
        <f t="shared" si="12"/>
        <v>0</v>
      </c>
      <c r="H209" s="606"/>
      <c r="I209" s="607">
        <f>ROUNDUP((E209*'Project Materials'!$L$18),0)</f>
        <v>0</v>
      </c>
      <c r="J209" s="572">
        <f t="shared" si="13"/>
        <v>0</v>
      </c>
    </row>
    <row r="210" spans="1:10" x14ac:dyDescent="0.4">
      <c r="A210" s="88" t="s">
        <v>4</v>
      </c>
      <c r="B210" s="79" t="str">
        <f>VLOOKUP('Area C'!B12,'Item List'!B:AJ,24,FALSE)</f>
        <v>None</v>
      </c>
      <c r="C210" s="79" t="str">
        <f>VLOOKUP(B210,'Item List'!B:AH,2,FALSE)</f>
        <v>None</v>
      </c>
      <c r="D210" s="79"/>
      <c r="E210" s="570">
        <f>VLOOKUP(B210,'Item List'!B:AM,35,FALSE)</f>
        <v>0</v>
      </c>
      <c r="F210" s="568">
        <f>VLOOKUP(B210,'Item List'!B:AJ,4,FALSE)</f>
        <v>0</v>
      </c>
      <c r="G210" s="568">
        <f t="shared" si="12"/>
        <v>0</v>
      </c>
      <c r="H210" s="606"/>
      <c r="I210" s="607">
        <f>ROUNDUP((E210*'Project Materials'!$L$18),0)</f>
        <v>0</v>
      </c>
      <c r="J210" s="572">
        <f t="shared" si="13"/>
        <v>0</v>
      </c>
    </row>
    <row r="211" spans="1:10" x14ac:dyDescent="0.4">
      <c r="A211" s="88" t="s">
        <v>448</v>
      </c>
      <c r="B211" s="79" t="str">
        <f>VLOOKUP('Area C'!B29,'Item List'!B:AJ,21,FALSE)</f>
        <v>None</v>
      </c>
      <c r="C211" s="79" t="str">
        <f>VLOOKUP(B211,'Item List'!B:AH,2,FALSE)</f>
        <v>None</v>
      </c>
      <c r="D211" s="79"/>
      <c r="E211" s="570">
        <f>VLOOKUP(B211,'Item List'!B:AM,35,FALSE)</f>
        <v>0</v>
      </c>
      <c r="F211" s="568">
        <f>VLOOKUP(B211,'Item List'!B:AJ,4,FALSE)</f>
        <v>0</v>
      </c>
      <c r="G211" s="568">
        <f t="shared" si="12"/>
        <v>0</v>
      </c>
      <c r="H211" s="606"/>
      <c r="I211" s="607">
        <f>ROUNDUP((E211*'Project Materials'!$L$18),0)</f>
        <v>0</v>
      </c>
      <c r="J211" s="572">
        <f t="shared" si="13"/>
        <v>0</v>
      </c>
    </row>
    <row r="212" spans="1:10" x14ac:dyDescent="0.4">
      <c r="A212" s="88" t="s">
        <v>448</v>
      </c>
      <c r="B212" s="79" t="str">
        <f>VLOOKUP('Area C'!B29,'Item List'!B:AJ,22,FALSE)</f>
        <v>None</v>
      </c>
      <c r="C212" s="79" t="str">
        <f>VLOOKUP(B212,'Item List'!B:AH,2,FALSE)</f>
        <v>None</v>
      </c>
      <c r="D212" s="79"/>
      <c r="E212" s="570">
        <f>VLOOKUP(B212,'Item List'!B:AM,35,FALSE)</f>
        <v>0</v>
      </c>
      <c r="F212" s="568">
        <f>VLOOKUP(B212,'Item List'!B:AJ,4,FALSE)</f>
        <v>0</v>
      </c>
      <c r="G212" s="568">
        <f t="shared" si="12"/>
        <v>0</v>
      </c>
      <c r="H212" s="606"/>
      <c r="I212" s="607">
        <f>ROUNDUP((E212*'Project Materials'!$L$18),0)</f>
        <v>0</v>
      </c>
      <c r="J212" s="572">
        <f t="shared" si="13"/>
        <v>0</v>
      </c>
    </row>
    <row r="213" spans="1:10" x14ac:dyDescent="0.4">
      <c r="A213" s="88" t="s">
        <v>448</v>
      </c>
      <c r="B213" s="79" t="str">
        <f>VLOOKUP('Area C'!B29,'Item List'!B:AJ,23,FALSE)</f>
        <v>None</v>
      </c>
      <c r="C213" s="79" t="str">
        <f>VLOOKUP(B213,'Item List'!B:AH,2,FALSE)</f>
        <v>None</v>
      </c>
      <c r="D213" s="79"/>
      <c r="E213" s="570">
        <f>VLOOKUP(B213,'Item List'!B:AM,35,FALSE)</f>
        <v>0</v>
      </c>
      <c r="F213" s="568">
        <f>VLOOKUP(B213,'Item List'!B:AJ,4,FALSE)</f>
        <v>0</v>
      </c>
      <c r="G213" s="568">
        <f t="shared" si="12"/>
        <v>0</v>
      </c>
      <c r="H213" s="606"/>
      <c r="I213" s="607">
        <f>ROUNDUP((E213*'Project Materials'!$L$18),0)</f>
        <v>0</v>
      </c>
      <c r="J213" s="572">
        <f t="shared" si="13"/>
        <v>0</v>
      </c>
    </row>
    <row r="214" spans="1:10" x14ac:dyDescent="0.4">
      <c r="A214" s="88" t="s">
        <v>448</v>
      </c>
      <c r="B214" s="79" t="str">
        <f>VLOOKUP('Area C'!B29,'Item List'!B:AJ,24,FALSE)</f>
        <v>None</v>
      </c>
      <c r="C214" s="79" t="str">
        <f>VLOOKUP(B214,'Item List'!B:AH,2,FALSE)</f>
        <v>None</v>
      </c>
      <c r="D214" s="79"/>
      <c r="E214" s="570">
        <f>VLOOKUP(B214,'Item List'!B:AM,35,FALSE)</f>
        <v>0</v>
      </c>
      <c r="F214" s="568">
        <f>VLOOKUP(B214,'Item List'!B:AJ,4,FALSE)</f>
        <v>0</v>
      </c>
      <c r="G214" s="568">
        <f t="shared" si="12"/>
        <v>0</v>
      </c>
      <c r="H214" s="606"/>
      <c r="I214" s="607">
        <f>ROUNDUP((E214*'Project Materials'!$L$18),0)</f>
        <v>0</v>
      </c>
      <c r="J214" s="572">
        <f t="shared" si="13"/>
        <v>0</v>
      </c>
    </row>
    <row r="215" spans="1:10" x14ac:dyDescent="0.4">
      <c r="A215" s="88" t="s">
        <v>448</v>
      </c>
      <c r="B215" s="79" t="str">
        <f>VLOOKUP('Area C'!B30,'Item List'!B:AJ,21,FALSE)</f>
        <v>None</v>
      </c>
      <c r="C215" s="79" t="str">
        <f>VLOOKUP(B215,'Item List'!B:AH,2,FALSE)</f>
        <v>None</v>
      </c>
      <c r="D215" s="79"/>
      <c r="E215" s="570">
        <f>VLOOKUP(B215,'Item List'!B:AM,35,FALSE)</f>
        <v>0</v>
      </c>
      <c r="F215" s="568">
        <f>VLOOKUP(B215,'Item List'!B:AJ,4,FALSE)</f>
        <v>0</v>
      </c>
      <c r="G215" s="568">
        <f t="shared" si="12"/>
        <v>0</v>
      </c>
      <c r="H215" s="606"/>
      <c r="I215" s="607">
        <f>ROUNDUP((E215*'Project Materials'!$L$18),0)</f>
        <v>0</v>
      </c>
      <c r="J215" s="572">
        <f t="shared" si="13"/>
        <v>0</v>
      </c>
    </row>
    <row r="216" spans="1:10" x14ac:dyDescent="0.4">
      <c r="A216" s="88" t="s">
        <v>448</v>
      </c>
      <c r="B216" s="79" t="str">
        <f>VLOOKUP('Area C'!B30,'Item List'!B:AJ,22,FALSE)</f>
        <v>None</v>
      </c>
      <c r="C216" s="79" t="str">
        <f>VLOOKUP(B216,'Item List'!B:AH,2,FALSE)</f>
        <v>None</v>
      </c>
      <c r="D216" s="79"/>
      <c r="E216" s="570">
        <f>VLOOKUP(B216,'Item List'!B:AM,35,FALSE)</f>
        <v>0</v>
      </c>
      <c r="F216" s="568">
        <f>VLOOKUP(B216,'Item List'!B:AJ,4,FALSE)</f>
        <v>0</v>
      </c>
      <c r="G216" s="568">
        <f t="shared" si="12"/>
        <v>0</v>
      </c>
      <c r="H216" s="606"/>
      <c r="I216" s="607">
        <f>ROUNDUP((E216*'Project Materials'!$L$18),0)</f>
        <v>0</v>
      </c>
      <c r="J216" s="572">
        <f t="shared" si="13"/>
        <v>0</v>
      </c>
    </row>
    <row r="217" spans="1:10" x14ac:dyDescent="0.4">
      <c r="A217" s="88" t="s">
        <v>448</v>
      </c>
      <c r="B217" s="79" t="str">
        <f>VLOOKUP('Area C'!B30,'Item List'!B:AJ,23,FALSE)</f>
        <v>None</v>
      </c>
      <c r="C217" s="79" t="str">
        <f>VLOOKUP(B217,'Item List'!B:AH,2,FALSE)</f>
        <v>None</v>
      </c>
      <c r="D217" s="79"/>
      <c r="E217" s="570">
        <f>VLOOKUP(B217,'Item List'!B:AM,35,FALSE)</f>
        <v>0</v>
      </c>
      <c r="F217" s="568">
        <f>VLOOKUP(B217,'Item List'!B:AJ,4,FALSE)</f>
        <v>0</v>
      </c>
      <c r="G217" s="568">
        <f t="shared" si="12"/>
        <v>0</v>
      </c>
      <c r="H217" s="606"/>
      <c r="I217" s="607">
        <f>ROUNDUP((E217*'Project Materials'!$L$18),0)</f>
        <v>0</v>
      </c>
      <c r="J217" s="572">
        <f t="shared" si="13"/>
        <v>0</v>
      </c>
    </row>
    <row r="218" spans="1:10" x14ac:dyDescent="0.4">
      <c r="A218" s="88" t="s">
        <v>448</v>
      </c>
      <c r="B218" s="79" t="str">
        <f>VLOOKUP('Area C'!B30,'Item List'!B:AJ,24,FALSE)</f>
        <v>None</v>
      </c>
      <c r="C218" s="79" t="str">
        <f>VLOOKUP(B218,'Item List'!B:AH,2,FALSE)</f>
        <v>None</v>
      </c>
      <c r="D218" s="79"/>
      <c r="E218" s="570">
        <f>VLOOKUP(B218,'Item List'!B:AM,35,FALSE)</f>
        <v>0</v>
      </c>
      <c r="F218" s="568">
        <f>VLOOKUP(B218,'Item List'!B:AJ,4,FALSE)</f>
        <v>0</v>
      </c>
      <c r="G218" s="568">
        <f t="shared" si="12"/>
        <v>0</v>
      </c>
      <c r="H218" s="606"/>
      <c r="I218" s="607">
        <f>ROUNDUP((E218*'Project Materials'!$L$18),0)</f>
        <v>0</v>
      </c>
      <c r="J218" s="572">
        <f t="shared" si="13"/>
        <v>0</v>
      </c>
    </row>
    <row r="219" spans="1:10" x14ac:dyDescent="0.4">
      <c r="A219" s="88" t="s">
        <v>449</v>
      </c>
      <c r="B219" s="79" t="str">
        <f>VLOOKUP('Area C'!B31,'Item List'!B:AJ,21,FALSE)</f>
        <v>None</v>
      </c>
      <c r="C219" s="79" t="str">
        <f>VLOOKUP(B219,'Item List'!B:AH,2,FALSE)</f>
        <v>None</v>
      </c>
      <c r="D219" s="79"/>
      <c r="E219" s="570">
        <f>VLOOKUP(B219,'Item List'!B:AM,35,FALSE)</f>
        <v>0</v>
      </c>
      <c r="F219" s="568">
        <f>VLOOKUP(B219,'Item List'!B:AJ,4,FALSE)</f>
        <v>0</v>
      </c>
      <c r="G219" s="568">
        <f t="shared" si="12"/>
        <v>0</v>
      </c>
      <c r="H219" s="606"/>
      <c r="I219" s="607">
        <f>ROUNDUP((E219*'Project Materials'!$L$18),0)</f>
        <v>0</v>
      </c>
      <c r="J219" s="572">
        <f t="shared" si="13"/>
        <v>0</v>
      </c>
    </row>
    <row r="220" spans="1:10" x14ac:dyDescent="0.4">
      <c r="A220" s="88" t="s">
        <v>449</v>
      </c>
      <c r="B220" s="79" t="str">
        <f>VLOOKUP('Area C'!B31,'Item List'!B:AJ,22,FALSE)</f>
        <v>None</v>
      </c>
      <c r="C220" s="79" t="str">
        <f>VLOOKUP(B220,'Item List'!B:AH,2,FALSE)</f>
        <v>None</v>
      </c>
      <c r="D220" s="79"/>
      <c r="E220" s="570">
        <f>VLOOKUP(B220,'Item List'!B:AM,35,FALSE)</f>
        <v>0</v>
      </c>
      <c r="F220" s="568">
        <f>VLOOKUP(B220,'Item List'!B:AJ,4,FALSE)</f>
        <v>0</v>
      </c>
      <c r="G220" s="568">
        <f t="shared" si="12"/>
        <v>0</v>
      </c>
      <c r="H220" s="606"/>
      <c r="I220" s="607">
        <f>ROUNDUP((E220*'Project Materials'!$L$18),0)</f>
        <v>0</v>
      </c>
      <c r="J220" s="572">
        <f t="shared" si="13"/>
        <v>0</v>
      </c>
    </row>
    <row r="221" spans="1:10" x14ac:dyDescent="0.4">
      <c r="A221" s="88" t="s">
        <v>449</v>
      </c>
      <c r="B221" s="79" t="str">
        <f>VLOOKUP('Area C'!B31,'Item List'!B:AJ,23,FALSE)</f>
        <v>None</v>
      </c>
      <c r="C221" s="79" t="str">
        <f>VLOOKUP(B221,'Item List'!B:AH,2,FALSE)</f>
        <v>None</v>
      </c>
      <c r="D221" s="79"/>
      <c r="E221" s="570">
        <f>VLOOKUP(B222,'Item List'!B:AM,35,FALSE)</f>
        <v>0</v>
      </c>
      <c r="F221" s="568">
        <f>VLOOKUP(B221,'Item List'!B:AJ,4,FALSE)</f>
        <v>0</v>
      </c>
      <c r="G221" s="568">
        <f t="shared" si="12"/>
        <v>0</v>
      </c>
      <c r="H221" s="606"/>
      <c r="I221" s="607">
        <f>ROUNDUP((E221*'Project Materials'!$L$18),0)</f>
        <v>0</v>
      </c>
      <c r="J221" s="572">
        <f t="shared" si="13"/>
        <v>0</v>
      </c>
    </row>
    <row r="222" spans="1:10" x14ac:dyDescent="0.4">
      <c r="A222" s="88" t="s">
        <v>449</v>
      </c>
      <c r="B222" s="79" t="str">
        <f>VLOOKUP('Area C'!B31,'Item List'!B:AJ,24,FALSE)</f>
        <v>None</v>
      </c>
      <c r="C222" s="79" t="str">
        <f>VLOOKUP(B222,'Item List'!B:AH,2,FALSE)</f>
        <v>None</v>
      </c>
      <c r="D222" s="79"/>
      <c r="E222" s="570">
        <f>VLOOKUP(B222,'Item List'!B:AM,35,FALSE)</f>
        <v>0</v>
      </c>
      <c r="F222" s="568">
        <f>VLOOKUP(B222,'Item List'!B:AJ,4,FALSE)</f>
        <v>0</v>
      </c>
      <c r="G222" s="568">
        <f t="shared" si="12"/>
        <v>0</v>
      </c>
      <c r="H222" s="606"/>
      <c r="I222" s="607">
        <f>ROUNDUP((E222*'Project Materials'!$L$18),0)</f>
        <v>0</v>
      </c>
      <c r="J222" s="572">
        <f t="shared" si="13"/>
        <v>0</v>
      </c>
    </row>
    <row r="223" spans="1:10" x14ac:dyDescent="0.4">
      <c r="A223" s="88" t="s">
        <v>449</v>
      </c>
      <c r="B223" s="79" t="str">
        <f>VLOOKUP('Area C'!B32,'Item List'!B:AJ,21,FALSE)</f>
        <v>None</v>
      </c>
      <c r="C223" s="79" t="str">
        <f>VLOOKUP(B223,'Item List'!B:AH,2,FALSE)</f>
        <v>None</v>
      </c>
      <c r="D223" s="79"/>
      <c r="E223" s="570">
        <f>VLOOKUP(B223,'Item List'!B:AM,35,FALSE)</f>
        <v>0</v>
      </c>
      <c r="F223" s="568">
        <f>VLOOKUP(B223,'Item List'!B:AJ,4,FALSE)</f>
        <v>0</v>
      </c>
      <c r="G223" s="568">
        <f t="shared" si="12"/>
        <v>0</v>
      </c>
      <c r="H223" s="606"/>
      <c r="I223" s="607">
        <f>ROUNDUP((E223*'Project Materials'!$L$18),0)</f>
        <v>0</v>
      </c>
      <c r="J223" s="572">
        <f t="shared" si="13"/>
        <v>0</v>
      </c>
    </row>
    <row r="224" spans="1:10" x14ac:dyDescent="0.4">
      <c r="A224" s="88" t="s">
        <v>449</v>
      </c>
      <c r="B224" s="79" t="str">
        <f>VLOOKUP('Area C'!B32,'Item List'!B:AJ,22,FALSE)</f>
        <v>None</v>
      </c>
      <c r="C224" s="79" t="str">
        <f>VLOOKUP(B224,'Item List'!B:AH,2,FALSE)</f>
        <v>None</v>
      </c>
      <c r="D224" s="79"/>
      <c r="E224" s="570">
        <f>VLOOKUP(B224,'Item List'!B:AM,35,FALSE)</f>
        <v>0</v>
      </c>
      <c r="F224" s="568">
        <f>VLOOKUP(B224,'Item List'!B:AJ,4,FALSE)</f>
        <v>0</v>
      </c>
      <c r="G224" s="568">
        <f t="shared" si="12"/>
        <v>0</v>
      </c>
      <c r="H224" s="606"/>
      <c r="I224" s="607">
        <f>ROUNDUP((E224*'Project Materials'!$L$18),0)</f>
        <v>0</v>
      </c>
      <c r="J224" s="572">
        <f t="shared" si="13"/>
        <v>0</v>
      </c>
    </row>
    <row r="225" spans="1:10" x14ac:dyDescent="0.4">
      <c r="A225" s="88" t="s">
        <v>449</v>
      </c>
      <c r="B225" s="79" t="str">
        <f>VLOOKUP('Area C'!B32,'Item List'!B:AJ,23,FALSE)</f>
        <v>None</v>
      </c>
      <c r="C225" s="79" t="str">
        <f>VLOOKUP(B225,'Item List'!B:AH,2,FALSE)</f>
        <v>None</v>
      </c>
      <c r="D225" s="79"/>
      <c r="E225" s="570">
        <f>VLOOKUP(B225,'Item List'!B:AM,35,FALSE)</f>
        <v>0</v>
      </c>
      <c r="F225" s="568">
        <f>VLOOKUP(B225,'Item List'!B:AJ,4,FALSE)</f>
        <v>0</v>
      </c>
      <c r="G225" s="568">
        <f t="shared" si="12"/>
        <v>0</v>
      </c>
      <c r="H225" s="606"/>
      <c r="I225" s="607">
        <f>ROUNDUP((E225*'Project Materials'!$L$18),0)</f>
        <v>0</v>
      </c>
      <c r="J225" s="572">
        <f t="shared" si="13"/>
        <v>0</v>
      </c>
    </row>
    <row r="226" spans="1:10" x14ac:dyDescent="0.4">
      <c r="A226" s="88" t="s">
        <v>449</v>
      </c>
      <c r="B226" s="79" t="str">
        <f>VLOOKUP('Area C'!B32,'Item List'!B:AJ,24,FALSE)</f>
        <v>None</v>
      </c>
      <c r="C226" s="79" t="str">
        <f>VLOOKUP(B226,'Item List'!B:AH,2,FALSE)</f>
        <v>None</v>
      </c>
      <c r="D226" s="79"/>
      <c r="E226" s="570">
        <f>VLOOKUP(B226,'Item List'!B:AM,35,FALSE)</f>
        <v>0</v>
      </c>
      <c r="F226" s="568">
        <f>VLOOKUP(B226,'Item List'!B:AJ,4,FALSE)</f>
        <v>0</v>
      </c>
      <c r="G226" s="568">
        <f t="shared" si="12"/>
        <v>0</v>
      </c>
      <c r="H226" s="606"/>
      <c r="I226" s="607">
        <f>ROUNDUP((E226*'Project Materials'!$L$18),0)</f>
        <v>0</v>
      </c>
      <c r="J226" s="572">
        <f t="shared" si="13"/>
        <v>0</v>
      </c>
    </row>
    <row r="227" spans="1:10" x14ac:dyDescent="0.4">
      <c r="A227" s="88" t="s">
        <v>450</v>
      </c>
      <c r="B227" s="79" t="str">
        <f>VLOOKUP('Area C'!B33,'Item List'!B:AJ,21,FALSE)</f>
        <v>None</v>
      </c>
      <c r="C227" s="79" t="str">
        <f>VLOOKUP(B227,'Item List'!B:AH,2,FALSE)</f>
        <v>None</v>
      </c>
      <c r="D227" s="79"/>
      <c r="E227" s="570">
        <f>VLOOKUP(B227,'Item List'!B:AM,35,FALSE)</f>
        <v>0</v>
      </c>
      <c r="F227" s="568">
        <f>VLOOKUP(B227,'Item List'!B:AJ,4,FALSE)</f>
        <v>0</v>
      </c>
      <c r="G227" s="568">
        <f t="shared" si="12"/>
        <v>0</v>
      </c>
      <c r="H227" s="606"/>
      <c r="I227" s="607">
        <f>ROUNDUP((E227*'Project Materials'!$L$18),0)</f>
        <v>0</v>
      </c>
      <c r="J227" s="572">
        <f t="shared" si="13"/>
        <v>0</v>
      </c>
    </row>
    <row r="228" spans="1:10" x14ac:dyDescent="0.4">
      <c r="A228" s="88" t="s">
        <v>450</v>
      </c>
      <c r="B228" s="79" t="str">
        <f>VLOOKUP('Area C'!B33,'Item List'!B:AJ,22,FALSE)</f>
        <v>None</v>
      </c>
      <c r="C228" s="79" t="str">
        <f>VLOOKUP(B228,'Item List'!B:AH,2,FALSE)</f>
        <v>None</v>
      </c>
      <c r="D228" s="79"/>
      <c r="E228" s="570">
        <f>VLOOKUP(B228,'Item List'!B:AM,35,FALSE)</f>
        <v>0</v>
      </c>
      <c r="F228" s="568">
        <f>VLOOKUP(B228,'Item List'!B:AJ,4,FALSE)</f>
        <v>0</v>
      </c>
      <c r="G228" s="568">
        <f t="shared" si="12"/>
        <v>0</v>
      </c>
      <c r="H228" s="606"/>
      <c r="I228" s="607">
        <f>ROUNDUP((E228*'Project Materials'!$L$18),0)</f>
        <v>0</v>
      </c>
      <c r="J228" s="572">
        <f t="shared" si="13"/>
        <v>0</v>
      </c>
    </row>
    <row r="229" spans="1:10" x14ac:dyDescent="0.4">
      <c r="A229" s="88" t="s">
        <v>450</v>
      </c>
      <c r="B229" s="79" t="str">
        <f>VLOOKUP('Area C'!B33,'Item List'!B:AJ,23,FALSE)</f>
        <v>None</v>
      </c>
      <c r="C229" s="79" t="str">
        <f>VLOOKUP(B229,'Item List'!B:AH,2,FALSE)</f>
        <v>None</v>
      </c>
      <c r="D229" s="79"/>
      <c r="E229" s="570">
        <f>VLOOKUP(B229,'Item List'!B:AM,35,FALSE)</f>
        <v>0</v>
      </c>
      <c r="F229" s="568">
        <f>VLOOKUP(B229,'Item List'!B:AJ,4,FALSE)</f>
        <v>0</v>
      </c>
      <c r="G229" s="568">
        <f t="shared" si="12"/>
        <v>0</v>
      </c>
      <c r="H229" s="606"/>
      <c r="I229" s="607">
        <f>ROUNDUP((E229*'Project Materials'!$L$18),0)</f>
        <v>0</v>
      </c>
      <c r="J229" s="572">
        <f t="shared" si="13"/>
        <v>0</v>
      </c>
    </row>
    <row r="230" spans="1:10" x14ac:dyDescent="0.4">
      <c r="A230" s="88" t="s">
        <v>450</v>
      </c>
      <c r="B230" s="79" t="str">
        <f>VLOOKUP('Area C'!B33,'Item List'!B:AJ,24,FALSE)</f>
        <v>None</v>
      </c>
      <c r="C230" s="79" t="str">
        <f>VLOOKUP(B230,'Item List'!B:AH,2,FALSE)</f>
        <v>None</v>
      </c>
      <c r="D230" s="79"/>
      <c r="E230" s="570">
        <f>VLOOKUP(B230,'Item List'!B:AM,35,FALSE)</f>
        <v>0</v>
      </c>
      <c r="F230" s="568">
        <f>VLOOKUP(B230,'Item List'!B:AJ,4,FALSE)</f>
        <v>0</v>
      </c>
      <c r="G230" s="568">
        <f t="shared" si="12"/>
        <v>0</v>
      </c>
      <c r="H230" s="606"/>
      <c r="I230" s="607">
        <f>ROUNDUP((E230*'Project Materials'!$L$18),0)</f>
        <v>0</v>
      </c>
      <c r="J230" s="572">
        <f t="shared" si="13"/>
        <v>0</v>
      </c>
    </row>
    <row r="231" spans="1:10" x14ac:dyDescent="0.4">
      <c r="A231" s="88" t="s">
        <v>450</v>
      </c>
      <c r="B231" s="79" t="str">
        <f>VLOOKUP('Area C'!B34,'Item List'!B:AJ,21,FALSE)</f>
        <v>None</v>
      </c>
      <c r="C231" s="79" t="str">
        <f>VLOOKUP(B231,'Item List'!B:AH,2,FALSE)</f>
        <v>None</v>
      </c>
      <c r="D231" s="79"/>
      <c r="E231" s="570">
        <f>VLOOKUP(B231,'Item List'!B:AM,35,FALSE)</f>
        <v>0</v>
      </c>
      <c r="F231" s="568">
        <f>VLOOKUP(B231,'Item List'!B:AJ,4,FALSE)</f>
        <v>0</v>
      </c>
      <c r="G231" s="568">
        <f t="shared" si="12"/>
        <v>0</v>
      </c>
      <c r="H231" s="606"/>
      <c r="I231" s="607">
        <f>ROUNDUP((E231*'Project Materials'!$L$18),0)</f>
        <v>0</v>
      </c>
      <c r="J231" s="572">
        <f t="shared" si="13"/>
        <v>0</v>
      </c>
    </row>
    <row r="232" spans="1:10" x14ac:dyDescent="0.4">
      <c r="A232" s="88" t="s">
        <v>450</v>
      </c>
      <c r="B232" s="79" t="str">
        <f>VLOOKUP('Area C'!B34,'Item List'!B:AJ,22,FALSE)</f>
        <v>None</v>
      </c>
      <c r="C232" s="79" t="str">
        <f>VLOOKUP(B232,'Item List'!B:AH,2,FALSE)</f>
        <v>None</v>
      </c>
      <c r="D232" s="79"/>
      <c r="E232" s="570">
        <f>VLOOKUP(B232,'Item List'!B:AM,35,FALSE)</f>
        <v>0</v>
      </c>
      <c r="F232" s="568">
        <f>VLOOKUP(B232,'Item List'!B:AJ,4,FALSE)</f>
        <v>0</v>
      </c>
      <c r="G232" s="568">
        <f t="shared" si="12"/>
        <v>0</v>
      </c>
      <c r="H232" s="606"/>
      <c r="I232" s="607">
        <f>ROUNDUP((E232*'Project Materials'!$L$18),0)</f>
        <v>0</v>
      </c>
      <c r="J232" s="572">
        <f t="shared" si="13"/>
        <v>0</v>
      </c>
    </row>
    <row r="233" spans="1:10" x14ac:dyDescent="0.4">
      <c r="A233" s="88" t="s">
        <v>450</v>
      </c>
      <c r="B233" s="79" t="str">
        <f>VLOOKUP('Area C'!B34,'Item List'!B:AJ,23,FALSE)</f>
        <v>None</v>
      </c>
      <c r="C233" s="79" t="str">
        <f>VLOOKUP(B233,'Item List'!B:AH,2,FALSE)</f>
        <v>None</v>
      </c>
      <c r="D233" s="79"/>
      <c r="E233" s="570">
        <f>VLOOKUP(B233,'Item List'!B:AM,35,FALSE)</f>
        <v>0</v>
      </c>
      <c r="F233" s="568">
        <f>VLOOKUP(B233,'Item List'!B:AJ,4,FALSE)</f>
        <v>0</v>
      </c>
      <c r="G233" s="568">
        <f t="shared" si="12"/>
        <v>0</v>
      </c>
      <c r="H233" s="606"/>
      <c r="I233" s="607">
        <f>ROUNDUP((E233*'Project Materials'!$L$18),0)</f>
        <v>0</v>
      </c>
      <c r="J233" s="572">
        <f t="shared" si="13"/>
        <v>0</v>
      </c>
    </row>
    <row r="234" spans="1:10" x14ac:dyDescent="0.4">
      <c r="A234" s="88" t="s">
        <v>450</v>
      </c>
      <c r="B234" s="79" t="str">
        <f>VLOOKUP('Area C'!B34,'Item List'!B:AJ,24,FALSE)</f>
        <v>None</v>
      </c>
      <c r="C234" s="79" t="str">
        <f>VLOOKUP(B234,'Item List'!B:AH,2,FALSE)</f>
        <v>None</v>
      </c>
      <c r="D234" s="79"/>
      <c r="E234" s="570">
        <f>VLOOKUP(B234,'Item List'!B:AM,35,FALSE)</f>
        <v>0</v>
      </c>
      <c r="F234" s="568">
        <f>VLOOKUP(B234,'Item List'!B:AJ,4,FALSE)</f>
        <v>0</v>
      </c>
      <c r="G234" s="568">
        <f t="shared" si="12"/>
        <v>0</v>
      </c>
      <c r="H234" s="606"/>
      <c r="I234" s="607">
        <f>ROUNDUP((E234*'Project Materials'!$L$18),0)</f>
        <v>0</v>
      </c>
      <c r="J234" s="572">
        <f t="shared" si="13"/>
        <v>0</v>
      </c>
    </row>
    <row r="235" spans="1:10" x14ac:dyDescent="0.4">
      <c r="A235" s="88" t="s">
        <v>451</v>
      </c>
      <c r="B235" s="79" t="str">
        <f>VLOOKUP('Area C'!B35,'Item List'!B:AJ,21,FALSE)</f>
        <v>None</v>
      </c>
      <c r="C235" s="79" t="str">
        <f>VLOOKUP(B235,'Item List'!B:AH,2,FALSE)</f>
        <v>None</v>
      </c>
      <c r="D235" s="79"/>
      <c r="E235" s="570">
        <f>VLOOKUP(B235,'Item List'!B:AM,35,FALSE)</f>
        <v>0</v>
      </c>
      <c r="F235" s="568">
        <f>VLOOKUP(B235,'Item List'!B:AJ,4,FALSE)</f>
        <v>0</v>
      </c>
      <c r="G235" s="568">
        <f t="shared" si="12"/>
        <v>0</v>
      </c>
      <c r="H235" s="606"/>
      <c r="I235" s="607">
        <f>ROUNDUP((E235*'Project Materials'!$L$18),0)</f>
        <v>0</v>
      </c>
      <c r="J235" s="572">
        <f t="shared" si="13"/>
        <v>0</v>
      </c>
    </row>
    <row r="236" spans="1:10" x14ac:dyDescent="0.4">
      <c r="A236" s="88" t="s">
        <v>451</v>
      </c>
      <c r="B236" s="79" t="str">
        <f>VLOOKUP('Area C'!B35,'Item List'!B:AJ,22,FALSE)</f>
        <v>None</v>
      </c>
      <c r="C236" s="79" t="str">
        <f>VLOOKUP(B236,'Item List'!B:AH,2,FALSE)</f>
        <v>None</v>
      </c>
      <c r="D236" s="79"/>
      <c r="E236" s="570">
        <f>VLOOKUP(B236,'Item List'!B:AM,35,FALSE)</f>
        <v>0</v>
      </c>
      <c r="F236" s="568">
        <f>VLOOKUP(B236,'Item List'!B:AJ,4,FALSE)</f>
        <v>0</v>
      </c>
      <c r="G236" s="568">
        <f t="shared" si="12"/>
        <v>0</v>
      </c>
      <c r="H236" s="606"/>
      <c r="I236" s="607">
        <f>ROUNDUP((E236*'Project Materials'!$L$18),0)</f>
        <v>0</v>
      </c>
      <c r="J236" s="572">
        <f t="shared" si="13"/>
        <v>0</v>
      </c>
    </row>
    <row r="237" spans="1:10" x14ac:dyDescent="0.4">
      <c r="A237" s="88" t="s">
        <v>451</v>
      </c>
      <c r="B237" s="79" t="str">
        <f>VLOOKUP('Area C'!B35,'Item List'!B:AJ,23,FALSE)</f>
        <v>None</v>
      </c>
      <c r="C237" s="79" t="str">
        <f>VLOOKUP(B237,'Item List'!B:AH,2,FALSE)</f>
        <v>None</v>
      </c>
      <c r="D237" s="79"/>
      <c r="E237" s="570">
        <f>VLOOKUP(B237,'Item List'!B:AM,35,FALSE)</f>
        <v>0</v>
      </c>
      <c r="F237" s="568">
        <f>VLOOKUP(B237,'Item List'!B:AJ,4,FALSE)</f>
        <v>0</v>
      </c>
      <c r="G237" s="568">
        <f t="shared" si="12"/>
        <v>0</v>
      </c>
      <c r="H237" s="606"/>
      <c r="I237" s="607">
        <f>ROUNDUP((E237*'Project Materials'!$L$18),0)</f>
        <v>0</v>
      </c>
      <c r="J237" s="572">
        <f t="shared" si="13"/>
        <v>0</v>
      </c>
    </row>
    <row r="238" spans="1:10" x14ac:dyDescent="0.4">
      <c r="A238" s="88" t="s">
        <v>451</v>
      </c>
      <c r="B238" s="79" t="str">
        <f>VLOOKUP('Area C'!B35,'Item List'!B:AJ,24,FALSE)</f>
        <v>None</v>
      </c>
      <c r="C238" s="79" t="str">
        <f>VLOOKUP(B238,'Item List'!B:AH,2,FALSE)</f>
        <v>None</v>
      </c>
      <c r="D238" s="79"/>
      <c r="E238" s="570">
        <f>VLOOKUP(B238,'Item List'!B:AM,35,FALSE)</f>
        <v>0</v>
      </c>
      <c r="F238" s="568">
        <f>VLOOKUP(B238,'Item List'!B:AJ,4,FALSE)</f>
        <v>0</v>
      </c>
      <c r="G238" s="568">
        <f t="shared" si="12"/>
        <v>0</v>
      </c>
      <c r="H238" s="606"/>
      <c r="I238" s="607">
        <f>ROUNDUP((E238*'Project Materials'!$L$18),0)</f>
        <v>0</v>
      </c>
      <c r="J238" s="572">
        <f t="shared" si="13"/>
        <v>0</v>
      </c>
    </row>
    <row r="239" spans="1:10" x14ac:dyDescent="0.4">
      <c r="A239" s="88" t="s">
        <v>451</v>
      </c>
      <c r="B239" s="79" t="str">
        <f>VLOOKUP('Area C'!B36,'Item List'!B:AJ,21,FALSE)</f>
        <v>None</v>
      </c>
      <c r="C239" s="79" t="str">
        <f>VLOOKUP(B239,'Item List'!B:AH,2,FALSE)</f>
        <v>None</v>
      </c>
      <c r="D239" s="79"/>
      <c r="E239" s="570">
        <f>VLOOKUP(B239,'Item List'!B:AM,35,FALSE)</f>
        <v>0</v>
      </c>
      <c r="F239" s="568">
        <f>VLOOKUP(B239,'Item List'!B:AJ,4,FALSE)</f>
        <v>0</v>
      </c>
      <c r="G239" s="568">
        <f t="shared" si="12"/>
        <v>0</v>
      </c>
      <c r="H239" s="606"/>
      <c r="I239" s="607">
        <f>ROUNDUP((E239*'Project Materials'!$L$18),0)</f>
        <v>0</v>
      </c>
      <c r="J239" s="572">
        <f t="shared" si="13"/>
        <v>0</v>
      </c>
    </row>
    <row r="240" spans="1:10" x14ac:dyDescent="0.4">
      <c r="A240" s="88" t="s">
        <v>451</v>
      </c>
      <c r="B240" s="79" t="str">
        <f>VLOOKUP('Area C'!B36,'Item List'!B:AJ,22,FALSE)</f>
        <v>None</v>
      </c>
      <c r="C240" s="79" t="str">
        <f>VLOOKUP(B240,'Item List'!B:AH,2,FALSE)</f>
        <v>None</v>
      </c>
      <c r="D240" s="79"/>
      <c r="E240" s="570">
        <f>VLOOKUP(B240,'Item List'!B:AM,35,FALSE)</f>
        <v>0</v>
      </c>
      <c r="F240" s="568">
        <f>VLOOKUP(B240,'Item List'!B:AJ,4,FALSE)</f>
        <v>0</v>
      </c>
      <c r="G240" s="568">
        <f t="shared" si="12"/>
        <v>0</v>
      </c>
      <c r="H240" s="606"/>
      <c r="I240" s="607">
        <f>ROUNDUP((E240*'Project Materials'!$L$18),0)</f>
        <v>0</v>
      </c>
      <c r="J240" s="572">
        <f t="shared" si="13"/>
        <v>0</v>
      </c>
    </row>
    <row r="241" spans="1:10" x14ac:dyDescent="0.4">
      <c r="A241" s="88" t="s">
        <v>451</v>
      </c>
      <c r="B241" s="79" t="str">
        <f>VLOOKUP('Area C'!B36,'Item List'!B:AJ,23,FALSE)</f>
        <v>None</v>
      </c>
      <c r="C241" s="79" t="str">
        <f>VLOOKUP(B241,'Item List'!B:AH,2,FALSE)</f>
        <v>None</v>
      </c>
      <c r="D241" s="79"/>
      <c r="E241" s="570">
        <f>VLOOKUP(B241,'Item List'!B:AM,35,FALSE)</f>
        <v>0</v>
      </c>
      <c r="F241" s="568">
        <f>VLOOKUP(B241,'Item List'!B:AJ,4,FALSE)</f>
        <v>0</v>
      </c>
      <c r="G241" s="568">
        <f t="shared" si="12"/>
        <v>0</v>
      </c>
      <c r="H241" s="606"/>
      <c r="I241" s="607">
        <f>ROUNDUP((E241*'Project Materials'!$L$18),0)</f>
        <v>0</v>
      </c>
      <c r="J241" s="572">
        <f t="shared" si="13"/>
        <v>0</v>
      </c>
    </row>
    <row r="242" spans="1:10" x14ac:dyDescent="0.4">
      <c r="A242" s="88" t="s">
        <v>451</v>
      </c>
      <c r="B242" s="79" t="str">
        <f>VLOOKUP('Area C'!B36,'Item List'!B:AJ,24,FALSE)</f>
        <v>None</v>
      </c>
      <c r="C242" s="79" t="str">
        <f>VLOOKUP(B242,'Item List'!B:AH,2,FALSE)</f>
        <v>None</v>
      </c>
      <c r="D242" s="79"/>
      <c r="E242" s="570">
        <f>VLOOKUP(B242,'Item List'!B:AM,35,FALSE)</f>
        <v>0</v>
      </c>
      <c r="F242" s="568">
        <f>VLOOKUP(B242,'Item List'!B:AJ,4,FALSE)</f>
        <v>0</v>
      </c>
      <c r="G242" s="568">
        <f t="shared" si="12"/>
        <v>0</v>
      </c>
      <c r="H242" s="606"/>
      <c r="I242" s="607">
        <f>ROUNDUP((E242*'Project Materials'!$L$18),0)</f>
        <v>0</v>
      </c>
      <c r="J242" s="572">
        <f t="shared" si="13"/>
        <v>0</v>
      </c>
    </row>
    <row r="243" spans="1:10" x14ac:dyDescent="0.4">
      <c r="A243" s="88" t="s">
        <v>452</v>
      </c>
      <c r="B243" s="79" t="str">
        <f>VLOOKUP('Area C'!B40,'Item List'!B:AJ,21,FALSE)</f>
        <v>None</v>
      </c>
      <c r="C243" s="79" t="str">
        <f>VLOOKUP(B243,'Item List'!B:AH,2,FALSE)</f>
        <v>None</v>
      </c>
      <c r="D243" s="79"/>
      <c r="E243" s="570">
        <f>VLOOKUP(B243,'Item List'!B:AM,35,FALSE)</f>
        <v>0</v>
      </c>
      <c r="F243" s="568">
        <f>VLOOKUP(B243,'Item List'!B:AJ,4,FALSE)</f>
        <v>0</v>
      </c>
      <c r="G243" s="568">
        <f t="shared" si="12"/>
        <v>0</v>
      </c>
      <c r="H243" s="606"/>
      <c r="I243" s="607">
        <f>ROUNDUP((E243*'Project Materials'!$L$18),0)</f>
        <v>0</v>
      </c>
      <c r="J243" s="572">
        <f t="shared" si="13"/>
        <v>0</v>
      </c>
    </row>
    <row r="244" spans="1:10" x14ac:dyDescent="0.4">
      <c r="A244" s="88" t="s">
        <v>452</v>
      </c>
      <c r="B244" s="79" t="str">
        <f>VLOOKUP('Area C'!B40,'Item List'!B:AJ,22,FALSE)</f>
        <v>None</v>
      </c>
      <c r="C244" s="79" t="str">
        <f>VLOOKUP(B244,'Item List'!B:AH,2,FALSE)</f>
        <v>None</v>
      </c>
      <c r="D244" s="79"/>
      <c r="E244" s="570">
        <f>VLOOKUP(B244,'Item List'!B:AM,35,FALSE)</f>
        <v>0</v>
      </c>
      <c r="F244" s="568">
        <f>VLOOKUP(B244,'Item List'!B:AJ,4,FALSE)</f>
        <v>0</v>
      </c>
      <c r="G244" s="568">
        <f t="shared" si="12"/>
        <v>0</v>
      </c>
      <c r="H244" s="606"/>
      <c r="I244" s="607">
        <f>ROUNDUP((E244*'Project Materials'!$L$18),0)</f>
        <v>0</v>
      </c>
      <c r="J244" s="572">
        <f t="shared" si="13"/>
        <v>0</v>
      </c>
    </row>
    <row r="245" spans="1:10" x14ac:dyDescent="0.4">
      <c r="A245" s="88" t="s">
        <v>452</v>
      </c>
      <c r="B245" s="79" t="str">
        <f>VLOOKUP('Area C'!B40,'Item List'!B:AJ,23,FALSE)</f>
        <v>None</v>
      </c>
      <c r="C245" s="79" t="str">
        <f>VLOOKUP(B245,'Item List'!B:AH,2,FALSE)</f>
        <v>None</v>
      </c>
      <c r="D245" s="79"/>
      <c r="E245" s="570">
        <f>VLOOKUP(B245,'Item List'!B:AM,35,FALSE)</f>
        <v>0</v>
      </c>
      <c r="F245" s="568">
        <f>VLOOKUP(B245,'Item List'!B:AJ,4,FALSE)</f>
        <v>0</v>
      </c>
      <c r="G245" s="568">
        <f t="shared" si="12"/>
        <v>0</v>
      </c>
      <c r="H245" s="606"/>
      <c r="I245" s="607">
        <f>ROUNDUP((E245*'Project Materials'!$L$18),0)</f>
        <v>0</v>
      </c>
      <c r="J245" s="572">
        <f t="shared" si="13"/>
        <v>0</v>
      </c>
    </row>
    <row r="246" spans="1:10" x14ac:dyDescent="0.4">
      <c r="A246" s="88" t="s">
        <v>452</v>
      </c>
      <c r="B246" s="79" t="str">
        <f>VLOOKUP('Area C'!B40,'Item List'!B:AJ,24,FALSE)</f>
        <v>None</v>
      </c>
      <c r="C246" s="79" t="str">
        <f>VLOOKUP(B246,'Item List'!B:AH,2,FALSE)</f>
        <v>None</v>
      </c>
      <c r="D246" s="79"/>
      <c r="E246" s="570">
        <f>VLOOKUP(B246,'Item List'!B:AM,35,FALSE)</f>
        <v>0</v>
      </c>
      <c r="F246" s="568">
        <f>VLOOKUP(B246,'Item List'!B:AJ,4,FALSE)</f>
        <v>0</v>
      </c>
      <c r="G246" s="568">
        <f t="shared" si="12"/>
        <v>0</v>
      </c>
      <c r="H246" s="606"/>
      <c r="I246" s="607">
        <f>ROUNDUP((E246*'Project Materials'!$L$18),0)</f>
        <v>0</v>
      </c>
      <c r="J246" s="572">
        <f t="shared" si="13"/>
        <v>0</v>
      </c>
    </row>
    <row r="247" spans="1:10" x14ac:dyDescent="0.4">
      <c r="A247" s="88" t="s">
        <v>453</v>
      </c>
      <c r="B247" s="79" t="str">
        <f>VLOOKUP('Area C'!B41,'Item List'!B:AJ,21,FALSE)</f>
        <v>None</v>
      </c>
      <c r="C247" s="79" t="str">
        <f>VLOOKUP(B247,'Item List'!B:AH,2,FALSE)</f>
        <v>None</v>
      </c>
      <c r="D247" s="79"/>
      <c r="E247" s="570">
        <f>VLOOKUP(B247,'Item List'!B:AM,35,FALSE)</f>
        <v>0</v>
      </c>
      <c r="F247" s="568">
        <f>VLOOKUP(B247,'Item List'!B:AJ,4,FALSE)</f>
        <v>0</v>
      </c>
      <c r="G247" s="568">
        <f t="shared" si="12"/>
        <v>0</v>
      </c>
      <c r="H247" s="606"/>
      <c r="I247" s="607">
        <f>ROUNDUP((E247*'Project Materials'!$L$18),0)</f>
        <v>0</v>
      </c>
      <c r="J247" s="572">
        <f t="shared" si="13"/>
        <v>0</v>
      </c>
    </row>
    <row r="248" spans="1:10" x14ac:dyDescent="0.4">
      <c r="A248" s="88" t="s">
        <v>453</v>
      </c>
      <c r="B248" s="79" t="str">
        <f>VLOOKUP('Area C'!B41,'Item List'!B:AJ,22,FALSE)</f>
        <v>None</v>
      </c>
      <c r="C248" s="79" t="str">
        <f>VLOOKUP(B248,'Item List'!B:AH,2,FALSE)</f>
        <v>None</v>
      </c>
      <c r="D248" s="79"/>
      <c r="E248" s="570">
        <f>VLOOKUP(B248,'Item List'!B:AM,35,FALSE)</f>
        <v>0</v>
      </c>
      <c r="F248" s="568">
        <f>VLOOKUP(B248,'Item List'!B:AJ,4,FALSE)</f>
        <v>0</v>
      </c>
      <c r="G248" s="568">
        <f t="shared" si="12"/>
        <v>0</v>
      </c>
      <c r="H248" s="606"/>
      <c r="I248" s="607">
        <f>ROUNDUP((E248*'Project Materials'!$L$18),0)</f>
        <v>0</v>
      </c>
      <c r="J248" s="572">
        <f t="shared" si="13"/>
        <v>0</v>
      </c>
    </row>
    <row r="249" spans="1:10" x14ac:dyDescent="0.4">
      <c r="A249" s="88" t="s">
        <v>453</v>
      </c>
      <c r="B249" s="79" t="str">
        <f>VLOOKUP('Area C'!B41,'Item List'!B:AJ,23,FALSE)</f>
        <v>None</v>
      </c>
      <c r="C249" s="79" t="str">
        <f>VLOOKUP(B249,'Item List'!B:AH,2,FALSE)</f>
        <v>None</v>
      </c>
      <c r="D249" s="79"/>
      <c r="E249" s="570">
        <f>VLOOKUP(B249,'Item List'!B:AM,35,FALSE)</f>
        <v>0</v>
      </c>
      <c r="F249" s="568">
        <f>VLOOKUP(B249,'Item List'!B:AJ,4,FALSE)</f>
        <v>0</v>
      </c>
      <c r="G249" s="568">
        <f t="shared" si="12"/>
        <v>0</v>
      </c>
      <c r="H249" s="606"/>
      <c r="I249" s="607">
        <f>ROUNDUP((E249*'Project Materials'!$L$18),0)</f>
        <v>0</v>
      </c>
      <c r="J249" s="572">
        <f t="shared" si="13"/>
        <v>0</v>
      </c>
    </row>
    <row r="250" spans="1:10" x14ac:dyDescent="0.4">
      <c r="A250" s="88" t="s">
        <v>453</v>
      </c>
      <c r="B250" s="79" t="str">
        <f>VLOOKUP('Area C'!B41,'Item List'!B:AJ,24,FALSE)</f>
        <v>None</v>
      </c>
      <c r="C250" s="79" t="str">
        <f>VLOOKUP(B250,'Item List'!B:AH,2,FALSE)</f>
        <v>None</v>
      </c>
      <c r="D250" s="79"/>
      <c r="E250" s="570">
        <f>VLOOKUP(B250,'Item List'!B:AM,35,FALSE)</f>
        <v>0</v>
      </c>
      <c r="F250" s="568">
        <f>VLOOKUP(B250,'Item List'!B:AJ,4,FALSE)</f>
        <v>0</v>
      </c>
      <c r="G250" s="568">
        <f t="shared" si="12"/>
        <v>0</v>
      </c>
      <c r="H250" s="606"/>
      <c r="I250" s="607">
        <f>ROUNDUP((E250*'Project Materials'!$L$18),0)</f>
        <v>0</v>
      </c>
      <c r="J250" s="572">
        <f t="shared" si="13"/>
        <v>0</v>
      </c>
    </row>
    <row r="251" spans="1:10" x14ac:dyDescent="0.4">
      <c r="A251" s="88" t="s">
        <v>457</v>
      </c>
      <c r="B251" s="390" t="s">
        <v>418</v>
      </c>
      <c r="C251" s="79" t="str">
        <f>VLOOKUP(B251,'Item List'!B:AH,2,FALSE)</f>
        <v>None</v>
      </c>
      <c r="D251" s="79"/>
      <c r="E251" s="397">
        <v>0</v>
      </c>
      <c r="F251" s="568">
        <f>VLOOKUP(B251,'Item List'!B:AJ,4,FALSE)</f>
        <v>0</v>
      </c>
      <c r="G251" s="568">
        <f t="shared" si="12"/>
        <v>0</v>
      </c>
      <c r="H251" s="606"/>
      <c r="I251" s="607">
        <f>ROUNDUP((E251*'Project Materials'!$L$18),0)</f>
        <v>0</v>
      </c>
      <c r="J251" s="572">
        <f t="shared" si="13"/>
        <v>0</v>
      </c>
    </row>
    <row r="252" spans="1:10" x14ac:dyDescent="0.4">
      <c r="A252" s="88" t="s">
        <v>457</v>
      </c>
      <c r="B252" s="390" t="s">
        <v>418</v>
      </c>
      <c r="C252" s="79" t="str">
        <f>VLOOKUP(B252,'Item List'!B:AH,2,FALSE)</f>
        <v>None</v>
      </c>
      <c r="D252" s="79"/>
      <c r="E252" s="397">
        <v>0</v>
      </c>
      <c r="F252" s="568">
        <f>VLOOKUP(B252,'Item List'!B:AJ,4,FALSE)</f>
        <v>0</v>
      </c>
      <c r="G252" s="568">
        <f t="shared" si="12"/>
        <v>0</v>
      </c>
      <c r="H252" s="606"/>
      <c r="I252" s="607">
        <f>ROUNDUP((E252*'Project Materials'!$L$18),0)</f>
        <v>0</v>
      </c>
      <c r="J252" s="572">
        <f t="shared" si="13"/>
        <v>0</v>
      </c>
    </row>
    <row r="253" spans="1:10" x14ac:dyDescent="0.4">
      <c r="A253" s="88" t="s">
        <v>457</v>
      </c>
      <c r="B253" s="390" t="s">
        <v>418</v>
      </c>
      <c r="C253" s="79" t="str">
        <f>VLOOKUP(B253,'Item List'!B:AH,2,FALSE)</f>
        <v>None</v>
      </c>
      <c r="D253" s="79"/>
      <c r="E253" s="397">
        <v>0</v>
      </c>
      <c r="F253" s="568">
        <f>VLOOKUP(B253,'Item List'!B:AJ,4,FALSE)</f>
        <v>0</v>
      </c>
      <c r="G253" s="568">
        <f t="shared" si="12"/>
        <v>0</v>
      </c>
      <c r="H253" s="606"/>
      <c r="I253" s="607">
        <f>ROUNDUP((E253*'Project Materials'!$L$18),0)</f>
        <v>0</v>
      </c>
      <c r="J253" s="572">
        <f t="shared" si="13"/>
        <v>0</v>
      </c>
    </row>
    <row r="254" spans="1:10" x14ac:dyDescent="0.4">
      <c r="A254" s="88" t="s">
        <v>457</v>
      </c>
      <c r="B254" s="390" t="s">
        <v>418</v>
      </c>
      <c r="C254" s="79" t="str">
        <f>VLOOKUP(B254,'Item List'!B:AH,2,FALSE)</f>
        <v>None</v>
      </c>
      <c r="D254" s="79"/>
      <c r="E254" s="397">
        <v>0</v>
      </c>
      <c r="F254" s="568">
        <f>VLOOKUP(B254,'Item List'!B:AJ,4,FALSE)</f>
        <v>0</v>
      </c>
      <c r="G254" s="568">
        <f t="shared" si="12"/>
        <v>0</v>
      </c>
      <c r="H254" s="606"/>
      <c r="I254" s="607">
        <f>ROUNDUP((E254*'Project Materials'!$L$18),0)</f>
        <v>0</v>
      </c>
      <c r="J254" s="572">
        <f t="shared" si="13"/>
        <v>0</v>
      </c>
    </row>
    <row r="255" spans="1:10" x14ac:dyDescent="0.4">
      <c r="A255" s="88" t="s">
        <v>457</v>
      </c>
      <c r="B255" s="390" t="s">
        <v>418</v>
      </c>
      <c r="C255" s="79" t="str">
        <f>VLOOKUP(B255,'Item List'!B:AH,2,FALSE)</f>
        <v>None</v>
      </c>
      <c r="D255" s="79"/>
      <c r="E255" s="397">
        <v>0</v>
      </c>
      <c r="F255" s="568">
        <f>VLOOKUP(B255,'Item List'!B:AJ,4,FALSE)</f>
        <v>0</v>
      </c>
      <c r="G255" s="568">
        <f t="shared" si="12"/>
        <v>0</v>
      </c>
      <c r="H255" s="606"/>
      <c r="I255" s="607">
        <f>ROUNDUP((E255*'Project Materials'!$L$18),0)</f>
        <v>0</v>
      </c>
      <c r="J255" s="572">
        <f t="shared" si="13"/>
        <v>0</v>
      </c>
    </row>
    <row r="256" spans="1:10" x14ac:dyDescent="0.4">
      <c r="A256" s="88" t="s">
        <v>457</v>
      </c>
      <c r="B256" s="391" t="s">
        <v>418</v>
      </c>
      <c r="C256" s="79" t="str">
        <f>VLOOKUP(B256,'Item List'!B:AH,2,FALSE)</f>
        <v>None</v>
      </c>
      <c r="D256" s="79"/>
      <c r="E256" s="397">
        <v>0</v>
      </c>
      <c r="F256" s="568">
        <f>VLOOKUP(B256,'Item List'!B:AJ,4,FALSE)</f>
        <v>0</v>
      </c>
      <c r="G256" s="568">
        <f t="shared" ref="G256:G265" si="14">F256*E256</f>
        <v>0</v>
      </c>
      <c r="H256" s="606"/>
      <c r="I256" s="607">
        <f>ROUNDUP((E256*'Project Materials'!$L$18),0)</f>
        <v>0</v>
      </c>
      <c r="J256" s="572">
        <f t="shared" si="13"/>
        <v>0</v>
      </c>
    </row>
    <row r="257" spans="1:10" x14ac:dyDescent="0.4">
      <c r="A257" s="88" t="s">
        <v>498</v>
      </c>
      <c r="B257" s="395"/>
      <c r="C257" s="395"/>
      <c r="D257" s="388"/>
      <c r="E257" s="388"/>
      <c r="F257" s="396"/>
      <c r="G257" s="568">
        <f t="shared" si="14"/>
        <v>0</v>
      </c>
      <c r="H257" s="606"/>
      <c r="I257" s="607">
        <f>ROUNDUP((E257*'Project Materials'!$L$18),0)</f>
        <v>0</v>
      </c>
      <c r="J257" s="572">
        <f t="shared" si="13"/>
        <v>0</v>
      </c>
    </row>
    <row r="258" spans="1:10" ht="18" customHeight="1" x14ac:dyDescent="0.4">
      <c r="A258" s="88" t="s">
        <v>498</v>
      </c>
      <c r="B258" s="395"/>
      <c r="C258" s="395"/>
      <c r="D258" s="388"/>
      <c r="E258" s="388"/>
      <c r="F258" s="396"/>
      <c r="G258" s="568">
        <f t="shared" si="14"/>
        <v>0</v>
      </c>
      <c r="H258" s="606"/>
      <c r="I258" s="607">
        <f>ROUNDUP((E258*'Project Materials'!$L$18),0)</f>
        <v>0</v>
      </c>
      <c r="J258" s="572">
        <f t="shared" si="13"/>
        <v>0</v>
      </c>
    </row>
    <row r="259" spans="1:10" x14ac:dyDescent="0.4">
      <c r="A259" s="88" t="s">
        <v>498</v>
      </c>
      <c r="B259" s="395"/>
      <c r="C259" s="395"/>
      <c r="D259" s="388"/>
      <c r="E259" s="388"/>
      <c r="F259" s="396"/>
      <c r="G259" s="568">
        <f t="shared" si="14"/>
        <v>0</v>
      </c>
      <c r="H259" s="606"/>
      <c r="I259" s="607">
        <f>ROUNDUP((E259*'Project Materials'!$L$18),0)</f>
        <v>0</v>
      </c>
      <c r="J259" s="572">
        <f t="shared" si="13"/>
        <v>0</v>
      </c>
    </row>
    <row r="260" spans="1:10" x14ac:dyDescent="0.4">
      <c r="A260" s="88" t="s">
        <v>498</v>
      </c>
      <c r="B260" s="395"/>
      <c r="C260" s="395"/>
      <c r="D260" s="388"/>
      <c r="E260" s="388"/>
      <c r="F260" s="396"/>
      <c r="G260" s="568">
        <f t="shared" si="14"/>
        <v>0</v>
      </c>
      <c r="H260" s="606"/>
      <c r="I260" s="607">
        <f>ROUNDUP((E260*'Project Materials'!$L$18),0)</f>
        <v>0</v>
      </c>
      <c r="J260" s="572">
        <f t="shared" si="13"/>
        <v>0</v>
      </c>
    </row>
    <row r="261" spans="1:10" x14ac:dyDescent="0.4">
      <c r="A261" s="88" t="s">
        <v>498</v>
      </c>
      <c r="B261" s="395"/>
      <c r="C261" s="395"/>
      <c r="D261" s="388"/>
      <c r="E261" s="388"/>
      <c r="F261" s="396"/>
      <c r="G261" s="568">
        <f t="shared" si="14"/>
        <v>0</v>
      </c>
      <c r="H261" s="606"/>
      <c r="I261" s="607">
        <f>ROUNDUP((E261*'Project Materials'!$L$18),0)</f>
        <v>0</v>
      </c>
      <c r="J261" s="572">
        <f t="shared" si="13"/>
        <v>0</v>
      </c>
    </row>
    <row r="262" spans="1:10" ht="18" customHeight="1" x14ac:dyDescent="0.4">
      <c r="A262" s="88" t="s">
        <v>498</v>
      </c>
      <c r="B262" s="395"/>
      <c r="C262" s="395"/>
      <c r="D262" s="388"/>
      <c r="E262" s="388"/>
      <c r="F262" s="396"/>
      <c r="G262" s="568">
        <f t="shared" si="14"/>
        <v>0</v>
      </c>
      <c r="H262" s="606"/>
      <c r="I262" s="607">
        <f>ROUNDUP((E262*'Project Materials'!$L$18),0)</f>
        <v>0</v>
      </c>
      <c r="J262" s="572">
        <f t="shared" si="13"/>
        <v>0</v>
      </c>
    </row>
    <row r="263" spans="1:10" x14ac:dyDescent="0.4">
      <c r="A263" s="88" t="s">
        <v>498</v>
      </c>
      <c r="B263" s="395"/>
      <c r="C263" s="395"/>
      <c r="D263" s="388"/>
      <c r="E263" s="388"/>
      <c r="F263" s="396"/>
      <c r="G263" s="568">
        <f t="shared" si="14"/>
        <v>0</v>
      </c>
      <c r="H263" s="606"/>
      <c r="I263" s="607">
        <f>ROUNDUP((E263*'Project Materials'!$L$18),0)</f>
        <v>0</v>
      </c>
      <c r="J263" s="572">
        <f t="shared" si="13"/>
        <v>0</v>
      </c>
    </row>
    <row r="264" spans="1:10" ht="18" customHeight="1" x14ac:dyDescent="0.4">
      <c r="A264" s="88" t="s">
        <v>498</v>
      </c>
      <c r="B264" s="395"/>
      <c r="C264" s="395"/>
      <c r="D264" s="388"/>
      <c r="E264" s="388"/>
      <c r="F264" s="396"/>
      <c r="G264" s="568">
        <f t="shared" si="14"/>
        <v>0</v>
      </c>
      <c r="H264" s="606"/>
      <c r="I264" s="607">
        <f>ROUNDUP((E264*'Project Materials'!$L$18),0)</f>
        <v>0</v>
      </c>
      <c r="J264" s="572">
        <f>G264+(I264*F264)</f>
        <v>0</v>
      </c>
    </row>
    <row r="265" spans="1:10" x14ac:dyDescent="0.4">
      <c r="A265" s="88" t="s">
        <v>498</v>
      </c>
      <c r="B265" s="395"/>
      <c r="C265" s="395"/>
      <c r="D265" s="388"/>
      <c r="E265" s="388"/>
      <c r="F265" s="396"/>
      <c r="G265" s="568">
        <f t="shared" si="14"/>
        <v>0</v>
      </c>
      <c r="H265" s="606"/>
      <c r="I265" s="607">
        <f>ROUNDUP((E265*'Project Materials'!$L$18),0)</f>
        <v>0</v>
      </c>
      <c r="J265" s="572">
        <f>G265+(I265*F265)</f>
        <v>0</v>
      </c>
    </row>
    <row r="266" spans="1:10" ht="16.5" customHeight="1" thickBot="1" x14ac:dyDescent="0.45">
      <c r="A266" s="574"/>
      <c r="B266" s="685"/>
      <c r="C266" s="685"/>
      <c r="D266" s="686"/>
      <c r="E266" s="686"/>
      <c r="F266" s="687"/>
      <c r="G266" s="577">
        <f>SUM(G199:G265)</f>
        <v>0</v>
      </c>
      <c r="H266" s="402"/>
      <c r="I266" s="577"/>
      <c r="J266" s="577">
        <f>SUM(J199:J265)</f>
        <v>0</v>
      </c>
    </row>
    <row r="267" spans="1:10" ht="15" thickTop="1" x14ac:dyDescent="0.4">
      <c r="B267" s="79"/>
      <c r="C267" s="79"/>
      <c r="D267" s="570"/>
      <c r="E267" s="678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83" priority="13" operator="containsText" text="none">
      <formula>NOT(ISERROR(SEARCH("none",B47)))</formula>
    </cfRule>
  </conditionalFormatting>
  <conditionalFormatting sqref="B199:B250">
    <cfRule type="containsText" dxfId="82" priority="12" operator="containsText" text="none">
      <formula>NOT(ISERROR(SEARCH("none",B199)))</formula>
    </cfRule>
  </conditionalFormatting>
  <conditionalFormatting sqref="E26">
    <cfRule type="expression" dxfId="81" priority="11">
      <formula>(E26-E19)&lt;&gt;0</formula>
    </cfRule>
  </conditionalFormatting>
  <conditionalFormatting sqref="E19">
    <cfRule type="expression" dxfId="80" priority="10">
      <formula>(E19-E26)&lt;&gt;0</formula>
    </cfRule>
  </conditionalFormatting>
  <conditionalFormatting sqref="B64:B69">
    <cfRule type="containsText" dxfId="79" priority="9" operator="containsText" text="none">
      <formula>NOT(ISERROR(SEARCH("none",B64)))</formula>
    </cfRule>
  </conditionalFormatting>
  <conditionalFormatting sqref="B70:B75">
    <cfRule type="containsText" dxfId="78" priority="8" operator="containsText" text="none">
      <formula>NOT(ISERROR(SEARCH("none",B70)))</formula>
    </cfRule>
  </conditionalFormatting>
  <conditionalFormatting sqref="B76:B81">
    <cfRule type="containsText" dxfId="77" priority="7" operator="containsText" text="none">
      <formula>NOT(ISERROR(SEARCH("none",B76)))</formula>
    </cfRule>
  </conditionalFormatting>
  <conditionalFormatting sqref="B82:B87">
    <cfRule type="containsText" dxfId="76" priority="6" operator="containsText" text="none">
      <formula>NOT(ISERROR(SEARCH("none",B82)))</formula>
    </cfRule>
  </conditionalFormatting>
  <conditionalFormatting sqref="B88:B93">
    <cfRule type="containsText" dxfId="75" priority="5" operator="containsText" text="none">
      <formula>NOT(ISERROR(SEARCH("none",B88)))</formula>
    </cfRule>
  </conditionalFormatting>
  <conditionalFormatting sqref="B95:B106">
    <cfRule type="containsText" dxfId="74" priority="4" operator="containsText" text="none">
      <formula>NOT(ISERROR(SEARCH("none",B95)))</formula>
    </cfRule>
  </conditionalFormatting>
  <conditionalFormatting sqref="B107:B112">
    <cfRule type="containsText" dxfId="73" priority="3" operator="containsText" text="none">
      <formula>NOT(ISERROR(SEARCH("none",B107)))</formula>
    </cfRule>
  </conditionalFormatting>
  <conditionalFormatting sqref="B113:B118">
    <cfRule type="containsText" dxfId="72" priority="2" operator="containsText" text="none">
      <formula>NOT(ISERROR(SEARCH("none",B113)))</formula>
    </cfRule>
  </conditionalFormatting>
  <conditionalFormatting sqref="B119">
    <cfRule type="containsText" dxfId="7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2" bestFit="1" customWidth="1"/>
    <col min="2" max="2" width="24.53515625" style="82" customWidth="1"/>
    <col min="3" max="3" width="62.15234375" style="82" customWidth="1"/>
    <col min="4" max="4" width="13.3046875" style="586" customWidth="1"/>
    <col min="5" max="5" width="12.69140625" style="571" customWidth="1"/>
    <col min="6" max="6" width="12.15234375" style="568" customWidth="1"/>
    <col min="7" max="7" width="15.84375" style="679" customWidth="1"/>
    <col min="8" max="8" width="15" style="663" customWidth="1"/>
    <col min="9" max="9" width="21.3828125" style="680" customWidth="1"/>
    <col min="10" max="10" width="15.3828125" style="663" customWidth="1"/>
    <col min="11" max="11" width="11.15234375" style="663" bestFit="1" customWidth="1"/>
    <col min="12" max="14" width="8.84375" style="663"/>
    <col min="15" max="15" width="11.3046875" style="663" bestFit="1" customWidth="1"/>
    <col min="16" max="67" width="8.84375" style="663"/>
    <col min="68" max="16384" width="8.84375" style="82"/>
  </cols>
  <sheetData>
    <row r="1" spans="1:67" ht="15" thickBot="1" x14ac:dyDescent="0.45">
      <c r="A1" s="1128" t="str">
        <f>IF('Project Materials'!C28="","",'Project Materials'!C28)</f>
        <v/>
      </c>
      <c r="B1" s="1129"/>
      <c r="C1" s="1129"/>
      <c r="D1" s="1129"/>
      <c r="E1" s="1129"/>
      <c r="F1" s="1129"/>
      <c r="G1" s="1129"/>
      <c r="H1" s="1129"/>
      <c r="I1" s="1129"/>
      <c r="J1" s="1129"/>
      <c r="K1" s="1130"/>
    </row>
    <row r="2" spans="1:67" ht="29.15" x14ac:dyDescent="0.4">
      <c r="A2" s="593" t="s">
        <v>491</v>
      </c>
      <c r="B2" s="79" t="str">
        <f>IF(ISBLANK('Project Materials'!D2),"",'Project Materials'!D2)</f>
        <v/>
      </c>
      <c r="C2" s="593" t="s">
        <v>490</v>
      </c>
      <c r="D2" s="1121" t="str">
        <f>IF(ISBLANK('Project Materials'!I2),"",'Project Materials'!I2)</f>
        <v/>
      </c>
      <c r="E2" s="1121"/>
      <c r="F2" s="594" t="s">
        <v>492</v>
      </c>
      <c r="G2" s="664" t="str">
        <f>IF(ISBLANK('Project Materials'!N2),"",'Project Materials'!N2)</f>
        <v/>
      </c>
      <c r="H2" s="1122"/>
      <c r="I2" s="1122"/>
      <c r="J2" s="1122"/>
    </row>
    <row r="3" spans="1:67" ht="15.9" x14ac:dyDescent="0.45">
      <c r="A3" s="1123" t="s">
        <v>479</v>
      </c>
      <c r="B3" s="1123"/>
      <c r="C3" s="1123"/>
      <c r="D3" s="1123"/>
      <c r="E3" s="1123"/>
      <c r="F3" s="1123"/>
      <c r="G3" s="1123"/>
      <c r="H3" s="1123"/>
      <c r="I3" s="1123"/>
      <c r="J3" s="1123"/>
    </row>
    <row r="4" spans="1:67" ht="43.75" x14ac:dyDescent="0.4">
      <c r="A4" s="692" t="s">
        <v>433</v>
      </c>
      <c r="B4" s="84" t="s">
        <v>11</v>
      </c>
      <c r="C4" s="84" t="s">
        <v>12</v>
      </c>
      <c r="D4" s="600" t="s">
        <v>435</v>
      </c>
      <c r="E4" s="584" t="s">
        <v>436</v>
      </c>
      <c r="F4" s="594" t="s">
        <v>437</v>
      </c>
      <c r="G4" s="601" t="s">
        <v>425</v>
      </c>
      <c r="H4" s="583" t="s">
        <v>501</v>
      </c>
      <c r="I4" s="584" t="s">
        <v>716</v>
      </c>
      <c r="J4" s="583" t="s">
        <v>500</v>
      </c>
      <c r="K4" s="666" t="s">
        <v>870</v>
      </c>
      <c r="L4" s="1124" t="s">
        <v>867</v>
      </c>
      <c r="M4" s="1124"/>
    </row>
    <row r="5" spans="1:67" x14ac:dyDescent="0.4">
      <c r="A5" s="693" t="s">
        <v>0</v>
      </c>
      <c r="B5" s="390" t="s">
        <v>256</v>
      </c>
      <c r="C5" s="79" t="str">
        <f>VLOOKUP(B5,'Item List'!B:AH,2,FALSE)</f>
        <v>Top Rail 200 ( 20' )- Black</v>
      </c>
      <c r="D5" s="566">
        <f>IF(B5="none",0,SUM('Project Materials'!$O$28*'Project Materials'!$P$28))</f>
        <v>0</v>
      </c>
      <c r="E5" s="567">
        <f>IF(K5="",(CEILING(('Project Materials'!$O$28/20),L5)*'Project Materials'!$P$28),(CEILING(('Project Materials'!$O$28/K5),L5)*'Project Materials'!$P$28))</f>
        <v>0</v>
      </c>
      <c r="F5" s="568">
        <f>IF(K5&gt;0,K5/20*(VLOOKUP(B5,'Item List'!B:AH,4,FALSE)),IF(B5="None",0,VLOOKUP(B5,'Item List'!B:AH,4,FALSE)))</f>
        <v>60.93</v>
      </c>
      <c r="G5" s="569">
        <f>F5*E5</f>
        <v>0</v>
      </c>
      <c r="H5" s="570">
        <f>ROUNDUP(D5*'Project Materials'!$L$16,0)</f>
        <v>0</v>
      </c>
      <c r="I5" s="571">
        <f>ROUNDUP(IF(B5="none",0,(SUM(H5/VLOOKUP(B5,'Item List'!B:AH,3,FALSE)))),0)</f>
        <v>0</v>
      </c>
      <c r="J5" s="572">
        <f>G5+(I5*F5)</f>
        <v>0</v>
      </c>
      <c r="K5" s="659"/>
      <c r="L5" s="1118">
        <v>0.5</v>
      </c>
      <c r="M5" s="1118"/>
      <c r="N5" s="663" t="s">
        <v>868</v>
      </c>
    </row>
    <row r="6" spans="1:67" x14ac:dyDescent="0.4">
      <c r="A6" s="693" t="s">
        <v>413</v>
      </c>
      <c r="B6" s="390" t="s">
        <v>24</v>
      </c>
      <c r="C6" s="79" t="str">
        <f>VLOOKUP(B6,'Item List'!B:AH,2,FALSE)</f>
        <v>Series 200 Bottom Rail (20')- Black</v>
      </c>
      <c r="D6" s="566">
        <f>IF(B6="none",0,SUM('Project Materials'!$O$28*'Project Materials'!$P$28))</f>
        <v>0</v>
      </c>
      <c r="E6" s="567">
        <f>IFERROR(CEILING(IF(K6="",(CEILING(('Project Materials'!$O$28/VLOOKUP(B6,'Item List'!B:AM,3,FALSE)),L6)*'Project Materials'!$P$28),(CEILING(('Project Materials'!$O$28/K6),L6)*'Project Materials'!$P$28)),L6),0)</f>
        <v>0</v>
      </c>
      <c r="F6" s="568">
        <f>IF(B6="None",0,VLOOKUP(B6,'Item List'!B:AH,4,FALSE))</f>
        <v>40.35</v>
      </c>
      <c r="G6" s="569">
        <f>F6*E6</f>
        <v>0</v>
      </c>
      <c r="H6" s="570">
        <f>ROUNDUP(D6*'Project Materials'!$L$16,0)</f>
        <v>0</v>
      </c>
      <c r="I6" s="571">
        <f>ROUNDUP(IF(B6="none",0,(SUM(H6/VLOOKUP(B6,'Item List'!B:AH,3,FALSE)))),0)</f>
        <v>0</v>
      </c>
      <c r="J6" s="572">
        <f>G6+(I6*F6)</f>
        <v>0</v>
      </c>
      <c r="K6" s="659"/>
      <c r="L6" s="1118">
        <v>0.25</v>
      </c>
      <c r="M6" s="1118"/>
      <c r="N6" s="663" t="s">
        <v>869</v>
      </c>
    </row>
    <row r="7" spans="1:67" x14ac:dyDescent="0.4">
      <c r="A7" s="693" t="s">
        <v>871</v>
      </c>
      <c r="B7" s="390" t="s">
        <v>418</v>
      </c>
      <c r="C7" s="79" t="str">
        <f>VLOOKUP(B7,'Item List'!B:AH,2,FALSE)</f>
        <v>None</v>
      </c>
      <c r="D7" s="566">
        <f>IF(B7="none",0,SUM('Project Materials'!$O$28*'Project Materials'!$P$28))</f>
        <v>0</v>
      </c>
      <c r="E7" s="573">
        <f>IF(K7="",(CEILING(('Project Materials'!$O$28/20),0.5)*'Project Materials'!$P$28),(CEILING(('Project Materials'!$O$28/K7),0.5)*'Project Materials'!$P$28))</f>
        <v>0</v>
      </c>
      <c r="F7" s="568">
        <f>IF(B7="None",0,VLOOKUP(B7,'Item List'!B:AH,4,FALSE))</f>
        <v>0</v>
      </c>
      <c r="G7" s="569">
        <f>F7*E7</f>
        <v>0</v>
      </c>
      <c r="H7" s="570">
        <f>ROUNDUP(D7*'Project Materials'!$L$16,0)</f>
        <v>0</v>
      </c>
      <c r="I7" s="571">
        <f>ROUNDUP(IF(B7="none",0,(SUM(H7/VLOOKUP(B7,'Item List'!B:AH,3,FALSE)))),0)</f>
        <v>0</v>
      </c>
      <c r="J7" s="572">
        <f>G7+(I7*F7)</f>
        <v>0</v>
      </c>
      <c r="K7" s="659"/>
      <c r="L7" s="668"/>
      <c r="M7" s="668"/>
    </row>
    <row r="8" spans="1:67" x14ac:dyDescent="0.4">
      <c r="A8" s="693" t="s">
        <v>413</v>
      </c>
      <c r="B8" s="390" t="s">
        <v>418</v>
      </c>
      <c r="C8" s="79" t="str">
        <f>VLOOKUP(B8,'Item List'!B:AH,2,FALSE)</f>
        <v>None</v>
      </c>
      <c r="D8" s="566">
        <f>IF(B8="none",0,SUM('Project Materials'!$O$28*'Project Materials'!$P$28))</f>
        <v>0</v>
      </c>
      <c r="E8" s="573">
        <f>CEILING(IF(K8="",(CEILING(('Project Materials'!$O$28/20),0.25)*'Project Materials'!$P$28),(CEILING(('Project Materials'!$O$28/K8),0.25)*'Project Materials'!$P$28)),0.5)</f>
        <v>0</v>
      </c>
      <c r="F8" s="568">
        <f>IF(B8="None",0,VLOOKUP(B8,'Item List'!B:AH,4,FALSE))</f>
        <v>0</v>
      </c>
      <c r="G8" s="569">
        <f>F8*E8</f>
        <v>0</v>
      </c>
      <c r="H8" s="570">
        <f>ROUNDUP(D8*'Project Materials'!$L$16,0)</f>
        <v>0</v>
      </c>
      <c r="I8" s="571">
        <f>ROUNDUP(IF(B8="none",0,(SUM(H8/VLOOKUP(B8,'Item List'!B:AH,3,FALSE)))),0)</f>
        <v>0</v>
      </c>
      <c r="J8" s="572">
        <f>G8+(I8*F8)</f>
        <v>0</v>
      </c>
      <c r="K8" s="659"/>
    </row>
    <row r="9" spans="1:67" ht="15" thickBot="1" x14ac:dyDescent="0.45">
      <c r="A9" s="574"/>
      <c r="B9" s="575"/>
      <c r="C9" s="574"/>
      <c r="D9" s="576"/>
      <c r="E9" s="577"/>
      <c r="F9" s="399"/>
      <c r="G9" s="399"/>
      <c r="H9" s="399"/>
      <c r="I9" s="399"/>
      <c r="J9" s="399">
        <f>SUM(J5:J8)</f>
        <v>0</v>
      </c>
      <c r="BO9" s="82"/>
    </row>
    <row r="10" spans="1:67" ht="16.3" thickTop="1" x14ac:dyDescent="0.45">
      <c r="A10" s="578" t="s">
        <v>4</v>
      </c>
      <c r="B10" s="578"/>
      <c r="C10" s="578"/>
      <c r="D10" s="578"/>
      <c r="E10" s="578"/>
      <c r="F10" s="578"/>
      <c r="G10" s="578"/>
      <c r="H10" s="578"/>
      <c r="I10" s="578"/>
      <c r="J10" s="578"/>
    </row>
    <row r="11" spans="1:67" x14ac:dyDescent="0.4">
      <c r="A11" s="692" t="s">
        <v>433</v>
      </c>
      <c r="B11" s="84" t="s">
        <v>11</v>
      </c>
      <c r="C11" s="84" t="s">
        <v>12</v>
      </c>
      <c r="D11" s="580" t="s">
        <v>435</v>
      </c>
      <c r="E11" s="581" t="s">
        <v>436</v>
      </c>
      <c r="F11" s="582" t="s">
        <v>437</v>
      </c>
      <c r="G11" s="583" t="s">
        <v>425</v>
      </c>
      <c r="H11" s="583" t="s">
        <v>501</v>
      </c>
      <c r="I11" s="584" t="s">
        <v>502</v>
      </c>
      <c r="J11" s="583" t="s">
        <v>500</v>
      </c>
    </row>
    <row r="12" spans="1:67" x14ac:dyDescent="0.4">
      <c r="A12" s="694" t="s">
        <v>700</v>
      </c>
      <c r="B12" s="390" t="s">
        <v>418</v>
      </c>
      <c r="C12" s="79" t="str">
        <f>VLOOKUP(B12,'Item List'!B:AJ,2,FALSE)</f>
        <v>None</v>
      </c>
      <c r="D12" s="586">
        <f>IF(B12="None",0,SUM('Project Materials'!K27*('Project Materials'!H27/12))*'Project Materials'!P27)</f>
        <v>0</v>
      </c>
      <c r="E12" s="571">
        <f>IFERROR(IF(B12="none",0,'Project Materials'!K28/(ROUNDDOWN(1/('Project Materials'!$H$28/(VLOOKUP('Area D'!B12,'Item List'!B:AK,3,FALSE)*12)),0)))*'Project Materials'!P28,0)</f>
        <v>0</v>
      </c>
      <c r="F12" s="568">
        <f>VLOOKUP(B12,'Item List'!B:AJ,4,FALSE)</f>
        <v>0</v>
      </c>
      <c r="G12" s="569">
        <f t="shared" ref="G12:G18" si="0">F12*E12</f>
        <v>0</v>
      </c>
      <c r="H12" s="570">
        <f>ROUNDUP(D12*'Project Materials'!$L$17,0)</f>
        <v>0</v>
      </c>
      <c r="I12" s="571">
        <f>ROUNDUP(IF(B12="none",0,(SUM(H12/VLOOKUP(B12,'Item List'!B:AH,3,FALSE)))),0)</f>
        <v>0</v>
      </c>
      <c r="J12" s="572">
        <f>G12+(I12*F12)</f>
        <v>0</v>
      </c>
    </row>
    <row r="13" spans="1:67" x14ac:dyDescent="0.4">
      <c r="A13" s="694" t="s">
        <v>701</v>
      </c>
      <c r="B13" s="390" t="s">
        <v>418</v>
      </c>
      <c r="C13" s="79" t="str">
        <f>VLOOKUP(B13,'Item List'!B:AJ,2,FALSE)</f>
        <v>None</v>
      </c>
      <c r="D13" s="586">
        <f>IF(B13="None",0,SUM('Project Materials'!J27*('Project Materials'!H27/12))*'Project Materials'!P27)</f>
        <v>0</v>
      </c>
      <c r="E13" s="571">
        <f>IFERROR(IF(B13="none",0,'Project Materials'!J28/(ROUNDDOWN(1/('Project Materials'!$H$28/(VLOOKUP('Area D'!B13,'Item List'!B:AK,3,FALSE)*12)),0)))*'Project Materials'!P28,0)</f>
        <v>0</v>
      </c>
      <c r="F13" s="568">
        <f>VLOOKUP(B13,'Item List'!B:AJ,4,FALSE)</f>
        <v>0</v>
      </c>
      <c r="G13" s="569">
        <f t="shared" si="0"/>
        <v>0</v>
      </c>
      <c r="H13" s="570">
        <f>ROUNDUP(D13*'Project Materials'!$L$17,0)</f>
        <v>0</v>
      </c>
      <c r="I13" s="571">
        <f>ROUNDUP(IF(B13="none",0,(SUM(H13/VLOOKUP(B13,'Item List'!B:AH,3,FALSE)))),0)</f>
        <v>0</v>
      </c>
      <c r="J13" s="572">
        <f>G13+(I13*F13)</f>
        <v>0</v>
      </c>
    </row>
    <row r="14" spans="1:67" x14ac:dyDescent="0.4">
      <c r="A14" s="694" t="s">
        <v>702</v>
      </c>
      <c r="B14" s="390" t="s">
        <v>418</v>
      </c>
      <c r="C14" s="79" t="str">
        <f>VLOOKUP(B14,'Item List'!B:AJ,2,FALSE)</f>
        <v>None</v>
      </c>
      <c r="D14" s="586">
        <f>IF(B14="None",0,SUM('Project Materials'!M27*('Project Materials'!H27/12))*'Project Materials'!P27)</f>
        <v>0</v>
      </c>
      <c r="E14" s="571">
        <f>IFERROR(IF(B14="none",0,('Project Materials'!L28+'Project Materials'!M28)/(ROUNDDOWN(1/('Project Materials'!$H$28/(VLOOKUP('Area D'!B14,'Item List'!B:AK,3,FALSE)*12)),0)))*'Project Materials'!P28,0)</f>
        <v>0</v>
      </c>
      <c r="F14" s="568">
        <f>VLOOKUP(B14,'Item List'!B:AJ,4,FALSE)</f>
        <v>0</v>
      </c>
      <c r="G14" s="569">
        <f t="shared" si="0"/>
        <v>0</v>
      </c>
      <c r="H14" s="570">
        <f>ROUNDUP(D14*'Project Materials'!$L$17,0)</f>
        <v>0</v>
      </c>
      <c r="I14" s="571">
        <f>ROUNDUP(IF(B14="none",0,(SUM(H14/VLOOKUP(B14,'Item List'!B:AH,3,FALSE)))),0)</f>
        <v>0</v>
      </c>
      <c r="J14" s="572">
        <f>G14+(I14*F14)</f>
        <v>0</v>
      </c>
    </row>
    <row r="15" spans="1:67" x14ac:dyDescent="0.4">
      <c r="A15" s="694" t="s">
        <v>703</v>
      </c>
      <c r="B15" s="390" t="s">
        <v>402</v>
      </c>
      <c r="C15" s="79" t="str">
        <f>VLOOKUP(B15,'Item List'!B:AJ,2,FALSE)</f>
        <v>56" Fascia Post- Black</v>
      </c>
      <c r="D15" s="587"/>
      <c r="E15" s="588">
        <f>IF(B15="None",0,SUM('Project Materials'!K28*'Project Materials'!P28))</f>
        <v>0</v>
      </c>
      <c r="F15" s="568">
        <f>VLOOKUP(B15,'Item List'!B:AJ,4,FALSE)</f>
        <v>21.5</v>
      </c>
      <c r="G15" s="569">
        <f t="shared" si="0"/>
        <v>0</v>
      </c>
      <c r="H15" s="570">
        <f>ROUNDUP(E15*'Project Materials'!$L$17,0)</f>
        <v>0</v>
      </c>
      <c r="I15" s="589"/>
      <c r="J15" s="572">
        <f>G15+(H15*F15)</f>
        <v>0</v>
      </c>
    </row>
    <row r="16" spans="1:67" x14ac:dyDescent="0.4">
      <c r="A16" s="694" t="s">
        <v>704</v>
      </c>
      <c r="B16" s="390" t="s">
        <v>402</v>
      </c>
      <c r="C16" s="79" t="str">
        <f>VLOOKUP(B16,'Item List'!B:AJ,2,FALSE)</f>
        <v>56" Fascia Post- Black</v>
      </c>
      <c r="D16" s="587"/>
      <c r="E16" s="588">
        <f>IF(B16="None",0,SUM('Project Materials'!J28*'Project Materials'!P28))</f>
        <v>0</v>
      </c>
      <c r="F16" s="568">
        <f>VLOOKUP(B16,'Item List'!B:AJ,4,FALSE)</f>
        <v>21.5</v>
      </c>
      <c r="G16" s="569">
        <f t="shared" si="0"/>
        <v>0</v>
      </c>
      <c r="H16" s="570">
        <f>ROUNDUP(E16*'Project Materials'!$L$17,0)</f>
        <v>0</v>
      </c>
      <c r="I16" s="589"/>
      <c r="J16" s="572">
        <f>G16+(H16*F16)</f>
        <v>0</v>
      </c>
    </row>
    <row r="17" spans="1:11" x14ac:dyDescent="0.4">
      <c r="A17" s="694" t="s">
        <v>711</v>
      </c>
      <c r="B17" s="390" t="s">
        <v>402</v>
      </c>
      <c r="C17" s="79" t="str">
        <f>VLOOKUP(B17,'Item List'!B:AJ,2,FALSE)</f>
        <v>56" Fascia Post- Black</v>
      </c>
      <c r="D17" s="587"/>
      <c r="E17" s="588">
        <f>IF(B17="None",0,SUM('Project Materials'!L28*'Project Materials'!P28))</f>
        <v>0</v>
      </c>
      <c r="F17" s="568">
        <f>VLOOKUP(B17,'Item List'!B:AJ,4,FALSE)</f>
        <v>21.5</v>
      </c>
      <c r="G17" s="569">
        <f t="shared" si="0"/>
        <v>0</v>
      </c>
      <c r="H17" s="570">
        <f>ROUNDUP(E17*'Project Materials'!$L$17,0)</f>
        <v>0</v>
      </c>
      <c r="I17" s="589"/>
      <c r="J17" s="572">
        <f>G17+(H17*F17)</f>
        <v>0</v>
      </c>
    </row>
    <row r="18" spans="1:11" x14ac:dyDescent="0.4">
      <c r="A18" s="694" t="s">
        <v>712</v>
      </c>
      <c r="B18" s="390" t="s">
        <v>402</v>
      </c>
      <c r="C18" s="79" t="str">
        <f>VLOOKUP(B18,'Item List'!B:AJ,2,FALSE)</f>
        <v>56" Fascia Post- Black</v>
      </c>
      <c r="D18" s="587"/>
      <c r="E18" s="588">
        <f>IF(B18="None",0,SUM('Project Materials'!M28*'Project Materials'!P28))</f>
        <v>0</v>
      </c>
      <c r="F18" s="568">
        <f>VLOOKUP(B18,'Item List'!B:AJ,4,FALSE)</f>
        <v>21.5</v>
      </c>
      <c r="G18" s="569">
        <f t="shared" si="0"/>
        <v>0</v>
      </c>
      <c r="H18" s="570">
        <f>ROUNDUP(E18*'Project Materials'!$L$17,0)</f>
        <v>0</v>
      </c>
      <c r="I18" s="589"/>
      <c r="J18" s="572">
        <f>G18+(H18*F18)</f>
        <v>0</v>
      </c>
    </row>
    <row r="19" spans="1:11" ht="15" thickBot="1" x14ac:dyDescent="0.45">
      <c r="A19" s="574" t="s">
        <v>714</v>
      </c>
      <c r="B19" s="575"/>
      <c r="C19" s="574"/>
      <c r="D19" s="590"/>
      <c r="E19" s="398">
        <f>SUM(E12:E18)</f>
        <v>0</v>
      </c>
      <c r="F19" s="591"/>
      <c r="G19" s="399">
        <f>SUM(G12:G18)</f>
        <v>0</v>
      </c>
      <c r="H19" s="591"/>
      <c r="I19" s="591"/>
      <c r="J19" s="399">
        <f>SUM(J12:J18)</f>
        <v>0</v>
      </c>
    </row>
    <row r="20" spans="1:11" ht="16.3" thickTop="1" x14ac:dyDescent="0.45">
      <c r="A20" s="578" t="s">
        <v>6</v>
      </c>
      <c r="B20" s="578"/>
      <c r="C20" s="578"/>
      <c r="D20" s="578"/>
      <c r="E20" s="578"/>
      <c r="F20" s="578"/>
      <c r="G20" s="578"/>
      <c r="H20" s="578"/>
      <c r="I20" s="578"/>
      <c r="J20" s="578"/>
    </row>
    <row r="21" spans="1:11" x14ac:dyDescent="0.4">
      <c r="A21" s="695" t="s">
        <v>433</v>
      </c>
      <c r="B21" s="593" t="s">
        <v>11</v>
      </c>
      <c r="C21" s="593" t="s">
        <v>12</v>
      </c>
      <c r="D21" s="593"/>
      <c r="E21" s="584" t="s">
        <v>436</v>
      </c>
      <c r="F21" s="594" t="s">
        <v>437</v>
      </c>
      <c r="G21" s="583" t="s">
        <v>425</v>
      </c>
      <c r="H21" s="583" t="s">
        <v>501</v>
      </c>
      <c r="I21" s="584" t="s">
        <v>502</v>
      </c>
      <c r="J21" s="583" t="s">
        <v>500</v>
      </c>
    </row>
    <row r="22" spans="1:11" x14ac:dyDescent="0.4">
      <c r="A22" s="694" t="s">
        <v>6</v>
      </c>
      <c r="B22" s="390" t="s">
        <v>128</v>
      </c>
      <c r="C22" s="79" t="str">
        <f>VLOOKUP(B22,'Item List'!B:AH,2,FALSE)</f>
        <v xml:space="preserve"> MBHT4512 – (HALFEN 4022 ANCHOR 12")</v>
      </c>
      <c r="D22" s="79"/>
      <c r="E22" s="588">
        <f>VLOOKUP(B22,'Item List'!B:AK,36,FALSE)</f>
        <v>0</v>
      </c>
      <c r="F22" s="568">
        <f>IF(B22="None",0,VLOOKUP(B22,'Item List'!B:AH,4,FALSE))</f>
        <v>10.95</v>
      </c>
      <c r="G22" s="569">
        <f>F22*E22</f>
        <v>0</v>
      </c>
      <c r="H22" s="79"/>
      <c r="I22" s="596">
        <f>ROUNDUP((E22*'Project Materials'!$L$18),0)</f>
        <v>0</v>
      </c>
      <c r="J22" s="572">
        <f>G22+(I22*F22)</f>
        <v>0</v>
      </c>
    </row>
    <row r="23" spans="1:11" x14ac:dyDescent="0.4">
      <c r="A23" s="694" t="s">
        <v>6</v>
      </c>
      <c r="B23" s="390" t="s">
        <v>20</v>
      </c>
      <c r="C23" s="79" t="str">
        <f>VLOOKUP(B23,'Item List'!B:AH,2,FALSE)</f>
        <v>HT4512 Corner</v>
      </c>
      <c r="D23" s="79"/>
      <c r="E23" s="588">
        <f>VLOOKUP(B23,'Item List'!B:AK,36,FALSE)</f>
        <v>0</v>
      </c>
      <c r="F23" s="568">
        <f>IF(B23="None",0,VLOOKUP(B23,'Item List'!B:AH,4,FALSE))</f>
        <v>24.96</v>
      </c>
      <c r="G23" s="569">
        <f>F23*E23</f>
        <v>0</v>
      </c>
      <c r="H23" s="79"/>
      <c r="I23" s="596">
        <f>ROUNDUP((E23*'Project Materials'!$L$18),0)</f>
        <v>0</v>
      </c>
      <c r="J23" s="572">
        <f>G23+(I23*F23)</f>
        <v>0</v>
      </c>
    </row>
    <row r="24" spans="1:11" x14ac:dyDescent="0.4">
      <c r="A24" s="694" t="s">
        <v>6</v>
      </c>
      <c r="B24" s="390" t="s">
        <v>418</v>
      </c>
      <c r="C24" s="79" t="str">
        <f>VLOOKUP(B24,'Item List'!B:AH,2,FALSE)</f>
        <v>None</v>
      </c>
      <c r="D24" s="79"/>
      <c r="E24" s="588">
        <f>VLOOKUP(B24,'Item List'!B:AK,36,FALSE)</f>
        <v>0</v>
      </c>
      <c r="F24" s="568">
        <f>IF(B24="None",0,VLOOKUP(B24,'Item List'!B:AH,4,FALSE))</f>
        <v>0</v>
      </c>
      <c r="G24" s="569">
        <f>F24*E24</f>
        <v>0</v>
      </c>
      <c r="H24" s="79"/>
      <c r="I24" s="596">
        <f>ROUNDUP((E24*'Project Materials'!$L$18),0)</f>
        <v>0</v>
      </c>
      <c r="J24" s="572">
        <f>G24+(I24*F24)</f>
        <v>0</v>
      </c>
    </row>
    <row r="25" spans="1:11" x14ac:dyDescent="0.4">
      <c r="A25" s="694" t="s">
        <v>6</v>
      </c>
      <c r="B25" s="390" t="s">
        <v>418</v>
      </c>
      <c r="C25" s="598" t="str">
        <f>VLOOKUP(B25,'Item List'!B:AH,2,FALSE)</f>
        <v>None</v>
      </c>
      <c r="D25" s="598"/>
      <c r="E25" s="588">
        <f>VLOOKUP(B25,'Item List'!B:AK,36,FALSE)</f>
        <v>0</v>
      </c>
      <c r="F25" s="568">
        <f>IF(B25="None",0,VLOOKUP(B25,'Item List'!B:AH,4,FALSE))</f>
        <v>0</v>
      </c>
      <c r="G25" s="569">
        <f>F25*E25</f>
        <v>0</v>
      </c>
      <c r="H25" s="79"/>
      <c r="I25" s="596">
        <f>ROUNDUP((E25*'Project Materials'!$L$18),0)</f>
        <v>0</v>
      </c>
      <c r="J25" s="572">
        <f>G25+(I25*F25)</f>
        <v>0</v>
      </c>
    </row>
    <row r="26" spans="1:11" ht="15" thickBot="1" x14ac:dyDescent="0.45">
      <c r="A26" s="574"/>
      <c r="B26" s="575"/>
      <c r="C26" s="574"/>
      <c r="D26" s="599"/>
      <c r="E26" s="398">
        <f>SUM(E22:E25)</f>
        <v>0</v>
      </c>
      <c r="F26" s="577"/>
      <c r="G26" s="399">
        <f>SUM(G22:G25)</f>
        <v>0</v>
      </c>
      <c r="H26" s="577"/>
      <c r="I26" s="577"/>
      <c r="J26" s="399">
        <f>SUM(J22:J25)</f>
        <v>0</v>
      </c>
    </row>
    <row r="27" spans="1:11" ht="16.3" thickTop="1" x14ac:dyDescent="0.45">
      <c r="A27" s="578" t="s">
        <v>8</v>
      </c>
      <c r="B27" s="578"/>
      <c r="C27" s="578"/>
      <c r="D27" s="578"/>
      <c r="E27" s="578"/>
      <c r="F27" s="578"/>
      <c r="G27" s="578"/>
      <c r="H27" s="578"/>
      <c r="I27" s="578"/>
      <c r="J27" s="578"/>
      <c r="K27" s="671"/>
    </row>
    <row r="28" spans="1:11" x14ac:dyDescent="0.4">
      <c r="A28" s="695" t="s">
        <v>433</v>
      </c>
      <c r="B28" s="84" t="s">
        <v>11</v>
      </c>
      <c r="C28" s="84" t="s">
        <v>12</v>
      </c>
      <c r="D28" s="600" t="s">
        <v>484</v>
      </c>
      <c r="E28" s="584" t="s">
        <v>436</v>
      </c>
      <c r="F28" s="594" t="s">
        <v>437</v>
      </c>
      <c r="G28" s="601" t="s">
        <v>425</v>
      </c>
      <c r="H28" s="583" t="s">
        <v>501</v>
      </c>
      <c r="I28" s="584" t="s">
        <v>502</v>
      </c>
      <c r="J28" s="583" t="s">
        <v>500</v>
      </c>
    </row>
    <row r="29" spans="1:11" x14ac:dyDescent="0.4">
      <c r="A29" s="693" t="s">
        <v>443</v>
      </c>
      <c r="B29" s="390" t="s">
        <v>418</v>
      </c>
      <c r="C29" s="79" t="str">
        <f>VLOOKUP(B29,'Item List'!B:AH,2,FALSE)</f>
        <v>None</v>
      </c>
      <c r="D29" s="586">
        <f>ROUNDUP(IF(B29="None",0,SUM('Project Materials'!$V$28*'Project Materials'!$I$28)/12),0)</f>
        <v>0</v>
      </c>
      <c r="E29" s="588">
        <f>IF(B29="None",0,ROUNDUP(SUM(('Project Materials'!O28*'Project Materials'!P28)*VLOOKUP(B29,'Item List'!B:AK,3,FALSE)),0))</f>
        <v>0</v>
      </c>
      <c r="F29" s="568">
        <f>IF(B29="None",0,VLOOKUP(B29,'Item List'!B:AH,4,FALSE))</f>
        <v>0</v>
      </c>
      <c r="G29" s="569">
        <f>F29*E29</f>
        <v>0</v>
      </c>
      <c r="H29" s="570">
        <f>ROUNDUP(D29*'Project Materials'!$L$17,0)</f>
        <v>0</v>
      </c>
      <c r="I29" s="571">
        <f>ROUNDUP(IF(B29="none",0,(SUM(H29/VLOOKUP(B29,'Item List'!B:AH,3,FALSE)))),0)</f>
        <v>0</v>
      </c>
      <c r="J29" s="572">
        <f>G29+(I29*F29)</f>
        <v>0</v>
      </c>
    </row>
    <row r="30" spans="1:11" x14ac:dyDescent="0.4">
      <c r="A30" s="693" t="s">
        <v>443</v>
      </c>
      <c r="B30" s="390" t="s">
        <v>418</v>
      </c>
      <c r="C30" s="79" t="str">
        <f>VLOOKUP(B30,'Item List'!B:AH,2,FALSE)</f>
        <v>None</v>
      </c>
      <c r="D30" s="586">
        <f>IF(B30="None",0,SUM('Project Materials'!$V$28*'Project Materials'!$I$28)/12)</f>
        <v>0</v>
      </c>
      <c r="E30" s="588">
        <f>IF(B30="None",0,ROUNDUP(SUM('Project Materials'!O27*VLOOKUP(B30,'Item List'!B:AK,3,FALSE)),0))</f>
        <v>0</v>
      </c>
      <c r="F30" s="568">
        <f>IF(B30="None",0,VLOOKUP(B30,'Item List'!B:AH,4,FALSE))</f>
        <v>0</v>
      </c>
      <c r="G30" s="569">
        <f>F30*E30</f>
        <v>0</v>
      </c>
      <c r="H30" s="570">
        <f>ROUNDUP(D30*'Project Materials'!$L$17,0)</f>
        <v>0</v>
      </c>
      <c r="I30" s="571">
        <f>ROUNDUP(IF(B30="none",0,(SUM(H30/VLOOKUP(B30,'Item List'!B:AH,3,FALSE)))),0)</f>
        <v>0</v>
      </c>
      <c r="J30" s="572">
        <f>G30+(I30*F30)</f>
        <v>0</v>
      </c>
    </row>
    <row r="31" spans="1:11" x14ac:dyDescent="0.4">
      <c r="A31" s="693" t="s">
        <v>444</v>
      </c>
      <c r="B31" s="390" t="s">
        <v>668</v>
      </c>
      <c r="C31" s="79" t="str">
        <f>VLOOKUP(B31,'Item List'!B:AH,2,FALSE)</f>
        <v>CLEAR TEMPERED/LAMINATED GLASS 3/8""</v>
      </c>
      <c r="D31" s="586">
        <f>ROUNDUP(IF(B31="None",0,'Project Materials'!P12*'Project Materials'!P13),1)</f>
        <v>0</v>
      </c>
      <c r="F31" s="568">
        <f>IF(B31="None",0,VLOOKUP(B31,'Item List'!B:AH,4,FALSE))</f>
        <v>11.12</v>
      </c>
      <c r="G31" s="569">
        <f>D31*F31</f>
        <v>0</v>
      </c>
      <c r="H31" s="570">
        <f>ROUNDUP(D31*'Project Materials'!$L$18,0)</f>
        <v>0</v>
      </c>
      <c r="I31" s="602"/>
      <c r="J31" s="572">
        <f>G31+(H31*F31)</f>
        <v>0</v>
      </c>
    </row>
    <row r="32" spans="1:11" x14ac:dyDescent="0.4">
      <c r="A32" s="693" t="s">
        <v>497</v>
      </c>
      <c r="B32" s="390" t="s">
        <v>676</v>
      </c>
      <c r="C32" s="79" t="str">
        <f>VLOOKUP(B32,'Item List'!B:AH,2,FALSE)</f>
        <v>CLEAR TEMPERED LAMINATED GLASS  3/8" POLISHED EDGES, PER INCH</v>
      </c>
      <c r="D32" s="603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68">
        <f>IF(B32="None",0,VLOOKUP(B32,'Item List'!B:AH,4,FALSE))</f>
        <v>0.34</v>
      </c>
      <c r="G32" s="569">
        <f>D32*F32</f>
        <v>0</v>
      </c>
      <c r="H32" s="570">
        <f>ROUNDUP(D32*'Project Materials'!$L$18,0)</f>
        <v>0</v>
      </c>
      <c r="I32" s="602"/>
      <c r="J32" s="572">
        <f>G32+(H32*F32)</f>
        <v>0</v>
      </c>
    </row>
    <row r="33" spans="1:10" x14ac:dyDescent="0.4">
      <c r="A33" s="693" t="s">
        <v>445</v>
      </c>
      <c r="B33" s="390" t="s">
        <v>418</v>
      </c>
      <c r="C33" s="79" t="str">
        <f>VLOOKUP(B33,'Item List'!B:AH,2,FALSE)</f>
        <v>None</v>
      </c>
      <c r="D33" s="586" t="str">
        <f>IF(B33="None","",(('Project Materials'!$P$7+2)*'Project Materials'!$P$8*'Project Materials'!P9)*'Project Materials'!$P$28)</f>
        <v/>
      </c>
      <c r="E33" s="571">
        <f>IF(B33="None",0,(ROUNDUP((D33/(VLOOKUP(B33,'Item List'!B:AK,3,FALSE))),0)))</f>
        <v>0</v>
      </c>
      <c r="F33" s="568">
        <f>IF(B33="None",0,VLOOKUP(B33,'Item List'!B:AH,4,FALSE))</f>
        <v>0</v>
      </c>
      <c r="G33" s="569">
        <f>F33*E33</f>
        <v>0</v>
      </c>
      <c r="H33" s="604"/>
      <c r="I33" s="571">
        <f>ROUNDUP(IF(B33="none",0,(SUM(H33/VLOOKUP(B33,'Item List'!B:AH,3,FALSE)))),0)</f>
        <v>0</v>
      </c>
      <c r="J33" s="572">
        <f>G33+(I33*F33)</f>
        <v>0</v>
      </c>
    </row>
    <row r="34" spans="1:10" x14ac:dyDescent="0.4">
      <c r="A34" s="693" t="s">
        <v>445</v>
      </c>
      <c r="B34" s="390" t="s">
        <v>418</v>
      </c>
      <c r="C34" s="79" t="str">
        <f>VLOOKUP(B34,'Item List'!B:AH,2,FALSE)</f>
        <v>None</v>
      </c>
      <c r="D34" s="586" t="str">
        <f>IF(B34="None","",(('Project Materials'!$P$7+2)*'Project Materials'!$P$8*'Project Materials'!P9)*'Project Materials'!$P$28)</f>
        <v/>
      </c>
      <c r="E34" s="571">
        <f>IF(B34="None",0,(ROUNDUP((D34/(VLOOKUP(B34,'Item List'!B:AK,3,FALSE))),0)))</f>
        <v>0</v>
      </c>
      <c r="F34" s="568">
        <f>IF(B34="None",0,VLOOKUP(B34,'Item List'!B:AH,4,FALSE))</f>
        <v>0</v>
      </c>
      <c r="G34" s="569">
        <f>F34*E34</f>
        <v>0</v>
      </c>
      <c r="H34" s="604"/>
      <c r="I34" s="571">
        <f>ROUNDUP(IF(B34="none",0,(SUM(H34/VLOOKUP(B34,'Item List'!B:AH,3,FALSE)))),0)</f>
        <v>0</v>
      </c>
      <c r="J34" s="572">
        <f>G34+(I34*F34)</f>
        <v>0</v>
      </c>
    </row>
    <row r="35" spans="1:10" x14ac:dyDescent="0.4">
      <c r="A35" s="693" t="s">
        <v>446</v>
      </c>
      <c r="B35" s="390" t="s">
        <v>418</v>
      </c>
      <c r="C35" s="79" t="str">
        <f>VLOOKUP(B35,'Item List'!B:AH,2,FALSE)</f>
        <v>None</v>
      </c>
      <c r="D35" s="587"/>
      <c r="E35" s="605"/>
      <c r="F35" s="568">
        <f>IF(B35="None",0,VLOOKUP(B35,'Item List'!B:AH,4,FALSE))</f>
        <v>0</v>
      </c>
      <c r="G35" s="569">
        <f>F35*E35</f>
        <v>0</v>
      </c>
      <c r="H35" s="604"/>
      <c r="I35" s="586">
        <f>ROUNDUP(E35*'Project Materials'!$L$18,0)</f>
        <v>0</v>
      </c>
      <c r="J35" s="572">
        <f>G35+(I35*F35)</f>
        <v>0</v>
      </c>
    </row>
    <row r="36" spans="1:10" x14ac:dyDescent="0.4">
      <c r="A36" s="693" t="s">
        <v>446</v>
      </c>
      <c r="B36" s="390" t="s">
        <v>418</v>
      </c>
      <c r="C36" s="79" t="str">
        <f>VLOOKUP(B36,'Item List'!B:AH,2,FALSE)</f>
        <v>None</v>
      </c>
      <c r="D36" s="587"/>
      <c r="E36" s="605"/>
      <c r="F36" s="568">
        <f>IF(B36="None",0,VLOOKUP(B36,'Item List'!B:AH,4,FALSE))</f>
        <v>0</v>
      </c>
      <c r="G36" s="569">
        <f>F36*E36</f>
        <v>0</v>
      </c>
      <c r="H36" s="604"/>
      <c r="I36" s="586">
        <f>ROUNDUP(E36*'Project Materials'!$L$18,0)</f>
        <v>0</v>
      </c>
      <c r="J36" s="572">
        <f>G36+(I36*F36)</f>
        <v>0</v>
      </c>
    </row>
    <row r="37" spans="1:10" ht="15" thickBot="1" x14ac:dyDescent="0.45">
      <c r="A37" s="574"/>
      <c r="B37" s="575"/>
      <c r="C37" s="574"/>
      <c r="D37" s="576"/>
      <c r="E37" s="400"/>
      <c r="F37" s="577"/>
      <c r="G37" s="399">
        <f>SUM(G29:G36)</f>
        <v>0</v>
      </c>
      <c r="H37" s="577"/>
      <c r="I37" s="577"/>
      <c r="J37" s="399">
        <f>SUM(J29:J36)</f>
        <v>0</v>
      </c>
    </row>
    <row r="38" spans="1:10" ht="16.3" thickTop="1" x14ac:dyDescent="0.45">
      <c r="A38" s="578" t="s">
        <v>363</v>
      </c>
      <c r="B38" s="578"/>
      <c r="C38" s="578"/>
      <c r="D38" s="578"/>
      <c r="E38" s="578"/>
      <c r="F38" s="578"/>
      <c r="G38" s="578"/>
      <c r="H38" s="578"/>
      <c r="I38" s="578"/>
      <c r="J38" s="578"/>
    </row>
    <row r="39" spans="1:10" x14ac:dyDescent="0.4">
      <c r="A39" s="692" t="s">
        <v>433</v>
      </c>
      <c r="B39" s="84" t="s">
        <v>11</v>
      </c>
      <c r="C39" s="84" t="s">
        <v>12</v>
      </c>
      <c r="D39" s="84"/>
      <c r="E39" s="581" t="s">
        <v>436</v>
      </c>
      <c r="F39" s="582" t="s">
        <v>437</v>
      </c>
      <c r="G39" s="583" t="s">
        <v>425</v>
      </c>
      <c r="H39" s="583" t="s">
        <v>501</v>
      </c>
      <c r="I39" s="584" t="s">
        <v>502</v>
      </c>
      <c r="J39" s="583" t="s">
        <v>500</v>
      </c>
    </row>
    <row r="40" spans="1:10" x14ac:dyDescent="0.4">
      <c r="A40" s="693" t="s">
        <v>438</v>
      </c>
      <c r="B40" s="79" t="str">
        <f>VLOOKUP('Area D'!B5,'Item List'!B:AH,26,FALSE)</f>
        <v>200EP POW Blk</v>
      </c>
      <c r="C40" s="79" t="str">
        <f>VLOOKUP(B40,'Item List'!B:AH,2,FALSE)</f>
        <v>Top Rail End Plate w/Screws- Black</v>
      </c>
      <c r="D40" s="79"/>
      <c r="E40" s="571">
        <f>IF(B40="none",0,'Project Materials'!$W$28)</f>
        <v>0</v>
      </c>
      <c r="F40" s="568">
        <f>IF(B40="None",0,VLOOKUP(B40,'Item List'!B:AH,4,FALSE))</f>
        <v>1.25</v>
      </c>
      <c r="G40" s="569">
        <f>F40*E40</f>
        <v>0</v>
      </c>
      <c r="H40" s="606"/>
      <c r="I40" s="607">
        <f>ROUNDUP((E40*'Project Materials'!$L$18),0)</f>
        <v>0</v>
      </c>
      <c r="J40" s="572">
        <f>G40+(I40*F40)</f>
        <v>0</v>
      </c>
    </row>
    <row r="41" spans="1:10" x14ac:dyDescent="0.4">
      <c r="A41" s="693" t="s">
        <v>439</v>
      </c>
      <c r="B41" s="79" t="str">
        <f>VLOOKUP('Area D'!B6,'Item List'!B:AH,26,FALSE)</f>
        <v>None</v>
      </c>
      <c r="C41" s="79" t="str">
        <f>VLOOKUP(B41,'Item List'!B:AH,2,FALSE)</f>
        <v>None</v>
      </c>
      <c r="D41" s="79"/>
      <c r="E41" s="571">
        <f>IF(B41="none",0,'Project Materials'!$X$28)</f>
        <v>0</v>
      </c>
      <c r="F41" s="568">
        <f>IF(B41="None",0,VLOOKUP(B41,'Item List'!B:AH,4,FALSE))</f>
        <v>0</v>
      </c>
      <c r="G41" s="569">
        <f>F41*E41</f>
        <v>0</v>
      </c>
      <c r="H41" s="606"/>
      <c r="I41" s="607">
        <f>ROUNDUP((E41*'Project Materials'!$L$18),0)</f>
        <v>0</v>
      </c>
      <c r="J41" s="572">
        <f>G41+(I41*F41)</f>
        <v>0</v>
      </c>
    </row>
    <row r="42" spans="1:10" x14ac:dyDescent="0.4">
      <c r="A42" s="693" t="s">
        <v>438</v>
      </c>
      <c r="B42" s="79" t="str">
        <f>VLOOKUP('Area D'!B7,'Item List'!B:AH,26,FALSE)</f>
        <v>None</v>
      </c>
      <c r="C42" s="79" t="str">
        <f>VLOOKUP(B42,'Item List'!B:AH,2,FALSE)</f>
        <v>None</v>
      </c>
      <c r="D42" s="79"/>
      <c r="E42" s="571">
        <f>IF(B42="none",0,'Project Materials'!$W$28)</f>
        <v>0</v>
      </c>
      <c r="F42" s="568">
        <f>IF(B42="None",0,VLOOKUP(B42,'Item List'!B:AH,4,FALSE))</f>
        <v>0</v>
      </c>
      <c r="G42" s="569">
        <f>F42*E42</f>
        <v>0</v>
      </c>
      <c r="H42" s="606"/>
      <c r="I42" s="607">
        <f>ROUNDUP((E42*'Project Materials'!$L$18),0)</f>
        <v>0</v>
      </c>
      <c r="J42" s="572">
        <f>G42+(I42*F42)</f>
        <v>0</v>
      </c>
    </row>
    <row r="43" spans="1:10" x14ac:dyDescent="0.4">
      <c r="A43" s="693" t="s">
        <v>439</v>
      </c>
      <c r="B43" s="79" t="str">
        <f>VLOOKUP('Area D'!B8,'Item List'!B:AH,26,FALSE)</f>
        <v>None</v>
      </c>
      <c r="C43" s="598" t="str">
        <f>VLOOKUP(B43,'Item List'!B:AH,2,FALSE)</f>
        <v>None</v>
      </c>
      <c r="D43" s="598"/>
      <c r="E43" s="571">
        <f>IF(B43="none",0,'Project Materials'!$X$28)</f>
        <v>0</v>
      </c>
      <c r="F43" s="568">
        <f>IF(B43="None",0,VLOOKUP(B43,'Item List'!B:AH,4,FALSE))</f>
        <v>0</v>
      </c>
      <c r="G43" s="569">
        <f>F43*E43</f>
        <v>0</v>
      </c>
      <c r="H43" s="606"/>
      <c r="I43" s="607">
        <f>ROUNDUP((E43*'Project Materials'!$L$18),0)</f>
        <v>0</v>
      </c>
      <c r="J43" s="572">
        <f>G43+(I43*F43)</f>
        <v>0</v>
      </c>
    </row>
    <row r="44" spans="1:10" ht="15" thickBot="1" x14ac:dyDescent="0.45">
      <c r="A44" s="574"/>
      <c r="B44" s="574"/>
      <c r="C44" s="574"/>
      <c r="D44" s="599"/>
      <c r="E44" s="400"/>
      <c r="F44" s="577"/>
      <c r="G44" s="399">
        <f>SUM(G40:G43)</f>
        <v>0</v>
      </c>
      <c r="H44" s="400"/>
      <c r="I44" s="577"/>
      <c r="J44" s="399">
        <f>SUM(J40:J43)</f>
        <v>0</v>
      </c>
    </row>
    <row r="45" spans="1:10" ht="16.3" thickTop="1" x14ac:dyDescent="0.45">
      <c r="A45" s="696" t="s">
        <v>7</v>
      </c>
      <c r="B45" s="696"/>
      <c r="C45" s="696"/>
      <c r="D45" s="696"/>
      <c r="E45" s="696"/>
      <c r="F45" s="696"/>
      <c r="G45" s="696"/>
      <c r="H45" s="696"/>
      <c r="I45" s="696"/>
      <c r="J45" s="696"/>
    </row>
    <row r="46" spans="1:10" x14ac:dyDescent="0.4">
      <c r="A46" s="692" t="s">
        <v>433</v>
      </c>
      <c r="B46" s="593" t="s">
        <v>11</v>
      </c>
      <c r="C46" s="593" t="s">
        <v>12</v>
      </c>
      <c r="D46" s="593"/>
      <c r="E46" s="584" t="s">
        <v>436</v>
      </c>
      <c r="F46" s="594" t="s">
        <v>437</v>
      </c>
      <c r="G46" s="601" t="s">
        <v>425</v>
      </c>
      <c r="H46" s="583" t="s">
        <v>501</v>
      </c>
      <c r="I46" s="584" t="s">
        <v>502</v>
      </c>
      <c r="J46" s="583" t="s">
        <v>500</v>
      </c>
    </row>
    <row r="47" spans="1:10" x14ac:dyDescent="0.4">
      <c r="A47" s="693" t="s">
        <v>796</v>
      </c>
      <c r="B47" s="79" t="str">
        <f>IF('Area D'!B5="None","None",VLOOKUP('Area D'!$B$5,'Item List'!B:AL,27,FALSE))</f>
        <v>None</v>
      </c>
      <c r="C47" s="79" t="str">
        <f>VLOOKUP(B47,'Item List'!B:AH,2,FALSE)</f>
        <v>None</v>
      </c>
      <c r="D47" s="79"/>
      <c r="E47" s="588">
        <f>VLOOKUP(B47,'Item List'!B:AM,36,FALSE)</f>
        <v>0</v>
      </c>
      <c r="F47" s="608">
        <f>VLOOKUP(B47,'Item List'!B:AH,4,FALSE)</f>
        <v>0</v>
      </c>
      <c r="G47" s="569">
        <f>F47*E47</f>
        <v>0</v>
      </c>
      <c r="H47" s="606"/>
      <c r="I47" s="607">
        <f>ROUNDUP((E47*'Project Materials'!$L$18),0)</f>
        <v>0</v>
      </c>
      <c r="J47" s="572">
        <f>G47+(I47*F47)</f>
        <v>0</v>
      </c>
    </row>
    <row r="48" spans="1:10" x14ac:dyDescent="0.4">
      <c r="A48" s="693" t="s">
        <v>797</v>
      </c>
      <c r="B48" s="79" t="str">
        <f>IF('Area D'!B6="None","None",VLOOKUP('Area D'!$B6,'Item List'!B:AL,27,FALSE))</f>
        <v>none</v>
      </c>
      <c r="C48" s="79" t="str">
        <f>VLOOKUP(B48,'Item List'!B:AH,2,FALSE)</f>
        <v>None</v>
      </c>
      <c r="D48" s="79"/>
      <c r="E48" s="588">
        <f>VLOOKUP(B48,'Item List'!B:AM,36,FALSE)</f>
        <v>0</v>
      </c>
      <c r="F48" s="608">
        <f>VLOOKUP(B48,'Item List'!B:AH,4,FALSE)</f>
        <v>0</v>
      </c>
      <c r="G48" s="569">
        <f>F48*E48</f>
        <v>0</v>
      </c>
      <c r="H48" s="606"/>
      <c r="I48" s="607">
        <f>ROUNDUP((E48*'Project Materials'!$L$18),0)</f>
        <v>0</v>
      </c>
      <c r="J48" s="572">
        <f>G48+(I48*F48)</f>
        <v>0</v>
      </c>
    </row>
    <row r="49" spans="1:10" x14ac:dyDescent="0.4">
      <c r="A49" s="693" t="s">
        <v>796</v>
      </c>
      <c r="B49" s="79" t="str">
        <f>IF('Area D'!B7="None","None",VLOOKUP('Area D'!$B7,'Item List'!B:AL,27,FALSE))</f>
        <v>None</v>
      </c>
      <c r="C49" s="609" t="str">
        <f>VLOOKUP(B49,'Item List'!B:AH,2,FALSE)</f>
        <v>None</v>
      </c>
      <c r="D49" s="609"/>
      <c r="E49" s="588">
        <f>VLOOKUP(B49,'Item List'!B:AM,36,FALSE)</f>
        <v>0</v>
      </c>
      <c r="F49" s="608">
        <f>VLOOKUP(B49,'Item List'!B:AH,4,FALSE)</f>
        <v>0</v>
      </c>
      <c r="G49" s="569">
        <f>F49*E49</f>
        <v>0</v>
      </c>
      <c r="H49" s="606"/>
      <c r="I49" s="607">
        <f>ROUNDUP((E49*'Project Materials'!$L$18),0)</f>
        <v>0</v>
      </c>
      <c r="J49" s="572">
        <f>G49+(I49*F49)</f>
        <v>0</v>
      </c>
    </row>
    <row r="50" spans="1:10" x14ac:dyDescent="0.4">
      <c r="A50" s="693" t="s">
        <v>797</v>
      </c>
      <c r="B50" s="598" t="str">
        <f>IF('Area D'!B8="None","None",VLOOKUP('Area D'!$B8,'Item List'!B:AL,27,FALSE))</f>
        <v>None</v>
      </c>
      <c r="C50" s="610" t="str">
        <f>VLOOKUP(B50,'Item List'!B:AH,2,FALSE)</f>
        <v>None</v>
      </c>
      <c r="D50" s="610"/>
      <c r="E50" s="611">
        <f>VLOOKUP(B50,'Item List'!B:AM,36,FALSE)</f>
        <v>0</v>
      </c>
      <c r="F50" s="612">
        <f>VLOOKUP(B50,'Item List'!B:AH,4,FALSE)</f>
        <v>0</v>
      </c>
      <c r="G50" s="613">
        <f>F50*E50</f>
        <v>0</v>
      </c>
      <c r="H50" s="614"/>
      <c r="I50" s="615">
        <f>ROUNDUP((E50*'Project Materials'!$L$18),0)</f>
        <v>0</v>
      </c>
      <c r="J50" s="616">
        <f>G50+(I50*F50)</f>
        <v>0</v>
      </c>
    </row>
    <row r="51" spans="1:10" x14ac:dyDescent="0.4">
      <c r="A51" s="617"/>
      <c r="B51" s="618"/>
      <c r="C51" s="619"/>
      <c r="D51" s="619"/>
      <c r="E51" s="620"/>
      <c r="F51" s="621"/>
      <c r="G51" s="622"/>
      <c r="H51" s="618"/>
      <c r="I51" s="623"/>
      <c r="J51" s="624"/>
    </row>
    <row r="52" spans="1:10" x14ac:dyDescent="0.4">
      <c r="A52" s="694" t="s">
        <v>700</v>
      </c>
      <c r="B52" s="79" t="str">
        <f>VLOOKUP('Area D'!$B$12,'Item List'!B:AL,27,FALSE)</f>
        <v>None</v>
      </c>
      <c r="C52" s="79" t="str">
        <f>VLOOKUP(B52,'Item List'!B:AH,2,FALSE)</f>
        <v>None</v>
      </c>
      <c r="D52" s="79"/>
      <c r="E52" s="625">
        <f>$E$12*VLOOKUP(B52,'Item List'!B:AM,38,FALSE)</f>
        <v>0</v>
      </c>
      <c r="F52" s="608">
        <f>VLOOKUP(B52,'Item List'!B:AH,4,FALSE)</f>
        <v>0</v>
      </c>
      <c r="G52" s="569">
        <f>F52*E52</f>
        <v>0</v>
      </c>
      <c r="H52" s="606"/>
      <c r="I52" s="607">
        <f>ROUNDUP((E52*'Project Materials'!$L$18),0)</f>
        <v>0</v>
      </c>
      <c r="J52" s="572">
        <f>G52+(I52*F52)</f>
        <v>0</v>
      </c>
    </row>
    <row r="53" spans="1:10" x14ac:dyDescent="0.4">
      <c r="A53" s="694" t="s">
        <v>700</v>
      </c>
      <c r="B53" s="79" t="str">
        <f>VLOOKUP('Area D'!$B$12,'Item List'!B:AL,28,FALSE)</f>
        <v>None</v>
      </c>
      <c r="C53" s="79" t="str">
        <f>VLOOKUP(B53,'Item List'!B:AH,2,FALSE)</f>
        <v>None</v>
      </c>
      <c r="D53" s="79"/>
      <c r="E53" s="625">
        <f>$E$12*VLOOKUP(B53,'Item List'!B:AM,38,FALSE)</f>
        <v>0</v>
      </c>
      <c r="F53" s="608">
        <f>VLOOKUP(B53,'Item List'!B:AH,4,FALSE)</f>
        <v>0</v>
      </c>
      <c r="G53" s="569">
        <f>F53*E53</f>
        <v>0</v>
      </c>
      <c r="H53" s="606"/>
      <c r="I53" s="607">
        <f>ROUNDUP((E53*'Project Materials'!$L$18),0)</f>
        <v>0</v>
      </c>
      <c r="J53" s="572">
        <f>G53+(I53*F53)</f>
        <v>0</v>
      </c>
    </row>
    <row r="54" spans="1:10" x14ac:dyDescent="0.4">
      <c r="A54" s="694" t="s">
        <v>700</v>
      </c>
      <c r="B54" s="79" t="str">
        <f>VLOOKUP('Area D'!$B$12,'Item List'!B:AL,29,FALSE)</f>
        <v>None</v>
      </c>
      <c r="C54" s="79" t="str">
        <f>VLOOKUP(B54,'Item List'!B:AH,2,FALSE)</f>
        <v>None</v>
      </c>
      <c r="D54" s="79"/>
      <c r="E54" s="625">
        <f>$E$12*VLOOKUP(B54,'Item List'!B:AM,38,FALSE)</f>
        <v>0</v>
      </c>
      <c r="F54" s="608">
        <f>VLOOKUP(B54,'Item List'!B:AH,4,FALSE)</f>
        <v>0</v>
      </c>
      <c r="G54" s="569">
        <f>F54*E54</f>
        <v>0</v>
      </c>
      <c r="H54" s="606"/>
      <c r="I54" s="607">
        <f>ROUNDUP((E54*'Project Materials'!$L$18),0)</f>
        <v>0</v>
      </c>
      <c r="J54" s="572">
        <f>G54+(I54*F54)</f>
        <v>0</v>
      </c>
    </row>
    <row r="55" spans="1:10" x14ac:dyDescent="0.4">
      <c r="A55" s="694" t="s">
        <v>700</v>
      </c>
      <c r="B55" s="79" t="str">
        <f>VLOOKUP('Area D'!$B$12,'Item List'!B:AL,30,FALSE)</f>
        <v>None</v>
      </c>
      <c r="C55" s="79" t="str">
        <f>VLOOKUP(B55,'Item List'!B:AH,2,FALSE)</f>
        <v>None</v>
      </c>
      <c r="D55" s="79"/>
      <c r="E55" s="625">
        <f>$E$12*VLOOKUP(B55,'Item List'!B:AM,38,FALSE)</f>
        <v>0</v>
      </c>
      <c r="F55" s="608">
        <f>VLOOKUP(B55,'Item List'!B:AH,4,FALSE)</f>
        <v>0</v>
      </c>
      <c r="G55" s="569">
        <f>F55*E55</f>
        <v>0</v>
      </c>
      <c r="H55" s="606"/>
      <c r="I55" s="607">
        <f>ROUNDUP((E55*'Project Materials'!$L$18),0)</f>
        <v>0</v>
      </c>
      <c r="J55" s="572">
        <f>G55+(I55*F55)</f>
        <v>0</v>
      </c>
    </row>
    <row r="56" spans="1:10" x14ac:dyDescent="0.4">
      <c r="A56" s="694" t="s">
        <v>700</v>
      </c>
      <c r="B56" s="79" t="str">
        <f>VLOOKUP('Area D'!$B$12,'Item List'!B:AL,31,FALSE)</f>
        <v>None</v>
      </c>
      <c r="C56" s="79" t="str">
        <f>VLOOKUP(B56,'Item List'!B:AH,2,FALSE)</f>
        <v>None</v>
      </c>
      <c r="D56" s="79"/>
      <c r="E56" s="625">
        <f>$E$12*VLOOKUP(B56,'Item List'!B:AM,38,FALSE)</f>
        <v>0</v>
      </c>
      <c r="F56" s="608">
        <f>VLOOKUP(B56,'Item List'!B:AH,4,FALSE)</f>
        <v>0</v>
      </c>
      <c r="G56" s="569">
        <f t="shared" ref="G56:G93" si="1">F56*E56</f>
        <v>0</v>
      </c>
      <c r="H56" s="606"/>
      <c r="I56" s="607">
        <f>ROUNDUP((E56*'Project Materials'!$L$18),0)</f>
        <v>0</v>
      </c>
      <c r="J56" s="572">
        <f t="shared" ref="J56:J93" si="2">G56+(I56*F56)</f>
        <v>0</v>
      </c>
    </row>
    <row r="57" spans="1:10" x14ac:dyDescent="0.4">
      <c r="A57" s="694" t="s">
        <v>700</v>
      </c>
      <c r="B57" s="598" t="str">
        <f>VLOOKUP('Area D'!$B$12,'Item List'!B:AL,32,FALSE)</f>
        <v>None</v>
      </c>
      <c r="C57" s="598" t="str">
        <f>VLOOKUP(B57,'Item List'!B:AH,2,FALSE)</f>
        <v>None</v>
      </c>
      <c r="D57" s="598"/>
      <c r="E57" s="626">
        <f>$E$12*VLOOKUP(B57,'Item List'!B:AM,38,FALSE)</f>
        <v>0</v>
      </c>
      <c r="F57" s="612">
        <f>VLOOKUP(B57,'Item List'!B:AH,4,FALSE)</f>
        <v>0</v>
      </c>
      <c r="G57" s="613">
        <f t="shared" si="1"/>
        <v>0</v>
      </c>
      <c r="H57" s="614"/>
      <c r="I57" s="615">
        <f>ROUNDUP((E57*'Project Materials'!$L$18),0)</f>
        <v>0</v>
      </c>
      <c r="J57" s="616">
        <f t="shared" si="2"/>
        <v>0</v>
      </c>
    </row>
    <row r="58" spans="1:10" x14ac:dyDescent="0.4">
      <c r="A58" s="694" t="s">
        <v>701</v>
      </c>
      <c r="B58" s="79" t="str">
        <f>VLOOKUP('Area D'!$B$13,'Item List'!B:AL,27,FALSE)</f>
        <v>None</v>
      </c>
      <c r="C58" s="79" t="str">
        <f>VLOOKUP(B58,'Item List'!B:AH,2,FALSE)</f>
        <v>None</v>
      </c>
      <c r="D58" s="79"/>
      <c r="E58" s="625">
        <f>$E$13*VLOOKUP(B58,'Item List'!B:AM,38,FALSE)</f>
        <v>0</v>
      </c>
      <c r="F58" s="608">
        <f>VLOOKUP(B58,'Item List'!B:AH,4,FALSE)</f>
        <v>0</v>
      </c>
      <c r="G58" s="569">
        <f t="shared" si="1"/>
        <v>0</v>
      </c>
      <c r="H58" s="606"/>
      <c r="I58" s="607">
        <f>ROUNDUP((E58*'Project Materials'!$L$18),0)</f>
        <v>0</v>
      </c>
      <c r="J58" s="572">
        <f t="shared" si="2"/>
        <v>0</v>
      </c>
    </row>
    <row r="59" spans="1:10" x14ac:dyDescent="0.4">
      <c r="A59" s="694" t="s">
        <v>701</v>
      </c>
      <c r="B59" s="79" t="str">
        <f>VLOOKUP('Area D'!$B$13,'Item List'!B:AL,28,FALSE)</f>
        <v>None</v>
      </c>
      <c r="C59" s="79" t="str">
        <f>VLOOKUP(B59,'Item List'!B:AH,2,FALSE)</f>
        <v>None</v>
      </c>
      <c r="D59" s="79"/>
      <c r="E59" s="625">
        <f>$E$13*VLOOKUP(B59,'Item List'!B:AM,38,FALSE)</f>
        <v>0</v>
      </c>
      <c r="F59" s="608">
        <f>VLOOKUP(B59,'Item List'!B:AH,4,FALSE)</f>
        <v>0</v>
      </c>
      <c r="G59" s="569">
        <f t="shared" si="1"/>
        <v>0</v>
      </c>
      <c r="H59" s="606"/>
      <c r="I59" s="607">
        <f>ROUNDUP((E59*'Project Materials'!$L$18),0)</f>
        <v>0</v>
      </c>
      <c r="J59" s="572">
        <f t="shared" si="2"/>
        <v>0</v>
      </c>
    </row>
    <row r="60" spans="1:10" x14ac:dyDescent="0.4">
      <c r="A60" s="694" t="s">
        <v>701</v>
      </c>
      <c r="B60" s="79" t="str">
        <f>VLOOKUP('Area D'!$B$13,'Item List'!B:AL,29,FALSE)</f>
        <v>None</v>
      </c>
      <c r="C60" s="79" t="str">
        <f>VLOOKUP(B60,'Item List'!B:AH,2,FALSE)</f>
        <v>None</v>
      </c>
      <c r="D60" s="79"/>
      <c r="E60" s="625">
        <f>$E$13*VLOOKUP(B60,'Item List'!B:AM,38,FALSE)</f>
        <v>0</v>
      </c>
      <c r="F60" s="608">
        <f>VLOOKUP(B60,'Item List'!B:AH,4,FALSE)</f>
        <v>0</v>
      </c>
      <c r="G60" s="569">
        <f t="shared" si="1"/>
        <v>0</v>
      </c>
      <c r="H60" s="606"/>
      <c r="I60" s="607">
        <f>ROUNDUP((E60*'Project Materials'!$L$18),0)</f>
        <v>0</v>
      </c>
      <c r="J60" s="572">
        <f t="shared" si="2"/>
        <v>0</v>
      </c>
    </row>
    <row r="61" spans="1:10" x14ac:dyDescent="0.4">
      <c r="A61" s="694" t="s">
        <v>701</v>
      </c>
      <c r="B61" s="79" t="str">
        <f>VLOOKUP('Area D'!$B$13,'Item List'!B:AL,30,FALSE)</f>
        <v>None</v>
      </c>
      <c r="C61" s="79" t="str">
        <f>VLOOKUP(B61,'Item List'!B:AH,2,FALSE)</f>
        <v>None</v>
      </c>
      <c r="D61" s="79"/>
      <c r="E61" s="625">
        <f>$E$13*VLOOKUP(B61,'Item List'!B:AM,38,FALSE)</f>
        <v>0</v>
      </c>
      <c r="F61" s="608">
        <f>VLOOKUP(B61,'Item List'!B:AH,4,FALSE)</f>
        <v>0</v>
      </c>
      <c r="G61" s="569">
        <f t="shared" si="1"/>
        <v>0</v>
      </c>
      <c r="H61" s="606"/>
      <c r="I61" s="607">
        <f>ROUNDUP((E61*'Project Materials'!$L$18),0)</f>
        <v>0</v>
      </c>
      <c r="J61" s="572">
        <f t="shared" si="2"/>
        <v>0</v>
      </c>
    </row>
    <row r="62" spans="1:10" x14ac:dyDescent="0.4">
      <c r="A62" s="694" t="s">
        <v>701</v>
      </c>
      <c r="B62" s="79" t="str">
        <f>VLOOKUP('Area D'!$B$13,'Item List'!B:AL,31,FALSE)</f>
        <v>None</v>
      </c>
      <c r="C62" s="79" t="str">
        <f>VLOOKUP(B62,'Item List'!B:AH,2,FALSE)</f>
        <v>None</v>
      </c>
      <c r="D62" s="79"/>
      <c r="E62" s="625">
        <f>$E$13*VLOOKUP(B62,'Item List'!B:AM,38,FALSE)</f>
        <v>0</v>
      </c>
      <c r="F62" s="608">
        <f>VLOOKUP(B62,'Item List'!B:AH,4,FALSE)</f>
        <v>0</v>
      </c>
      <c r="G62" s="569">
        <f t="shared" si="1"/>
        <v>0</v>
      </c>
      <c r="H62" s="606"/>
      <c r="I62" s="607">
        <f>ROUNDUP((E62*'Project Materials'!$L$18),0)</f>
        <v>0</v>
      </c>
      <c r="J62" s="572">
        <f t="shared" si="2"/>
        <v>0</v>
      </c>
    </row>
    <row r="63" spans="1:10" x14ac:dyDescent="0.4">
      <c r="A63" s="694" t="s">
        <v>701</v>
      </c>
      <c r="B63" s="628" t="str">
        <f>VLOOKUP('Area D'!$B$13,'Item List'!B:AL,32,FALSE)</f>
        <v>None</v>
      </c>
      <c r="C63" s="628" t="str">
        <f>VLOOKUP(B63,'Item List'!B:AH,2,FALSE)</f>
        <v>None</v>
      </c>
      <c r="D63" s="628"/>
      <c r="E63" s="626">
        <f>$E$13*VLOOKUP(B63,'Item List'!B:AM,38,FALSE)</f>
        <v>0</v>
      </c>
      <c r="F63" s="629">
        <f>VLOOKUP(B63,'Item List'!B:AH,4,FALSE)</f>
        <v>0</v>
      </c>
      <c r="G63" s="630">
        <f t="shared" si="1"/>
        <v>0</v>
      </c>
      <c r="H63" s="606"/>
      <c r="I63" s="631">
        <f>ROUNDUP((E63*'Project Materials'!$L$18),0)</f>
        <v>0</v>
      </c>
      <c r="J63" s="632">
        <f t="shared" si="2"/>
        <v>0</v>
      </c>
    </row>
    <row r="64" spans="1:10" x14ac:dyDescent="0.4">
      <c r="A64" s="694" t="s">
        <v>702</v>
      </c>
      <c r="B64" s="79" t="str">
        <f>VLOOKUP('Area D'!$B$14,'Item List'!B:AL,27,FALSE)</f>
        <v>None</v>
      </c>
      <c r="C64" s="79" t="str">
        <f>VLOOKUP(B64,'Item List'!B:AH,2,FALSE)</f>
        <v>None</v>
      </c>
      <c r="D64" s="79"/>
      <c r="E64" s="625">
        <f>$E$14*VLOOKUP(B64,'Item List'!B:AM,38,FALSE)</f>
        <v>0</v>
      </c>
      <c r="F64" s="608">
        <f>VLOOKUP(B64,'Item List'!B:AH,4,FALSE)</f>
        <v>0</v>
      </c>
      <c r="G64" s="569">
        <f t="shared" si="1"/>
        <v>0</v>
      </c>
      <c r="H64" s="606"/>
      <c r="I64" s="607">
        <f>ROUNDUP((E64*'Project Materials'!$L$18),0)</f>
        <v>0</v>
      </c>
      <c r="J64" s="572">
        <f t="shared" si="2"/>
        <v>0</v>
      </c>
    </row>
    <row r="65" spans="1:10" x14ac:dyDescent="0.4">
      <c r="A65" s="694" t="s">
        <v>702</v>
      </c>
      <c r="B65" s="79" t="str">
        <f>VLOOKUP('Area D'!$B$14,'Item List'!B:AL,28,FALSE)</f>
        <v>None</v>
      </c>
      <c r="C65" s="79" t="str">
        <f>VLOOKUP(B65,'Item List'!B:AH,2,FALSE)</f>
        <v>None</v>
      </c>
      <c r="D65" s="79"/>
      <c r="E65" s="625">
        <f>$E$14*VLOOKUP(B65,'Item List'!B:AM,38,FALSE)</f>
        <v>0</v>
      </c>
      <c r="F65" s="608">
        <f>VLOOKUP(B65,'Item List'!B:AH,4,FALSE)</f>
        <v>0</v>
      </c>
      <c r="G65" s="569">
        <f t="shared" si="1"/>
        <v>0</v>
      </c>
      <c r="H65" s="606"/>
      <c r="I65" s="607">
        <f>ROUNDUP((E65*'Project Materials'!$L$18),0)</f>
        <v>0</v>
      </c>
      <c r="J65" s="572">
        <f t="shared" si="2"/>
        <v>0</v>
      </c>
    </row>
    <row r="66" spans="1:10" x14ac:dyDescent="0.4">
      <c r="A66" s="694" t="s">
        <v>702</v>
      </c>
      <c r="B66" s="79" t="str">
        <f>VLOOKUP('Area D'!$B$14,'Item List'!B:AL,29,FALSE)</f>
        <v>None</v>
      </c>
      <c r="C66" s="79" t="str">
        <f>VLOOKUP(B66,'Item List'!B:AH,2,FALSE)</f>
        <v>None</v>
      </c>
      <c r="D66" s="79"/>
      <c r="E66" s="588">
        <f>$E$14*VLOOKUP(B66,'Item List'!B:AM,38,FALSE)</f>
        <v>0</v>
      </c>
      <c r="F66" s="608">
        <f>VLOOKUP(B66,'Item List'!B:AH,4,FALSE)</f>
        <v>0</v>
      </c>
      <c r="G66" s="569">
        <f t="shared" si="1"/>
        <v>0</v>
      </c>
      <c r="H66" s="606"/>
      <c r="I66" s="607">
        <f>ROUNDUP((E66*'Project Materials'!$L$18),0)</f>
        <v>0</v>
      </c>
      <c r="J66" s="572">
        <f t="shared" si="2"/>
        <v>0</v>
      </c>
    </row>
    <row r="67" spans="1:10" x14ac:dyDescent="0.4">
      <c r="A67" s="694" t="s">
        <v>702</v>
      </c>
      <c r="B67" s="79" t="str">
        <f>VLOOKUP('Area D'!$B$14,'Item List'!B:AL,30,FALSE)</f>
        <v>None</v>
      </c>
      <c r="C67" s="79" t="str">
        <f>VLOOKUP(B67,'Item List'!B:AH,2,FALSE)</f>
        <v>None</v>
      </c>
      <c r="D67" s="79"/>
      <c r="E67" s="588">
        <f>$E$14*VLOOKUP(B67,'Item List'!B:AM,38,FALSE)</f>
        <v>0</v>
      </c>
      <c r="F67" s="608">
        <f>VLOOKUP(B67,'Item List'!B:AH,4,FALSE)</f>
        <v>0</v>
      </c>
      <c r="G67" s="569">
        <f t="shared" si="1"/>
        <v>0</v>
      </c>
      <c r="H67" s="606"/>
      <c r="I67" s="607">
        <f>ROUNDUP((E67*'Project Materials'!$L$18),0)</f>
        <v>0</v>
      </c>
      <c r="J67" s="572">
        <f t="shared" si="2"/>
        <v>0</v>
      </c>
    </row>
    <row r="68" spans="1:10" x14ac:dyDescent="0.4">
      <c r="A68" s="694" t="s">
        <v>702</v>
      </c>
      <c r="B68" s="79" t="str">
        <f>VLOOKUP('Area D'!$B$14,'Item List'!B:AL,31,FALSE)</f>
        <v>None</v>
      </c>
      <c r="C68" s="79" t="str">
        <f>VLOOKUP(B68,'Item List'!B:AH,2,FALSE)</f>
        <v>None</v>
      </c>
      <c r="D68" s="79"/>
      <c r="E68" s="588">
        <f>$E$14*VLOOKUP(B68,'Item List'!B:AM,38,FALSE)</f>
        <v>0</v>
      </c>
      <c r="F68" s="608">
        <f>VLOOKUP(B68,'Item List'!B:AH,4,FALSE)</f>
        <v>0</v>
      </c>
      <c r="G68" s="569">
        <f t="shared" si="1"/>
        <v>0</v>
      </c>
      <c r="H68" s="606"/>
      <c r="I68" s="607">
        <f>ROUNDUP((E68*'Project Materials'!$L$18),0)</f>
        <v>0</v>
      </c>
      <c r="J68" s="572">
        <f t="shared" si="2"/>
        <v>0</v>
      </c>
    </row>
    <row r="69" spans="1:10" x14ac:dyDescent="0.4">
      <c r="A69" s="694" t="s">
        <v>702</v>
      </c>
      <c r="B69" s="598" t="str">
        <f>VLOOKUP('Area D'!$B$14,'Item List'!B:AL,32,FALSE)</f>
        <v>None</v>
      </c>
      <c r="C69" s="598" t="str">
        <f>VLOOKUP(B69,'Item List'!B:AH,2,FALSE)</f>
        <v>None</v>
      </c>
      <c r="D69" s="598"/>
      <c r="E69" s="611">
        <f>$E$14*VLOOKUP(B69,'Item List'!B:AM,38,FALSE)</f>
        <v>0</v>
      </c>
      <c r="F69" s="612">
        <f>VLOOKUP(B69,'Item List'!B:AH,4,FALSE)</f>
        <v>0</v>
      </c>
      <c r="G69" s="613">
        <f t="shared" si="1"/>
        <v>0</v>
      </c>
      <c r="H69" s="614"/>
      <c r="I69" s="615">
        <f>ROUNDUP((E69*'Project Materials'!$L$18),0)</f>
        <v>0</v>
      </c>
      <c r="J69" s="616">
        <f t="shared" si="2"/>
        <v>0</v>
      </c>
    </row>
    <row r="70" spans="1:10" x14ac:dyDescent="0.4">
      <c r="A70" s="694" t="s">
        <v>703</v>
      </c>
      <c r="B70" s="79" t="str">
        <f>VLOOKUP('Area D'!$B$15,'Item List'!B:AL,27,FALSE)</f>
        <v>None</v>
      </c>
      <c r="C70" s="79" t="str">
        <f>VLOOKUP(B70,'Item List'!B:AH,2,FALSE)</f>
        <v>None</v>
      </c>
      <c r="D70" s="79"/>
      <c r="E70" s="588">
        <f>$E$15*VLOOKUP(B70,'Item List'!B:AM,38,FALSE)</f>
        <v>0</v>
      </c>
      <c r="F70" s="608">
        <f>VLOOKUP(B70,'Item List'!B:AH,4,FALSE)</f>
        <v>0</v>
      </c>
      <c r="G70" s="569">
        <f t="shared" si="1"/>
        <v>0</v>
      </c>
      <c r="H70" s="606"/>
      <c r="I70" s="607">
        <f>ROUNDUP((E70*'Project Materials'!$L$18),0)</f>
        <v>0</v>
      </c>
      <c r="J70" s="572">
        <f t="shared" si="2"/>
        <v>0</v>
      </c>
    </row>
    <row r="71" spans="1:10" x14ac:dyDescent="0.4">
      <c r="A71" s="694" t="s">
        <v>703</v>
      </c>
      <c r="B71" s="79" t="str">
        <f>VLOOKUP('Area D'!$B$15,'Item List'!B:AL,28,FALSE)</f>
        <v>SS W805X100 - Blk</v>
      </c>
      <c r="C71" s="79" t="str">
        <f>VLOOKUP(B71,'Item List'!B:AH,2,FALSE)</f>
        <v>TR &amp; BR Screws - #10 x 5/8" Phillips Pan Head Self Drill Stainless Steel Zinc Plated - Black- One screw</v>
      </c>
      <c r="D71" s="79"/>
      <c r="E71" s="588">
        <f>$E$15*VLOOKUP(B71,'Item List'!B:AM,38,FALSE)</f>
        <v>0</v>
      </c>
      <c r="F71" s="608">
        <f>VLOOKUP(B71,'Item List'!B:AH,4,FALSE)</f>
        <v>0.1</v>
      </c>
      <c r="G71" s="569">
        <f t="shared" si="1"/>
        <v>0</v>
      </c>
      <c r="H71" s="606"/>
      <c r="I71" s="607">
        <f>ROUNDUP((E71*'Project Materials'!$L$18),0)</f>
        <v>0</v>
      </c>
      <c r="J71" s="572">
        <f t="shared" si="2"/>
        <v>0</v>
      </c>
    </row>
    <row r="72" spans="1:10" x14ac:dyDescent="0.4">
      <c r="A72" s="694" t="s">
        <v>703</v>
      </c>
      <c r="B72" s="79" t="str">
        <f>VLOOKUP('Area D'!$B$15,'Item List'!B:AL,29,FALSE)</f>
        <v>None</v>
      </c>
      <c r="C72" s="79" t="str">
        <f>VLOOKUP(B72,'Item List'!B:AH,2,FALSE)</f>
        <v>None</v>
      </c>
      <c r="D72" s="79"/>
      <c r="E72" s="588">
        <f>$E$15*VLOOKUP(B72,'Item List'!B:AM,38,FALSE)</f>
        <v>0</v>
      </c>
      <c r="F72" s="608">
        <f>VLOOKUP(B72,'Item List'!B:AH,4,FALSE)</f>
        <v>0</v>
      </c>
      <c r="G72" s="569">
        <f t="shared" si="1"/>
        <v>0</v>
      </c>
      <c r="H72" s="606"/>
      <c r="I72" s="607">
        <f>ROUNDUP((E72*'Project Materials'!$L$18),0)</f>
        <v>0</v>
      </c>
      <c r="J72" s="572">
        <f t="shared" si="2"/>
        <v>0</v>
      </c>
    </row>
    <row r="73" spans="1:10" x14ac:dyDescent="0.4">
      <c r="A73" s="694" t="s">
        <v>703</v>
      </c>
      <c r="B73" s="79" t="str">
        <f>VLOOKUP('Area D'!$B$15,'Item List'!B:AL,30,FALSE)</f>
        <v>None</v>
      </c>
      <c r="C73" s="79" t="str">
        <f>VLOOKUP(B73,'Item List'!B:AH,2,FALSE)</f>
        <v>None</v>
      </c>
      <c r="D73" s="79"/>
      <c r="E73" s="588">
        <f>$E$15*VLOOKUP(B73,'Item List'!B:AM,38,FALSE)</f>
        <v>0</v>
      </c>
      <c r="F73" s="608">
        <f>VLOOKUP(B73,'Item List'!B:AH,4,FALSE)</f>
        <v>0</v>
      </c>
      <c r="G73" s="569">
        <f t="shared" si="1"/>
        <v>0</v>
      </c>
      <c r="H73" s="606"/>
      <c r="I73" s="607">
        <f>ROUNDUP((E73*'Project Materials'!$L$18),0)</f>
        <v>0</v>
      </c>
      <c r="J73" s="572">
        <f t="shared" si="2"/>
        <v>0</v>
      </c>
    </row>
    <row r="74" spans="1:10" x14ac:dyDescent="0.4">
      <c r="A74" s="694" t="s">
        <v>703</v>
      </c>
      <c r="B74" s="79" t="str">
        <f>VLOOKUP('Area D'!$B$15,'Item List'!B:AL,31,FALSE)</f>
        <v>None</v>
      </c>
      <c r="C74" s="79" t="str">
        <f>VLOOKUP(B74,'Item List'!B:AH,2,FALSE)</f>
        <v>None</v>
      </c>
      <c r="D74" s="79"/>
      <c r="E74" s="588">
        <f>$E$15*VLOOKUP(B74,'Item List'!B:AM,38,FALSE)</f>
        <v>0</v>
      </c>
      <c r="F74" s="608">
        <f>VLOOKUP(B74,'Item List'!B:AH,4,FALSE)</f>
        <v>0</v>
      </c>
      <c r="G74" s="569">
        <f t="shared" si="1"/>
        <v>0</v>
      </c>
      <c r="H74" s="606"/>
      <c r="I74" s="607">
        <f>ROUNDUP((E74*'Project Materials'!$L$18),0)</f>
        <v>0</v>
      </c>
      <c r="J74" s="572">
        <f t="shared" si="2"/>
        <v>0</v>
      </c>
    </row>
    <row r="75" spans="1:10" x14ac:dyDescent="0.4">
      <c r="A75" s="694" t="s">
        <v>703</v>
      </c>
      <c r="B75" s="598" t="str">
        <f>VLOOKUP('Area D'!$B$15,'Item List'!B:AL,32,FALSE)</f>
        <v>None</v>
      </c>
      <c r="C75" s="598" t="str">
        <f>VLOOKUP(B75,'Item List'!B:AH,2,FALSE)</f>
        <v>None</v>
      </c>
      <c r="D75" s="598"/>
      <c r="E75" s="611">
        <f>$E$15*VLOOKUP(B75,'Item List'!B:AM,38,FALSE)</f>
        <v>0</v>
      </c>
      <c r="F75" s="612">
        <f>VLOOKUP(B75,'Item List'!B:AH,4,FALSE)</f>
        <v>0</v>
      </c>
      <c r="G75" s="613">
        <f t="shared" si="1"/>
        <v>0</v>
      </c>
      <c r="H75" s="614"/>
      <c r="I75" s="615">
        <f>ROUNDUP((E75*'Project Materials'!$L$18),0)</f>
        <v>0</v>
      </c>
      <c r="J75" s="616">
        <f t="shared" si="2"/>
        <v>0</v>
      </c>
    </row>
    <row r="76" spans="1:10" x14ac:dyDescent="0.4">
      <c r="A76" s="694" t="s">
        <v>704</v>
      </c>
      <c r="B76" s="79" t="str">
        <f>VLOOKUP('Area D'!$B$16,'Item List'!B:AL,27,FALSE)</f>
        <v>None</v>
      </c>
      <c r="C76" s="79" t="str">
        <f>VLOOKUP(B76,'Item List'!B:AH,2,FALSE)</f>
        <v>None</v>
      </c>
      <c r="D76" s="79"/>
      <c r="E76" s="588">
        <f>$E$16*VLOOKUP(B76,'Item List'!B:AM,38,FALSE)</f>
        <v>0</v>
      </c>
      <c r="F76" s="608">
        <f>VLOOKUP(B76,'Item List'!B:AH,4,FALSE)</f>
        <v>0</v>
      </c>
      <c r="G76" s="569">
        <f t="shared" si="1"/>
        <v>0</v>
      </c>
      <c r="H76" s="606"/>
      <c r="I76" s="607">
        <f>ROUNDUP((E76*'Project Materials'!$L$18),0)</f>
        <v>0</v>
      </c>
      <c r="J76" s="572">
        <f t="shared" si="2"/>
        <v>0</v>
      </c>
    </row>
    <row r="77" spans="1:10" x14ac:dyDescent="0.4">
      <c r="A77" s="694" t="s">
        <v>704</v>
      </c>
      <c r="B77" s="79" t="str">
        <f>VLOOKUP('Area D'!$B$16,'Item List'!B:AL,28,FALSE)</f>
        <v>SS W805X100 - Blk</v>
      </c>
      <c r="C77" s="79" t="str">
        <f>VLOOKUP(B77,'Item List'!B:AH,2,FALSE)</f>
        <v>TR &amp; BR Screws - #10 x 5/8" Phillips Pan Head Self Drill Stainless Steel Zinc Plated - Black- One screw</v>
      </c>
      <c r="D77" s="79"/>
      <c r="E77" s="588">
        <f>$E$16*VLOOKUP(B77,'Item List'!B:AM,38,FALSE)</f>
        <v>0</v>
      </c>
      <c r="F77" s="608">
        <f>VLOOKUP(B77,'Item List'!B:AH,4,FALSE)</f>
        <v>0.1</v>
      </c>
      <c r="G77" s="569">
        <f t="shared" si="1"/>
        <v>0</v>
      </c>
      <c r="H77" s="606"/>
      <c r="I77" s="607">
        <f>ROUNDUP((E77*'Project Materials'!$L$18),0)</f>
        <v>0</v>
      </c>
      <c r="J77" s="572">
        <f t="shared" si="2"/>
        <v>0</v>
      </c>
    </row>
    <row r="78" spans="1:10" x14ac:dyDescent="0.4">
      <c r="A78" s="694" t="s">
        <v>704</v>
      </c>
      <c r="B78" s="79" t="str">
        <f>VLOOKUP('Area D'!$B$16,'Item List'!B:AL,29,FALSE)</f>
        <v>None</v>
      </c>
      <c r="C78" s="79" t="str">
        <f>VLOOKUP(B78,'Item List'!B:AH,2,FALSE)</f>
        <v>None</v>
      </c>
      <c r="D78" s="79"/>
      <c r="E78" s="588">
        <f>$E$16*VLOOKUP(B78,'Item List'!B:AM,38,FALSE)</f>
        <v>0</v>
      </c>
      <c r="F78" s="608">
        <f>VLOOKUP(B78,'Item List'!B:AH,4,FALSE)</f>
        <v>0</v>
      </c>
      <c r="G78" s="569">
        <f t="shared" si="1"/>
        <v>0</v>
      </c>
      <c r="H78" s="606"/>
      <c r="I78" s="607">
        <f>ROUNDUP((E78*'Project Materials'!$L$18),0)</f>
        <v>0</v>
      </c>
      <c r="J78" s="572">
        <f t="shared" si="2"/>
        <v>0</v>
      </c>
    </row>
    <row r="79" spans="1:10" x14ac:dyDescent="0.4">
      <c r="A79" s="694" t="s">
        <v>704</v>
      </c>
      <c r="B79" s="79" t="str">
        <f>VLOOKUP('Area D'!$B$16,'Item List'!B:AL,30,FALSE)</f>
        <v>None</v>
      </c>
      <c r="C79" s="79" t="str">
        <f>VLOOKUP(B79,'Item List'!B:AH,2,FALSE)</f>
        <v>None</v>
      </c>
      <c r="D79" s="79"/>
      <c r="E79" s="588">
        <f>$E$16*VLOOKUP(B79,'Item List'!B:AM,38,FALSE)</f>
        <v>0</v>
      </c>
      <c r="F79" s="608">
        <f>VLOOKUP(B79,'Item List'!B:AH,4,FALSE)</f>
        <v>0</v>
      </c>
      <c r="G79" s="569">
        <f t="shared" si="1"/>
        <v>0</v>
      </c>
      <c r="H79" s="606"/>
      <c r="I79" s="607">
        <f>ROUNDUP((E79*'Project Materials'!$L$18),0)</f>
        <v>0</v>
      </c>
      <c r="J79" s="572">
        <f t="shared" si="2"/>
        <v>0</v>
      </c>
    </row>
    <row r="80" spans="1:10" x14ac:dyDescent="0.4">
      <c r="A80" s="694" t="s">
        <v>704</v>
      </c>
      <c r="B80" s="79" t="str">
        <f>VLOOKUP('Area D'!$B$16,'Item List'!B:AL,31,FALSE)</f>
        <v>None</v>
      </c>
      <c r="C80" s="79" t="str">
        <f>VLOOKUP(B80,'Item List'!B:AH,2,FALSE)</f>
        <v>None</v>
      </c>
      <c r="D80" s="79"/>
      <c r="E80" s="588">
        <f>$E$16*VLOOKUP(B80,'Item List'!B:AM,38,FALSE)</f>
        <v>0</v>
      </c>
      <c r="F80" s="608">
        <f>VLOOKUP(B80,'Item List'!B:AH,4,FALSE)</f>
        <v>0</v>
      </c>
      <c r="G80" s="569">
        <f t="shared" si="1"/>
        <v>0</v>
      </c>
      <c r="H80" s="606"/>
      <c r="I80" s="607">
        <f>ROUNDUP((E80*'Project Materials'!$L$18),0)</f>
        <v>0</v>
      </c>
      <c r="J80" s="572">
        <f t="shared" si="2"/>
        <v>0</v>
      </c>
    </row>
    <row r="81" spans="1:10" x14ac:dyDescent="0.4">
      <c r="A81" s="694" t="s">
        <v>704</v>
      </c>
      <c r="B81" s="598" t="str">
        <f>VLOOKUP('Area D'!$B$16,'Item List'!B:AL,32,FALSE)</f>
        <v>None</v>
      </c>
      <c r="C81" s="598" t="str">
        <f>VLOOKUP(B81,'Item List'!B:AH,2,FALSE)</f>
        <v>None</v>
      </c>
      <c r="D81" s="598"/>
      <c r="E81" s="611">
        <f>$E$16*VLOOKUP(B81,'Item List'!B:AM,38,FALSE)</f>
        <v>0</v>
      </c>
      <c r="F81" s="612">
        <f>VLOOKUP(B81,'Item List'!B:AH,4,FALSE)</f>
        <v>0</v>
      </c>
      <c r="G81" s="613">
        <f t="shared" si="1"/>
        <v>0</v>
      </c>
      <c r="H81" s="614"/>
      <c r="I81" s="615">
        <f>ROUNDUP((E81*'Project Materials'!$L$18),0)</f>
        <v>0</v>
      </c>
      <c r="J81" s="616">
        <f t="shared" si="2"/>
        <v>0</v>
      </c>
    </row>
    <row r="82" spans="1:10" x14ac:dyDescent="0.4">
      <c r="A82" s="694" t="s">
        <v>711</v>
      </c>
      <c r="B82" s="79" t="str">
        <f>VLOOKUP('Area D'!$B$17,'Item List'!B:AL,27,FALSE)</f>
        <v>None</v>
      </c>
      <c r="C82" s="633" t="str">
        <f>VLOOKUP(B82,'Item List'!B:AH,2,FALSE)</f>
        <v>None</v>
      </c>
      <c r="D82" s="633"/>
      <c r="E82" s="588">
        <f>$E$17*VLOOKUP(B82,'Item List'!B:AM,38,FALSE)</f>
        <v>0</v>
      </c>
      <c r="F82" s="608">
        <f>VLOOKUP(B82,'Item List'!B:AH,4,FALSE)</f>
        <v>0</v>
      </c>
      <c r="G82" s="569">
        <f t="shared" si="1"/>
        <v>0</v>
      </c>
      <c r="H82" s="606"/>
      <c r="I82" s="607">
        <f>ROUNDUP((E82*'Project Materials'!$L$18),0)</f>
        <v>0</v>
      </c>
      <c r="J82" s="572">
        <f t="shared" si="2"/>
        <v>0</v>
      </c>
    </row>
    <row r="83" spans="1:10" x14ac:dyDescent="0.4">
      <c r="A83" s="694" t="s">
        <v>711</v>
      </c>
      <c r="B83" s="79" t="str">
        <f>VLOOKUP('Area D'!$B$17,'Item List'!B:AL,28,FALSE)</f>
        <v>SS W805X100 - Blk</v>
      </c>
      <c r="C83" s="633" t="str">
        <f>VLOOKUP(B83,'Item List'!B:AH,2,FALSE)</f>
        <v>TR &amp; BR Screws - #10 x 5/8" Phillips Pan Head Self Drill Stainless Steel Zinc Plated - Black- One screw</v>
      </c>
      <c r="D83" s="633"/>
      <c r="E83" s="588">
        <f>$E$17*VLOOKUP(B83,'Item List'!B:AM,38,FALSE)</f>
        <v>0</v>
      </c>
      <c r="F83" s="608">
        <f>VLOOKUP(B83,'Item List'!B:AH,4,FALSE)</f>
        <v>0.1</v>
      </c>
      <c r="G83" s="569">
        <f t="shared" si="1"/>
        <v>0</v>
      </c>
      <c r="H83" s="606"/>
      <c r="I83" s="607">
        <f>ROUNDUP((E83*'Project Materials'!$L$18),0)</f>
        <v>0</v>
      </c>
      <c r="J83" s="572">
        <f t="shared" si="2"/>
        <v>0</v>
      </c>
    </row>
    <row r="84" spans="1:10" x14ac:dyDescent="0.4">
      <c r="A84" s="694" t="s">
        <v>711</v>
      </c>
      <c r="B84" s="79" t="str">
        <f>VLOOKUP('Area D'!$B$17,'Item List'!B:AL,29,FALSE)</f>
        <v>None</v>
      </c>
      <c r="C84" s="633" t="str">
        <f>VLOOKUP(B84,'Item List'!B:AH,2,FALSE)</f>
        <v>None</v>
      </c>
      <c r="D84" s="633"/>
      <c r="E84" s="588">
        <f>$E$17*VLOOKUP(B84,'Item List'!B:AM,38,FALSE)</f>
        <v>0</v>
      </c>
      <c r="F84" s="608">
        <f>VLOOKUP(B84,'Item List'!B:AH,4,FALSE)</f>
        <v>0</v>
      </c>
      <c r="G84" s="569">
        <f t="shared" si="1"/>
        <v>0</v>
      </c>
      <c r="H84" s="606"/>
      <c r="I84" s="607">
        <f>ROUNDUP((E84*'Project Materials'!$L$18),0)</f>
        <v>0</v>
      </c>
      <c r="J84" s="572">
        <f t="shared" si="2"/>
        <v>0</v>
      </c>
    </row>
    <row r="85" spans="1:10" x14ac:dyDescent="0.4">
      <c r="A85" s="694" t="s">
        <v>711</v>
      </c>
      <c r="B85" s="79" t="str">
        <f>VLOOKUP('Area D'!$B$17,'Item List'!B:AL,30,FALSE)</f>
        <v>None</v>
      </c>
      <c r="C85" s="633" t="str">
        <f>VLOOKUP(B85,'Item List'!B:AH,2,FALSE)</f>
        <v>None</v>
      </c>
      <c r="D85" s="633"/>
      <c r="E85" s="588">
        <f>$E$17*VLOOKUP(B85,'Item List'!B:AM,38,FALSE)</f>
        <v>0</v>
      </c>
      <c r="F85" s="608">
        <f>VLOOKUP(B85,'Item List'!B:AH,4,FALSE)</f>
        <v>0</v>
      </c>
      <c r="G85" s="569">
        <f t="shared" si="1"/>
        <v>0</v>
      </c>
      <c r="H85" s="606"/>
      <c r="I85" s="607">
        <f>ROUNDUP((E85*'Project Materials'!$L$18),0)</f>
        <v>0</v>
      </c>
      <c r="J85" s="572">
        <f t="shared" si="2"/>
        <v>0</v>
      </c>
    </row>
    <row r="86" spans="1:10" x14ac:dyDescent="0.4">
      <c r="A86" s="694" t="s">
        <v>711</v>
      </c>
      <c r="B86" s="79" t="str">
        <f>VLOOKUP('Area D'!$B$17,'Item List'!B:AL,31,FALSE)</f>
        <v>None</v>
      </c>
      <c r="C86" s="633" t="str">
        <f>VLOOKUP(B86,'Item List'!B:AH,2,FALSE)</f>
        <v>None</v>
      </c>
      <c r="D86" s="633"/>
      <c r="E86" s="588">
        <f>$E$17*VLOOKUP(B86,'Item List'!B:AM,38,FALSE)</f>
        <v>0</v>
      </c>
      <c r="F86" s="608">
        <f>VLOOKUP(B86,'Item List'!B:AH,4,FALSE)</f>
        <v>0</v>
      </c>
      <c r="G86" s="569">
        <f t="shared" si="1"/>
        <v>0</v>
      </c>
      <c r="H86" s="606"/>
      <c r="I86" s="607">
        <f>ROUNDUP((E86*'Project Materials'!$L$18),0)</f>
        <v>0</v>
      </c>
      <c r="J86" s="572">
        <f t="shared" si="2"/>
        <v>0</v>
      </c>
    </row>
    <row r="87" spans="1:10" x14ac:dyDescent="0.4">
      <c r="A87" s="694" t="s">
        <v>711</v>
      </c>
      <c r="B87" s="598" t="str">
        <f>VLOOKUP('Area D'!$B$17,'Item List'!B:AL,32,FALSE)</f>
        <v>None</v>
      </c>
      <c r="C87" s="633" t="str">
        <f>VLOOKUP(B87,'Item List'!B:AH,2,FALSE)</f>
        <v>None</v>
      </c>
      <c r="D87" s="633"/>
      <c r="E87" s="634">
        <f>$E$17*VLOOKUP(B87,'Item List'!B:AM,38,FALSE)</f>
        <v>0</v>
      </c>
      <c r="F87" s="635">
        <f>VLOOKUP(B87,'Item List'!B:AH,4,FALSE)</f>
        <v>0</v>
      </c>
      <c r="G87" s="636">
        <f t="shared" si="1"/>
        <v>0</v>
      </c>
      <c r="H87" s="637"/>
      <c r="I87" s="638">
        <f>ROUNDUP((E87*'Project Materials'!$L$18),0)</f>
        <v>0</v>
      </c>
      <c r="J87" s="639">
        <f t="shared" si="2"/>
        <v>0</v>
      </c>
    </row>
    <row r="88" spans="1:10" x14ac:dyDescent="0.4">
      <c r="A88" s="694" t="s">
        <v>712</v>
      </c>
      <c r="B88" s="79" t="str">
        <f>VLOOKUP('Area D'!$B$18,'Item List'!B:AL,27,FALSE)</f>
        <v>None</v>
      </c>
      <c r="C88" s="627" t="str">
        <f>VLOOKUP(B88,'Item List'!B:AH,2,FALSE)</f>
        <v>None</v>
      </c>
      <c r="D88" s="627"/>
      <c r="E88" s="640">
        <f>$E$18*VLOOKUP(B88,'Item List'!B:AM,38,FALSE)</f>
        <v>0</v>
      </c>
      <c r="F88" s="641">
        <f>VLOOKUP(B88,'Item List'!B:AH,4,FALSE)</f>
        <v>0</v>
      </c>
      <c r="G88" s="642">
        <f t="shared" si="1"/>
        <v>0</v>
      </c>
      <c r="H88" s="643"/>
      <c r="I88" s="644">
        <f>ROUNDUP((E88*'Project Materials'!$L$18),0)</f>
        <v>0</v>
      </c>
      <c r="J88" s="645">
        <f t="shared" si="2"/>
        <v>0</v>
      </c>
    </row>
    <row r="89" spans="1:10" x14ac:dyDescent="0.4">
      <c r="A89" s="694" t="s">
        <v>712</v>
      </c>
      <c r="B89" s="79" t="str">
        <f>VLOOKUP('Area D'!$B$18,'Item List'!B:AL,28,FALSE)</f>
        <v>SS W805X100 - Blk</v>
      </c>
      <c r="C89" s="633" t="str">
        <f>VLOOKUP(B89,'Item List'!B:AH,2,FALSE)</f>
        <v>TR &amp; BR Screws - #10 x 5/8" Phillips Pan Head Self Drill Stainless Steel Zinc Plated - Black- One screw</v>
      </c>
      <c r="D89" s="633"/>
      <c r="E89" s="634">
        <f>$E$18*VLOOKUP(B89,'Item List'!B:AM,38,FALSE)</f>
        <v>0</v>
      </c>
      <c r="F89" s="635">
        <f>VLOOKUP(B89,'Item List'!B:AH,4,FALSE)</f>
        <v>0.1</v>
      </c>
      <c r="G89" s="636">
        <f t="shared" si="1"/>
        <v>0</v>
      </c>
      <c r="H89" s="637"/>
      <c r="I89" s="638">
        <f>ROUNDUP((E89*'Project Materials'!$L$18),0)</f>
        <v>0</v>
      </c>
      <c r="J89" s="639">
        <f t="shared" si="2"/>
        <v>0</v>
      </c>
    </row>
    <row r="90" spans="1:10" x14ac:dyDescent="0.4">
      <c r="A90" s="694" t="s">
        <v>712</v>
      </c>
      <c r="B90" s="79" t="str">
        <f>VLOOKUP('Area D'!$B$18,'Item List'!B:AL,29,FALSE)</f>
        <v>None</v>
      </c>
      <c r="C90" s="633" t="str">
        <f>VLOOKUP(B90,'Item List'!B:AH,2,FALSE)</f>
        <v>None</v>
      </c>
      <c r="D90" s="633"/>
      <c r="E90" s="634">
        <f>$E$18*VLOOKUP(B90,'Item List'!B:AM,38,FALSE)</f>
        <v>0</v>
      </c>
      <c r="F90" s="635">
        <f>VLOOKUP(B90,'Item List'!B:AH,4,FALSE)</f>
        <v>0</v>
      </c>
      <c r="G90" s="636">
        <f t="shared" si="1"/>
        <v>0</v>
      </c>
      <c r="H90" s="637"/>
      <c r="I90" s="638">
        <f>ROUNDUP((E90*'Project Materials'!$L$18),0)</f>
        <v>0</v>
      </c>
      <c r="J90" s="639">
        <f t="shared" si="2"/>
        <v>0</v>
      </c>
    </row>
    <row r="91" spans="1:10" x14ac:dyDescent="0.4">
      <c r="A91" s="694" t="s">
        <v>712</v>
      </c>
      <c r="B91" s="79" t="str">
        <f>VLOOKUP('Area D'!$B$18,'Item List'!B:AL,30,FALSE)</f>
        <v>None</v>
      </c>
      <c r="C91" s="633" t="str">
        <f>VLOOKUP(B91,'Item List'!B:AH,2,FALSE)</f>
        <v>None</v>
      </c>
      <c r="D91" s="633"/>
      <c r="E91" s="634">
        <f>$E$18*VLOOKUP(B91,'Item List'!B:AM,38,FALSE)</f>
        <v>0</v>
      </c>
      <c r="F91" s="635">
        <f>VLOOKUP(B91,'Item List'!B:AH,4,FALSE)</f>
        <v>0</v>
      </c>
      <c r="G91" s="636">
        <f t="shared" si="1"/>
        <v>0</v>
      </c>
      <c r="H91" s="637"/>
      <c r="I91" s="638">
        <f>ROUNDUP((E91*'Project Materials'!$L$18),0)</f>
        <v>0</v>
      </c>
      <c r="J91" s="639">
        <f t="shared" si="2"/>
        <v>0</v>
      </c>
    </row>
    <row r="92" spans="1:10" x14ac:dyDescent="0.4">
      <c r="A92" s="694" t="s">
        <v>712</v>
      </c>
      <c r="B92" s="79" t="str">
        <f>VLOOKUP('Area D'!$B$18,'Item List'!B:AL,31,FALSE)</f>
        <v>None</v>
      </c>
      <c r="C92" s="633" t="str">
        <f>VLOOKUP(B92,'Item List'!B:AH,2,FALSE)</f>
        <v>None</v>
      </c>
      <c r="D92" s="633"/>
      <c r="E92" s="634">
        <f>$E$18*VLOOKUP(B92,'Item List'!B:AM,38,FALSE)</f>
        <v>0</v>
      </c>
      <c r="F92" s="635">
        <f>VLOOKUP(B92,'Item List'!B:AH,4,FALSE)</f>
        <v>0</v>
      </c>
      <c r="G92" s="636">
        <f t="shared" si="1"/>
        <v>0</v>
      </c>
      <c r="H92" s="637"/>
      <c r="I92" s="638">
        <f>ROUNDUP((E92*'Project Materials'!$L$18),0)</f>
        <v>0</v>
      </c>
      <c r="J92" s="639">
        <f t="shared" si="2"/>
        <v>0</v>
      </c>
    </row>
    <row r="93" spans="1:10" x14ac:dyDescent="0.4">
      <c r="A93" s="694" t="s">
        <v>712</v>
      </c>
      <c r="B93" s="598" t="str">
        <f>VLOOKUP('Area D'!$B$18,'Item List'!B:AL,32,FALSE)</f>
        <v>None</v>
      </c>
      <c r="C93" s="598" t="str">
        <f>VLOOKUP(B93,'Item List'!B:AH,2,FALSE)</f>
        <v>None</v>
      </c>
      <c r="D93" s="598"/>
      <c r="E93" s="611">
        <f>$E$18*VLOOKUP(B93,'Item List'!B:AM,38,FALSE)</f>
        <v>0</v>
      </c>
      <c r="F93" s="612">
        <f>VLOOKUP(B93,'Item List'!B:AH,4,FALSE)</f>
        <v>0</v>
      </c>
      <c r="G93" s="613">
        <f t="shared" si="1"/>
        <v>0</v>
      </c>
      <c r="H93" s="614"/>
      <c r="I93" s="615">
        <f>ROUNDUP((E93*'Project Materials'!$L$18),0)</f>
        <v>0</v>
      </c>
      <c r="J93" s="616">
        <f t="shared" si="2"/>
        <v>0</v>
      </c>
    </row>
    <row r="94" spans="1:10" x14ac:dyDescent="0.4">
      <c r="A94" s="617"/>
      <c r="B94" s="646"/>
      <c r="C94" s="651"/>
      <c r="D94" s="651"/>
      <c r="E94" s="648"/>
      <c r="F94" s="649"/>
      <c r="G94" s="650"/>
      <c r="H94" s="646"/>
      <c r="I94" s="651"/>
      <c r="J94" s="652"/>
    </row>
    <row r="95" spans="1:10" x14ac:dyDescent="0.4">
      <c r="A95" s="693" t="s">
        <v>6</v>
      </c>
      <c r="B95" s="79" t="str">
        <f>VLOOKUP('Area D'!$B$22,'Item List'!B:AL,27,FALSE)</f>
        <v>None</v>
      </c>
      <c r="C95" s="79" t="str">
        <f>VLOOKUP(B95,'Item List'!B:AH,2,FALSE)</f>
        <v>None</v>
      </c>
      <c r="D95" s="79"/>
      <c r="E95" s="625">
        <f>$E$22*VLOOKUP(B95,'Item List'!B:AM,38,FALSE)</f>
        <v>0</v>
      </c>
      <c r="F95" s="608">
        <f>VLOOKUP(B95,'Item List'!B:AH,4,FALSE)</f>
        <v>0</v>
      </c>
      <c r="G95" s="569">
        <f>F95*E95</f>
        <v>0</v>
      </c>
      <c r="H95" s="606"/>
      <c r="I95" s="607">
        <f>ROUNDUP((E95*'Project Materials'!$L$18),0)</f>
        <v>0</v>
      </c>
      <c r="J95" s="572">
        <f>G95+(I95*F95)</f>
        <v>0</v>
      </c>
    </row>
    <row r="96" spans="1:10" x14ac:dyDescent="0.4">
      <c r="A96" s="693" t="s">
        <v>6</v>
      </c>
      <c r="B96" s="79" t="str">
        <f>VLOOKUP('Area D'!$B$22,'Item List'!B:AL,28,FALSE)</f>
        <v>T Bolts 1/2 x 1 1/2- Halfen</v>
      </c>
      <c r="C96" s="79" t="str">
        <f>VLOOKUP(B96,'Item List'!B:AH,2,FALSE)</f>
        <v>tee bolts w/hex nuts for HT4512 channel profile, BF4411 –(HALFEN 4022B&amp;N M12X40 (4.6))  std. grade, electo plated</v>
      </c>
      <c r="D96" s="79"/>
      <c r="E96" s="625">
        <f>$E$22*VLOOKUP(B96,'Item List'!B:AM,38,FALSE)</f>
        <v>0</v>
      </c>
      <c r="F96" s="608">
        <f>VLOOKUP(B96,'Item List'!B:AH,4,FALSE)</f>
        <v>2.37</v>
      </c>
      <c r="G96" s="569">
        <f>F96*E96</f>
        <v>0</v>
      </c>
      <c r="H96" s="606"/>
      <c r="I96" s="607">
        <f>ROUNDUP((E96*'Project Materials'!$L$18),0)</f>
        <v>0</v>
      </c>
      <c r="J96" s="572">
        <f>G96+(I96*F96)</f>
        <v>0</v>
      </c>
    </row>
    <row r="97" spans="1:10" x14ac:dyDescent="0.4">
      <c r="A97" s="693" t="s">
        <v>6</v>
      </c>
      <c r="B97" s="79" t="str">
        <f>VLOOKUP('Area D'!$B$22,'Item List'!B:AL,29,FALSE)</f>
        <v>L Brackets</v>
      </c>
      <c r="C97" s="79" t="str">
        <f>VLOOKUP(B97,'Item List'!B:AH,2,FALSE)</f>
        <v>3/8 Aluminum Angle Brackets</v>
      </c>
      <c r="D97" s="79"/>
      <c r="E97" s="625">
        <f>$E$22*VLOOKUP(B97,'Item List'!B:AM,38,FALSE)</f>
        <v>0</v>
      </c>
      <c r="F97" s="608">
        <f>VLOOKUP(B97,'Item List'!B:AH,4,FALSE)</f>
        <v>7</v>
      </c>
      <c r="G97" s="569">
        <f>F97*E97</f>
        <v>0</v>
      </c>
      <c r="H97" s="606"/>
      <c r="I97" s="607">
        <f>ROUNDUP((E97*'Project Materials'!$L$18),0)</f>
        <v>0</v>
      </c>
      <c r="J97" s="572">
        <f>G97+(I97*F97)</f>
        <v>0</v>
      </c>
    </row>
    <row r="98" spans="1:10" x14ac:dyDescent="0.4">
      <c r="A98" s="693" t="s">
        <v>6</v>
      </c>
      <c r="B98" s="79" t="str">
        <f>VLOOKUP('Area D'!$B$22,'Item List'!B:AL,30,FALSE)</f>
        <v>3/8 x 4" SS Hex Cap Bolt</v>
      </c>
      <c r="C98" s="79" t="str">
        <f>VLOOKUP(B98,'Item List'!B:AH,2,FALSE)</f>
        <v>3/8" x 4" SS Hex Cap Screw</v>
      </c>
      <c r="D98" s="79"/>
      <c r="E98" s="625">
        <f>$E$22*VLOOKUP(B98,'Item List'!B:AM,38,FALSE)</f>
        <v>0</v>
      </c>
      <c r="F98" s="608">
        <f>VLOOKUP(B98,'Item List'!B:AH,4,FALSE)</f>
        <v>0.38</v>
      </c>
      <c r="G98" s="569">
        <f>F98*E98</f>
        <v>0</v>
      </c>
      <c r="H98" s="606"/>
      <c r="I98" s="607">
        <f>ROUNDUP((E98*'Project Materials'!$L$18),0)</f>
        <v>0</v>
      </c>
      <c r="J98" s="572">
        <f>G98+(I98*F98)</f>
        <v>0</v>
      </c>
    </row>
    <row r="99" spans="1:10" x14ac:dyDescent="0.4">
      <c r="A99" s="693" t="s">
        <v>6</v>
      </c>
      <c r="B99" s="79" t="str">
        <f>VLOOKUP('Area D'!$B$22,'Item List'!B:AL,31,FALSE)</f>
        <v>Bottom Cap for PEU-Mill Finish</v>
      </c>
      <c r="C99" s="79" t="str">
        <f>VLOOKUP(B99,'Item List'!B:AH,2,FALSE)</f>
        <v>Standard post bottom cap - Mill Finish</v>
      </c>
      <c r="D99" s="79"/>
      <c r="E99" s="625">
        <f>$E$22*VLOOKUP(B99,'Item List'!B:AM,38,FALSE)</f>
        <v>0</v>
      </c>
      <c r="F99" s="608">
        <f>VLOOKUP(B99,'Item List'!B:AH,4,FALSE)</f>
        <v>1.75</v>
      </c>
      <c r="G99" s="569">
        <f t="shared" ref="G99:G118" si="3">F99*E99</f>
        <v>0</v>
      </c>
      <c r="H99" s="606"/>
      <c r="I99" s="607">
        <f>ROUNDUP((E99*'Project Materials'!$L$18),0)</f>
        <v>0</v>
      </c>
      <c r="J99" s="572">
        <f t="shared" ref="J99:J118" si="4">G99+(I99*F99)</f>
        <v>0</v>
      </c>
    </row>
    <row r="100" spans="1:10" x14ac:dyDescent="0.4">
      <c r="A100" s="697" t="s">
        <v>6</v>
      </c>
      <c r="B100" s="598" t="str">
        <f>VLOOKUP('Area D'!$B$22,'Item List'!B:AL,32,FALSE)</f>
        <v>None</v>
      </c>
      <c r="C100" s="598" t="str">
        <f>VLOOKUP(B100,'Item List'!B:AH,2,FALSE)</f>
        <v>None</v>
      </c>
      <c r="D100" s="598"/>
      <c r="E100" s="626">
        <f>$E$22*VLOOKUP(B100,'Item List'!B:AM,38,FALSE)</f>
        <v>0</v>
      </c>
      <c r="F100" s="612">
        <f>VLOOKUP(B100,'Item List'!B:AH,4,FALSE)</f>
        <v>0</v>
      </c>
      <c r="G100" s="613">
        <f t="shared" si="3"/>
        <v>0</v>
      </c>
      <c r="H100" s="614"/>
      <c r="I100" s="615">
        <f>ROUNDUP((E100*'Project Materials'!$L$18),0)</f>
        <v>0</v>
      </c>
      <c r="J100" s="616">
        <f t="shared" si="4"/>
        <v>0</v>
      </c>
    </row>
    <row r="101" spans="1:10" x14ac:dyDescent="0.4">
      <c r="A101" s="693" t="s">
        <v>6</v>
      </c>
      <c r="B101" s="79" t="str">
        <f>VLOOKUP('Area D'!$B$23,'Item List'!B:AL,27,FALSE)</f>
        <v>None</v>
      </c>
      <c r="C101" s="79" t="str">
        <f>VLOOKUP(B101,'Item List'!B:AH,2,FALSE)</f>
        <v>None</v>
      </c>
      <c r="D101" s="79"/>
      <c r="E101" s="625">
        <f>$E$23*VLOOKUP(B101,'Item List'!B:AM,38,FALSE)</f>
        <v>0</v>
      </c>
      <c r="F101" s="608">
        <f>VLOOKUP(B101,'Item List'!B:AH,4,FALSE)</f>
        <v>0</v>
      </c>
      <c r="G101" s="569">
        <f t="shared" si="3"/>
        <v>0</v>
      </c>
      <c r="H101" s="606"/>
      <c r="I101" s="607">
        <f>ROUNDUP((E101*'Project Materials'!$L$18),0)</f>
        <v>0</v>
      </c>
      <c r="J101" s="572">
        <f t="shared" si="4"/>
        <v>0</v>
      </c>
    </row>
    <row r="102" spans="1:10" x14ac:dyDescent="0.4">
      <c r="A102" s="693" t="s">
        <v>6</v>
      </c>
      <c r="B102" s="79" t="str">
        <f>VLOOKUP('Area D'!$B$23,'Item List'!B:AL,28,FALSE)</f>
        <v>T Bolts 1/2 x 1 1/2- Halfen</v>
      </c>
      <c r="C102" s="79" t="str">
        <f>VLOOKUP(B102,'Item List'!B:AH,2,FALSE)</f>
        <v>tee bolts w/hex nuts for HT4512 channel profile, BF4411 –(HALFEN 4022B&amp;N M12X40 (4.6))  std. grade, electo plated</v>
      </c>
      <c r="D102" s="79"/>
      <c r="E102" s="625">
        <f>$E$23*VLOOKUP(B102,'Item List'!B:AM,38,FALSE)</f>
        <v>0</v>
      </c>
      <c r="F102" s="608">
        <f>VLOOKUP(B102,'Item List'!B:AH,4,FALSE)</f>
        <v>2.37</v>
      </c>
      <c r="G102" s="569">
        <f t="shared" si="3"/>
        <v>0</v>
      </c>
      <c r="H102" s="606"/>
      <c r="I102" s="607">
        <f>ROUNDUP((E102*'Project Materials'!$L$18),0)</f>
        <v>0</v>
      </c>
      <c r="J102" s="572">
        <f t="shared" si="4"/>
        <v>0</v>
      </c>
    </row>
    <row r="103" spans="1:10" x14ac:dyDescent="0.4">
      <c r="A103" s="693" t="s">
        <v>6</v>
      </c>
      <c r="B103" s="79" t="str">
        <f>VLOOKUP('Area D'!$B$23,'Item List'!B:AL,29,FALSE)</f>
        <v>L Brackets</v>
      </c>
      <c r="C103" s="79" t="str">
        <f>VLOOKUP(B103,'Item List'!B:AH,2,FALSE)</f>
        <v>3/8 Aluminum Angle Brackets</v>
      </c>
      <c r="D103" s="79"/>
      <c r="E103" s="625">
        <f>$E$23*VLOOKUP(B103,'Item List'!B:AM,38,FALSE)</f>
        <v>0</v>
      </c>
      <c r="F103" s="608">
        <f>VLOOKUP(B103,'Item List'!B:AH,4,FALSE)</f>
        <v>7</v>
      </c>
      <c r="G103" s="569">
        <f t="shared" si="3"/>
        <v>0</v>
      </c>
      <c r="H103" s="606"/>
      <c r="I103" s="607">
        <f>ROUNDUP((E103*'Project Materials'!$L$18),0)</f>
        <v>0</v>
      </c>
      <c r="J103" s="572">
        <f t="shared" si="4"/>
        <v>0</v>
      </c>
    </row>
    <row r="104" spans="1:10" x14ac:dyDescent="0.4">
      <c r="A104" s="693" t="s">
        <v>6</v>
      </c>
      <c r="B104" s="79" t="str">
        <f>VLOOKUP('Area D'!$B$23,'Item List'!B:AL,30,FALSE)</f>
        <v>3/8 x 4" SS Hex Cap Bolt</v>
      </c>
      <c r="C104" s="79" t="str">
        <f>VLOOKUP(B104,'Item List'!B:AH,2,FALSE)</f>
        <v>3/8" x 4" SS Hex Cap Screw</v>
      </c>
      <c r="D104" s="79"/>
      <c r="E104" s="625">
        <f>$E$23*VLOOKUP(B104,'Item List'!B:AM,38,FALSE)</f>
        <v>0</v>
      </c>
      <c r="F104" s="608">
        <f>VLOOKUP(B104,'Item List'!B:AH,4,FALSE)</f>
        <v>0.38</v>
      </c>
      <c r="G104" s="569">
        <f t="shared" si="3"/>
        <v>0</v>
      </c>
      <c r="H104" s="606"/>
      <c r="I104" s="607">
        <f>ROUNDUP((E104*'Project Materials'!$L$18),0)</f>
        <v>0</v>
      </c>
      <c r="J104" s="572">
        <f t="shared" si="4"/>
        <v>0</v>
      </c>
    </row>
    <row r="105" spans="1:10" x14ac:dyDescent="0.4">
      <c r="A105" s="693" t="s">
        <v>6</v>
      </c>
      <c r="B105" s="79" t="str">
        <f>VLOOKUP('Area D'!$B$23,'Item List'!B:AL,31,FALSE)</f>
        <v>Bottom Cap for PEU-Mill Finish</v>
      </c>
      <c r="C105" s="79" t="str">
        <f>VLOOKUP(B105,'Item List'!B:AH,2,FALSE)</f>
        <v>Standard post bottom cap - Mill Finish</v>
      </c>
      <c r="D105" s="79"/>
      <c r="E105" s="625">
        <f>$E$23*VLOOKUP(B105,'Item List'!B:AM,38,FALSE)</f>
        <v>0</v>
      </c>
      <c r="F105" s="608">
        <f>VLOOKUP(B105,'Item List'!B:AH,4,FALSE)</f>
        <v>1.75</v>
      </c>
      <c r="G105" s="569">
        <f t="shared" si="3"/>
        <v>0</v>
      </c>
      <c r="H105" s="606"/>
      <c r="I105" s="607">
        <f>ROUNDUP((E105*'Project Materials'!$L$18),0)</f>
        <v>0</v>
      </c>
      <c r="J105" s="572">
        <f t="shared" si="4"/>
        <v>0</v>
      </c>
    </row>
    <row r="106" spans="1:10" x14ac:dyDescent="0.4">
      <c r="A106" s="697" t="s">
        <v>6</v>
      </c>
      <c r="B106" s="628" t="str">
        <f>VLOOKUP('Area D'!$B$23,'Item List'!B:AL,32,FALSE)</f>
        <v>None</v>
      </c>
      <c r="C106" s="628" t="str">
        <f>VLOOKUP(B106,'Item List'!B:AH,2,FALSE)</f>
        <v>None</v>
      </c>
      <c r="D106" s="628"/>
      <c r="E106" s="626">
        <f>$E$23*VLOOKUP(B106,'Item List'!B:AM,38,FALSE)</f>
        <v>0</v>
      </c>
      <c r="F106" s="629">
        <f>VLOOKUP(B106,'Item List'!B:AH,4,FALSE)</f>
        <v>0</v>
      </c>
      <c r="G106" s="630">
        <f t="shared" si="3"/>
        <v>0</v>
      </c>
      <c r="H106" s="606"/>
      <c r="I106" s="631">
        <f>ROUNDUP((E106*'Project Materials'!$L$18),0)</f>
        <v>0</v>
      </c>
      <c r="J106" s="632">
        <f t="shared" si="4"/>
        <v>0</v>
      </c>
    </row>
    <row r="107" spans="1:10" x14ac:dyDescent="0.4">
      <c r="A107" s="693" t="s">
        <v>6</v>
      </c>
      <c r="B107" s="79" t="str">
        <f>VLOOKUP('Area D'!$B$24,'Item List'!B:AL,27,FALSE)</f>
        <v>None</v>
      </c>
      <c r="C107" s="79" t="str">
        <f>VLOOKUP(B107,'Item List'!B:AH,2,FALSE)</f>
        <v>None</v>
      </c>
      <c r="D107" s="79"/>
      <c r="E107" s="625">
        <f>$E$24*VLOOKUP(B107,'Item List'!B:AM,38,FALSE)</f>
        <v>0</v>
      </c>
      <c r="F107" s="608">
        <f>VLOOKUP(B107,'Item List'!B:AH,4,FALSE)</f>
        <v>0</v>
      </c>
      <c r="G107" s="569">
        <f t="shared" si="3"/>
        <v>0</v>
      </c>
      <c r="H107" s="606"/>
      <c r="I107" s="607">
        <f>ROUNDUP((E107*'Project Materials'!$L$18),0)</f>
        <v>0</v>
      </c>
      <c r="J107" s="572">
        <f t="shared" si="4"/>
        <v>0</v>
      </c>
    </row>
    <row r="108" spans="1:10" x14ac:dyDescent="0.4">
      <c r="A108" s="693" t="s">
        <v>6</v>
      </c>
      <c r="B108" s="79" t="str">
        <f>VLOOKUP('Area D'!$B$24,'Item List'!B:AL,28,FALSE)</f>
        <v>None</v>
      </c>
      <c r="C108" s="79" t="str">
        <f>VLOOKUP(B108,'Item List'!B:AH,2,FALSE)</f>
        <v>None</v>
      </c>
      <c r="D108" s="79"/>
      <c r="E108" s="625">
        <f>$E$24*VLOOKUP(B108,'Item List'!B:AM,38,FALSE)</f>
        <v>0</v>
      </c>
      <c r="F108" s="608">
        <f>VLOOKUP(B108,'Item List'!B:AH,4,FALSE)</f>
        <v>0</v>
      </c>
      <c r="G108" s="569">
        <f t="shared" si="3"/>
        <v>0</v>
      </c>
      <c r="H108" s="606"/>
      <c r="I108" s="607">
        <f>ROUNDUP((E108*'Project Materials'!$L$18),0)</f>
        <v>0</v>
      </c>
      <c r="J108" s="572">
        <f t="shared" si="4"/>
        <v>0</v>
      </c>
    </row>
    <row r="109" spans="1:10" x14ac:dyDescent="0.4">
      <c r="A109" s="693" t="s">
        <v>6</v>
      </c>
      <c r="B109" s="79" t="str">
        <f>VLOOKUP('Area D'!$B$24,'Item List'!B:AL,29,FALSE)</f>
        <v>None</v>
      </c>
      <c r="C109" s="79" t="str">
        <f>VLOOKUP(B109,'Item List'!B:AH,2,FALSE)</f>
        <v>None</v>
      </c>
      <c r="D109" s="79"/>
      <c r="E109" s="588">
        <f>$E$24*VLOOKUP(B109,'Item List'!B:AM,38,FALSE)</f>
        <v>0</v>
      </c>
      <c r="F109" s="608">
        <f>VLOOKUP(B109,'Item List'!B:AH,4,FALSE)</f>
        <v>0</v>
      </c>
      <c r="G109" s="569">
        <f t="shared" si="3"/>
        <v>0</v>
      </c>
      <c r="H109" s="606"/>
      <c r="I109" s="607">
        <f>ROUNDUP((E109*'Project Materials'!$L$18),0)</f>
        <v>0</v>
      </c>
      <c r="J109" s="572">
        <f t="shared" si="4"/>
        <v>0</v>
      </c>
    </row>
    <row r="110" spans="1:10" x14ac:dyDescent="0.4">
      <c r="A110" s="693" t="s">
        <v>6</v>
      </c>
      <c r="B110" s="79" t="str">
        <f>VLOOKUP('Area D'!$B$24,'Item List'!B:AL,30,FALSE)</f>
        <v>None</v>
      </c>
      <c r="C110" s="79" t="str">
        <f>VLOOKUP(B110,'Item List'!B:AH,2,FALSE)</f>
        <v>None</v>
      </c>
      <c r="D110" s="79"/>
      <c r="E110" s="588">
        <f>$E$24*VLOOKUP(B110,'Item List'!B:AM,38,FALSE)</f>
        <v>0</v>
      </c>
      <c r="F110" s="608">
        <f>VLOOKUP(B110,'Item List'!B:AH,4,FALSE)</f>
        <v>0</v>
      </c>
      <c r="G110" s="569">
        <f t="shared" si="3"/>
        <v>0</v>
      </c>
      <c r="H110" s="606"/>
      <c r="I110" s="607">
        <f>ROUNDUP((E110*'Project Materials'!$L$18),0)</f>
        <v>0</v>
      </c>
      <c r="J110" s="572">
        <f t="shared" si="4"/>
        <v>0</v>
      </c>
    </row>
    <row r="111" spans="1:10" x14ac:dyDescent="0.4">
      <c r="A111" s="693" t="s">
        <v>6</v>
      </c>
      <c r="B111" s="79" t="str">
        <f>VLOOKUP('Area D'!$B$24,'Item List'!B:AL,31,FALSE)</f>
        <v>None</v>
      </c>
      <c r="C111" s="79" t="str">
        <f>VLOOKUP(B111,'Item List'!B:AH,2,FALSE)</f>
        <v>None</v>
      </c>
      <c r="D111" s="79"/>
      <c r="E111" s="588">
        <f>$E$24*VLOOKUP(B111,'Item List'!B:AM,38,FALSE)</f>
        <v>0</v>
      </c>
      <c r="F111" s="608">
        <f>VLOOKUP(B111,'Item List'!B:AH,4,FALSE)</f>
        <v>0</v>
      </c>
      <c r="G111" s="569">
        <f t="shared" si="3"/>
        <v>0</v>
      </c>
      <c r="H111" s="606"/>
      <c r="I111" s="607">
        <f>ROUNDUP((E111*'Project Materials'!$L$18),0)</f>
        <v>0</v>
      </c>
      <c r="J111" s="572">
        <f t="shared" si="4"/>
        <v>0</v>
      </c>
    </row>
    <row r="112" spans="1:10" x14ac:dyDescent="0.4">
      <c r="A112" s="697" t="s">
        <v>6</v>
      </c>
      <c r="B112" s="598" t="str">
        <f>VLOOKUP('Area D'!$B$24,'Item List'!B:AL,32,FALSE)</f>
        <v>None</v>
      </c>
      <c r="C112" s="598" t="str">
        <f>VLOOKUP(B112,'Item List'!B:AH,2,FALSE)</f>
        <v>None</v>
      </c>
      <c r="D112" s="598"/>
      <c r="E112" s="611">
        <f>$E$24*VLOOKUP(B112,'Item List'!B:AM,38,FALSE)</f>
        <v>0</v>
      </c>
      <c r="F112" s="612">
        <f>VLOOKUP(B112,'Item List'!B:AH,4,FALSE)</f>
        <v>0</v>
      </c>
      <c r="G112" s="613">
        <f t="shared" si="3"/>
        <v>0</v>
      </c>
      <c r="H112" s="614"/>
      <c r="I112" s="615">
        <f>ROUNDUP((E112*'Project Materials'!$L$18),0)</f>
        <v>0</v>
      </c>
      <c r="J112" s="616">
        <f t="shared" si="4"/>
        <v>0</v>
      </c>
    </row>
    <row r="113" spans="1:10" x14ac:dyDescent="0.4">
      <c r="A113" s="693" t="s">
        <v>6</v>
      </c>
      <c r="B113" s="79" t="str">
        <f>VLOOKUP('Area D'!$B$25,'Item List'!B:AL,27,FALSE)</f>
        <v>None</v>
      </c>
      <c r="C113" s="79" t="str">
        <f>VLOOKUP(B113,'Item List'!B:AH,2,FALSE)</f>
        <v>None</v>
      </c>
      <c r="D113" s="79"/>
      <c r="E113" s="588">
        <f>$E$25*VLOOKUP(B113,'Item List'!B:AM,38,FALSE)</f>
        <v>0</v>
      </c>
      <c r="F113" s="608">
        <f>VLOOKUP(B113,'Item List'!B:AH,4,FALSE)</f>
        <v>0</v>
      </c>
      <c r="G113" s="569">
        <f t="shared" si="3"/>
        <v>0</v>
      </c>
      <c r="H113" s="606"/>
      <c r="I113" s="607">
        <f>ROUNDUP((E113*'Project Materials'!$L$18),0)</f>
        <v>0</v>
      </c>
      <c r="J113" s="572">
        <f t="shared" si="4"/>
        <v>0</v>
      </c>
    </row>
    <row r="114" spans="1:10" x14ac:dyDescent="0.4">
      <c r="A114" s="693" t="s">
        <v>6</v>
      </c>
      <c r="B114" s="79" t="str">
        <f>VLOOKUP('Area D'!$B$25,'Item List'!B:AL,28,FALSE)</f>
        <v>None</v>
      </c>
      <c r="C114" s="79" t="str">
        <f>VLOOKUP(B114,'Item List'!B:AH,2,FALSE)</f>
        <v>None</v>
      </c>
      <c r="D114" s="79"/>
      <c r="E114" s="588">
        <f>$E$25*VLOOKUP(B114,'Item List'!B:AM,38,FALSE)</f>
        <v>0</v>
      </c>
      <c r="F114" s="608">
        <f>VLOOKUP(B114,'Item List'!B:AH,4,FALSE)</f>
        <v>0</v>
      </c>
      <c r="G114" s="569">
        <f t="shared" si="3"/>
        <v>0</v>
      </c>
      <c r="H114" s="606"/>
      <c r="I114" s="607">
        <f>ROUNDUP((E114*'Project Materials'!$L$18),0)</f>
        <v>0</v>
      </c>
      <c r="J114" s="572">
        <f t="shared" si="4"/>
        <v>0</v>
      </c>
    </row>
    <row r="115" spans="1:10" x14ac:dyDescent="0.4">
      <c r="A115" s="693" t="s">
        <v>6</v>
      </c>
      <c r="B115" s="79" t="str">
        <f>VLOOKUP('Area D'!$B$25,'Item List'!B:AL,29,FALSE)</f>
        <v>None</v>
      </c>
      <c r="C115" s="79" t="str">
        <f>VLOOKUP(B115,'Item List'!B:AH,2,FALSE)</f>
        <v>None</v>
      </c>
      <c r="D115" s="79"/>
      <c r="E115" s="588">
        <f>$E$25*VLOOKUP(B115,'Item List'!B:AM,38,FALSE)</f>
        <v>0</v>
      </c>
      <c r="F115" s="608">
        <f>VLOOKUP(B115,'Item List'!B:AH,4,FALSE)</f>
        <v>0</v>
      </c>
      <c r="G115" s="569">
        <f t="shared" si="3"/>
        <v>0</v>
      </c>
      <c r="H115" s="606"/>
      <c r="I115" s="607">
        <f>ROUNDUP((E115*'Project Materials'!$L$18),0)</f>
        <v>0</v>
      </c>
      <c r="J115" s="572">
        <f t="shared" si="4"/>
        <v>0</v>
      </c>
    </row>
    <row r="116" spans="1:10" x14ac:dyDescent="0.4">
      <c r="A116" s="693" t="s">
        <v>6</v>
      </c>
      <c r="B116" s="79" t="str">
        <f>VLOOKUP('Area D'!$B$25,'Item List'!B:AL,30,FALSE)</f>
        <v>None</v>
      </c>
      <c r="C116" s="79" t="str">
        <f>VLOOKUP(B116,'Item List'!B:AH,2,FALSE)</f>
        <v>None</v>
      </c>
      <c r="D116" s="79"/>
      <c r="E116" s="588">
        <f>$E$25*VLOOKUP(B116,'Item List'!B:AM,38,FALSE)</f>
        <v>0</v>
      </c>
      <c r="F116" s="608">
        <f>VLOOKUP(B116,'Item List'!B:AH,4,FALSE)</f>
        <v>0</v>
      </c>
      <c r="G116" s="569">
        <f t="shared" si="3"/>
        <v>0</v>
      </c>
      <c r="H116" s="606"/>
      <c r="I116" s="607">
        <f>ROUNDUP((E116*'Project Materials'!$L$18),0)</f>
        <v>0</v>
      </c>
      <c r="J116" s="572">
        <f t="shared" si="4"/>
        <v>0</v>
      </c>
    </row>
    <row r="117" spans="1:10" x14ac:dyDescent="0.4">
      <c r="A117" s="693" t="s">
        <v>6</v>
      </c>
      <c r="B117" s="79" t="str">
        <f>VLOOKUP('Area D'!$B$25,'Item List'!B:AL,31,FALSE)</f>
        <v>None</v>
      </c>
      <c r="C117" s="79" t="str">
        <f>VLOOKUP(B117,'Item List'!B:AH,2,FALSE)</f>
        <v>None</v>
      </c>
      <c r="D117" s="79"/>
      <c r="E117" s="588">
        <f>$E$25*VLOOKUP(B117,'Item List'!B:AM,38,FALSE)</f>
        <v>0</v>
      </c>
      <c r="F117" s="608">
        <f>VLOOKUP(B117,'Item List'!B:AH,4,FALSE)</f>
        <v>0</v>
      </c>
      <c r="G117" s="569">
        <f t="shared" si="3"/>
        <v>0</v>
      </c>
      <c r="H117" s="606"/>
      <c r="I117" s="607">
        <f>ROUNDUP((E117*'Project Materials'!$L$18),0)</f>
        <v>0</v>
      </c>
      <c r="J117" s="572">
        <f t="shared" si="4"/>
        <v>0</v>
      </c>
    </row>
    <row r="118" spans="1:10" x14ac:dyDescent="0.4">
      <c r="A118" s="693" t="s">
        <v>6</v>
      </c>
      <c r="B118" s="598" t="str">
        <f>VLOOKUP('Area D'!$B$25,'Item List'!B:AL,32,FALSE)</f>
        <v>None</v>
      </c>
      <c r="C118" s="598" t="str">
        <f>VLOOKUP(B118,'Item List'!B:AH,2,FALSE)</f>
        <v>None</v>
      </c>
      <c r="D118" s="598"/>
      <c r="E118" s="611">
        <f>$E$25*VLOOKUP(B118,'Item List'!B:AM,38,FALSE)</f>
        <v>0</v>
      </c>
      <c r="F118" s="612">
        <f>VLOOKUP(B118,'Item List'!B:AH,4,FALSE)</f>
        <v>0</v>
      </c>
      <c r="G118" s="613">
        <f t="shared" si="3"/>
        <v>0</v>
      </c>
      <c r="H118" s="614"/>
      <c r="I118" s="615">
        <f>ROUNDUP((E118*'Project Materials'!$L$18),0)</f>
        <v>0</v>
      </c>
      <c r="J118" s="616">
        <f t="shared" si="4"/>
        <v>0</v>
      </c>
    </row>
    <row r="119" spans="1:10" x14ac:dyDescent="0.4">
      <c r="A119" s="617"/>
      <c r="B119" s="646"/>
      <c r="C119" s="646"/>
      <c r="D119" s="646"/>
      <c r="E119" s="648"/>
      <c r="F119" s="649"/>
      <c r="G119" s="650"/>
      <c r="H119" s="646"/>
      <c r="I119" s="651"/>
      <c r="J119" s="652"/>
    </row>
    <row r="120" spans="1:10" x14ac:dyDescent="0.4">
      <c r="A120" s="693" t="s">
        <v>448</v>
      </c>
      <c r="B120" s="79" t="str">
        <f>VLOOKUP('Area D'!B29,'Item List'!B:AL,27,FALSE)</f>
        <v>None</v>
      </c>
      <c r="C120" s="79" t="str">
        <f>VLOOKUP(B120,'Item List'!B:AH,2,FALSE)</f>
        <v>None</v>
      </c>
      <c r="D120" s="79"/>
      <c r="E120" s="588">
        <f>VLOOKUP(B120,'Item List'!B:AM,36,FALSE)</f>
        <v>0</v>
      </c>
      <c r="F120" s="608">
        <f>VLOOKUP(B120,'Item List'!B:AH,4,FALSE)</f>
        <v>0</v>
      </c>
      <c r="G120" s="569">
        <f t="shared" ref="G120:G131" si="5">F120*E120</f>
        <v>0</v>
      </c>
      <c r="H120" s="606"/>
      <c r="I120" s="607">
        <f>ROUNDUP((E120*'Project Materials'!$L$18),0)</f>
        <v>0</v>
      </c>
      <c r="J120" s="572">
        <f t="shared" ref="J120:J131" si="6">G120+(I120*F120)</f>
        <v>0</v>
      </c>
    </row>
    <row r="121" spans="1:10" x14ac:dyDescent="0.4">
      <c r="A121" s="697" t="s">
        <v>448</v>
      </c>
      <c r="B121" s="598" t="str">
        <f>VLOOKUP('Area D'!B30,'Item List'!B:AL,27,FALSE)</f>
        <v>None</v>
      </c>
      <c r="C121" s="598" t="str">
        <f>VLOOKUP(B121,'Item List'!B:AH,2,FALSE)</f>
        <v>None</v>
      </c>
      <c r="D121" s="598"/>
      <c r="E121" s="611">
        <f>VLOOKUP(B121,'Item List'!B:AM,36,FALSE)</f>
        <v>0</v>
      </c>
      <c r="F121" s="612">
        <f>VLOOKUP(B121,'Item List'!B:AH,4,FALSE)</f>
        <v>0</v>
      </c>
      <c r="G121" s="613">
        <f t="shared" si="5"/>
        <v>0</v>
      </c>
      <c r="H121" s="614"/>
      <c r="I121" s="615">
        <f>ROUNDUP((E121*'Project Materials'!$L$18),0)</f>
        <v>0</v>
      </c>
      <c r="J121" s="616">
        <f t="shared" si="6"/>
        <v>0</v>
      </c>
    </row>
    <row r="122" spans="1:10" x14ac:dyDescent="0.4">
      <c r="A122" s="693" t="s">
        <v>449</v>
      </c>
      <c r="B122" s="79" t="str">
        <f>VLOOKUP('Area D'!B31,'Item List'!B:AL,27,FALSE)</f>
        <v>None</v>
      </c>
      <c r="C122" s="79" t="str">
        <f>VLOOKUP(B122,'Item List'!B:AH,2,FALSE)</f>
        <v>None</v>
      </c>
      <c r="D122" s="79"/>
      <c r="E122" s="588">
        <f>VLOOKUP(B122,'Item List'!B:AM,36,FALSE)</f>
        <v>0</v>
      </c>
      <c r="F122" s="608">
        <f>VLOOKUP(B122,'Item List'!B:AH,4,FALSE)</f>
        <v>0</v>
      </c>
      <c r="G122" s="569">
        <f t="shared" si="5"/>
        <v>0</v>
      </c>
      <c r="H122" s="606"/>
      <c r="I122" s="607">
        <f>ROUNDUP((E122*'Project Materials'!$L$18),0)</f>
        <v>0</v>
      </c>
      <c r="J122" s="572">
        <f t="shared" si="6"/>
        <v>0</v>
      </c>
    </row>
    <row r="123" spans="1:10" x14ac:dyDescent="0.4">
      <c r="A123" s="697" t="s">
        <v>449</v>
      </c>
      <c r="B123" s="598" t="str">
        <f>VLOOKUP('Area D'!B32,'Item List'!B:AL,27,FALSE)</f>
        <v>None</v>
      </c>
      <c r="C123" s="598" t="str">
        <f>VLOOKUP(B123,'Item List'!B:AH,2,FALSE)</f>
        <v>None</v>
      </c>
      <c r="D123" s="598"/>
      <c r="E123" s="611">
        <f>VLOOKUP(B123,'Item List'!B:AM,36,FALSE)</f>
        <v>0</v>
      </c>
      <c r="F123" s="612">
        <f>VLOOKUP(B123,'Item List'!B:AH,4,FALSE)</f>
        <v>0</v>
      </c>
      <c r="G123" s="613">
        <f t="shared" si="5"/>
        <v>0</v>
      </c>
      <c r="H123" s="614"/>
      <c r="I123" s="615">
        <f>ROUNDUP((E123*'Project Materials'!$L$18),0)</f>
        <v>0</v>
      </c>
      <c r="J123" s="616">
        <f t="shared" si="6"/>
        <v>0</v>
      </c>
    </row>
    <row r="124" spans="1:10" x14ac:dyDescent="0.4">
      <c r="A124" s="693" t="s">
        <v>450</v>
      </c>
      <c r="B124" s="79" t="str">
        <f>VLOOKUP('Area D'!B33,'Item List'!B:AL,27,FALSE)</f>
        <v>None</v>
      </c>
      <c r="C124" s="79" t="str">
        <f>VLOOKUP(B124,'Item List'!B:AH,2,FALSE)</f>
        <v>None</v>
      </c>
      <c r="D124" s="79"/>
      <c r="E124" s="588">
        <f>VLOOKUP(B124,'Item List'!B:AM,36,FALSE)</f>
        <v>0</v>
      </c>
      <c r="F124" s="608">
        <f>VLOOKUP(B124,'Item List'!B:AH,4,FALSE)</f>
        <v>0</v>
      </c>
      <c r="G124" s="569">
        <f t="shared" si="5"/>
        <v>0</v>
      </c>
      <c r="H124" s="606"/>
      <c r="I124" s="607">
        <f>ROUNDUP((E124*'Project Materials'!$L$18),0)</f>
        <v>0</v>
      </c>
      <c r="J124" s="572">
        <f t="shared" si="6"/>
        <v>0</v>
      </c>
    </row>
    <row r="125" spans="1:10" x14ac:dyDescent="0.4">
      <c r="A125" s="697" t="s">
        <v>450</v>
      </c>
      <c r="B125" s="598" t="str">
        <f>VLOOKUP('Area D'!B34,'Item List'!B:AL,27,FALSE)</f>
        <v>None</v>
      </c>
      <c r="C125" s="598" t="str">
        <f>VLOOKUP(B125,'Item List'!B:AH,2,FALSE)</f>
        <v>None</v>
      </c>
      <c r="D125" s="598"/>
      <c r="E125" s="611">
        <f>VLOOKUP(B125,'Item List'!B:AM,36,FALSE)</f>
        <v>0</v>
      </c>
      <c r="F125" s="612">
        <f>VLOOKUP(B125,'Item List'!B:AH,4,FALSE)</f>
        <v>0</v>
      </c>
      <c r="G125" s="613">
        <f t="shared" si="5"/>
        <v>0</v>
      </c>
      <c r="H125" s="614"/>
      <c r="I125" s="615">
        <f>ROUNDUP((E125*'Project Materials'!$L$18),0)</f>
        <v>0</v>
      </c>
      <c r="J125" s="616">
        <f t="shared" si="6"/>
        <v>0</v>
      </c>
    </row>
    <row r="126" spans="1:10" x14ac:dyDescent="0.4">
      <c r="A126" s="693" t="s">
        <v>451</v>
      </c>
      <c r="B126" s="79" t="str">
        <f>VLOOKUP('Area D'!B35,'Item List'!B:AL,27,FALSE)</f>
        <v>None</v>
      </c>
      <c r="C126" s="79" t="str">
        <f>VLOOKUP(B126,'Item List'!B:AH,2,FALSE)</f>
        <v>None</v>
      </c>
      <c r="D126" s="79"/>
      <c r="E126" s="588">
        <f>VLOOKUP(B126,'Item List'!B:AM,36,FALSE)</f>
        <v>0</v>
      </c>
      <c r="F126" s="608">
        <f>VLOOKUP(B126,'Item List'!B:AH,4,FALSE)</f>
        <v>0</v>
      </c>
      <c r="G126" s="569">
        <f t="shared" si="5"/>
        <v>0</v>
      </c>
      <c r="H126" s="606"/>
      <c r="I126" s="607">
        <f>ROUNDUP((E126*'Project Materials'!$L$18),0)</f>
        <v>0</v>
      </c>
      <c r="J126" s="572">
        <f t="shared" si="6"/>
        <v>0</v>
      </c>
    </row>
    <row r="127" spans="1:10" x14ac:dyDescent="0.4">
      <c r="A127" s="697" t="s">
        <v>451</v>
      </c>
      <c r="B127" s="598" t="str">
        <f>VLOOKUP('Area D'!B36,'Item List'!B:AL,27,FALSE)</f>
        <v>None</v>
      </c>
      <c r="C127" s="598" t="str">
        <f>VLOOKUP(B127,'Item List'!B:AH,2,FALSE)</f>
        <v>None</v>
      </c>
      <c r="D127" s="598"/>
      <c r="E127" s="611">
        <f>VLOOKUP(B127,'Item List'!B:AM,36,FALSE)</f>
        <v>0</v>
      </c>
      <c r="F127" s="612">
        <f>VLOOKUP(B127,'Item List'!B:AH,4,FALSE)</f>
        <v>0</v>
      </c>
      <c r="G127" s="613">
        <f t="shared" si="5"/>
        <v>0</v>
      </c>
      <c r="H127" s="614"/>
      <c r="I127" s="615">
        <f>ROUNDUP((E127*'Project Materials'!$L$18),0)</f>
        <v>0</v>
      </c>
      <c r="J127" s="616">
        <f t="shared" si="6"/>
        <v>0</v>
      </c>
    </row>
    <row r="128" spans="1:10" x14ac:dyDescent="0.4">
      <c r="A128" s="693" t="s">
        <v>363</v>
      </c>
      <c r="B128" s="79" t="str">
        <f>VLOOKUP('Area D'!B40,'Item List'!B:AL,27,FALSE)</f>
        <v>SS End Plate Screw</v>
      </c>
      <c r="C128" s="79" t="str">
        <f>VLOOKUP(B128,'Item List'!B:AH,2,FALSE)</f>
        <v>#8 X 3/4 Philips Flat Self Drilling18-8 S/S</v>
      </c>
      <c r="D128" s="79"/>
      <c r="E128" s="588">
        <f>E40*VLOOKUP(B128,'Item List'!B:AM,38,FALSE)</f>
        <v>0</v>
      </c>
      <c r="F128" s="608">
        <f>VLOOKUP(B128,'Item List'!B:AH,4,FALSE)</f>
        <v>5.2600000000000001E-2</v>
      </c>
      <c r="G128" s="569">
        <f t="shared" si="5"/>
        <v>0</v>
      </c>
      <c r="H128" s="606"/>
      <c r="I128" s="607">
        <f>ROUNDUP((E128*'Project Materials'!$L$18),0)</f>
        <v>0</v>
      </c>
      <c r="J128" s="572">
        <f t="shared" si="6"/>
        <v>0</v>
      </c>
    </row>
    <row r="129" spans="1:10" x14ac:dyDescent="0.4">
      <c r="A129" s="697" t="s">
        <v>363</v>
      </c>
      <c r="B129" s="598" t="str">
        <f>VLOOKUP('Area D'!B41,'Item List'!B:AL,27,FALSE)</f>
        <v>None</v>
      </c>
      <c r="C129" s="598" t="str">
        <f>VLOOKUP(B129,'Item List'!B:AH,2,FALSE)</f>
        <v>None</v>
      </c>
      <c r="D129" s="598"/>
      <c r="E129" s="611">
        <f>E41*VLOOKUP(B129,'Item List'!B:AM,38,FALSE)</f>
        <v>0</v>
      </c>
      <c r="F129" s="612">
        <f>VLOOKUP(B129,'Item List'!B:AH,4,FALSE)</f>
        <v>0</v>
      </c>
      <c r="G129" s="613">
        <f t="shared" si="5"/>
        <v>0</v>
      </c>
      <c r="H129" s="614"/>
      <c r="I129" s="615">
        <f>ROUNDUP((E129*'Project Materials'!$L$18),0)</f>
        <v>0</v>
      </c>
      <c r="J129" s="616">
        <f t="shared" si="6"/>
        <v>0</v>
      </c>
    </row>
    <row r="130" spans="1:10" x14ac:dyDescent="0.4">
      <c r="A130" s="693" t="s">
        <v>7</v>
      </c>
      <c r="B130" s="79" t="str">
        <f>VLOOKUP('Area D'!B47,'Item List'!B:AL,27,FALSE)</f>
        <v>None</v>
      </c>
      <c r="C130" s="79" t="str">
        <f>VLOOKUP(B130,'Item List'!B:AH,2,FALSE)</f>
        <v>None</v>
      </c>
      <c r="D130" s="79"/>
      <c r="E130" s="588">
        <f>VLOOKUP(B130,'Item List'!B:AM,36,FALSE)</f>
        <v>0</v>
      </c>
      <c r="F130" s="608">
        <f>VLOOKUP(B130,'Item List'!B:AH,4,FALSE)</f>
        <v>0</v>
      </c>
      <c r="G130" s="569">
        <f t="shared" si="5"/>
        <v>0</v>
      </c>
      <c r="H130" s="606"/>
      <c r="I130" s="607">
        <f>ROUNDUP((E130*'Project Materials'!$L$18),0)</f>
        <v>0</v>
      </c>
      <c r="J130" s="572">
        <f t="shared" si="6"/>
        <v>0</v>
      </c>
    </row>
    <row r="131" spans="1:10" x14ac:dyDescent="0.4">
      <c r="A131" s="693" t="s">
        <v>7</v>
      </c>
      <c r="B131" s="79" t="str">
        <f>VLOOKUP('Area D'!B47,'Item List'!B:AL,32,FALSE)</f>
        <v>None</v>
      </c>
      <c r="C131" s="79" t="str">
        <f>VLOOKUP(B131,'Item List'!B:AH,2,FALSE)</f>
        <v>None</v>
      </c>
      <c r="D131" s="79"/>
      <c r="E131" s="588">
        <f>VLOOKUP(B131,'Item List'!B:AM,36,FALSE)</f>
        <v>0</v>
      </c>
      <c r="F131" s="608">
        <f>VLOOKUP(B131,'Item List'!B:AH,4,FALSE)</f>
        <v>0</v>
      </c>
      <c r="G131" s="569">
        <f t="shared" si="5"/>
        <v>0</v>
      </c>
      <c r="H131" s="606"/>
      <c r="I131" s="607">
        <f>ROUNDUP((E131*'Project Materials'!$L$18),0)</f>
        <v>0</v>
      </c>
      <c r="J131" s="572">
        <f t="shared" si="6"/>
        <v>0</v>
      </c>
    </row>
    <row r="132" spans="1:10" x14ac:dyDescent="0.4">
      <c r="A132" s="693" t="s">
        <v>7</v>
      </c>
      <c r="B132" s="79" t="str">
        <f>VLOOKUP('Area D'!B48,'Item List'!B:AL,27,FALSE)</f>
        <v>None</v>
      </c>
      <c r="C132" s="79" t="str">
        <f>VLOOKUP(B132,'Item List'!B:AH,2,FALSE)</f>
        <v>None</v>
      </c>
      <c r="D132" s="79"/>
      <c r="E132" s="588">
        <f>VLOOKUP(B132,'Item List'!B:AM,36,FALSE)</f>
        <v>0</v>
      </c>
      <c r="F132" s="608">
        <f>VLOOKUP(B132,'Item List'!B:AH,4,FALSE)</f>
        <v>0</v>
      </c>
      <c r="G132" s="569">
        <f t="shared" ref="G132:G143" si="7">F132*E132</f>
        <v>0</v>
      </c>
      <c r="H132" s="606"/>
      <c r="I132" s="607">
        <f>ROUNDUP((E132*'Project Materials'!$L$18),0)</f>
        <v>0</v>
      </c>
      <c r="J132" s="572">
        <f t="shared" ref="J132:J143" si="8">G132+(I132*F132)</f>
        <v>0</v>
      </c>
    </row>
    <row r="133" spans="1:10" x14ac:dyDescent="0.4">
      <c r="A133" s="693" t="s">
        <v>7</v>
      </c>
      <c r="B133" s="79" t="str">
        <f>VLOOKUP('Area D'!B48,'Item List'!B:AL,32,FALSE)</f>
        <v>None</v>
      </c>
      <c r="C133" s="79" t="str">
        <f>VLOOKUP(B133,'Item List'!B:AH,2,FALSE)</f>
        <v>None</v>
      </c>
      <c r="D133" s="79"/>
      <c r="E133" s="588">
        <f>VLOOKUP(B135,'Item List'!B:AM,36,FALSE)</f>
        <v>0</v>
      </c>
      <c r="F133" s="608">
        <f>VLOOKUP(B133,'Item List'!B:AH,4,FALSE)</f>
        <v>0</v>
      </c>
      <c r="G133" s="569">
        <f t="shared" si="7"/>
        <v>0</v>
      </c>
      <c r="H133" s="606"/>
      <c r="I133" s="607">
        <f>ROUNDUP((E133*'Project Materials'!$L$18),0)</f>
        <v>0</v>
      </c>
      <c r="J133" s="572">
        <f t="shared" si="8"/>
        <v>0</v>
      </c>
    </row>
    <row r="134" spans="1:10" x14ac:dyDescent="0.4">
      <c r="A134" s="693" t="s">
        <v>7</v>
      </c>
      <c r="B134" s="79" t="str">
        <f>VLOOKUP('Area D'!B49,'Item List'!B:AL,27,FALSE)</f>
        <v>None</v>
      </c>
      <c r="C134" s="79" t="str">
        <f>VLOOKUP(B134,'Item List'!B:AH,2,FALSE)</f>
        <v>None</v>
      </c>
      <c r="D134" s="79"/>
      <c r="E134" s="588">
        <f>VLOOKUP(B134,'Item List'!B:AM,36,FALSE)</f>
        <v>0</v>
      </c>
      <c r="F134" s="608">
        <f>VLOOKUP(B134,'Item List'!B:AH,4,FALSE)</f>
        <v>0</v>
      </c>
      <c r="G134" s="569">
        <f t="shared" si="7"/>
        <v>0</v>
      </c>
      <c r="H134" s="606"/>
      <c r="I134" s="607">
        <f>ROUNDUP((E134*'Project Materials'!$L$18),0)</f>
        <v>0</v>
      </c>
      <c r="J134" s="572">
        <f t="shared" si="8"/>
        <v>0</v>
      </c>
    </row>
    <row r="135" spans="1:10" x14ac:dyDescent="0.4">
      <c r="A135" s="693" t="s">
        <v>7</v>
      </c>
      <c r="B135" s="79" t="str">
        <f>VLOOKUP('Area D'!B49,'Item List'!B:AL,32,FALSE)</f>
        <v>None</v>
      </c>
      <c r="C135" s="79" t="str">
        <f>VLOOKUP(B135,'Item List'!B:AH,2,FALSE)</f>
        <v>None</v>
      </c>
      <c r="D135" s="79"/>
      <c r="E135" s="588">
        <f>VLOOKUP(B135,'Item List'!B:AM,36,FALSE)</f>
        <v>0</v>
      </c>
      <c r="F135" s="608">
        <f>VLOOKUP(B135,'Item List'!B:AH,4,FALSE)</f>
        <v>0</v>
      </c>
      <c r="G135" s="569">
        <f t="shared" si="7"/>
        <v>0</v>
      </c>
      <c r="H135" s="606"/>
      <c r="I135" s="607">
        <f>ROUNDUP((E135*'Project Materials'!$L$18),0)</f>
        <v>0</v>
      </c>
      <c r="J135" s="572">
        <f t="shared" si="8"/>
        <v>0</v>
      </c>
    </row>
    <row r="136" spans="1:10" x14ac:dyDescent="0.4">
      <c r="A136" s="693" t="s">
        <v>7</v>
      </c>
      <c r="B136" s="79" t="str">
        <f>VLOOKUP('Area D'!B50,'Item List'!B:AL,27,FALSE)</f>
        <v>None</v>
      </c>
      <c r="C136" s="79" t="str">
        <f>VLOOKUP(B136,'Item List'!B:AH,2,FALSE)</f>
        <v>None</v>
      </c>
      <c r="D136" s="79"/>
      <c r="E136" s="588">
        <f>VLOOKUP(B136,'Item List'!B:AM,36,FALSE)</f>
        <v>0</v>
      </c>
      <c r="F136" s="608">
        <f>VLOOKUP(B136,'Item List'!B:AH,4,FALSE)</f>
        <v>0</v>
      </c>
      <c r="G136" s="569">
        <f t="shared" si="7"/>
        <v>0</v>
      </c>
      <c r="H136" s="606"/>
      <c r="I136" s="607">
        <f>ROUNDUP((E136*'Project Materials'!$L$18),0)</f>
        <v>0</v>
      </c>
      <c r="J136" s="572">
        <f t="shared" si="8"/>
        <v>0</v>
      </c>
    </row>
    <row r="137" spans="1:10" x14ac:dyDescent="0.4">
      <c r="A137" s="693" t="s">
        <v>7</v>
      </c>
      <c r="B137" s="79" t="str">
        <f>VLOOKUP('Area D'!B50,'Item List'!B:AL,32,FALSE)</f>
        <v>None</v>
      </c>
      <c r="C137" s="79" t="str">
        <f>VLOOKUP(B137,'Item List'!B:AH,2,FALSE)</f>
        <v>None</v>
      </c>
      <c r="D137" s="79"/>
      <c r="E137" s="588">
        <f>VLOOKUP(B137,'Item List'!B:AM,36,FALSE)</f>
        <v>0</v>
      </c>
      <c r="F137" s="608">
        <f>VLOOKUP(B137,'Item List'!B:AH,4,FALSE)</f>
        <v>0</v>
      </c>
      <c r="G137" s="569">
        <f t="shared" si="7"/>
        <v>0</v>
      </c>
      <c r="H137" s="606"/>
      <c r="I137" s="607">
        <f>ROUNDUP((E137*'Project Materials'!$L$18),0)</f>
        <v>0</v>
      </c>
      <c r="J137" s="572">
        <f t="shared" si="8"/>
        <v>0</v>
      </c>
    </row>
    <row r="138" spans="1:10" x14ac:dyDescent="0.4">
      <c r="A138" s="693" t="s">
        <v>7</v>
      </c>
      <c r="B138" s="79" t="str">
        <f>VLOOKUP('Area D'!B52,'Item List'!B:AL,27,FALSE)</f>
        <v>None</v>
      </c>
      <c r="C138" s="79" t="str">
        <f>VLOOKUP(B138,'Item List'!B:AH,2,FALSE)</f>
        <v>None</v>
      </c>
      <c r="D138" s="79"/>
      <c r="E138" s="588">
        <f>VLOOKUP(B138,'Item List'!B:AM,36,FALSE)</f>
        <v>0</v>
      </c>
      <c r="F138" s="608">
        <f>VLOOKUP(B138,'Item List'!B:AH,4,FALSE)</f>
        <v>0</v>
      </c>
      <c r="G138" s="569">
        <f t="shared" si="7"/>
        <v>0</v>
      </c>
      <c r="H138" s="606"/>
      <c r="I138" s="607">
        <f>ROUNDUP((E138*'Project Materials'!$L$18),0)</f>
        <v>0</v>
      </c>
      <c r="J138" s="572">
        <f t="shared" si="8"/>
        <v>0</v>
      </c>
    </row>
    <row r="139" spans="1:10" x14ac:dyDescent="0.4">
      <c r="A139" s="693" t="s">
        <v>7</v>
      </c>
      <c r="B139" s="79" t="str">
        <f>VLOOKUP('Area D'!B52,'Item List'!B:AL,32,FALSE)</f>
        <v>None</v>
      </c>
      <c r="C139" s="79" t="str">
        <f>VLOOKUP(B139,'Item List'!B:AH,2,FALSE)</f>
        <v>None</v>
      </c>
      <c r="D139" s="79"/>
      <c r="E139" s="588">
        <f>VLOOKUP(B139,'Item List'!B:AM,36,FALSE)</f>
        <v>0</v>
      </c>
      <c r="F139" s="608">
        <f>VLOOKUP(B139,'Item List'!B:AH,4,FALSE)</f>
        <v>0</v>
      </c>
      <c r="G139" s="569">
        <f t="shared" si="7"/>
        <v>0</v>
      </c>
      <c r="H139" s="606"/>
      <c r="I139" s="607">
        <f>ROUNDUP((E139*'Project Materials'!$L$18),0)</f>
        <v>0</v>
      </c>
      <c r="J139" s="572">
        <f t="shared" si="8"/>
        <v>0</v>
      </c>
    </row>
    <row r="140" spans="1:10" x14ac:dyDescent="0.4">
      <c r="A140" s="693" t="s">
        <v>7</v>
      </c>
      <c r="B140" s="79" t="str">
        <f>VLOOKUP('Area D'!B53,'Item List'!B:AL,27,FALSE)</f>
        <v>None</v>
      </c>
      <c r="C140" s="79" t="str">
        <f>VLOOKUP(B140,'Item List'!B:AH,2,FALSE)</f>
        <v>None</v>
      </c>
      <c r="D140" s="79"/>
      <c r="E140" s="588">
        <f>VLOOKUP(B140,'Item List'!B:AM,36,FALSE)</f>
        <v>0</v>
      </c>
      <c r="F140" s="608">
        <f>VLOOKUP(B140,'Item List'!B:AH,4,FALSE)</f>
        <v>0</v>
      </c>
      <c r="G140" s="569">
        <f t="shared" si="7"/>
        <v>0</v>
      </c>
      <c r="H140" s="606"/>
      <c r="I140" s="607">
        <f>ROUNDUP((E140*'Project Materials'!$L$18),0)</f>
        <v>0</v>
      </c>
      <c r="J140" s="572">
        <f t="shared" si="8"/>
        <v>0</v>
      </c>
    </row>
    <row r="141" spans="1:10" x14ac:dyDescent="0.4">
      <c r="A141" s="693" t="s">
        <v>7</v>
      </c>
      <c r="B141" s="79" t="str">
        <f>VLOOKUP('Area D'!B53,'Item List'!B:AL,32,FALSE)</f>
        <v>None</v>
      </c>
      <c r="C141" s="79" t="str">
        <f>VLOOKUP(B141,'Item List'!B:AH,2,FALSE)</f>
        <v>None</v>
      </c>
      <c r="D141" s="79"/>
      <c r="E141" s="588">
        <f>VLOOKUP(B141,'Item List'!B:AM,36,FALSE)</f>
        <v>0</v>
      </c>
      <c r="F141" s="608">
        <f>VLOOKUP(B141,'Item List'!B:AH,4,FALSE)</f>
        <v>0</v>
      </c>
      <c r="G141" s="569">
        <f t="shared" si="7"/>
        <v>0</v>
      </c>
      <c r="H141" s="606"/>
      <c r="I141" s="607">
        <f>ROUNDUP((E141*'Project Materials'!$L$18),0)</f>
        <v>0</v>
      </c>
      <c r="J141" s="572">
        <f t="shared" si="8"/>
        <v>0</v>
      </c>
    </row>
    <row r="142" spans="1:10" x14ac:dyDescent="0.4">
      <c r="A142" s="693" t="s">
        <v>7</v>
      </c>
      <c r="B142" s="79" t="str">
        <f>VLOOKUP('Area D'!B54,'Item List'!B:AL,27,FALSE)</f>
        <v>None</v>
      </c>
      <c r="C142" s="79" t="str">
        <f>VLOOKUP(B142,'Item List'!B:AH,2,FALSE)</f>
        <v>None</v>
      </c>
      <c r="D142" s="79"/>
      <c r="E142" s="588">
        <f>VLOOKUP(B142,'Item List'!B:AM,36,FALSE)</f>
        <v>0</v>
      </c>
      <c r="F142" s="608">
        <f>VLOOKUP(B142,'Item List'!B:AH,4,FALSE)</f>
        <v>0</v>
      </c>
      <c r="G142" s="569">
        <f t="shared" si="7"/>
        <v>0</v>
      </c>
      <c r="H142" s="606"/>
      <c r="I142" s="607">
        <f>ROUNDUP((E142*'Project Materials'!$L$18),0)</f>
        <v>0</v>
      </c>
      <c r="J142" s="572">
        <f t="shared" si="8"/>
        <v>0</v>
      </c>
    </row>
    <row r="143" spans="1:10" x14ac:dyDescent="0.4">
      <c r="A143" s="693" t="s">
        <v>7</v>
      </c>
      <c r="B143" s="79" t="str">
        <f>VLOOKUP('Area D'!B54,'Item List'!B:AL,32,FALSE)</f>
        <v>None</v>
      </c>
      <c r="C143" s="79" t="str">
        <f>VLOOKUP(B143,'Item List'!B:AH,2,FALSE)</f>
        <v>None</v>
      </c>
      <c r="D143" s="79"/>
      <c r="E143" s="588">
        <f>VLOOKUP(B143,'Item List'!B:AM,36,FALSE)</f>
        <v>0</v>
      </c>
      <c r="F143" s="608">
        <f>VLOOKUP(B143,'Item List'!B:AH,4,FALSE)</f>
        <v>0</v>
      </c>
      <c r="G143" s="569">
        <f t="shared" si="7"/>
        <v>0</v>
      </c>
      <c r="H143" s="606"/>
      <c r="I143" s="607">
        <f>ROUNDUP((E143*'Project Materials'!$L$18),0)</f>
        <v>0</v>
      </c>
      <c r="J143" s="572">
        <f t="shared" si="8"/>
        <v>0</v>
      </c>
    </row>
    <row r="144" spans="1:10" x14ac:dyDescent="0.4">
      <c r="A144" s="693" t="s">
        <v>429</v>
      </c>
      <c r="B144" s="79" t="str">
        <f>VLOOKUP('Area D'!B199,'Item List'!B:AJ,27,FALSE)</f>
        <v>None</v>
      </c>
      <c r="C144" s="79" t="str">
        <f>VLOOKUP(B144,'Item List'!B:AH,2,FALSE)</f>
        <v>None</v>
      </c>
      <c r="D144" s="79"/>
      <c r="E144" s="588">
        <f>VLOOKUP(B144,'Item List'!B:AM,36,FALSE)</f>
        <v>0</v>
      </c>
      <c r="F144" s="608">
        <f>VLOOKUP(B144,'Item List'!B:AH,4,FALSE)</f>
        <v>0</v>
      </c>
      <c r="G144" s="569">
        <f>F144*E144</f>
        <v>0</v>
      </c>
      <c r="H144" s="606"/>
      <c r="I144" s="607">
        <f>ROUNDUP((E144*'Project Materials'!$L$18),0)</f>
        <v>0</v>
      </c>
      <c r="J144" s="572">
        <f t="shared" ref="J144:J178" si="9">G144+(I144*F144)</f>
        <v>0</v>
      </c>
    </row>
    <row r="145" spans="1:10" x14ac:dyDescent="0.4">
      <c r="A145" s="693" t="s">
        <v>429</v>
      </c>
      <c r="B145" s="79" t="str">
        <f>VLOOKUP('Area D'!B200,'Item List'!B:AJ,27,FALSE)</f>
        <v>None</v>
      </c>
      <c r="C145" s="79" t="str">
        <f>VLOOKUP(B145,'Item List'!B:AH,2,FALSE)</f>
        <v>None</v>
      </c>
      <c r="D145" s="79"/>
      <c r="E145" s="588">
        <f>VLOOKUP(B145,'Item List'!B:AM,36,FALSE)</f>
        <v>0</v>
      </c>
      <c r="F145" s="608">
        <f>VLOOKUP(B145,'Item List'!B:AH,4,FALSE)</f>
        <v>0</v>
      </c>
      <c r="G145" s="569">
        <f>F145*E145</f>
        <v>0</v>
      </c>
      <c r="H145" s="606"/>
      <c r="I145" s="607">
        <f>ROUNDUP((E145*'Project Materials'!$L$18),0)</f>
        <v>0</v>
      </c>
      <c r="J145" s="572">
        <f t="shared" si="9"/>
        <v>0</v>
      </c>
    </row>
    <row r="146" spans="1:10" x14ac:dyDescent="0.4">
      <c r="A146" s="693" t="s">
        <v>429</v>
      </c>
      <c r="B146" s="79" t="str">
        <f>VLOOKUP('Area D'!B201,'Item List'!B:AJ,27,FALSE)</f>
        <v>None</v>
      </c>
      <c r="C146" s="79" t="str">
        <f>VLOOKUP(B146,'Item List'!B:AH,2,FALSE)</f>
        <v>None</v>
      </c>
      <c r="D146" s="79"/>
      <c r="E146" s="588">
        <f>VLOOKUP(B146,'Item List'!B:AM,36,FALSE)</f>
        <v>0</v>
      </c>
      <c r="F146" s="608">
        <f>VLOOKUP(B146,'Item List'!B:AH,4,FALSE)</f>
        <v>0</v>
      </c>
      <c r="G146" s="569">
        <f t="shared" ref="G146:G195" si="10">F146*E146</f>
        <v>0</v>
      </c>
      <c r="H146" s="606"/>
      <c r="I146" s="607">
        <f>ROUNDUP((E146*'Project Materials'!$L$18),0)</f>
        <v>0</v>
      </c>
      <c r="J146" s="572">
        <f t="shared" si="9"/>
        <v>0</v>
      </c>
    </row>
    <row r="147" spans="1:10" x14ac:dyDescent="0.4">
      <c r="A147" s="693" t="s">
        <v>429</v>
      </c>
      <c r="B147" s="79" t="str">
        <f>VLOOKUP('Area D'!B202,'Item List'!B:AJ,27,FALSE)</f>
        <v>None</v>
      </c>
      <c r="C147" s="79" t="str">
        <f>VLOOKUP(B147,'Item List'!B:AH,2,FALSE)</f>
        <v>None</v>
      </c>
      <c r="D147" s="79"/>
      <c r="E147" s="588">
        <f>VLOOKUP(B147,'Item List'!B:AM,36,FALSE)</f>
        <v>0</v>
      </c>
      <c r="F147" s="608">
        <f>VLOOKUP(B147,'Item List'!B:AH,4,FALSE)</f>
        <v>0</v>
      </c>
      <c r="G147" s="569">
        <f t="shared" si="10"/>
        <v>0</v>
      </c>
      <c r="H147" s="606"/>
      <c r="I147" s="607">
        <f>ROUNDUP((E147*'Project Materials'!$L$18),0)</f>
        <v>0</v>
      </c>
      <c r="J147" s="572">
        <f t="shared" si="9"/>
        <v>0</v>
      </c>
    </row>
    <row r="148" spans="1:10" x14ac:dyDescent="0.4">
      <c r="A148" s="693" t="s">
        <v>429</v>
      </c>
      <c r="B148" s="79" t="str">
        <f>VLOOKUP('Area D'!B203,'Item List'!B:AJ,27,FALSE)</f>
        <v>RCB screws- DP</v>
      </c>
      <c r="C148" s="79" t="str">
        <f>VLOOKUP(B148,'Item List'!B:AH,2,FALSE)</f>
        <v>RCB screws- Drill Points  #10 x 2" Phillips Pan SS</v>
      </c>
      <c r="D148" s="79"/>
      <c r="E148" s="588">
        <f>VLOOKUP(B148,'Item List'!B:AM,36,FALSE)</f>
        <v>0</v>
      </c>
      <c r="F148" s="608">
        <f>VLOOKUP(B148,'Item List'!B:AH,4,FALSE)</f>
        <v>7.2999999999999995E-2</v>
      </c>
      <c r="G148" s="569">
        <f t="shared" si="10"/>
        <v>0</v>
      </c>
      <c r="H148" s="606"/>
      <c r="I148" s="607">
        <f>ROUNDUP((E148*'Project Materials'!$L$18),0)</f>
        <v>0</v>
      </c>
      <c r="J148" s="572">
        <f t="shared" si="9"/>
        <v>0</v>
      </c>
    </row>
    <row r="149" spans="1:10" x14ac:dyDescent="0.4">
      <c r="A149" s="693" t="s">
        <v>429</v>
      </c>
      <c r="B149" s="79" t="str">
        <f>VLOOKUP('Area D'!B204,'Item List'!B:AJ,27,FALSE)</f>
        <v>None</v>
      </c>
      <c r="C149" s="79" t="str">
        <f>VLOOKUP(B149,'Item List'!B:AH,2,FALSE)</f>
        <v>None</v>
      </c>
      <c r="D149" s="79"/>
      <c r="E149" s="588">
        <f>VLOOKUP(B149,'Item List'!B:AM,36,FALSE)</f>
        <v>0</v>
      </c>
      <c r="F149" s="608">
        <f>VLOOKUP(B149,'Item List'!B:AH,4,FALSE)</f>
        <v>0</v>
      </c>
      <c r="G149" s="569">
        <f t="shared" si="10"/>
        <v>0</v>
      </c>
      <c r="H149" s="606"/>
      <c r="I149" s="607">
        <f>ROUNDUP((E149*'Project Materials'!$L$18),0)</f>
        <v>0</v>
      </c>
      <c r="J149" s="572">
        <f t="shared" si="9"/>
        <v>0</v>
      </c>
    </row>
    <row r="150" spans="1:10" x14ac:dyDescent="0.4">
      <c r="A150" s="693" t="s">
        <v>429</v>
      </c>
      <c r="B150" s="79" t="str">
        <f>VLOOKUP('Area D'!B205,'Item List'!B:AJ,27,FALSE)</f>
        <v>None</v>
      </c>
      <c r="C150" s="79" t="str">
        <f>VLOOKUP(B150,'Item List'!B:AH,2,FALSE)</f>
        <v>None</v>
      </c>
      <c r="D150" s="79"/>
      <c r="E150" s="588">
        <f>VLOOKUP(B150,'Item List'!B:AM,36,FALSE)</f>
        <v>0</v>
      </c>
      <c r="F150" s="608">
        <f>VLOOKUP(B150,'Item List'!B:AH,4,FALSE)</f>
        <v>0</v>
      </c>
      <c r="G150" s="569">
        <f t="shared" si="10"/>
        <v>0</v>
      </c>
      <c r="H150" s="606"/>
      <c r="I150" s="607">
        <f>ROUNDUP((E150*'Project Materials'!$L$18),0)</f>
        <v>0</v>
      </c>
      <c r="J150" s="572">
        <f t="shared" si="9"/>
        <v>0</v>
      </c>
    </row>
    <row r="151" spans="1:10" x14ac:dyDescent="0.4">
      <c r="A151" s="693" t="s">
        <v>429</v>
      </c>
      <c r="B151" s="79" t="str">
        <f>VLOOKUP('Area D'!B206,'Item List'!B:AJ,27,FALSE)</f>
        <v>None</v>
      </c>
      <c r="C151" s="79" t="str">
        <f>VLOOKUP(B151,'Item List'!B:AH,2,FALSE)</f>
        <v>None</v>
      </c>
      <c r="D151" s="79"/>
      <c r="E151" s="588">
        <f>VLOOKUP(B151,'Item List'!B:AM,36,FALSE)</f>
        <v>0</v>
      </c>
      <c r="F151" s="608">
        <f>VLOOKUP(B151,'Item List'!B:AH,4,FALSE)</f>
        <v>0</v>
      </c>
      <c r="G151" s="569">
        <f t="shared" si="10"/>
        <v>0</v>
      </c>
      <c r="H151" s="606"/>
      <c r="I151" s="607">
        <f>ROUNDUP((E151*'Project Materials'!$L$18),0)</f>
        <v>0</v>
      </c>
      <c r="J151" s="572">
        <f t="shared" si="9"/>
        <v>0</v>
      </c>
    </row>
    <row r="152" spans="1:10" x14ac:dyDescent="0.4">
      <c r="A152" s="693" t="s">
        <v>429</v>
      </c>
      <c r="B152" s="79" t="str">
        <f>VLOOKUP('Area D'!B207,'Item List'!B:AJ,27,FALSE)</f>
        <v>None</v>
      </c>
      <c r="C152" s="79" t="str">
        <f>VLOOKUP(B152,'Item List'!B:AH,2,FALSE)</f>
        <v>None</v>
      </c>
      <c r="D152" s="79"/>
      <c r="E152" s="588">
        <f>VLOOKUP(B152,'Item List'!B:AM,36,FALSE)</f>
        <v>0</v>
      </c>
      <c r="F152" s="608">
        <f>VLOOKUP(B152,'Item List'!B:AH,4,FALSE)</f>
        <v>0</v>
      </c>
      <c r="G152" s="569">
        <f t="shared" si="10"/>
        <v>0</v>
      </c>
      <c r="H152" s="606"/>
      <c r="I152" s="607">
        <f>ROUNDUP((E152*'Project Materials'!$L$18),0)</f>
        <v>0</v>
      </c>
      <c r="J152" s="572">
        <f t="shared" si="9"/>
        <v>0</v>
      </c>
    </row>
    <row r="153" spans="1:10" x14ac:dyDescent="0.4">
      <c r="A153" s="693" t="s">
        <v>429</v>
      </c>
      <c r="B153" s="79" t="str">
        <f>VLOOKUP('Area D'!B208,'Item List'!B:AJ,27,FALSE)</f>
        <v>None</v>
      </c>
      <c r="C153" s="79" t="str">
        <f>VLOOKUP(B153,'Item List'!B:AH,2,FALSE)</f>
        <v>None</v>
      </c>
      <c r="D153" s="79"/>
      <c r="E153" s="588">
        <f>VLOOKUP(B153,'Item List'!B:AM,36,FALSE)</f>
        <v>0</v>
      </c>
      <c r="F153" s="608">
        <f>VLOOKUP(B153,'Item List'!B:AH,4,FALSE)</f>
        <v>0</v>
      </c>
      <c r="G153" s="569">
        <f t="shared" si="10"/>
        <v>0</v>
      </c>
      <c r="H153" s="606"/>
      <c r="I153" s="607">
        <f>ROUNDUP((E153*'Project Materials'!$L$18),0)</f>
        <v>0</v>
      </c>
      <c r="J153" s="572">
        <f t="shared" si="9"/>
        <v>0</v>
      </c>
    </row>
    <row r="154" spans="1:10" x14ac:dyDescent="0.4">
      <c r="A154" s="693" t="s">
        <v>429</v>
      </c>
      <c r="B154" s="79" t="str">
        <f>VLOOKUP('Area D'!B209,'Item List'!B:AJ,27,FALSE)</f>
        <v>None</v>
      </c>
      <c r="C154" s="79" t="str">
        <f>VLOOKUP(B154,'Item List'!B:AH,2,FALSE)</f>
        <v>None</v>
      </c>
      <c r="D154" s="79"/>
      <c r="E154" s="588">
        <f>VLOOKUP(B154,'Item List'!B:AM,36,FALSE)</f>
        <v>0</v>
      </c>
      <c r="F154" s="608">
        <f>VLOOKUP(B154,'Item List'!B:AH,4,FALSE)</f>
        <v>0</v>
      </c>
      <c r="G154" s="569">
        <f t="shared" si="10"/>
        <v>0</v>
      </c>
      <c r="H154" s="606"/>
      <c r="I154" s="607">
        <f>ROUNDUP((E154*'Project Materials'!$L$18),0)</f>
        <v>0</v>
      </c>
      <c r="J154" s="572">
        <f t="shared" si="9"/>
        <v>0</v>
      </c>
    </row>
    <row r="155" spans="1:10" x14ac:dyDescent="0.4">
      <c r="A155" s="693" t="s">
        <v>429</v>
      </c>
      <c r="B155" s="79" t="str">
        <f>VLOOKUP('Area D'!B210,'Item List'!B:AJ,27,FALSE)</f>
        <v>None</v>
      </c>
      <c r="C155" s="79" t="str">
        <f>VLOOKUP(B155,'Item List'!B:AH,2,FALSE)</f>
        <v>None</v>
      </c>
      <c r="D155" s="79"/>
      <c r="E155" s="588">
        <f>VLOOKUP(B155,'Item List'!B:AM,36,FALSE)</f>
        <v>0</v>
      </c>
      <c r="F155" s="608">
        <f>VLOOKUP(B155,'Item List'!B:AH,4,FALSE)</f>
        <v>0</v>
      </c>
      <c r="G155" s="569">
        <f t="shared" si="10"/>
        <v>0</v>
      </c>
      <c r="H155" s="606"/>
      <c r="I155" s="607">
        <f>ROUNDUP((E155*'Project Materials'!$L$18),0)</f>
        <v>0</v>
      </c>
      <c r="J155" s="572">
        <f t="shared" si="9"/>
        <v>0</v>
      </c>
    </row>
    <row r="156" spans="1:10" x14ac:dyDescent="0.4">
      <c r="A156" s="693" t="s">
        <v>429</v>
      </c>
      <c r="B156" s="79" t="str">
        <f>VLOOKUP('Area D'!B211,'Item List'!B:AJ,27,FALSE)</f>
        <v>None</v>
      </c>
      <c r="C156" s="79" t="str">
        <f>VLOOKUP(B156,'Item List'!B:AH,2,FALSE)</f>
        <v>None</v>
      </c>
      <c r="D156" s="79"/>
      <c r="E156" s="588">
        <f>VLOOKUP(B156,'Item List'!B:AM,36,FALSE)</f>
        <v>0</v>
      </c>
      <c r="F156" s="608">
        <f>VLOOKUP(B156,'Item List'!B:AH,4,FALSE)</f>
        <v>0</v>
      </c>
      <c r="G156" s="569">
        <f t="shared" si="10"/>
        <v>0</v>
      </c>
      <c r="H156" s="606"/>
      <c r="I156" s="607">
        <f>ROUNDUP((E156*'Project Materials'!$L$18),0)</f>
        <v>0</v>
      </c>
      <c r="J156" s="572">
        <f t="shared" si="9"/>
        <v>0</v>
      </c>
    </row>
    <row r="157" spans="1:10" x14ac:dyDescent="0.4">
      <c r="A157" s="693" t="s">
        <v>429</v>
      </c>
      <c r="B157" s="79" t="str">
        <f>VLOOKUP('Area D'!B212,'Item List'!B:AJ,27,FALSE)</f>
        <v>None</v>
      </c>
      <c r="C157" s="79" t="str">
        <f>VLOOKUP(B157,'Item List'!B:AH,2,FALSE)</f>
        <v>None</v>
      </c>
      <c r="D157" s="79"/>
      <c r="E157" s="588">
        <f>VLOOKUP(B157,'Item List'!B:AM,36,FALSE)</f>
        <v>0</v>
      </c>
      <c r="F157" s="608">
        <f>VLOOKUP(B157,'Item List'!B:AH,4,FALSE)</f>
        <v>0</v>
      </c>
      <c r="G157" s="569">
        <f t="shared" si="10"/>
        <v>0</v>
      </c>
      <c r="H157" s="606"/>
      <c r="I157" s="607">
        <f>ROUNDUP((E157*'Project Materials'!$L$18),0)</f>
        <v>0</v>
      </c>
      <c r="J157" s="572">
        <f t="shared" si="9"/>
        <v>0</v>
      </c>
    </row>
    <row r="158" spans="1:10" x14ac:dyDescent="0.4">
      <c r="A158" s="693" t="s">
        <v>429</v>
      </c>
      <c r="B158" s="79" t="str">
        <f>VLOOKUP('Area D'!B213,'Item List'!B:AJ,27,FALSE)</f>
        <v>None</v>
      </c>
      <c r="C158" s="79" t="str">
        <f>VLOOKUP(B158,'Item List'!B:AH,2,FALSE)</f>
        <v>None</v>
      </c>
      <c r="D158" s="79"/>
      <c r="E158" s="588">
        <f>VLOOKUP(B158,'Item List'!B:AM,36,FALSE)</f>
        <v>0</v>
      </c>
      <c r="F158" s="608">
        <f>VLOOKUP(B158,'Item List'!B:AH,4,FALSE)</f>
        <v>0</v>
      </c>
      <c r="G158" s="569">
        <f t="shared" si="10"/>
        <v>0</v>
      </c>
      <c r="H158" s="606"/>
      <c r="I158" s="607">
        <f>ROUNDUP((E158*'Project Materials'!$L$18),0)</f>
        <v>0</v>
      </c>
      <c r="J158" s="572">
        <f t="shared" si="9"/>
        <v>0</v>
      </c>
    </row>
    <row r="159" spans="1:10" x14ac:dyDescent="0.4">
      <c r="A159" s="693" t="s">
        <v>429</v>
      </c>
      <c r="B159" s="79" t="str">
        <f>VLOOKUP('Area D'!B214,'Item List'!B:AJ,27,FALSE)</f>
        <v>None</v>
      </c>
      <c r="C159" s="79" t="str">
        <f>VLOOKUP(B159,'Item List'!B:AH,2,FALSE)</f>
        <v>None</v>
      </c>
      <c r="D159" s="79"/>
      <c r="E159" s="588">
        <f>VLOOKUP(B159,'Item List'!B:AM,36,FALSE)</f>
        <v>0</v>
      </c>
      <c r="F159" s="608">
        <f>VLOOKUP(B159,'Item List'!B:AH,4,FALSE)</f>
        <v>0</v>
      </c>
      <c r="G159" s="569">
        <f t="shared" si="10"/>
        <v>0</v>
      </c>
      <c r="H159" s="606"/>
      <c r="I159" s="607">
        <f>ROUNDUP((E159*'Project Materials'!$L$18),0)</f>
        <v>0</v>
      </c>
      <c r="J159" s="572">
        <f t="shared" si="9"/>
        <v>0</v>
      </c>
    </row>
    <row r="160" spans="1:10" x14ac:dyDescent="0.4">
      <c r="A160" s="693" t="s">
        <v>429</v>
      </c>
      <c r="B160" s="79" t="str">
        <f>VLOOKUP('Area D'!B215,'Item List'!B:AJ,27,FALSE)</f>
        <v>None</v>
      </c>
      <c r="C160" s="79" t="str">
        <f>VLOOKUP(B160,'Item List'!B:AH,2,FALSE)</f>
        <v>None</v>
      </c>
      <c r="D160" s="79"/>
      <c r="E160" s="588">
        <f>VLOOKUP(B160,'Item List'!B:AM,36,FALSE)</f>
        <v>0</v>
      </c>
      <c r="F160" s="608">
        <f>VLOOKUP(B160,'Item List'!B:AH,4,FALSE)</f>
        <v>0</v>
      </c>
      <c r="G160" s="569">
        <f t="shared" si="10"/>
        <v>0</v>
      </c>
      <c r="H160" s="606"/>
      <c r="I160" s="607">
        <f>ROUNDUP((E160*'Project Materials'!$L$18),0)</f>
        <v>0</v>
      </c>
      <c r="J160" s="572">
        <f t="shared" si="9"/>
        <v>0</v>
      </c>
    </row>
    <row r="161" spans="1:10" x14ac:dyDescent="0.4">
      <c r="A161" s="693" t="s">
        <v>429</v>
      </c>
      <c r="B161" s="79" t="str">
        <f>VLOOKUP('Area D'!B216,'Item List'!B:AJ,27,FALSE)</f>
        <v>None</v>
      </c>
      <c r="C161" s="79" t="str">
        <f>VLOOKUP(B161,'Item List'!B:AH,2,FALSE)</f>
        <v>None</v>
      </c>
      <c r="D161" s="79"/>
      <c r="E161" s="588">
        <f>VLOOKUP(B161,'Item List'!B:AM,36,FALSE)</f>
        <v>0</v>
      </c>
      <c r="F161" s="608">
        <f>VLOOKUP(B161,'Item List'!B:AH,4,FALSE)</f>
        <v>0</v>
      </c>
      <c r="G161" s="569">
        <f t="shared" si="10"/>
        <v>0</v>
      </c>
      <c r="H161" s="606"/>
      <c r="I161" s="607">
        <f>ROUNDUP((E161*'Project Materials'!$L$18),0)</f>
        <v>0</v>
      </c>
      <c r="J161" s="572">
        <f t="shared" si="9"/>
        <v>0</v>
      </c>
    </row>
    <row r="162" spans="1:10" x14ac:dyDescent="0.4">
      <c r="A162" s="693" t="s">
        <v>429</v>
      </c>
      <c r="B162" s="79" t="str">
        <f>VLOOKUP('Area D'!B217,'Item List'!B:AJ,27,FALSE)</f>
        <v>None</v>
      </c>
      <c r="C162" s="79" t="str">
        <f>VLOOKUP(B162,'Item List'!B:AH,2,FALSE)</f>
        <v>None</v>
      </c>
      <c r="D162" s="79"/>
      <c r="E162" s="588">
        <f>VLOOKUP(B162,'Item List'!B:AM,36,FALSE)</f>
        <v>0</v>
      </c>
      <c r="F162" s="608">
        <f>VLOOKUP(B162,'Item List'!B:AH,4,FALSE)</f>
        <v>0</v>
      </c>
      <c r="G162" s="569">
        <f t="shared" si="10"/>
        <v>0</v>
      </c>
      <c r="H162" s="606"/>
      <c r="I162" s="607">
        <f>ROUNDUP((E162*'Project Materials'!$L$18),0)</f>
        <v>0</v>
      </c>
      <c r="J162" s="572">
        <f t="shared" si="9"/>
        <v>0</v>
      </c>
    </row>
    <row r="163" spans="1:10" x14ac:dyDescent="0.4">
      <c r="A163" s="693" t="s">
        <v>429</v>
      </c>
      <c r="B163" s="79" t="str">
        <f>VLOOKUP('Area D'!B218,'Item List'!B:AJ,27,FALSE)</f>
        <v>None</v>
      </c>
      <c r="C163" s="79" t="str">
        <f>VLOOKUP(B163,'Item List'!B:AH,2,FALSE)</f>
        <v>None</v>
      </c>
      <c r="D163" s="79"/>
      <c r="E163" s="588">
        <f>VLOOKUP(B163,'Item List'!B:AM,36,FALSE)</f>
        <v>0</v>
      </c>
      <c r="F163" s="608">
        <f>VLOOKUP(B163,'Item List'!B:AH,4,FALSE)</f>
        <v>0</v>
      </c>
      <c r="G163" s="569">
        <f t="shared" si="10"/>
        <v>0</v>
      </c>
      <c r="H163" s="606"/>
      <c r="I163" s="607">
        <f>ROUNDUP((E163*'Project Materials'!$L$18),0)</f>
        <v>0</v>
      </c>
      <c r="J163" s="572">
        <f t="shared" si="9"/>
        <v>0</v>
      </c>
    </row>
    <row r="164" spans="1:10" x14ac:dyDescent="0.4">
      <c r="A164" s="693" t="s">
        <v>429</v>
      </c>
      <c r="B164" s="79" t="str">
        <f>VLOOKUP('Area D'!B219,'Item List'!B:AJ,27,FALSE)</f>
        <v>None</v>
      </c>
      <c r="C164" s="79" t="str">
        <f>VLOOKUP(B164,'Item List'!B:AH,2,FALSE)</f>
        <v>None</v>
      </c>
      <c r="D164" s="79"/>
      <c r="E164" s="588">
        <f>VLOOKUP(B164,'Item List'!B:AM,36,FALSE)</f>
        <v>0</v>
      </c>
      <c r="F164" s="608">
        <f>VLOOKUP(B164,'Item List'!B:AH,4,FALSE)</f>
        <v>0</v>
      </c>
      <c r="G164" s="569">
        <f t="shared" si="10"/>
        <v>0</v>
      </c>
      <c r="H164" s="606"/>
      <c r="I164" s="607">
        <f>ROUNDUP((E164*'Project Materials'!$L$18),0)</f>
        <v>0</v>
      </c>
      <c r="J164" s="572">
        <f t="shared" si="9"/>
        <v>0</v>
      </c>
    </row>
    <row r="165" spans="1:10" x14ac:dyDescent="0.4">
      <c r="A165" s="693" t="s">
        <v>429</v>
      </c>
      <c r="B165" s="79" t="str">
        <f>VLOOKUP('Area D'!B220,'Item List'!B:AJ,27,FALSE)</f>
        <v>None</v>
      </c>
      <c r="C165" s="79" t="str">
        <f>VLOOKUP(B165,'Item List'!B:AH,2,FALSE)</f>
        <v>None</v>
      </c>
      <c r="D165" s="79"/>
      <c r="E165" s="588">
        <f>VLOOKUP(B165,'Item List'!B:AM,36,FALSE)</f>
        <v>0</v>
      </c>
      <c r="F165" s="608">
        <f>VLOOKUP(B165,'Item List'!B:AH,4,FALSE)</f>
        <v>0</v>
      </c>
      <c r="G165" s="569">
        <f t="shared" si="10"/>
        <v>0</v>
      </c>
      <c r="H165" s="606"/>
      <c r="I165" s="607">
        <f>ROUNDUP((E165*'Project Materials'!$L$18),0)</f>
        <v>0</v>
      </c>
      <c r="J165" s="572">
        <f t="shared" si="9"/>
        <v>0</v>
      </c>
    </row>
    <row r="166" spans="1:10" x14ac:dyDescent="0.4">
      <c r="A166" s="693" t="s">
        <v>429</v>
      </c>
      <c r="B166" s="79" t="str">
        <f>VLOOKUP('Area D'!B221,'Item List'!B:AJ,27,FALSE)</f>
        <v>None</v>
      </c>
      <c r="C166" s="79" t="str">
        <f>VLOOKUP(B166,'Item List'!B:AH,2,FALSE)</f>
        <v>None</v>
      </c>
      <c r="D166" s="79"/>
      <c r="E166" s="588">
        <f>VLOOKUP(B166,'Item List'!B:AM,36,FALSE)</f>
        <v>0</v>
      </c>
      <c r="F166" s="608">
        <f>VLOOKUP(B166,'Item List'!B:AH,4,FALSE)</f>
        <v>0</v>
      </c>
      <c r="G166" s="569">
        <f t="shared" si="10"/>
        <v>0</v>
      </c>
      <c r="H166" s="606"/>
      <c r="I166" s="607">
        <f>ROUNDUP((E166*'Project Materials'!$L$18),0)</f>
        <v>0</v>
      </c>
      <c r="J166" s="572">
        <f t="shared" si="9"/>
        <v>0</v>
      </c>
    </row>
    <row r="167" spans="1:10" x14ac:dyDescent="0.4">
      <c r="A167" s="693" t="s">
        <v>429</v>
      </c>
      <c r="B167" s="79" t="str">
        <f>VLOOKUP('Area D'!B222,'Item List'!B:AJ,27,FALSE)</f>
        <v>None</v>
      </c>
      <c r="C167" s="79" t="str">
        <f>VLOOKUP(B167,'Item List'!B:AH,2,FALSE)</f>
        <v>None</v>
      </c>
      <c r="D167" s="79"/>
      <c r="E167" s="588">
        <f>VLOOKUP(B167,'Item List'!B:AM,36,FALSE)</f>
        <v>0</v>
      </c>
      <c r="F167" s="608">
        <f>VLOOKUP(B167,'Item List'!B:AH,4,FALSE)</f>
        <v>0</v>
      </c>
      <c r="G167" s="569">
        <f t="shared" si="10"/>
        <v>0</v>
      </c>
      <c r="H167" s="606"/>
      <c r="I167" s="607">
        <f>ROUNDUP((E167*'Project Materials'!$L$18),0)</f>
        <v>0</v>
      </c>
      <c r="J167" s="572">
        <f t="shared" si="9"/>
        <v>0</v>
      </c>
    </row>
    <row r="168" spans="1:10" x14ac:dyDescent="0.4">
      <c r="A168" s="693" t="s">
        <v>429</v>
      </c>
      <c r="B168" s="79" t="str">
        <f>VLOOKUP('Area D'!B223,'Item List'!B:AJ,27,FALSE)</f>
        <v>None</v>
      </c>
      <c r="C168" s="79" t="str">
        <f>VLOOKUP(B168,'Item List'!B:AH,2,FALSE)</f>
        <v>None</v>
      </c>
      <c r="D168" s="79"/>
      <c r="E168" s="588">
        <f>VLOOKUP(B168,'Item List'!B:AM,36,FALSE)</f>
        <v>0</v>
      </c>
      <c r="F168" s="608">
        <f>VLOOKUP(B168,'Item List'!B:AH,4,FALSE)</f>
        <v>0</v>
      </c>
      <c r="G168" s="569">
        <f t="shared" si="10"/>
        <v>0</v>
      </c>
      <c r="H168" s="606"/>
      <c r="I168" s="607">
        <f>ROUNDUP((E168*'Project Materials'!$L$18),0)</f>
        <v>0</v>
      </c>
      <c r="J168" s="572">
        <f t="shared" si="9"/>
        <v>0</v>
      </c>
    </row>
    <row r="169" spans="1:10" x14ac:dyDescent="0.4">
      <c r="A169" s="693" t="s">
        <v>429</v>
      </c>
      <c r="B169" s="79" t="str">
        <f>VLOOKUP('Area D'!B224,'Item List'!B:AJ,27,FALSE)</f>
        <v>None</v>
      </c>
      <c r="C169" s="79" t="str">
        <f>VLOOKUP(B169,'Item List'!B:AH,2,FALSE)</f>
        <v>None</v>
      </c>
      <c r="D169" s="79"/>
      <c r="E169" s="588">
        <f>VLOOKUP(B169,'Item List'!B:AM,36,FALSE)</f>
        <v>0</v>
      </c>
      <c r="F169" s="608">
        <f>VLOOKUP(B169,'Item List'!B:AH,4,FALSE)</f>
        <v>0</v>
      </c>
      <c r="G169" s="569">
        <f t="shared" si="10"/>
        <v>0</v>
      </c>
      <c r="H169" s="606"/>
      <c r="I169" s="607">
        <f>ROUNDUP((E169*'Project Materials'!$L$18),0)</f>
        <v>0</v>
      </c>
      <c r="J169" s="572">
        <f t="shared" si="9"/>
        <v>0</v>
      </c>
    </row>
    <row r="170" spans="1:10" x14ac:dyDescent="0.4">
      <c r="A170" s="693" t="s">
        <v>429</v>
      </c>
      <c r="B170" s="79" t="str">
        <f>VLOOKUP('Area D'!B225,'Item List'!B:AJ,27,FALSE)</f>
        <v>None</v>
      </c>
      <c r="C170" s="79" t="str">
        <f>VLOOKUP(B170,'Item List'!B:AH,2,FALSE)</f>
        <v>None</v>
      </c>
      <c r="D170" s="79"/>
      <c r="E170" s="588">
        <f>VLOOKUP(B170,'Item List'!B:AM,36,FALSE)</f>
        <v>0</v>
      </c>
      <c r="F170" s="608">
        <f>VLOOKUP(B170,'Item List'!B:AH,4,FALSE)</f>
        <v>0</v>
      </c>
      <c r="G170" s="569">
        <f t="shared" si="10"/>
        <v>0</v>
      </c>
      <c r="H170" s="606"/>
      <c r="I170" s="607">
        <f>ROUNDUP((E170*'Project Materials'!$L$18),0)</f>
        <v>0</v>
      </c>
      <c r="J170" s="572">
        <f t="shared" si="9"/>
        <v>0</v>
      </c>
    </row>
    <row r="171" spans="1:10" x14ac:dyDescent="0.4">
      <c r="A171" s="693" t="s">
        <v>429</v>
      </c>
      <c r="B171" s="79" t="str">
        <f>VLOOKUP('Area D'!B226,'Item List'!B:AJ,27,FALSE)</f>
        <v>None</v>
      </c>
      <c r="C171" s="79" t="str">
        <f>VLOOKUP(B171,'Item List'!B:AH,2,FALSE)</f>
        <v>None</v>
      </c>
      <c r="D171" s="79"/>
      <c r="E171" s="588">
        <f>VLOOKUP(B171,'Item List'!B:AM,36,FALSE)</f>
        <v>0</v>
      </c>
      <c r="F171" s="608">
        <f>VLOOKUP(B171,'Item List'!B:AH,4,FALSE)</f>
        <v>0</v>
      </c>
      <c r="G171" s="569">
        <f t="shared" si="10"/>
        <v>0</v>
      </c>
      <c r="H171" s="606"/>
      <c r="I171" s="607">
        <f>ROUNDUP((E171*'Project Materials'!$L$18),0)</f>
        <v>0</v>
      </c>
      <c r="J171" s="572">
        <f t="shared" si="9"/>
        <v>0</v>
      </c>
    </row>
    <row r="172" spans="1:10" x14ac:dyDescent="0.4">
      <c r="A172" s="693" t="s">
        <v>429</v>
      </c>
      <c r="B172" s="79" t="str">
        <f>VLOOKUP('Area D'!B227,'Item List'!B:AJ,27,FALSE)</f>
        <v>None</v>
      </c>
      <c r="C172" s="79" t="str">
        <f>VLOOKUP(B172,'Item List'!B:AH,2,FALSE)</f>
        <v>None</v>
      </c>
      <c r="D172" s="79"/>
      <c r="E172" s="588">
        <f>VLOOKUP(B172,'Item List'!B:AM,36,FALSE)</f>
        <v>0</v>
      </c>
      <c r="F172" s="608">
        <f>VLOOKUP(B172,'Item List'!B:AH,4,FALSE)</f>
        <v>0</v>
      </c>
      <c r="G172" s="569">
        <f t="shared" si="10"/>
        <v>0</v>
      </c>
      <c r="H172" s="606"/>
      <c r="I172" s="607">
        <f>ROUNDUP((E172*'Project Materials'!$L$18),0)</f>
        <v>0</v>
      </c>
      <c r="J172" s="572">
        <f t="shared" si="9"/>
        <v>0</v>
      </c>
    </row>
    <row r="173" spans="1:10" x14ac:dyDescent="0.4">
      <c r="A173" s="693" t="s">
        <v>429</v>
      </c>
      <c r="B173" s="79" t="str">
        <f>VLOOKUP('Area D'!B228,'Item List'!B:AJ,27,FALSE)</f>
        <v>None</v>
      </c>
      <c r="C173" s="79" t="str">
        <f>VLOOKUP(B173,'Item List'!B:AH,2,FALSE)</f>
        <v>None</v>
      </c>
      <c r="D173" s="79"/>
      <c r="E173" s="588">
        <f>VLOOKUP(B173,'Item List'!B:AM,36,FALSE)</f>
        <v>0</v>
      </c>
      <c r="F173" s="608">
        <f>VLOOKUP(B173,'Item List'!B:AH,4,FALSE)</f>
        <v>0</v>
      </c>
      <c r="G173" s="569">
        <f t="shared" si="10"/>
        <v>0</v>
      </c>
      <c r="H173" s="606"/>
      <c r="I173" s="607">
        <f>ROUNDUP((E173*'Project Materials'!$L$18),0)</f>
        <v>0</v>
      </c>
      <c r="J173" s="572">
        <f t="shared" si="9"/>
        <v>0</v>
      </c>
    </row>
    <row r="174" spans="1:10" x14ac:dyDescent="0.4">
      <c r="A174" s="693" t="s">
        <v>429</v>
      </c>
      <c r="B174" s="79" t="str">
        <f>VLOOKUP('Area D'!B229,'Item List'!B:AJ,27,FALSE)</f>
        <v>None</v>
      </c>
      <c r="C174" s="79" t="str">
        <f>VLOOKUP(B174,'Item List'!B:AH,2,FALSE)</f>
        <v>None</v>
      </c>
      <c r="D174" s="79"/>
      <c r="E174" s="588">
        <f>VLOOKUP(B174,'Item List'!B:AM,36,FALSE)</f>
        <v>0</v>
      </c>
      <c r="F174" s="608">
        <f>VLOOKUP(B174,'Item List'!B:AH,4,FALSE)</f>
        <v>0</v>
      </c>
      <c r="G174" s="569">
        <f t="shared" si="10"/>
        <v>0</v>
      </c>
      <c r="H174" s="606"/>
      <c r="I174" s="607">
        <f>ROUNDUP((E174*'Project Materials'!$L$18),0)</f>
        <v>0</v>
      </c>
      <c r="J174" s="572">
        <f t="shared" si="9"/>
        <v>0</v>
      </c>
    </row>
    <row r="175" spans="1:10" x14ac:dyDescent="0.4">
      <c r="A175" s="693" t="s">
        <v>429</v>
      </c>
      <c r="B175" s="79" t="str">
        <f>VLOOKUP('Area D'!B230,'Item List'!B:AJ,27,FALSE)</f>
        <v>None</v>
      </c>
      <c r="C175" s="79" t="str">
        <f>VLOOKUP(B175,'Item List'!B:AH,2,FALSE)</f>
        <v>None</v>
      </c>
      <c r="D175" s="79"/>
      <c r="E175" s="588">
        <f>VLOOKUP(B175,'Item List'!B:AM,36,FALSE)</f>
        <v>0</v>
      </c>
      <c r="F175" s="608">
        <f>VLOOKUP(B175,'Item List'!B:AH,4,FALSE)</f>
        <v>0</v>
      </c>
      <c r="G175" s="569">
        <f t="shared" si="10"/>
        <v>0</v>
      </c>
      <c r="H175" s="606"/>
      <c r="I175" s="607">
        <f>ROUNDUP((E175*'Project Materials'!$L$18),0)</f>
        <v>0</v>
      </c>
      <c r="J175" s="572">
        <f t="shared" si="9"/>
        <v>0</v>
      </c>
    </row>
    <row r="176" spans="1:10" x14ac:dyDescent="0.4">
      <c r="A176" s="693" t="s">
        <v>429</v>
      </c>
      <c r="B176" s="79" t="str">
        <f>VLOOKUP('Area D'!B231,'Item List'!B:AJ,27,FALSE)</f>
        <v>None</v>
      </c>
      <c r="C176" s="79" t="str">
        <f>VLOOKUP(B176,'Item List'!B:AH,2,FALSE)</f>
        <v>None</v>
      </c>
      <c r="D176" s="79"/>
      <c r="E176" s="588">
        <f>VLOOKUP(B176,'Item List'!B:AM,36,FALSE)</f>
        <v>0</v>
      </c>
      <c r="F176" s="608">
        <f>VLOOKUP(B176,'Item List'!B:AH,4,FALSE)</f>
        <v>0</v>
      </c>
      <c r="G176" s="569">
        <f t="shared" si="10"/>
        <v>0</v>
      </c>
      <c r="H176" s="606"/>
      <c r="I176" s="607">
        <f>ROUNDUP((E176*'Project Materials'!$L$18),0)</f>
        <v>0</v>
      </c>
      <c r="J176" s="572">
        <f t="shared" si="9"/>
        <v>0</v>
      </c>
    </row>
    <row r="177" spans="1:10" x14ac:dyDescent="0.4">
      <c r="A177" s="693" t="s">
        <v>429</v>
      </c>
      <c r="B177" s="79" t="str">
        <f>VLOOKUP('Area D'!B232,'Item List'!B:AJ,27,FALSE)</f>
        <v>None</v>
      </c>
      <c r="C177" s="79" t="str">
        <f>VLOOKUP(B177,'Item List'!B:AH,2,FALSE)</f>
        <v>None</v>
      </c>
      <c r="D177" s="79"/>
      <c r="E177" s="588">
        <f>VLOOKUP(B177,'Item List'!B:AM,36,FALSE)</f>
        <v>0</v>
      </c>
      <c r="F177" s="608">
        <f>VLOOKUP(B177,'Item List'!B:AH,4,FALSE)</f>
        <v>0</v>
      </c>
      <c r="G177" s="569">
        <f t="shared" si="10"/>
        <v>0</v>
      </c>
      <c r="H177" s="606"/>
      <c r="I177" s="607">
        <f>ROUNDUP((E177*'Project Materials'!$L$18),0)</f>
        <v>0</v>
      </c>
      <c r="J177" s="572">
        <f t="shared" si="9"/>
        <v>0</v>
      </c>
    </row>
    <row r="178" spans="1:10" x14ac:dyDescent="0.4">
      <c r="A178" s="693" t="s">
        <v>429</v>
      </c>
      <c r="B178" s="79" t="str">
        <f>VLOOKUP('Area D'!B233,'Item List'!B:AJ,27,FALSE)</f>
        <v>None</v>
      </c>
      <c r="C178" s="79" t="str">
        <f>VLOOKUP(B178,'Item List'!B:AH,2,FALSE)</f>
        <v>None</v>
      </c>
      <c r="D178" s="79"/>
      <c r="E178" s="588">
        <f>VLOOKUP(B178,'Item List'!B:AM,36,FALSE)</f>
        <v>0</v>
      </c>
      <c r="F178" s="608">
        <f>VLOOKUP(B178,'Item List'!B:AH,4,FALSE)</f>
        <v>0</v>
      </c>
      <c r="G178" s="569">
        <f t="shared" si="10"/>
        <v>0</v>
      </c>
      <c r="H178" s="606"/>
      <c r="I178" s="607">
        <f>ROUNDUP((E178*'Project Materials'!$L$18),0)</f>
        <v>0</v>
      </c>
      <c r="J178" s="572">
        <f t="shared" si="9"/>
        <v>0</v>
      </c>
    </row>
    <row r="179" spans="1:10" x14ac:dyDescent="0.4">
      <c r="A179" s="693" t="s">
        <v>429</v>
      </c>
      <c r="B179" s="79" t="str">
        <f>VLOOKUP('Area D'!B234,'Item List'!B:AJ,27,FALSE)</f>
        <v>None</v>
      </c>
      <c r="C179" s="79" t="str">
        <f>VLOOKUP(B179,'Item List'!B:AH,2,FALSE)</f>
        <v>None</v>
      </c>
      <c r="D179" s="79"/>
      <c r="E179" s="588">
        <f>VLOOKUP(B179,'Item List'!B:AM,36,FALSE)</f>
        <v>0</v>
      </c>
      <c r="F179" s="608">
        <f>VLOOKUP(B179,'Item List'!B:AH,4,FALSE)</f>
        <v>0</v>
      </c>
      <c r="G179" s="569">
        <f t="shared" si="10"/>
        <v>0</v>
      </c>
      <c r="H179" s="606"/>
      <c r="I179" s="607">
        <f>ROUNDUP((E179*'Project Materials'!$L$18),0)</f>
        <v>0</v>
      </c>
      <c r="J179" s="572">
        <f t="shared" ref="J179:J195" si="11">G179+(I179*F179)</f>
        <v>0</v>
      </c>
    </row>
    <row r="180" spans="1:10" x14ac:dyDescent="0.4">
      <c r="A180" s="693" t="s">
        <v>429</v>
      </c>
      <c r="B180" s="79" t="str">
        <f>VLOOKUP('Area D'!B235,'Item List'!B:AJ,27,FALSE)</f>
        <v>None</v>
      </c>
      <c r="C180" s="79" t="str">
        <f>VLOOKUP(B180,'Item List'!B:AH,2,FALSE)</f>
        <v>None</v>
      </c>
      <c r="D180" s="79"/>
      <c r="E180" s="588">
        <f>VLOOKUP(B180,'Item List'!B:AM,36,FALSE)</f>
        <v>0</v>
      </c>
      <c r="F180" s="608">
        <f>VLOOKUP(B180,'Item List'!B:AH,4,FALSE)</f>
        <v>0</v>
      </c>
      <c r="G180" s="569">
        <f t="shared" si="10"/>
        <v>0</v>
      </c>
      <c r="H180" s="606"/>
      <c r="I180" s="607">
        <f>ROUNDUP((E180*'Project Materials'!$L$18),0)</f>
        <v>0</v>
      </c>
      <c r="J180" s="572">
        <f t="shared" si="11"/>
        <v>0</v>
      </c>
    </row>
    <row r="181" spans="1:10" x14ac:dyDescent="0.4">
      <c r="A181" s="693" t="s">
        <v>429</v>
      </c>
      <c r="B181" s="79" t="str">
        <f>VLOOKUP('Area D'!B236,'Item List'!B:AJ,27,FALSE)</f>
        <v>None</v>
      </c>
      <c r="C181" s="79" t="str">
        <f>VLOOKUP(B181,'Item List'!B:AH,2,FALSE)</f>
        <v>None</v>
      </c>
      <c r="D181" s="79"/>
      <c r="E181" s="588">
        <f>VLOOKUP(B181,'Item List'!B:AM,36,FALSE)</f>
        <v>0</v>
      </c>
      <c r="F181" s="608">
        <f>VLOOKUP(B181,'Item List'!B:AH,4,FALSE)</f>
        <v>0</v>
      </c>
      <c r="G181" s="569">
        <f t="shared" si="10"/>
        <v>0</v>
      </c>
      <c r="H181" s="606"/>
      <c r="I181" s="607">
        <f>ROUNDUP((E181*'Project Materials'!$L$18),0)</f>
        <v>0</v>
      </c>
      <c r="J181" s="572">
        <f t="shared" si="11"/>
        <v>0</v>
      </c>
    </row>
    <row r="182" spans="1:10" x14ac:dyDescent="0.4">
      <c r="A182" s="693" t="s">
        <v>429</v>
      </c>
      <c r="B182" s="79" t="str">
        <f>VLOOKUP('Area D'!B237,'Item List'!B:AJ,27,FALSE)</f>
        <v>None</v>
      </c>
      <c r="C182" s="79" t="str">
        <f>VLOOKUP(B182,'Item List'!B:AH,2,FALSE)</f>
        <v>None</v>
      </c>
      <c r="D182" s="79"/>
      <c r="E182" s="588">
        <f>VLOOKUP(B182,'Item List'!B:AM,36,FALSE)</f>
        <v>0</v>
      </c>
      <c r="F182" s="608">
        <f>VLOOKUP(B182,'Item List'!B:AH,4,FALSE)</f>
        <v>0</v>
      </c>
      <c r="G182" s="569">
        <f t="shared" si="10"/>
        <v>0</v>
      </c>
      <c r="H182" s="606"/>
      <c r="I182" s="607">
        <f>ROUNDUP((E182*'Project Materials'!$L$18),0)</f>
        <v>0</v>
      </c>
      <c r="J182" s="572">
        <f t="shared" si="11"/>
        <v>0</v>
      </c>
    </row>
    <row r="183" spans="1:10" x14ac:dyDescent="0.4">
      <c r="A183" s="693" t="s">
        <v>429</v>
      </c>
      <c r="B183" s="79" t="str">
        <f>VLOOKUP('Area D'!B238,'Item List'!B:AJ,27,FALSE)</f>
        <v>None</v>
      </c>
      <c r="C183" s="79" t="str">
        <f>VLOOKUP(B183,'Item List'!B:AH,2,FALSE)</f>
        <v>None</v>
      </c>
      <c r="D183" s="79"/>
      <c r="E183" s="588">
        <f>VLOOKUP(B183,'Item List'!B:AM,36,FALSE)</f>
        <v>0</v>
      </c>
      <c r="F183" s="608">
        <f>VLOOKUP(B183,'Item List'!B:AH,4,FALSE)</f>
        <v>0</v>
      </c>
      <c r="G183" s="569">
        <f t="shared" si="10"/>
        <v>0</v>
      </c>
      <c r="H183" s="606"/>
      <c r="I183" s="607">
        <f>ROUNDUP((E183*'Project Materials'!$L$18),0)</f>
        <v>0</v>
      </c>
      <c r="J183" s="572">
        <f t="shared" si="11"/>
        <v>0</v>
      </c>
    </row>
    <row r="184" spans="1:10" x14ac:dyDescent="0.4">
      <c r="A184" s="693" t="s">
        <v>429</v>
      </c>
      <c r="B184" s="79" t="str">
        <f>VLOOKUP('Area D'!B239,'Item List'!B:AJ,27,FALSE)</f>
        <v>None</v>
      </c>
      <c r="C184" s="79" t="str">
        <f>VLOOKUP(B184,'Item List'!B:AH,2,FALSE)</f>
        <v>None</v>
      </c>
      <c r="D184" s="79"/>
      <c r="E184" s="588">
        <f>VLOOKUP(B184,'Item List'!B:AM,36,FALSE)</f>
        <v>0</v>
      </c>
      <c r="F184" s="608">
        <f>VLOOKUP(B184,'Item List'!B:AH,4,FALSE)</f>
        <v>0</v>
      </c>
      <c r="G184" s="569">
        <f t="shared" si="10"/>
        <v>0</v>
      </c>
      <c r="H184" s="606"/>
      <c r="I184" s="607">
        <f>ROUNDUP((E184*'Project Materials'!$L$18),0)</f>
        <v>0</v>
      </c>
      <c r="J184" s="572">
        <f t="shared" si="11"/>
        <v>0</v>
      </c>
    </row>
    <row r="185" spans="1:10" x14ac:dyDescent="0.4">
      <c r="A185" s="693" t="s">
        <v>429</v>
      </c>
      <c r="B185" s="79" t="str">
        <f>VLOOKUP('Area D'!B240,'Item List'!B:AJ,27,FALSE)</f>
        <v>None</v>
      </c>
      <c r="C185" s="79" t="str">
        <f>VLOOKUP(B185,'Item List'!B:AH,2,FALSE)</f>
        <v>None</v>
      </c>
      <c r="D185" s="79"/>
      <c r="E185" s="588">
        <f>VLOOKUP(B185,'Item List'!B:AM,36,FALSE)</f>
        <v>0</v>
      </c>
      <c r="F185" s="608">
        <f>VLOOKUP(B185,'Item List'!B:AH,4,FALSE)</f>
        <v>0</v>
      </c>
      <c r="G185" s="569">
        <f t="shared" si="10"/>
        <v>0</v>
      </c>
      <c r="H185" s="606"/>
      <c r="I185" s="607">
        <f>ROUNDUP((E185*'Project Materials'!$L$18),0)</f>
        <v>0</v>
      </c>
      <c r="J185" s="572">
        <f t="shared" si="11"/>
        <v>0</v>
      </c>
    </row>
    <row r="186" spans="1:10" x14ac:dyDescent="0.4">
      <c r="A186" s="693" t="s">
        <v>429</v>
      </c>
      <c r="B186" s="79" t="str">
        <f>VLOOKUP('Area D'!B241,'Item List'!B:AJ,27,FALSE)</f>
        <v>None</v>
      </c>
      <c r="C186" s="79" t="str">
        <f>VLOOKUP(B186,'Item List'!B:AH,2,FALSE)</f>
        <v>None</v>
      </c>
      <c r="D186" s="79"/>
      <c r="E186" s="588">
        <f>VLOOKUP(B186,'Item List'!B:AM,36,FALSE)</f>
        <v>0</v>
      </c>
      <c r="F186" s="608">
        <f>VLOOKUP(B186,'Item List'!B:AH,4,FALSE)</f>
        <v>0</v>
      </c>
      <c r="G186" s="569">
        <f t="shared" si="10"/>
        <v>0</v>
      </c>
      <c r="H186" s="606"/>
      <c r="I186" s="607">
        <f>ROUNDUP((E186*'Project Materials'!$L$18),0)</f>
        <v>0</v>
      </c>
      <c r="J186" s="572">
        <f t="shared" si="11"/>
        <v>0</v>
      </c>
    </row>
    <row r="187" spans="1:10" x14ac:dyDescent="0.4">
      <c r="A187" s="693" t="s">
        <v>429</v>
      </c>
      <c r="B187" s="79" t="str">
        <f>VLOOKUP('Area D'!B242,'Item List'!B:AJ,27,FALSE)</f>
        <v>None</v>
      </c>
      <c r="C187" s="79" t="str">
        <f>VLOOKUP(B187,'Item List'!B:AH,2,FALSE)</f>
        <v>None</v>
      </c>
      <c r="D187" s="79"/>
      <c r="E187" s="588">
        <f>VLOOKUP(B187,'Item List'!B:AM,36,FALSE)</f>
        <v>0</v>
      </c>
      <c r="F187" s="608">
        <f>VLOOKUP(B187,'Item List'!B:AH,4,FALSE)</f>
        <v>0</v>
      </c>
      <c r="G187" s="569">
        <f t="shared" si="10"/>
        <v>0</v>
      </c>
      <c r="H187" s="606"/>
      <c r="I187" s="607">
        <f>ROUNDUP((E187*'Project Materials'!$L$18),0)</f>
        <v>0</v>
      </c>
      <c r="J187" s="572">
        <f t="shared" si="11"/>
        <v>0</v>
      </c>
    </row>
    <row r="188" spans="1:10" x14ac:dyDescent="0.4">
      <c r="A188" s="693" t="s">
        <v>429</v>
      </c>
      <c r="B188" s="79" t="str">
        <f>VLOOKUP('Area D'!B243,'Item List'!B:AJ,27,FALSE)</f>
        <v>None</v>
      </c>
      <c r="C188" s="79" t="str">
        <f>VLOOKUP(B188,'Item List'!B:AH,2,FALSE)</f>
        <v>None</v>
      </c>
      <c r="D188" s="79"/>
      <c r="E188" s="588">
        <f>VLOOKUP(B188,'Item List'!B:AM,36,FALSE)</f>
        <v>0</v>
      </c>
      <c r="F188" s="608">
        <f>VLOOKUP(B188,'Item List'!B:AH,4,FALSE)</f>
        <v>0</v>
      </c>
      <c r="G188" s="569">
        <f t="shared" si="10"/>
        <v>0</v>
      </c>
      <c r="H188" s="606"/>
      <c r="I188" s="607">
        <f>ROUNDUP((E188*'Project Materials'!$L$18),0)</f>
        <v>0</v>
      </c>
      <c r="J188" s="572">
        <f t="shared" si="11"/>
        <v>0</v>
      </c>
    </row>
    <row r="189" spans="1:10" x14ac:dyDescent="0.4">
      <c r="A189" s="693" t="s">
        <v>429</v>
      </c>
      <c r="B189" s="79" t="str">
        <f>VLOOKUP('Area D'!B244,'Item List'!B:AJ,27,FALSE)</f>
        <v>None</v>
      </c>
      <c r="C189" s="79" t="str">
        <f>VLOOKUP(B189,'Item List'!B:AH,2,FALSE)</f>
        <v>None</v>
      </c>
      <c r="D189" s="79"/>
      <c r="E189" s="588">
        <f>VLOOKUP(B189,'Item List'!B:AM,36,FALSE)</f>
        <v>0</v>
      </c>
      <c r="F189" s="608">
        <f>VLOOKUP(B189,'Item List'!B:AH,4,FALSE)</f>
        <v>0</v>
      </c>
      <c r="G189" s="569">
        <f t="shared" si="10"/>
        <v>0</v>
      </c>
      <c r="H189" s="606"/>
      <c r="I189" s="607">
        <f>ROUNDUP((E189*'Project Materials'!$L$18),0)</f>
        <v>0</v>
      </c>
      <c r="J189" s="572">
        <f t="shared" si="11"/>
        <v>0</v>
      </c>
    </row>
    <row r="190" spans="1:10" x14ac:dyDescent="0.4">
      <c r="A190" s="693" t="s">
        <v>429</v>
      </c>
      <c r="B190" s="79" t="str">
        <f>VLOOKUP('Area D'!B245,'Item List'!B:AJ,27,FALSE)</f>
        <v>None</v>
      </c>
      <c r="C190" s="79" t="str">
        <f>VLOOKUP(B190,'Item List'!B:AH,2,FALSE)</f>
        <v>None</v>
      </c>
      <c r="D190" s="79"/>
      <c r="E190" s="588">
        <f>VLOOKUP(B190,'Item List'!B:AM,36,FALSE)</f>
        <v>0</v>
      </c>
      <c r="F190" s="608">
        <f>VLOOKUP(B190,'Item List'!B:AH,4,FALSE)</f>
        <v>0</v>
      </c>
      <c r="G190" s="569">
        <f t="shared" si="10"/>
        <v>0</v>
      </c>
      <c r="H190" s="606"/>
      <c r="I190" s="607">
        <f>ROUNDUP((E190*'Project Materials'!$L$18),0)</f>
        <v>0</v>
      </c>
      <c r="J190" s="572">
        <f t="shared" si="11"/>
        <v>0</v>
      </c>
    </row>
    <row r="191" spans="1:10" x14ac:dyDescent="0.4">
      <c r="A191" s="693" t="s">
        <v>429</v>
      </c>
      <c r="B191" s="79" t="str">
        <f>VLOOKUP('Area D'!B246,'Item List'!B:AJ,27,FALSE)</f>
        <v>None</v>
      </c>
      <c r="C191" s="79" t="str">
        <f>VLOOKUP(B191,'Item List'!B:AH,2,FALSE)</f>
        <v>None</v>
      </c>
      <c r="D191" s="79"/>
      <c r="E191" s="588">
        <f>VLOOKUP(B191,'Item List'!B:AM,36,FALSE)</f>
        <v>0</v>
      </c>
      <c r="F191" s="608">
        <f>VLOOKUP(B191,'Item List'!B:AH,4,FALSE)</f>
        <v>0</v>
      </c>
      <c r="G191" s="569">
        <f t="shared" si="10"/>
        <v>0</v>
      </c>
      <c r="H191" s="606"/>
      <c r="I191" s="607">
        <f>ROUNDUP((E191*'Project Materials'!$L$18),0)</f>
        <v>0</v>
      </c>
      <c r="J191" s="572">
        <f t="shared" si="11"/>
        <v>0</v>
      </c>
    </row>
    <row r="192" spans="1:10" x14ac:dyDescent="0.4">
      <c r="A192" s="693" t="s">
        <v>429</v>
      </c>
      <c r="B192" s="79" t="str">
        <f>VLOOKUP('Area D'!B247,'Item List'!B:AJ,27,FALSE)</f>
        <v>None</v>
      </c>
      <c r="C192" s="79" t="str">
        <f>VLOOKUP(B192,'Item List'!B:AH,2,FALSE)</f>
        <v>None</v>
      </c>
      <c r="D192" s="79"/>
      <c r="E192" s="588">
        <f>VLOOKUP(B192,'Item List'!B:AM,36,FALSE)</f>
        <v>0</v>
      </c>
      <c r="F192" s="608">
        <f>VLOOKUP(B192,'Item List'!B:AH,4,FALSE)</f>
        <v>0</v>
      </c>
      <c r="G192" s="569">
        <f t="shared" si="10"/>
        <v>0</v>
      </c>
      <c r="H192" s="606"/>
      <c r="I192" s="607">
        <f>ROUNDUP((E192*'Project Materials'!$L$18),0)</f>
        <v>0</v>
      </c>
      <c r="J192" s="572">
        <f t="shared" si="11"/>
        <v>0</v>
      </c>
    </row>
    <row r="193" spans="1:10" x14ac:dyDescent="0.4">
      <c r="A193" s="693" t="s">
        <v>429</v>
      </c>
      <c r="B193" s="79" t="str">
        <f>VLOOKUP('Area D'!B248,'Item List'!B:AJ,27,FALSE)</f>
        <v>None</v>
      </c>
      <c r="C193" s="79" t="str">
        <f>VLOOKUP(B193,'Item List'!B:AH,2,FALSE)</f>
        <v>None</v>
      </c>
      <c r="D193" s="79"/>
      <c r="E193" s="588">
        <f>VLOOKUP(B193,'Item List'!B:AM,36,FALSE)</f>
        <v>0</v>
      </c>
      <c r="F193" s="608">
        <f>VLOOKUP(B193,'Item List'!B:AH,4,FALSE)</f>
        <v>0</v>
      </c>
      <c r="G193" s="569">
        <f t="shared" si="10"/>
        <v>0</v>
      </c>
      <c r="H193" s="606"/>
      <c r="I193" s="607">
        <f>ROUNDUP((E193*'Project Materials'!$L$18),0)</f>
        <v>0</v>
      </c>
      <c r="J193" s="572">
        <f t="shared" si="11"/>
        <v>0</v>
      </c>
    </row>
    <row r="194" spans="1:10" x14ac:dyDescent="0.4">
      <c r="A194" s="693" t="s">
        <v>429</v>
      </c>
      <c r="B194" s="79" t="str">
        <f>VLOOKUP('Area D'!B249,'Item List'!B:AJ,27,FALSE)</f>
        <v>None</v>
      </c>
      <c r="C194" s="79" t="str">
        <f>VLOOKUP(B194,'Item List'!B:AH,2,FALSE)</f>
        <v>None</v>
      </c>
      <c r="D194" s="79"/>
      <c r="E194" s="588">
        <f>VLOOKUP(B194,'Item List'!B:AM,36,FALSE)</f>
        <v>0</v>
      </c>
      <c r="F194" s="608">
        <f>VLOOKUP(B194,'Item List'!B:AH,4,FALSE)</f>
        <v>0</v>
      </c>
      <c r="G194" s="569">
        <f t="shared" si="10"/>
        <v>0</v>
      </c>
      <c r="H194" s="606"/>
      <c r="I194" s="607">
        <f>ROUNDUP((E194*'Project Materials'!$L$18),0)</f>
        <v>0</v>
      </c>
      <c r="J194" s="572">
        <f t="shared" si="11"/>
        <v>0</v>
      </c>
    </row>
    <row r="195" spans="1:10" x14ac:dyDescent="0.4">
      <c r="A195" s="693" t="s">
        <v>429</v>
      </c>
      <c r="B195" s="79" t="str">
        <f>VLOOKUP('Area D'!B250,'Item List'!B:AJ,27,FALSE)</f>
        <v>None</v>
      </c>
      <c r="C195" s="598" t="str">
        <f>VLOOKUP(B195,'Item List'!B:AH,2,FALSE)</f>
        <v>None</v>
      </c>
      <c r="D195" s="598"/>
      <c r="E195" s="588">
        <f>VLOOKUP(B195,'Item List'!B:AM,36,FALSE)</f>
        <v>0</v>
      </c>
      <c r="F195" s="608">
        <f>VLOOKUP(B195,'Item List'!B:AH,4,FALSE)</f>
        <v>0</v>
      </c>
      <c r="G195" s="569">
        <f t="shared" si="10"/>
        <v>0</v>
      </c>
      <c r="H195" s="606"/>
      <c r="I195" s="607">
        <f>ROUNDUP((E195*'Project Materials'!$L$18),0)</f>
        <v>0</v>
      </c>
      <c r="J195" s="572">
        <f t="shared" si="11"/>
        <v>0</v>
      </c>
    </row>
    <row r="196" spans="1:10" ht="15" thickBot="1" x14ac:dyDescent="0.45">
      <c r="A196" s="574"/>
      <c r="B196" s="401"/>
      <c r="C196" s="401"/>
      <c r="D196" s="402"/>
      <c r="E196" s="400"/>
      <c r="F196" s="577"/>
      <c r="G196" s="399">
        <f>SUM(G47:G195)</f>
        <v>0</v>
      </c>
      <c r="H196" s="400"/>
      <c r="I196" s="577"/>
      <c r="J196" s="399">
        <f>SUM(J47:J195)</f>
        <v>0</v>
      </c>
    </row>
    <row r="197" spans="1:10" ht="16.3" thickTop="1" x14ac:dyDescent="0.45">
      <c r="A197" s="696" t="s">
        <v>429</v>
      </c>
      <c r="B197" s="696"/>
      <c r="C197" s="696"/>
      <c r="D197" s="696"/>
      <c r="E197" s="696"/>
      <c r="F197" s="696"/>
      <c r="G197" s="696"/>
      <c r="H197" s="696"/>
      <c r="I197" s="696"/>
      <c r="J197" s="696"/>
    </row>
    <row r="198" spans="1:10" x14ac:dyDescent="0.4">
      <c r="A198" s="695" t="s">
        <v>433</v>
      </c>
      <c r="B198" s="593" t="s">
        <v>11</v>
      </c>
      <c r="C198" s="593" t="s">
        <v>12</v>
      </c>
      <c r="D198" s="593"/>
      <c r="E198" s="584" t="s">
        <v>436</v>
      </c>
      <c r="F198" s="594" t="s">
        <v>437</v>
      </c>
      <c r="G198" s="594" t="s">
        <v>425</v>
      </c>
      <c r="H198" s="583" t="s">
        <v>501</v>
      </c>
      <c r="I198" s="584" t="s">
        <v>502</v>
      </c>
      <c r="J198" s="583" t="s">
        <v>500</v>
      </c>
    </row>
    <row r="199" spans="1:10" x14ac:dyDescent="0.4">
      <c r="A199" s="693" t="s">
        <v>0</v>
      </c>
      <c r="B199" s="79" t="str">
        <f>VLOOKUP('Area D'!$B$5,'Item List'!B:AJ,28,FALSE)</f>
        <v>INT-90°/650 rail</v>
      </c>
      <c r="C199" s="79" t="str">
        <f>VLOOKUP(B199,'Item List'!B:AH,2,FALSE)</f>
        <v>Internal 90° Splice Corner</v>
      </c>
      <c r="D199" s="79"/>
      <c r="E199" s="570">
        <f>VLOOKUP(B199,'Item List'!B:AM,36,FALSE)</f>
        <v>0</v>
      </c>
      <c r="F199" s="568">
        <f>VLOOKUP(B199,'Item List'!B:AJ,4,FALSE)</f>
        <v>5.47</v>
      </c>
      <c r="G199" s="568">
        <f t="shared" ref="G199:G255" si="12">F199*E199</f>
        <v>0</v>
      </c>
      <c r="H199" s="606"/>
      <c r="I199" s="607">
        <f>ROUNDUP((E199*'Project Materials'!$L$18),0)</f>
        <v>0</v>
      </c>
      <c r="J199" s="572">
        <f>G199+(I199*F199)</f>
        <v>0</v>
      </c>
    </row>
    <row r="200" spans="1:10" x14ac:dyDescent="0.4">
      <c r="A200" s="693" t="s">
        <v>0</v>
      </c>
      <c r="B200" s="79" t="str">
        <f>VLOOKUP('Area D'!$B$5,'Item List'!B:AJ,29,FALSE)</f>
        <v>None</v>
      </c>
      <c r="C200" s="79" t="str">
        <f>VLOOKUP(B200,'Item List'!B:AH,2,FALSE)</f>
        <v>None</v>
      </c>
      <c r="D200" s="79"/>
      <c r="E200" s="570">
        <f>VLOOKUP(B200,'Item List'!B:AM,36,FALSE)</f>
        <v>0</v>
      </c>
      <c r="F200" s="568">
        <f>VLOOKUP(B200,'Item List'!B:AJ,4,FALSE)</f>
        <v>0</v>
      </c>
      <c r="G200" s="568">
        <f t="shared" si="12"/>
        <v>0</v>
      </c>
      <c r="H200" s="606"/>
      <c r="I200" s="607">
        <f>ROUNDUP((E200*'Project Materials'!$L$18),0)</f>
        <v>0</v>
      </c>
      <c r="J200" s="572">
        <f t="shared" ref="J200:J263" si="13">G200+(I200*F200)</f>
        <v>0</v>
      </c>
    </row>
    <row r="201" spans="1:10" x14ac:dyDescent="0.4">
      <c r="A201" s="693" t="s">
        <v>0</v>
      </c>
      <c r="B201" s="79" t="str">
        <f>VLOOKUP('Area D'!$B$5,'Item List'!B:AJ,30,FALSE)</f>
        <v>None</v>
      </c>
      <c r="C201" s="79" t="str">
        <f>VLOOKUP(B201,'Item List'!B:AH,2,FALSE)</f>
        <v>None</v>
      </c>
      <c r="D201" s="79"/>
      <c r="E201" s="570">
        <f>IF(B201="none",0,2+'Project Materials'!L13*VLOOKUP(B201,'Item List'!B:AM,38,FALSE))</f>
        <v>0</v>
      </c>
      <c r="F201" s="568">
        <f>VLOOKUP(B201,'Item List'!B:AJ,4,FALSE)</f>
        <v>0</v>
      </c>
      <c r="G201" s="568">
        <f t="shared" si="12"/>
        <v>0</v>
      </c>
      <c r="H201" s="606"/>
      <c r="I201" s="607">
        <f>ROUNDUP((E201*'Project Materials'!$L$18),0)</f>
        <v>0</v>
      </c>
      <c r="J201" s="572">
        <f t="shared" si="13"/>
        <v>0</v>
      </c>
    </row>
    <row r="202" spans="1:10" x14ac:dyDescent="0.4">
      <c r="A202" s="693" t="s">
        <v>0</v>
      </c>
      <c r="B202" s="79" t="str">
        <f>VLOOKUP('Area D'!$B$5,'Item List'!B:AJ,31,FALSE)</f>
        <v>None</v>
      </c>
      <c r="C202" s="79" t="str">
        <f>VLOOKUP(B202,'Item List'!B:AH,2,FALSE)</f>
        <v>None</v>
      </c>
      <c r="D202" s="79"/>
      <c r="E202" s="570">
        <f>VLOOKUP(B202,'Item List'!B:AM,36,FALSE)</f>
        <v>0</v>
      </c>
      <c r="F202" s="568">
        <f>VLOOKUP(B202,'Item List'!B:AJ,4,FALSE)</f>
        <v>0</v>
      </c>
      <c r="G202" s="568">
        <f t="shared" si="12"/>
        <v>0</v>
      </c>
      <c r="H202" s="606"/>
      <c r="I202" s="607">
        <f>ROUNDUP((E202*'Project Materials'!$L$18),0)</f>
        <v>0</v>
      </c>
      <c r="J202" s="572">
        <f t="shared" si="13"/>
        <v>0</v>
      </c>
    </row>
    <row r="203" spans="1:10" x14ac:dyDescent="0.4">
      <c r="A203" s="693" t="s">
        <v>413</v>
      </c>
      <c r="B203" s="655" t="str">
        <f>VLOOKUP('Area D'!$B$6,'Item List'!B:AJ,28,FALSE)</f>
        <v>RCB2</v>
      </c>
      <c r="C203" s="79" t="str">
        <f>VLOOKUP(B203,'Item List'!B:AH,2,FALSE)</f>
        <v>Rail Connecting Block for BR 200 (1")</v>
      </c>
      <c r="D203" s="79"/>
      <c r="E203" s="570">
        <f>VLOOKUP(B203,'Item List'!B:AM,36,FALSE)</f>
        <v>0</v>
      </c>
      <c r="F203" s="568">
        <f>VLOOKUP(B203,'Item List'!B:AJ,4,FALSE)</f>
        <v>0.28000000000000003</v>
      </c>
      <c r="G203" s="568">
        <f t="shared" si="12"/>
        <v>0</v>
      </c>
      <c r="H203" s="606"/>
      <c r="I203" s="607">
        <f>ROUNDUP((E203*'Project Materials'!$L$18),0)</f>
        <v>0</v>
      </c>
      <c r="J203" s="572">
        <f t="shared" si="13"/>
        <v>0</v>
      </c>
    </row>
    <row r="204" spans="1:10" x14ac:dyDescent="0.4">
      <c r="A204" s="693" t="s">
        <v>413</v>
      </c>
      <c r="B204" s="79" t="str">
        <f>VLOOKUP('Area D'!$B$6,'Item List'!B:AJ,29,FALSE)</f>
        <v>None</v>
      </c>
      <c r="C204" s="79" t="str">
        <f>VLOOKUP(B204,'Item List'!B:AH,2,FALSE)</f>
        <v>None</v>
      </c>
      <c r="D204" s="79"/>
      <c r="E204" s="570">
        <f>VLOOKUP(B204,'Item List'!B:AM,36,FALSE)</f>
        <v>0</v>
      </c>
      <c r="F204" s="568">
        <f>VLOOKUP(B204,'Item List'!B:AJ,4,FALSE)</f>
        <v>0</v>
      </c>
      <c r="G204" s="568">
        <f t="shared" si="12"/>
        <v>0</v>
      </c>
      <c r="H204" s="606"/>
      <c r="I204" s="607">
        <f>ROUNDUP((E204*'Project Materials'!$L$18),0)</f>
        <v>0</v>
      </c>
      <c r="J204" s="572">
        <f t="shared" si="13"/>
        <v>0</v>
      </c>
    </row>
    <row r="205" spans="1:10" x14ac:dyDescent="0.4">
      <c r="A205" s="693" t="s">
        <v>413</v>
      </c>
      <c r="B205" s="79" t="str">
        <f>VLOOKUP('Area D'!$B$6,'Item List'!B:AJ,30,FALSE)</f>
        <v>None</v>
      </c>
      <c r="C205" s="79" t="str">
        <f>VLOOKUP(B205,'Item List'!B:AH,2,FALSE)</f>
        <v>None</v>
      </c>
      <c r="D205" s="79"/>
      <c r="E205" s="570">
        <f>VLOOKUP(B205,'Item List'!B:AM,36,FALSE)</f>
        <v>0</v>
      </c>
      <c r="F205" s="568">
        <f>VLOOKUP(B205,'Item List'!B:AJ,4,FALSE)</f>
        <v>0</v>
      </c>
      <c r="G205" s="568">
        <f t="shared" si="12"/>
        <v>0</v>
      </c>
      <c r="H205" s="606"/>
      <c r="I205" s="607">
        <f>ROUNDUP((E205*'Project Materials'!$L$18),0)</f>
        <v>0</v>
      </c>
      <c r="J205" s="572">
        <f t="shared" si="13"/>
        <v>0</v>
      </c>
    </row>
    <row r="206" spans="1:10" x14ac:dyDescent="0.4">
      <c r="A206" s="693" t="s">
        <v>413</v>
      </c>
      <c r="B206" s="79" t="str">
        <f>VLOOKUP('Area D'!$B$6,'Item List'!B:AJ,31,FALSE)</f>
        <v>None</v>
      </c>
      <c r="C206" s="79" t="str">
        <f>VLOOKUP(B206,'Item List'!B:AH,2,FALSE)</f>
        <v>None</v>
      </c>
      <c r="D206" s="79"/>
      <c r="E206" s="570">
        <f>VLOOKUP(B206,'Item List'!B:AM,36,FALSE)</f>
        <v>0</v>
      </c>
      <c r="F206" s="568">
        <f>VLOOKUP(B206,'Item List'!B:AJ,4,FALSE)</f>
        <v>0</v>
      </c>
      <c r="G206" s="568">
        <f t="shared" si="12"/>
        <v>0</v>
      </c>
      <c r="H206" s="606"/>
      <c r="I206" s="607">
        <f>ROUNDUP((E206*'Project Materials'!$L$18),0)</f>
        <v>0</v>
      </c>
      <c r="J206" s="572">
        <f t="shared" si="13"/>
        <v>0</v>
      </c>
    </row>
    <row r="207" spans="1:10" x14ac:dyDescent="0.4">
      <c r="A207" s="693" t="s">
        <v>4</v>
      </c>
      <c r="B207" s="79" t="str">
        <f>VLOOKUP('Area D'!B12,'Item List'!B:AJ,28,FALSE)</f>
        <v>None</v>
      </c>
      <c r="C207" s="79" t="str">
        <f>VLOOKUP(B207,'Item List'!B:AH,2,FALSE)</f>
        <v>None</v>
      </c>
      <c r="D207" s="79"/>
      <c r="E207" s="570">
        <f>VLOOKUP(B207,'Item List'!B:AM,36,FALSE)</f>
        <v>0</v>
      </c>
      <c r="F207" s="568">
        <f>VLOOKUP(B207,'Item List'!B:AJ,4,FALSE)</f>
        <v>0</v>
      </c>
      <c r="G207" s="568">
        <f t="shared" si="12"/>
        <v>0</v>
      </c>
      <c r="H207" s="606"/>
      <c r="I207" s="607">
        <f>ROUNDUP((E207*'Project Materials'!$L$18),0)</f>
        <v>0</v>
      </c>
      <c r="J207" s="572">
        <f t="shared" si="13"/>
        <v>0</v>
      </c>
    </row>
    <row r="208" spans="1:10" x14ac:dyDescent="0.4">
      <c r="A208" s="693" t="s">
        <v>4</v>
      </c>
      <c r="B208" s="79" t="str">
        <f>VLOOKUP('Area D'!B12,'Item List'!B:AJ,29,FALSE)</f>
        <v>None</v>
      </c>
      <c r="C208" s="79" t="str">
        <f>VLOOKUP(B208,'Item List'!B:AH,2,FALSE)</f>
        <v>None</v>
      </c>
      <c r="D208" s="79"/>
      <c r="E208" s="570">
        <f>VLOOKUP(B208,'Item List'!B:AM,36,FALSE)</f>
        <v>0</v>
      </c>
      <c r="F208" s="568">
        <f>VLOOKUP(B208,'Item List'!B:AJ,4,FALSE)</f>
        <v>0</v>
      </c>
      <c r="G208" s="568">
        <f t="shared" si="12"/>
        <v>0</v>
      </c>
      <c r="H208" s="606"/>
      <c r="I208" s="607">
        <f>ROUNDUP((E208*'Project Materials'!$L$18),0)</f>
        <v>0</v>
      </c>
      <c r="J208" s="572">
        <f t="shared" si="13"/>
        <v>0</v>
      </c>
    </row>
    <row r="209" spans="1:10" x14ac:dyDescent="0.4">
      <c r="A209" s="693" t="s">
        <v>4</v>
      </c>
      <c r="B209" s="79" t="str">
        <f>VLOOKUP('Area D'!B12,'Item List'!B:AJ,30,FALSE)</f>
        <v>None</v>
      </c>
      <c r="C209" s="79" t="str">
        <f>VLOOKUP(B209,'Item List'!B:AH,2,FALSE)</f>
        <v>None</v>
      </c>
      <c r="D209" s="79"/>
      <c r="E209" s="570">
        <f>VLOOKUP(B209,'Item List'!B:AM,36,FALSE)</f>
        <v>0</v>
      </c>
      <c r="F209" s="568">
        <f>VLOOKUP(B209,'Item List'!B:AJ,4,FALSE)</f>
        <v>0</v>
      </c>
      <c r="G209" s="568">
        <f t="shared" si="12"/>
        <v>0</v>
      </c>
      <c r="H209" s="606"/>
      <c r="I209" s="607">
        <f>ROUNDUP((E209*'Project Materials'!$L$18),0)</f>
        <v>0</v>
      </c>
      <c r="J209" s="572">
        <f t="shared" si="13"/>
        <v>0</v>
      </c>
    </row>
    <row r="210" spans="1:10" x14ac:dyDescent="0.4">
      <c r="A210" s="693" t="s">
        <v>4</v>
      </c>
      <c r="B210" s="79" t="str">
        <f>VLOOKUP('Area D'!B12,'Item List'!B:AJ,31,FALSE)</f>
        <v>None</v>
      </c>
      <c r="C210" s="79" t="str">
        <f>VLOOKUP(B210,'Item List'!B:AH,2,FALSE)</f>
        <v>None</v>
      </c>
      <c r="D210" s="79"/>
      <c r="E210" s="570">
        <f>VLOOKUP(B210,'Item List'!B:AM,36,FALSE)</f>
        <v>0</v>
      </c>
      <c r="F210" s="568">
        <f>VLOOKUP(B210,'Item List'!B:AJ,4,FALSE)</f>
        <v>0</v>
      </c>
      <c r="G210" s="568">
        <f t="shared" si="12"/>
        <v>0</v>
      </c>
      <c r="H210" s="606"/>
      <c r="I210" s="607">
        <f>ROUNDUP((E210*'Project Materials'!$L$18),0)</f>
        <v>0</v>
      </c>
      <c r="J210" s="572">
        <f t="shared" si="13"/>
        <v>0</v>
      </c>
    </row>
    <row r="211" spans="1:10" x14ac:dyDescent="0.4">
      <c r="A211" s="693" t="s">
        <v>448</v>
      </c>
      <c r="B211" s="79" t="str">
        <f>VLOOKUP('Area D'!B29,'Item List'!B:AJ,28,FALSE)</f>
        <v>None</v>
      </c>
      <c r="C211" s="79" t="str">
        <f>VLOOKUP(B211,'Item List'!B:AH,2,FALSE)</f>
        <v>None</v>
      </c>
      <c r="D211" s="79"/>
      <c r="E211" s="570">
        <f>VLOOKUP(B211,'Item List'!B:AM,36,FALSE)</f>
        <v>0</v>
      </c>
      <c r="F211" s="568">
        <f>VLOOKUP(B211,'Item List'!B:AJ,4,FALSE)</f>
        <v>0</v>
      </c>
      <c r="G211" s="568">
        <f t="shared" si="12"/>
        <v>0</v>
      </c>
      <c r="H211" s="606"/>
      <c r="I211" s="607">
        <f>ROUNDUP((E211*'Project Materials'!$L$18),0)</f>
        <v>0</v>
      </c>
      <c r="J211" s="572">
        <f t="shared" si="13"/>
        <v>0</v>
      </c>
    </row>
    <row r="212" spans="1:10" x14ac:dyDescent="0.4">
      <c r="A212" s="693" t="s">
        <v>448</v>
      </c>
      <c r="B212" s="79" t="str">
        <f>VLOOKUP('Area D'!B29,'Item List'!B:AJ,29,FALSE)</f>
        <v>None</v>
      </c>
      <c r="C212" s="79" t="str">
        <f>VLOOKUP(B212,'Item List'!B:AH,2,FALSE)</f>
        <v>None</v>
      </c>
      <c r="D212" s="79"/>
      <c r="E212" s="570">
        <f>VLOOKUP(B212,'Item List'!B:AM,36,FALSE)</f>
        <v>0</v>
      </c>
      <c r="F212" s="568">
        <f>VLOOKUP(B212,'Item List'!B:AJ,4,FALSE)</f>
        <v>0</v>
      </c>
      <c r="G212" s="568">
        <f t="shared" si="12"/>
        <v>0</v>
      </c>
      <c r="H212" s="606"/>
      <c r="I212" s="607">
        <f>ROUNDUP((E212*'Project Materials'!$L$18),0)</f>
        <v>0</v>
      </c>
      <c r="J212" s="572">
        <f t="shared" si="13"/>
        <v>0</v>
      </c>
    </row>
    <row r="213" spans="1:10" x14ac:dyDescent="0.4">
      <c r="A213" s="693" t="s">
        <v>448</v>
      </c>
      <c r="B213" s="79" t="str">
        <f>VLOOKUP('Area D'!B29,'Item List'!B:AJ,30,FALSE)</f>
        <v>None</v>
      </c>
      <c r="C213" s="79" t="str">
        <f>VLOOKUP(B213,'Item List'!B:AH,2,FALSE)</f>
        <v>None</v>
      </c>
      <c r="D213" s="79"/>
      <c r="E213" s="570">
        <f>VLOOKUP(B213,'Item List'!B:AM,36,FALSE)</f>
        <v>0</v>
      </c>
      <c r="F213" s="568">
        <f>VLOOKUP(B213,'Item List'!B:AJ,4,FALSE)</f>
        <v>0</v>
      </c>
      <c r="G213" s="568">
        <f t="shared" si="12"/>
        <v>0</v>
      </c>
      <c r="H213" s="606"/>
      <c r="I213" s="607">
        <f>ROUNDUP((E213*'Project Materials'!$L$18),0)</f>
        <v>0</v>
      </c>
      <c r="J213" s="572">
        <f t="shared" si="13"/>
        <v>0</v>
      </c>
    </row>
    <row r="214" spans="1:10" x14ac:dyDescent="0.4">
      <c r="A214" s="693" t="s">
        <v>448</v>
      </c>
      <c r="B214" s="79" t="str">
        <f>VLOOKUP('Area D'!B29,'Item List'!B:AJ,31,FALSE)</f>
        <v>None</v>
      </c>
      <c r="C214" s="79" t="str">
        <f>VLOOKUP(B214,'Item List'!B:AH,2,FALSE)</f>
        <v>None</v>
      </c>
      <c r="D214" s="79"/>
      <c r="E214" s="570">
        <f>VLOOKUP(B214,'Item List'!B:AM,36,FALSE)</f>
        <v>0</v>
      </c>
      <c r="F214" s="568">
        <f>VLOOKUP(B214,'Item List'!B:AJ,4,FALSE)</f>
        <v>0</v>
      </c>
      <c r="G214" s="568">
        <f t="shared" si="12"/>
        <v>0</v>
      </c>
      <c r="H214" s="606"/>
      <c r="I214" s="607">
        <f>ROUNDUP((E214*'Project Materials'!$L$18),0)</f>
        <v>0</v>
      </c>
      <c r="J214" s="572">
        <f t="shared" si="13"/>
        <v>0</v>
      </c>
    </row>
    <row r="215" spans="1:10" x14ac:dyDescent="0.4">
      <c r="A215" s="693" t="s">
        <v>448</v>
      </c>
      <c r="B215" s="79" t="str">
        <f>VLOOKUP('Area D'!B30,'Item List'!B:AJ,28,FALSE)</f>
        <v>None</v>
      </c>
      <c r="C215" s="79" t="str">
        <f>VLOOKUP(B215,'Item List'!B:AH,2,FALSE)</f>
        <v>None</v>
      </c>
      <c r="D215" s="79"/>
      <c r="E215" s="570">
        <f>VLOOKUP(B215,'Item List'!B:AM,36,FALSE)</f>
        <v>0</v>
      </c>
      <c r="F215" s="568">
        <f>VLOOKUP(B215,'Item List'!B:AJ,4,FALSE)</f>
        <v>0</v>
      </c>
      <c r="G215" s="568">
        <f t="shared" si="12"/>
        <v>0</v>
      </c>
      <c r="H215" s="606"/>
      <c r="I215" s="607">
        <f>ROUNDUP((E215*'Project Materials'!$L$18),0)</f>
        <v>0</v>
      </c>
      <c r="J215" s="572">
        <f t="shared" si="13"/>
        <v>0</v>
      </c>
    </row>
    <row r="216" spans="1:10" x14ac:dyDescent="0.4">
      <c r="A216" s="693" t="s">
        <v>448</v>
      </c>
      <c r="B216" s="79" t="str">
        <f>VLOOKUP('Area D'!B30,'Item List'!B:AJ,29,FALSE)</f>
        <v>None</v>
      </c>
      <c r="C216" s="79" t="str">
        <f>VLOOKUP(B216,'Item List'!B:AH,2,FALSE)</f>
        <v>None</v>
      </c>
      <c r="D216" s="79"/>
      <c r="E216" s="570">
        <f>VLOOKUP(B216,'Item List'!B:AM,36,FALSE)</f>
        <v>0</v>
      </c>
      <c r="F216" s="568">
        <f>VLOOKUP(B216,'Item List'!B:AJ,4,FALSE)</f>
        <v>0</v>
      </c>
      <c r="G216" s="568">
        <f t="shared" si="12"/>
        <v>0</v>
      </c>
      <c r="H216" s="606"/>
      <c r="I216" s="607">
        <f>ROUNDUP((E216*'Project Materials'!$L$18),0)</f>
        <v>0</v>
      </c>
      <c r="J216" s="572">
        <f t="shared" si="13"/>
        <v>0</v>
      </c>
    </row>
    <row r="217" spans="1:10" x14ac:dyDescent="0.4">
      <c r="A217" s="693" t="s">
        <v>448</v>
      </c>
      <c r="B217" s="79" t="str">
        <f>VLOOKUP('Area D'!B30,'Item List'!B:AJ,30,FALSE)</f>
        <v>None</v>
      </c>
      <c r="C217" s="79" t="str">
        <f>VLOOKUP(B217,'Item List'!B:AH,2,FALSE)</f>
        <v>None</v>
      </c>
      <c r="D217" s="79"/>
      <c r="E217" s="570">
        <f>VLOOKUP(B217,'Item List'!B:AM,36,FALSE)</f>
        <v>0</v>
      </c>
      <c r="F217" s="568">
        <f>VLOOKUP(B217,'Item List'!B:AJ,4,FALSE)</f>
        <v>0</v>
      </c>
      <c r="G217" s="568">
        <f t="shared" si="12"/>
        <v>0</v>
      </c>
      <c r="H217" s="606"/>
      <c r="I217" s="607">
        <f>ROUNDUP((E217*'Project Materials'!$L$18),0)</f>
        <v>0</v>
      </c>
      <c r="J217" s="572">
        <f t="shared" si="13"/>
        <v>0</v>
      </c>
    </row>
    <row r="218" spans="1:10" x14ac:dyDescent="0.4">
      <c r="A218" s="693" t="s">
        <v>448</v>
      </c>
      <c r="B218" s="79" t="str">
        <f>VLOOKUP('Area D'!B30,'Item List'!B:AJ,31,FALSE)</f>
        <v>None</v>
      </c>
      <c r="C218" s="79" t="str">
        <f>VLOOKUP(B218,'Item List'!B:AH,2,FALSE)</f>
        <v>None</v>
      </c>
      <c r="D218" s="79"/>
      <c r="E218" s="570">
        <f>VLOOKUP(B218,'Item List'!B:AM,36,FALSE)</f>
        <v>0</v>
      </c>
      <c r="F218" s="568">
        <f>VLOOKUP(B218,'Item List'!B:AJ,4,FALSE)</f>
        <v>0</v>
      </c>
      <c r="G218" s="568">
        <f t="shared" si="12"/>
        <v>0</v>
      </c>
      <c r="H218" s="606"/>
      <c r="I218" s="607">
        <f>ROUNDUP((E218*'Project Materials'!$L$18),0)</f>
        <v>0</v>
      </c>
      <c r="J218" s="572">
        <f t="shared" si="13"/>
        <v>0</v>
      </c>
    </row>
    <row r="219" spans="1:10" x14ac:dyDescent="0.4">
      <c r="A219" s="693" t="s">
        <v>449</v>
      </c>
      <c r="B219" s="79" t="str">
        <f>VLOOKUP('Area D'!B31,'Item List'!B:AJ,28,FALSE)</f>
        <v>None</v>
      </c>
      <c r="C219" s="79" t="str">
        <f>VLOOKUP(B219,'Item List'!B:AH,2,FALSE)</f>
        <v>None</v>
      </c>
      <c r="D219" s="79"/>
      <c r="E219" s="570">
        <f>VLOOKUP(B219,'Item List'!B:AM,36,FALSE)</f>
        <v>0</v>
      </c>
      <c r="F219" s="568">
        <f>VLOOKUP(B219,'Item List'!B:AJ,4,FALSE)</f>
        <v>0</v>
      </c>
      <c r="G219" s="568">
        <f t="shared" si="12"/>
        <v>0</v>
      </c>
      <c r="H219" s="606"/>
      <c r="I219" s="607">
        <f>ROUNDUP((E219*'Project Materials'!$L$18),0)</f>
        <v>0</v>
      </c>
      <c r="J219" s="572">
        <f t="shared" si="13"/>
        <v>0</v>
      </c>
    </row>
    <row r="220" spans="1:10" x14ac:dyDescent="0.4">
      <c r="A220" s="693" t="s">
        <v>449</v>
      </c>
      <c r="B220" s="79" t="str">
        <f>VLOOKUP('Area D'!B31,'Item List'!B:AJ,29,FALSE)</f>
        <v>None</v>
      </c>
      <c r="C220" s="79" t="str">
        <f>VLOOKUP(B220,'Item List'!B:AH,2,FALSE)</f>
        <v>None</v>
      </c>
      <c r="D220" s="79"/>
      <c r="E220" s="570">
        <f>VLOOKUP(B220,'Item List'!B:AM,36,FALSE)</f>
        <v>0</v>
      </c>
      <c r="F220" s="568">
        <f>VLOOKUP(B220,'Item List'!B:AJ,4,FALSE)</f>
        <v>0</v>
      </c>
      <c r="G220" s="568">
        <f t="shared" si="12"/>
        <v>0</v>
      </c>
      <c r="H220" s="606"/>
      <c r="I220" s="607">
        <f>ROUNDUP((E220*'Project Materials'!$L$18),0)</f>
        <v>0</v>
      </c>
      <c r="J220" s="572">
        <f t="shared" si="13"/>
        <v>0</v>
      </c>
    </row>
    <row r="221" spans="1:10" x14ac:dyDescent="0.4">
      <c r="A221" s="693" t="s">
        <v>449</v>
      </c>
      <c r="B221" s="79" t="str">
        <f>VLOOKUP('Area D'!B31,'Item List'!B:AJ,30,FALSE)</f>
        <v>None</v>
      </c>
      <c r="C221" s="79" t="str">
        <f>VLOOKUP(B221,'Item List'!B:AH,2,FALSE)</f>
        <v>None</v>
      </c>
      <c r="D221" s="79"/>
      <c r="E221" s="570">
        <f>VLOOKUP(B222,'Item List'!B:AM,36,FALSE)</f>
        <v>0</v>
      </c>
      <c r="F221" s="568">
        <f>VLOOKUP(B221,'Item List'!B:AJ,4,FALSE)</f>
        <v>0</v>
      </c>
      <c r="G221" s="568">
        <f t="shared" si="12"/>
        <v>0</v>
      </c>
      <c r="H221" s="606"/>
      <c r="I221" s="607">
        <f>ROUNDUP((E221*'Project Materials'!$L$18),0)</f>
        <v>0</v>
      </c>
      <c r="J221" s="572">
        <f t="shared" si="13"/>
        <v>0</v>
      </c>
    </row>
    <row r="222" spans="1:10" x14ac:dyDescent="0.4">
      <c r="A222" s="693" t="s">
        <v>449</v>
      </c>
      <c r="B222" s="79" t="str">
        <f>VLOOKUP('Area D'!B31,'Item List'!B:AJ,31,FALSE)</f>
        <v>None</v>
      </c>
      <c r="C222" s="79" t="str">
        <f>VLOOKUP(B222,'Item List'!B:AH,2,FALSE)</f>
        <v>None</v>
      </c>
      <c r="D222" s="79"/>
      <c r="E222" s="570">
        <f>VLOOKUP(B222,'Item List'!B:AM,36,FALSE)</f>
        <v>0</v>
      </c>
      <c r="F222" s="568">
        <f>VLOOKUP(B222,'Item List'!B:AJ,4,FALSE)</f>
        <v>0</v>
      </c>
      <c r="G222" s="568">
        <f t="shared" si="12"/>
        <v>0</v>
      </c>
      <c r="H222" s="606"/>
      <c r="I222" s="607">
        <f>ROUNDUP((E222*'Project Materials'!$L$18),0)</f>
        <v>0</v>
      </c>
      <c r="J222" s="572">
        <f t="shared" si="13"/>
        <v>0</v>
      </c>
    </row>
    <row r="223" spans="1:10" x14ac:dyDescent="0.4">
      <c r="A223" s="693" t="s">
        <v>449</v>
      </c>
      <c r="B223" s="79" t="str">
        <f>VLOOKUP('Area D'!B32,'Item List'!B:AJ,28,FALSE)</f>
        <v>None</v>
      </c>
      <c r="C223" s="79" t="str">
        <f>VLOOKUP(B223,'Item List'!B:AH,2,FALSE)</f>
        <v>None</v>
      </c>
      <c r="D223" s="79"/>
      <c r="E223" s="570">
        <f>VLOOKUP(B223,'Item List'!B:AM,36,FALSE)</f>
        <v>0</v>
      </c>
      <c r="F223" s="568">
        <f>VLOOKUP(B223,'Item List'!B:AJ,4,FALSE)</f>
        <v>0</v>
      </c>
      <c r="G223" s="568">
        <f t="shared" si="12"/>
        <v>0</v>
      </c>
      <c r="H223" s="606"/>
      <c r="I223" s="607">
        <f>ROUNDUP((E223*'Project Materials'!$L$18),0)</f>
        <v>0</v>
      </c>
      <c r="J223" s="572">
        <f t="shared" si="13"/>
        <v>0</v>
      </c>
    </row>
    <row r="224" spans="1:10" x14ac:dyDescent="0.4">
      <c r="A224" s="693" t="s">
        <v>449</v>
      </c>
      <c r="B224" s="79" t="str">
        <f>VLOOKUP('Area D'!B32,'Item List'!B:AJ,29,FALSE)</f>
        <v>None</v>
      </c>
      <c r="C224" s="79" t="str">
        <f>VLOOKUP(B224,'Item List'!B:AH,2,FALSE)</f>
        <v>None</v>
      </c>
      <c r="D224" s="79"/>
      <c r="E224" s="570">
        <f>VLOOKUP(B224,'Item List'!B:AM,36,FALSE)</f>
        <v>0</v>
      </c>
      <c r="F224" s="568">
        <f>VLOOKUP(B224,'Item List'!B:AJ,4,FALSE)</f>
        <v>0</v>
      </c>
      <c r="G224" s="568">
        <f t="shared" si="12"/>
        <v>0</v>
      </c>
      <c r="H224" s="606"/>
      <c r="I224" s="607">
        <f>ROUNDUP((E224*'Project Materials'!$L$18),0)</f>
        <v>0</v>
      </c>
      <c r="J224" s="572">
        <f t="shared" si="13"/>
        <v>0</v>
      </c>
    </row>
    <row r="225" spans="1:10" x14ac:dyDescent="0.4">
      <c r="A225" s="693" t="s">
        <v>449</v>
      </c>
      <c r="B225" s="79" t="str">
        <f>VLOOKUP('Area D'!B32,'Item List'!B:AJ,30,FALSE)</f>
        <v>None</v>
      </c>
      <c r="C225" s="79" t="str">
        <f>VLOOKUP(B225,'Item List'!B:AH,2,FALSE)</f>
        <v>None</v>
      </c>
      <c r="D225" s="79"/>
      <c r="E225" s="570">
        <f>VLOOKUP(B225,'Item List'!B:AM,36,FALSE)</f>
        <v>0</v>
      </c>
      <c r="F225" s="568">
        <f>VLOOKUP(B225,'Item List'!B:AJ,4,FALSE)</f>
        <v>0</v>
      </c>
      <c r="G225" s="568">
        <f t="shared" si="12"/>
        <v>0</v>
      </c>
      <c r="H225" s="606"/>
      <c r="I225" s="607">
        <f>ROUNDUP((E225*'Project Materials'!$L$18),0)</f>
        <v>0</v>
      </c>
      <c r="J225" s="572">
        <f t="shared" si="13"/>
        <v>0</v>
      </c>
    </row>
    <row r="226" spans="1:10" x14ac:dyDescent="0.4">
      <c r="A226" s="693" t="s">
        <v>449</v>
      </c>
      <c r="B226" s="79" t="str">
        <f>VLOOKUP('Area D'!B32,'Item List'!B:AJ,31,FALSE)</f>
        <v>None</v>
      </c>
      <c r="C226" s="79" t="str">
        <f>VLOOKUP(B226,'Item List'!B:AH,2,FALSE)</f>
        <v>None</v>
      </c>
      <c r="D226" s="79"/>
      <c r="E226" s="570">
        <f>VLOOKUP(B226,'Item List'!B:AM,36,FALSE)</f>
        <v>0</v>
      </c>
      <c r="F226" s="568">
        <f>VLOOKUP(B226,'Item List'!B:AJ,4,FALSE)</f>
        <v>0</v>
      </c>
      <c r="G226" s="568">
        <f t="shared" si="12"/>
        <v>0</v>
      </c>
      <c r="H226" s="606"/>
      <c r="I226" s="607">
        <f>ROUNDUP((E226*'Project Materials'!$L$18),0)</f>
        <v>0</v>
      </c>
      <c r="J226" s="572">
        <f t="shared" si="13"/>
        <v>0</v>
      </c>
    </row>
    <row r="227" spans="1:10" x14ac:dyDescent="0.4">
      <c r="A227" s="693" t="s">
        <v>450</v>
      </c>
      <c r="B227" s="79" t="str">
        <f>VLOOKUP('Area D'!B33,'Item List'!B:AJ,28,FALSE)</f>
        <v>None</v>
      </c>
      <c r="C227" s="79" t="str">
        <f>VLOOKUP(B227,'Item List'!B:AH,2,FALSE)</f>
        <v>None</v>
      </c>
      <c r="D227" s="79"/>
      <c r="E227" s="570">
        <f>VLOOKUP(B227,'Item List'!B:AM,36,FALSE)</f>
        <v>0</v>
      </c>
      <c r="F227" s="568">
        <f>VLOOKUP(B227,'Item List'!B:AJ,4,FALSE)</f>
        <v>0</v>
      </c>
      <c r="G227" s="568">
        <f t="shared" si="12"/>
        <v>0</v>
      </c>
      <c r="H227" s="606"/>
      <c r="I227" s="607">
        <f>ROUNDUP((E227*'Project Materials'!$L$18),0)</f>
        <v>0</v>
      </c>
      <c r="J227" s="572">
        <f t="shared" si="13"/>
        <v>0</v>
      </c>
    </row>
    <row r="228" spans="1:10" x14ac:dyDescent="0.4">
      <c r="A228" s="693" t="s">
        <v>450</v>
      </c>
      <c r="B228" s="79" t="str">
        <f>VLOOKUP('Area D'!B33,'Item List'!B:AJ,29,FALSE)</f>
        <v>None</v>
      </c>
      <c r="C228" s="79" t="str">
        <f>VLOOKUP(B228,'Item List'!B:AH,2,FALSE)</f>
        <v>None</v>
      </c>
      <c r="D228" s="79"/>
      <c r="E228" s="570">
        <f>VLOOKUP(B228,'Item List'!B:AM,36,FALSE)</f>
        <v>0</v>
      </c>
      <c r="F228" s="568">
        <f>VLOOKUP(B228,'Item List'!B:AJ,4,FALSE)</f>
        <v>0</v>
      </c>
      <c r="G228" s="568">
        <f t="shared" si="12"/>
        <v>0</v>
      </c>
      <c r="H228" s="606"/>
      <c r="I228" s="607">
        <f>ROUNDUP((E228*'Project Materials'!$L$18),0)</f>
        <v>0</v>
      </c>
      <c r="J228" s="572">
        <f t="shared" si="13"/>
        <v>0</v>
      </c>
    </row>
    <row r="229" spans="1:10" x14ac:dyDescent="0.4">
      <c r="A229" s="693" t="s">
        <v>450</v>
      </c>
      <c r="B229" s="79" t="str">
        <f>VLOOKUP('Area D'!B33,'Item List'!B:AJ,30,FALSE)</f>
        <v>None</v>
      </c>
      <c r="C229" s="79" t="str">
        <f>VLOOKUP(B229,'Item List'!B:AH,2,FALSE)</f>
        <v>None</v>
      </c>
      <c r="D229" s="79"/>
      <c r="E229" s="570">
        <f>VLOOKUP(B229,'Item List'!B:AM,36,FALSE)</f>
        <v>0</v>
      </c>
      <c r="F229" s="568">
        <f>VLOOKUP(B229,'Item List'!B:AJ,4,FALSE)</f>
        <v>0</v>
      </c>
      <c r="G229" s="568">
        <f t="shared" si="12"/>
        <v>0</v>
      </c>
      <c r="H229" s="606"/>
      <c r="I229" s="607">
        <f>ROUNDUP((E229*'Project Materials'!$L$18),0)</f>
        <v>0</v>
      </c>
      <c r="J229" s="572">
        <f t="shared" si="13"/>
        <v>0</v>
      </c>
    </row>
    <row r="230" spans="1:10" x14ac:dyDescent="0.4">
      <c r="A230" s="693" t="s">
        <v>450</v>
      </c>
      <c r="B230" s="79" t="str">
        <f>VLOOKUP('Area D'!B33,'Item List'!B:AJ,31,FALSE)</f>
        <v>None</v>
      </c>
      <c r="C230" s="79" t="str">
        <f>VLOOKUP(B230,'Item List'!B:AH,2,FALSE)</f>
        <v>None</v>
      </c>
      <c r="D230" s="79"/>
      <c r="E230" s="570">
        <f>VLOOKUP(B230,'Item List'!B:AM,36,FALSE)</f>
        <v>0</v>
      </c>
      <c r="F230" s="568">
        <f>VLOOKUP(B230,'Item List'!B:AJ,4,FALSE)</f>
        <v>0</v>
      </c>
      <c r="G230" s="568">
        <f t="shared" si="12"/>
        <v>0</v>
      </c>
      <c r="H230" s="606"/>
      <c r="I230" s="607">
        <f>ROUNDUP((E230*'Project Materials'!$L$18),0)</f>
        <v>0</v>
      </c>
      <c r="J230" s="572">
        <f t="shared" si="13"/>
        <v>0</v>
      </c>
    </row>
    <row r="231" spans="1:10" x14ac:dyDescent="0.4">
      <c r="A231" s="693" t="s">
        <v>450</v>
      </c>
      <c r="B231" s="79" t="str">
        <f>VLOOKUP('Area D'!B34,'Item List'!B:AJ,28,FALSE)</f>
        <v>None</v>
      </c>
      <c r="C231" s="79" t="str">
        <f>VLOOKUP(B231,'Item List'!B:AH,2,FALSE)</f>
        <v>None</v>
      </c>
      <c r="D231" s="79"/>
      <c r="E231" s="570">
        <f>VLOOKUP(B231,'Item List'!B:AM,36,FALSE)</f>
        <v>0</v>
      </c>
      <c r="F231" s="568">
        <f>VLOOKUP(B231,'Item List'!B:AJ,4,FALSE)</f>
        <v>0</v>
      </c>
      <c r="G231" s="568">
        <f t="shared" si="12"/>
        <v>0</v>
      </c>
      <c r="H231" s="606"/>
      <c r="I231" s="607">
        <f>ROUNDUP((E231*'Project Materials'!$L$18),0)</f>
        <v>0</v>
      </c>
      <c r="J231" s="572">
        <f t="shared" si="13"/>
        <v>0</v>
      </c>
    </row>
    <row r="232" spans="1:10" x14ac:dyDescent="0.4">
      <c r="A232" s="693" t="s">
        <v>450</v>
      </c>
      <c r="B232" s="79" t="str">
        <f>VLOOKUP('Area D'!B34,'Item List'!B:AJ,29,FALSE)</f>
        <v>None</v>
      </c>
      <c r="C232" s="79" t="str">
        <f>VLOOKUP(B232,'Item List'!B:AH,2,FALSE)</f>
        <v>None</v>
      </c>
      <c r="D232" s="79"/>
      <c r="E232" s="570">
        <f>VLOOKUP(B232,'Item List'!B:AM,36,FALSE)</f>
        <v>0</v>
      </c>
      <c r="F232" s="568">
        <f>VLOOKUP(B232,'Item List'!B:AJ,4,FALSE)</f>
        <v>0</v>
      </c>
      <c r="G232" s="568">
        <f t="shared" si="12"/>
        <v>0</v>
      </c>
      <c r="H232" s="606"/>
      <c r="I232" s="607">
        <f>ROUNDUP((E232*'Project Materials'!$L$18),0)</f>
        <v>0</v>
      </c>
      <c r="J232" s="572">
        <f t="shared" si="13"/>
        <v>0</v>
      </c>
    </row>
    <row r="233" spans="1:10" x14ac:dyDescent="0.4">
      <c r="A233" s="693" t="s">
        <v>450</v>
      </c>
      <c r="B233" s="79" t="str">
        <f>VLOOKUP('Area D'!B34,'Item List'!B:AJ,30,FALSE)</f>
        <v>None</v>
      </c>
      <c r="C233" s="79" t="str">
        <f>VLOOKUP(B233,'Item List'!B:AH,2,FALSE)</f>
        <v>None</v>
      </c>
      <c r="D233" s="79"/>
      <c r="E233" s="570">
        <f>VLOOKUP(B233,'Item List'!B:AM,36,FALSE)</f>
        <v>0</v>
      </c>
      <c r="F233" s="568">
        <f>VLOOKUP(B233,'Item List'!B:AJ,4,FALSE)</f>
        <v>0</v>
      </c>
      <c r="G233" s="568">
        <f t="shared" si="12"/>
        <v>0</v>
      </c>
      <c r="H233" s="606"/>
      <c r="I233" s="607">
        <f>ROUNDUP((E233*'Project Materials'!$L$18),0)</f>
        <v>0</v>
      </c>
      <c r="J233" s="572">
        <f t="shared" si="13"/>
        <v>0</v>
      </c>
    </row>
    <row r="234" spans="1:10" x14ac:dyDescent="0.4">
      <c r="A234" s="693" t="s">
        <v>450</v>
      </c>
      <c r="B234" s="79" t="str">
        <f>VLOOKUP('Area D'!B34,'Item List'!B:AJ,31,FALSE)</f>
        <v>None</v>
      </c>
      <c r="C234" s="79" t="str">
        <f>VLOOKUP(B234,'Item List'!B:AH,2,FALSE)</f>
        <v>None</v>
      </c>
      <c r="D234" s="79"/>
      <c r="E234" s="570">
        <f>VLOOKUP(B234,'Item List'!B:AM,36,FALSE)</f>
        <v>0</v>
      </c>
      <c r="F234" s="568">
        <f>VLOOKUP(B234,'Item List'!B:AJ,4,FALSE)</f>
        <v>0</v>
      </c>
      <c r="G234" s="568">
        <f t="shared" si="12"/>
        <v>0</v>
      </c>
      <c r="H234" s="606"/>
      <c r="I234" s="607">
        <f>ROUNDUP((E234*'Project Materials'!$L$18),0)</f>
        <v>0</v>
      </c>
      <c r="J234" s="572">
        <f t="shared" si="13"/>
        <v>0</v>
      </c>
    </row>
    <row r="235" spans="1:10" x14ac:dyDescent="0.4">
      <c r="A235" s="693" t="s">
        <v>451</v>
      </c>
      <c r="B235" s="79" t="str">
        <f>VLOOKUP('Area D'!B35,'Item List'!B:AJ,28,FALSE)</f>
        <v>None</v>
      </c>
      <c r="C235" s="79" t="str">
        <f>VLOOKUP(B235,'Item List'!B:AH,2,FALSE)</f>
        <v>None</v>
      </c>
      <c r="D235" s="79"/>
      <c r="E235" s="570">
        <f>VLOOKUP(B235,'Item List'!B:AM,36,FALSE)</f>
        <v>0</v>
      </c>
      <c r="F235" s="568">
        <f>VLOOKUP(B235,'Item List'!B:AJ,4,FALSE)</f>
        <v>0</v>
      </c>
      <c r="G235" s="568">
        <f t="shared" si="12"/>
        <v>0</v>
      </c>
      <c r="H235" s="606"/>
      <c r="I235" s="607">
        <f>ROUNDUP((E235*'Project Materials'!$L$18),0)</f>
        <v>0</v>
      </c>
      <c r="J235" s="572">
        <f t="shared" si="13"/>
        <v>0</v>
      </c>
    </row>
    <row r="236" spans="1:10" x14ac:dyDescent="0.4">
      <c r="A236" s="693" t="s">
        <v>451</v>
      </c>
      <c r="B236" s="79" t="str">
        <f>VLOOKUP('Area D'!B35,'Item List'!B:AJ,29,FALSE)</f>
        <v>None</v>
      </c>
      <c r="C236" s="79" t="str">
        <f>VLOOKUP(B236,'Item List'!B:AH,2,FALSE)</f>
        <v>None</v>
      </c>
      <c r="D236" s="79"/>
      <c r="E236" s="570">
        <f>VLOOKUP(B236,'Item List'!B:AM,36,FALSE)</f>
        <v>0</v>
      </c>
      <c r="F236" s="568">
        <f>VLOOKUP(B236,'Item List'!B:AJ,4,FALSE)</f>
        <v>0</v>
      </c>
      <c r="G236" s="568">
        <f t="shared" si="12"/>
        <v>0</v>
      </c>
      <c r="H236" s="606"/>
      <c r="I236" s="607">
        <f>ROUNDUP((E236*'Project Materials'!$L$18),0)</f>
        <v>0</v>
      </c>
      <c r="J236" s="572">
        <f t="shared" si="13"/>
        <v>0</v>
      </c>
    </row>
    <row r="237" spans="1:10" x14ac:dyDescent="0.4">
      <c r="A237" s="693" t="s">
        <v>451</v>
      </c>
      <c r="B237" s="79" t="str">
        <f>VLOOKUP('Area D'!B35,'Item List'!B:AJ,30,FALSE)</f>
        <v>None</v>
      </c>
      <c r="C237" s="79" t="str">
        <f>VLOOKUP(B237,'Item List'!B:AH,2,FALSE)</f>
        <v>None</v>
      </c>
      <c r="D237" s="79"/>
      <c r="E237" s="570">
        <f>VLOOKUP(B237,'Item List'!B:AM,36,FALSE)</f>
        <v>0</v>
      </c>
      <c r="F237" s="568">
        <f>VLOOKUP(B237,'Item List'!B:AJ,4,FALSE)</f>
        <v>0</v>
      </c>
      <c r="G237" s="568">
        <f t="shared" si="12"/>
        <v>0</v>
      </c>
      <c r="H237" s="606"/>
      <c r="I237" s="607">
        <f>ROUNDUP((E237*'Project Materials'!$L$18),0)</f>
        <v>0</v>
      </c>
      <c r="J237" s="572">
        <f t="shared" si="13"/>
        <v>0</v>
      </c>
    </row>
    <row r="238" spans="1:10" x14ac:dyDescent="0.4">
      <c r="A238" s="693" t="s">
        <v>451</v>
      </c>
      <c r="B238" s="79" t="str">
        <f>VLOOKUP('Area D'!B35,'Item List'!B:AJ,31,FALSE)</f>
        <v>None</v>
      </c>
      <c r="C238" s="79" t="str">
        <f>VLOOKUP(B238,'Item List'!B:AH,2,FALSE)</f>
        <v>None</v>
      </c>
      <c r="D238" s="79"/>
      <c r="E238" s="570">
        <f>VLOOKUP(B238,'Item List'!B:AM,36,FALSE)</f>
        <v>0</v>
      </c>
      <c r="F238" s="568">
        <f>VLOOKUP(B238,'Item List'!B:AJ,4,FALSE)</f>
        <v>0</v>
      </c>
      <c r="G238" s="568">
        <f t="shared" si="12"/>
        <v>0</v>
      </c>
      <c r="H238" s="606"/>
      <c r="I238" s="607">
        <f>ROUNDUP((E238*'Project Materials'!$L$18),0)</f>
        <v>0</v>
      </c>
      <c r="J238" s="572">
        <f t="shared" si="13"/>
        <v>0</v>
      </c>
    </row>
    <row r="239" spans="1:10" x14ac:dyDescent="0.4">
      <c r="A239" s="693" t="s">
        <v>451</v>
      </c>
      <c r="B239" s="79" t="str">
        <f>VLOOKUP('Area D'!B36,'Item List'!B:AJ,28,FALSE)</f>
        <v>None</v>
      </c>
      <c r="C239" s="79" t="str">
        <f>VLOOKUP(B239,'Item List'!B:AH,2,FALSE)</f>
        <v>None</v>
      </c>
      <c r="D239" s="79"/>
      <c r="E239" s="570">
        <f>VLOOKUP(B239,'Item List'!B:AM,36,FALSE)</f>
        <v>0</v>
      </c>
      <c r="F239" s="568">
        <f>VLOOKUP(B239,'Item List'!B:AJ,4,FALSE)</f>
        <v>0</v>
      </c>
      <c r="G239" s="568">
        <f t="shared" si="12"/>
        <v>0</v>
      </c>
      <c r="H239" s="606"/>
      <c r="I239" s="607">
        <f>ROUNDUP((E239*'Project Materials'!$L$18),0)</f>
        <v>0</v>
      </c>
      <c r="J239" s="572">
        <f t="shared" si="13"/>
        <v>0</v>
      </c>
    </row>
    <row r="240" spans="1:10" x14ac:dyDescent="0.4">
      <c r="A240" s="693" t="s">
        <v>451</v>
      </c>
      <c r="B240" s="79" t="str">
        <f>VLOOKUP('Area D'!B36,'Item List'!B:AJ,29,FALSE)</f>
        <v>None</v>
      </c>
      <c r="C240" s="79" t="str">
        <f>VLOOKUP(B240,'Item List'!B:AH,2,FALSE)</f>
        <v>None</v>
      </c>
      <c r="D240" s="79"/>
      <c r="E240" s="570">
        <f>VLOOKUP(B240,'Item List'!B:AM,36,FALSE)</f>
        <v>0</v>
      </c>
      <c r="F240" s="568">
        <f>VLOOKUP(B240,'Item List'!B:AJ,4,FALSE)</f>
        <v>0</v>
      </c>
      <c r="G240" s="568">
        <f t="shared" si="12"/>
        <v>0</v>
      </c>
      <c r="H240" s="606"/>
      <c r="I240" s="607">
        <f>ROUNDUP((E240*'Project Materials'!$L$18),0)</f>
        <v>0</v>
      </c>
      <c r="J240" s="572">
        <f t="shared" si="13"/>
        <v>0</v>
      </c>
    </row>
    <row r="241" spans="1:10" x14ac:dyDescent="0.4">
      <c r="A241" s="693" t="s">
        <v>451</v>
      </c>
      <c r="B241" s="79" t="str">
        <f>VLOOKUP('Area D'!B36,'Item List'!B:AJ,30,FALSE)</f>
        <v>None</v>
      </c>
      <c r="C241" s="79" t="str">
        <f>VLOOKUP(B241,'Item List'!B:AH,2,FALSE)</f>
        <v>None</v>
      </c>
      <c r="D241" s="79"/>
      <c r="E241" s="570">
        <f>VLOOKUP(B241,'Item List'!B:AM,36,FALSE)</f>
        <v>0</v>
      </c>
      <c r="F241" s="568">
        <f>VLOOKUP(B241,'Item List'!B:AJ,4,FALSE)</f>
        <v>0</v>
      </c>
      <c r="G241" s="568">
        <f t="shared" si="12"/>
        <v>0</v>
      </c>
      <c r="H241" s="606"/>
      <c r="I241" s="607">
        <f>ROUNDUP((E241*'Project Materials'!$L$18),0)</f>
        <v>0</v>
      </c>
      <c r="J241" s="572">
        <f t="shared" si="13"/>
        <v>0</v>
      </c>
    </row>
    <row r="242" spans="1:10" x14ac:dyDescent="0.4">
      <c r="A242" s="693" t="s">
        <v>451</v>
      </c>
      <c r="B242" s="79" t="str">
        <f>VLOOKUP('Area D'!B36,'Item List'!B:AJ,31,FALSE)</f>
        <v>None</v>
      </c>
      <c r="C242" s="79" t="str">
        <f>VLOOKUP(B242,'Item List'!B:AH,2,FALSE)</f>
        <v>None</v>
      </c>
      <c r="D242" s="79"/>
      <c r="E242" s="570">
        <f>VLOOKUP(B242,'Item List'!B:AM,36,FALSE)</f>
        <v>0</v>
      </c>
      <c r="F242" s="568">
        <f>VLOOKUP(B242,'Item List'!B:AJ,4,FALSE)</f>
        <v>0</v>
      </c>
      <c r="G242" s="568">
        <f t="shared" si="12"/>
        <v>0</v>
      </c>
      <c r="H242" s="606"/>
      <c r="I242" s="607">
        <f>ROUNDUP((E242*'Project Materials'!$L$18),0)</f>
        <v>0</v>
      </c>
      <c r="J242" s="572">
        <f t="shared" si="13"/>
        <v>0</v>
      </c>
    </row>
    <row r="243" spans="1:10" x14ac:dyDescent="0.4">
      <c r="A243" s="693" t="s">
        <v>452</v>
      </c>
      <c r="B243" s="79" t="str">
        <f>VLOOKUP('Area D'!B40,'Item List'!B:AJ,28,FALSE)</f>
        <v>None</v>
      </c>
      <c r="C243" s="79" t="str">
        <f>VLOOKUP(B243,'Item List'!B:AH,2,FALSE)</f>
        <v>None</v>
      </c>
      <c r="D243" s="79"/>
      <c r="E243" s="570">
        <f>VLOOKUP(B243,'Item List'!B:AM,36,FALSE)</f>
        <v>0</v>
      </c>
      <c r="F243" s="568">
        <f>VLOOKUP(B243,'Item List'!B:AJ,4,FALSE)</f>
        <v>0</v>
      </c>
      <c r="G243" s="568">
        <f t="shared" si="12"/>
        <v>0</v>
      </c>
      <c r="H243" s="606"/>
      <c r="I243" s="607">
        <f>ROUNDUP((E243*'Project Materials'!$L$18),0)</f>
        <v>0</v>
      </c>
      <c r="J243" s="572">
        <f t="shared" si="13"/>
        <v>0</v>
      </c>
    </row>
    <row r="244" spans="1:10" x14ac:dyDescent="0.4">
      <c r="A244" s="693" t="s">
        <v>452</v>
      </c>
      <c r="B244" s="79" t="str">
        <f>VLOOKUP('Area D'!B40,'Item List'!B:AJ,29,FALSE)</f>
        <v>None</v>
      </c>
      <c r="C244" s="79" t="str">
        <f>VLOOKUP(B244,'Item List'!B:AH,2,FALSE)</f>
        <v>None</v>
      </c>
      <c r="D244" s="79"/>
      <c r="E244" s="570">
        <f>VLOOKUP(B244,'Item List'!B:AM,36,FALSE)</f>
        <v>0</v>
      </c>
      <c r="F244" s="568">
        <f>VLOOKUP(B244,'Item List'!B:AJ,4,FALSE)</f>
        <v>0</v>
      </c>
      <c r="G244" s="568">
        <f t="shared" si="12"/>
        <v>0</v>
      </c>
      <c r="H244" s="606"/>
      <c r="I244" s="607">
        <f>ROUNDUP((E244*'Project Materials'!$L$18),0)</f>
        <v>0</v>
      </c>
      <c r="J244" s="572">
        <f t="shared" si="13"/>
        <v>0</v>
      </c>
    </row>
    <row r="245" spans="1:10" x14ac:dyDescent="0.4">
      <c r="A245" s="693" t="s">
        <v>452</v>
      </c>
      <c r="B245" s="79" t="str">
        <f>VLOOKUP('Area D'!B40,'Item List'!B:AJ,30,FALSE)</f>
        <v>None</v>
      </c>
      <c r="C245" s="79" t="str">
        <f>VLOOKUP(B245,'Item List'!B:AH,2,FALSE)</f>
        <v>None</v>
      </c>
      <c r="D245" s="79"/>
      <c r="E245" s="570">
        <f>VLOOKUP(B245,'Item List'!B:AM,36,FALSE)</f>
        <v>0</v>
      </c>
      <c r="F245" s="568">
        <f>VLOOKUP(B245,'Item List'!B:AJ,4,FALSE)</f>
        <v>0</v>
      </c>
      <c r="G245" s="568">
        <f t="shared" si="12"/>
        <v>0</v>
      </c>
      <c r="H245" s="606"/>
      <c r="I245" s="607">
        <f>ROUNDUP((E245*'Project Materials'!$L$18),0)</f>
        <v>0</v>
      </c>
      <c r="J245" s="572">
        <f t="shared" si="13"/>
        <v>0</v>
      </c>
    </row>
    <row r="246" spans="1:10" x14ac:dyDescent="0.4">
      <c r="A246" s="693" t="s">
        <v>452</v>
      </c>
      <c r="B246" s="79" t="str">
        <f>VLOOKUP('Area D'!B40,'Item List'!B:AJ,31,FALSE)</f>
        <v>None</v>
      </c>
      <c r="C246" s="79" t="str">
        <f>VLOOKUP(B246,'Item List'!B:AH,2,FALSE)</f>
        <v>None</v>
      </c>
      <c r="D246" s="79"/>
      <c r="E246" s="570">
        <f>VLOOKUP(B246,'Item List'!B:AM,36,FALSE)</f>
        <v>0</v>
      </c>
      <c r="F246" s="568">
        <f>VLOOKUP(B246,'Item List'!B:AJ,4,FALSE)</f>
        <v>0</v>
      </c>
      <c r="G246" s="568">
        <f t="shared" si="12"/>
        <v>0</v>
      </c>
      <c r="H246" s="606"/>
      <c r="I246" s="607">
        <f>ROUNDUP((E246*'Project Materials'!$L$18),0)</f>
        <v>0</v>
      </c>
      <c r="J246" s="572">
        <f t="shared" si="13"/>
        <v>0</v>
      </c>
    </row>
    <row r="247" spans="1:10" x14ac:dyDescent="0.4">
      <c r="A247" s="693" t="s">
        <v>453</v>
      </c>
      <c r="B247" s="79" t="str">
        <f>VLOOKUP('Area D'!B41,'Item List'!B:AJ,28,FALSE)</f>
        <v>None</v>
      </c>
      <c r="C247" s="79" t="str">
        <f>VLOOKUP(B247,'Item List'!B:AH,2,FALSE)</f>
        <v>None</v>
      </c>
      <c r="D247" s="79"/>
      <c r="E247" s="570">
        <f>VLOOKUP(B247,'Item List'!B:AM,36,FALSE)</f>
        <v>0</v>
      </c>
      <c r="F247" s="568">
        <f>VLOOKUP(B247,'Item List'!B:AJ,4,FALSE)</f>
        <v>0</v>
      </c>
      <c r="G247" s="568">
        <f t="shared" si="12"/>
        <v>0</v>
      </c>
      <c r="H247" s="606"/>
      <c r="I247" s="607">
        <f>ROUNDUP((E247*'Project Materials'!$L$18),0)</f>
        <v>0</v>
      </c>
      <c r="J247" s="572">
        <f t="shared" si="13"/>
        <v>0</v>
      </c>
    </row>
    <row r="248" spans="1:10" x14ac:dyDescent="0.4">
      <c r="A248" s="693" t="s">
        <v>453</v>
      </c>
      <c r="B248" s="79" t="str">
        <f>VLOOKUP('Area D'!B41,'Item List'!B:AJ,29,FALSE)</f>
        <v>None</v>
      </c>
      <c r="C248" s="79" t="str">
        <f>VLOOKUP(B248,'Item List'!B:AH,2,FALSE)</f>
        <v>None</v>
      </c>
      <c r="D248" s="79"/>
      <c r="E248" s="570">
        <f>VLOOKUP(B248,'Item List'!B:AM,36,FALSE)</f>
        <v>0</v>
      </c>
      <c r="F248" s="568">
        <f>VLOOKUP(B248,'Item List'!B:AJ,4,FALSE)</f>
        <v>0</v>
      </c>
      <c r="G248" s="568">
        <f t="shared" si="12"/>
        <v>0</v>
      </c>
      <c r="H248" s="606"/>
      <c r="I248" s="607">
        <f>ROUNDUP((E248*'Project Materials'!$L$18),0)</f>
        <v>0</v>
      </c>
      <c r="J248" s="572">
        <f t="shared" si="13"/>
        <v>0</v>
      </c>
    </row>
    <row r="249" spans="1:10" x14ac:dyDescent="0.4">
      <c r="A249" s="693" t="s">
        <v>453</v>
      </c>
      <c r="B249" s="79" t="str">
        <f>VLOOKUP('Area D'!B41,'Item List'!B:AJ,30,FALSE)</f>
        <v>None</v>
      </c>
      <c r="C249" s="79" t="str">
        <f>VLOOKUP(B249,'Item List'!B:AH,2,FALSE)</f>
        <v>None</v>
      </c>
      <c r="D249" s="79"/>
      <c r="E249" s="570">
        <f>VLOOKUP(B249,'Item List'!B:AM,36,FALSE)</f>
        <v>0</v>
      </c>
      <c r="F249" s="568">
        <f>VLOOKUP(B249,'Item List'!B:AJ,4,FALSE)</f>
        <v>0</v>
      </c>
      <c r="G249" s="568">
        <f t="shared" si="12"/>
        <v>0</v>
      </c>
      <c r="H249" s="606"/>
      <c r="I249" s="607">
        <f>ROUNDUP((E249*'Project Materials'!$L$18),0)</f>
        <v>0</v>
      </c>
      <c r="J249" s="572">
        <f t="shared" si="13"/>
        <v>0</v>
      </c>
    </row>
    <row r="250" spans="1:10" x14ac:dyDescent="0.4">
      <c r="A250" s="693" t="s">
        <v>453</v>
      </c>
      <c r="B250" s="79" t="str">
        <f>VLOOKUP('Area D'!B41,'Item List'!B:AJ,31,FALSE)</f>
        <v>None</v>
      </c>
      <c r="C250" s="79" t="str">
        <f>VLOOKUP(B250,'Item List'!B:AH,2,FALSE)</f>
        <v>None</v>
      </c>
      <c r="D250" s="79"/>
      <c r="E250" s="570">
        <f>VLOOKUP(B250,'Item List'!B:AM,36,FALSE)</f>
        <v>0</v>
      </c>
      <c r="F250" s="568">
        <f>VLOOKUP(B250,'Item List'!B:AJ,4,FALSE)</f>
        <v>0</v>
      </c>
      <c r="G250" s="568">
        <f t="shared" si="12"/>
        <v>0</v>
      </c>
      <c r="H250" s="606"/>
      <c r="I250" s="607">
        <f>ROUNDUP((E250*'Project Materials'!$L$18),0)</f>
        <v>0</v>
      </c>
      <c r="J250" s="572">
        <f t="shared" si="13"/>
        <v>0</v>
      </c>
    </row>
    <row r="251" spans="1:10" x14ac:dyDescent="0.4">
      <c r="A251" s="693" t="s">
        <v>457</v>
      </c>
      <c r="B251" s="390" t="s">
        <v>418</v>
      </c>
      <c r="C251" s="79" t="str">
        <f>VLOOKUP(B251,'Item List'!B:AH,2,FALSE)</f>
        <v>None</v>
      </c>
      <c r="D251" s="79"/>
      <c r="E251" s="397">
        <v>0</v>
      </c>
      <c r="F251" s="568">
        <f>VLOOKUP(B251,'Item List'!B:AJ,4,FALSE)</f>
        <v>0</v>
      </c>
      <c r="G251" s="568">
        <f t="shared" si="12"/>
        <v>0</v>
      </c>
      <c r="H251" s="606"/>
      <c r="I251" s="607">
        <f>ROUNDUP((E251*'Project Materials'!$L$18),0)</f>
        <v>0</v>
      </c>
      <c r="J251" s="572">
        <f t="shared" si="13"/>
        <v>0</v>
      </c>
    </row>
    <row r="252" spans="1:10" x14ac:dyDescent="0.4">
      <c r="A252" s="693" t="s">
        <v>457</v>
      </c>
      <c r="B252" s="390" t="s">
        <v>418</v>
      </c>
      <c r="C252" s="79" t="str">
        <f>VLOOKUP(B252,'Item List'!B:AH,2,FALSE)</f>
        <v>None</v>
      </c>
      <c r="D252" s="79"/>
      <c r="E252" s="397">
        <v>0</v>
      </c>
      <c r="F252" s="568">
        <f>VLOOKUP(B252,'Item List'!B:AJ,4,FALSE)</f>
        <v>0</v>
      </c>
      <c r="G252" s="568">
        <f t="shared" si="12"/>
        <v>0</v>
      </c>
      <c r="H252" s="606"/>
      <c r="I252" s="607">
        <f>ROUNDUP((E252*'Project Materials'!$L$18),0)</f>
        <v>0</v>
      </c>
      <c r="J252" s="572">
        <f t="shared" si="13"/>
        <v>0</v>
      </c>
    </row>
    <row r="253" spans="1:10" x14ac:dyDescent="0.4">
      <c r="A253" s="693" t="s">
        <v>457</v>
      </c>
      <c r="B253" s="390" t="s">
        <v>418</v>
      </c>
      <c r="C253" s="79" t="str">
        <f>VLOOKUP(B253,'Item List'!B:AH,2,FALSE)</f>
        <v>None</v>
      </c>
      <c r="D253" s="79"/>
      <c r="E253" s="397">
        <v>0</v>
      </c>
      <c r="F253" s="568">
        <f>VLOOKUP(B253,'Item List'!B:AJ,4,FALSE)</f>
        <v>0</v>
      </c>
      <c r="G253" s="568">
        <f t="shared" si="12"/>
        <v>0</v>
      </c>
      <c r="H253" s="606"/>
      <c r="I253" s="607">
        <f>ROUNDUP((E253*'Project Materials'!$L$18),0)</f>
        <v>0</v>
      </c>
      <c r="J253" s="572">
        <f t="shared" si="13"/>
        <v>0</v>
      </c>
    </row>
    <row r="254" spans="1:10" x14ac:dyDescent="0.4">
      <c r="A254" s="693" t="s">
        <v>457</v>
      </c>
      <c r="B254" s="390" t="s">
        <v>418</v>
      </c>
      <c r="C254" s="79" t="str">
        <f>VLOOKUP(B254,'Item List'!B:AH,2,FALSE)</f>
        <v>None</v>
      </c>
      <c r="D254" s="79"/>
      <c r="E254" s="397">
        <v>0</v>
      </c>
      <c r="F254" s="568">
        <f>VLOOKUP(B254,'Item List'!B:AJ,4,FALSE)</f>
        <v>0</v>
      </c>
      <c r="G254" s="568">
        <f t="shared" si="12"/>
        <v>0</v>
      </c>
      <c r="H254" s="606"/>
      <c r="I254" s="607">
        <f>ROUNDUP((E254*'Project Materials'!$L$18),0)</f>
        <v>0</v>
      </c>
      <c r="J254" s="572">
        <f t="shared" si="13"/>
        <v>0</v>
      </c>
    </row>
    <row r="255" spans="1:10" x14ac:dyDescent="0.4">
      <c r="A255" s="693" t="s">
        <v>457</v>
      </c>
      <c r="B255" s="390" t="s">
        <v>418</v>
      </c>
      <c r="C255" s="79" t="str">
        <f>VLOOKUP(B255,'Item List'!B:AH,2,FALSE)</f>
        <v>None</v>
      </c>
      <c r="D255" s="79"/>
      <c r="E255" s="397">
        <v>0</v>
      </c>
      <c r="F255" s="568">
        <f>VLOOKUP(B255,'Item List'!B:AJ,4,FALSE)</f>
        <v>0</v>
      </c>
      <c r="G255" s="568">
        <f t="shared" si="12"/>
        <v>0</v>
      </c>
      <c r="H255" s="606"/>
      <c r="I255" s="607">
        <f>ROUNDUP((E255*'Project Materials'!$L$18),0)</f>
        <v>0</v>
      </c>
      <c r="J255" s="572">
        <f t="shared" si="13"/>
        <v>0</v>
      </c>
    </row>
    <row r="256" spans="1:10" x14ac:dyDescent="0.4">
      <c r="A256" s="693" t="s">
        <v>457</v>
      </c>
      <c r="B256" s="390" t="s">
        <v>418</v>
      </c>
      <c r="C256" s="79" t="str">
        <f>VLOOKUP(B256,'Item List'!B:AH,2,FALSE)</f>
        <v>None</v>
      </c>
      <c r="D256" s="79"/>
      <c r="E256" s="397">
        <v>0</v>
      </c>
      <c r="F256" s="568">
        <f>VLOOKUP(B256,'Item List'!B:AJ,4,FALSE)</f>
        <v>0</v>
      </c>
      <c r="G256" s="568">
        <f t="shared" ref="G256:G265" si="14">F256*E256</f>
        <v>0</v>
      </c>
      <c r="H256" s="606"/>
      <c r="I256" s="607">
        <f>ROUNDUP((E256*'Project Materials'!$L$18),0)</f>
        <v>0</v>
      </c>
      <c r="J256" s="572">
        <f t="shared" si="13"/>
        <v>0</v>
      </c>
    </row>
    <row r="257" spans="1:10" x14ac:dyDescent="0.4">
      <c r="A257" s="693" t="s">
        <v>498</v>
      </c>
      <c r="B257" s="395"/>
      <c r="C257" s="395"/>
      <c r="D257" s="388"/>
      <c r="E257" s="388"/>
      <c r="F257" s="396"/>
      <c r="G257" s="568">
        <f t="shared" si="14"/>
        <v>0</v>
      </c>
      <c r="H257" s="606"/>
      <c r="I257" s="607">
        <f>ROUNDUP((E257*'Project Materials'!$L$18),0)</f>
        <v>0</v>
      </c>
      <c r="J257" s="572">
        <f t="shared" si="13"/>
        <v>0</v>
      </c>
    </row>
    <row r="258" spans="1:10" ht="18" customHeight="1" x14ac:dyDescent="0.4">
      <c r="A258" s="693" t="s">
        <v>498</v>
      </c>
      <c r="B258" s="395"/>
      <c r="C258" s="395"/>
      <c r="D258" s="388"/>
      <c r="E258" s="388"/>
      <c r="F258" s="396"/>
      <c r="G258" s="568">
        <f t="shared" si="14"/>
        <v>0</v>
      </c>
      <c r="H258" s="606"/>
      <c r="I258" s="607">
        <f>ROUNDUP((E258*'Project Materials'!$L$18),0)</f>
        <v>0</v>
      </c>
      <c r="J258" s="572">
        <f t="shared" si="13"/>
        <v>0</v>
      </c>
    </row>
    <row r="259" spans="1:10" x14ac:dyDescent="0.4">
      <c r="A259" s="693" t="s">
        <v>498</v>
      </c>
      <c r="B259" s="395"/>
      <c r="C259" s="395"/>
      <c r="D259" s="388"/>
      <c r="E259" s="388"/>
      <c r="F259" s="396"/>
      <c r="G259" s="568">
        <f t="shared" si="14"/>
        <v>0</v>
      </c>
      <c r="H259" s="606"/>
      <c r="I259" s="607">
        <f>ROUNDUP((E259*'Project Materials'!$L$18),0)</f>
        <v>0</v>
      </c>
      <c r="J259" s="572">
        <f t="shared" si="13"/>
        <v>0</v>
      </c>
    </row>
    <row r="260" spans="1:10" x14ac:dyDescent="0.4">
      <c r="A260" s="693" t="s">
        <v>498</v>
      </c>
      <c r="B260" s="395"/>
      <c r="C260" s="395"/>
      <c r="D260" s="388"/>
      <c r="E260" s="388"/>
      <c r="F260" s="396"/>
      <c r="G260" s="568">
        <f t="shared" si="14"/>
        <v>0</v>
      </c>
      <c r="H260" s="606"/>
      <c r="I260" s="607">
        <f>ROUNDUP((E260*'Project Materials'!$L$18),0)</f>
        <v>0</v>
      </c>
      <c r="J260" s="572">
        <f t="shared" si="13"/>
        <v>0</v>
      </c>
    </row>
    <row r="261" spans="1:10" x14ac:dyDescent="0.4">
      <c r="A261" s="693" t="s">
        <v>498</v>
      </c>
      <c r="B261" s="395"/>
      <c r="C261" s="395"/>
      <c r="D261" s="388"/>
      <c r="E261" s="388"/>
      <c r="F261" s="396"/>
      <c r="G261" s="568">
        <f t="shared" si="14"/>
        <v>0</v>
      </c>
      <c r="H261" s="606"/>
      <c r="I261" s="607">
        <f>ROUNDUP((E261*'Project Materials'!$L$18),0)</f>
        <v>0</v>
      </c>
      <c r="J261" s="572">
        <f t="shared" si="13"/>
        <v>0</v>
      </c>
    </row>
    <row r="262" spans="1:10" ht="18" customHeight="1" x14ac:dyDescent="0.4">
      <c r="A262" s="693" t="s">
        <v>498</v>
      </c>
      <c r="B262" s="395"/>
      <c r="C262" s="395"/>
      <c r="D262" s="388"/>
      <c r="E262" s="388"/>
      <c r="F262" s="396"/>
      <c r="G262" s="568">
        <f t="shared" si="14"/>
        <v>0</v>
      </c>
      <c r="H262" s="606"/>
      <c r="I262" s="607">
        <f>ROUNDUP((E262*'Project Materials'!$L$18),0)</f>
        <v>0</v>
      </c>
      <c r="J262" s="572">
        <f t="shared" si="13"/>
        <v>0</v>
      </c>
    </row>
    <row r="263" spans="1:10" x14ac:dyDescent="0.4">
      <c r="A263" s="693" t="s">
        <v>498</v>
      </c>
      <c r="B263" s="395"/>
      <c r="C263" s="395"/>
      <c r="D263" s="388"/>
      <c r="E263" s="388"/>
      <c r="F263" s="396"/>
      <c r="G263" s="568">
        <f t="shared" si="14"/>
        <v>0</v>
      </c>
      <c r="H263" s="606"/>
      <c r="I263" s="607">
        <f>ROUNDUP((E263*'Project Materials'!$L$18),0)</f>
        <v>0</v>
      </c>
      <c r="J263" s="572">
        <f t="shared" si="13"/>
        <v>0</v>
      </c>
    </row>
    <row r="264" spans="1:10" ht="18" customHeight="1" x14ac:dyDescent="0.4">
      <c r="A264" s="693" t="s">
        <v>498</v>
      </c>
      <c r="B264" s="395"/>
      <c r="C264" s="395"/>
      <c r="D264" s="388"/>
      <c r="E264" s="388"/>
      <c r="F264" s="396"/>
      <c r="G264" s="568">
        <f t="shared" si="14"/>
        <v>0</v>
      </c>
      <c r="H264" s="606"/>
      <c r="I264" s="607">
        <f>ROUNDUP((E264*'Project Materials'!$L$18),0)</f>
        <v>0</v>
      </c>
      <c r="J264" s="572">
        <f>G264+(I264*F264)</f>
        <v>0</v>
      </c>
    </row>
    <row r="265" spans="1:10" x14ac:dyDescent="0.4">
      <c r="A265" s="693" t="s">
        <v>498</v>
      </c>
      <c r="B265" s="395"/>
      <c r="C265" s="395"/>
      <c r="D265" s="388"/>
      <c r="E265" s="388"/>
      <c r="F265" s="396"/>
      <c r="G265" s="568">
        <f t="shared" si="14"/>
        <v>0</v>
      </c>
      <c r="H265" s="606"/>
      <c r="I265" s="607">
        <f>ROUNDUP((E265*'Project Materials'!$L$18),0)</f>
        <v>0</v>
      </c>
      <c r="J265" s="572">
        <f>G265+(I265*F265)</f>
        <v>0</v>
      </c>
    </row>
    <row r="266" spans="1:10" ht="16.5" customHeight="1" thickBot="1" x14ac:dyDescent="0.45">
      <c r="A266" s="574"/>
      <c r="B266" s="685"/>
      <c r="C266" s="685"/>
      <c r="D266" s="686"/>
      <c r="E266" s="686"/>
      <c r="F266" s="687"/>
      <c r="G266" s="577">
        <f>SUM(G199:G265)</f>
        <v>0</v>
      </c>
      <c r="H266" s="402"/>
      <c r="I266" s="577"/>
      <c r="J266" s="577">
        <f>SUM(J199:J265)</f>
        <v>0</v>
      </c>
    </row>
    <row r="267" spans="1:10" ht="15" thickTop="1" x14ac:dyDescent="0.4">
      <c r="B267" s="79"/>
      <c r="C267" s="79"/>
      <c r="D267" s="570"/>
      <c r="E267" s="678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8" priority="13" operator="containsText" text="none">
      <formula>NOT(ISERROR(SEARCH("none",B47)))</formula>
    </cfRule>
  </conditionalFormatting>
  <conditionalFormatting sqref="B199:B250">
    <cfRule type="containsText" dxfId="57" priority="12" operator="containsText" text="none">
      <formula>NOT(ISERROR(SEARCH("none",B199)))</formula>
    </cfRule>
  </conditionalFormatting>
  <conditionalFormatting sqref="E26">
    <cfRule type="expression" dxfId="56" priority="11">
      <formula>(E26-E19)&lt;&gt;0</formula>
    </cfRule>
  </conditionalFormatting>
  <conditionalFormatting sqref="E19">
    <cfRule type="expression" dxfId="55" priority="10">
      <formula>(E19-E26)&lt;&gt;0</formula>
    </cfRule>
  </conditionalFormatting>
  <conditionalFormatting sqref="B64:B69">
    <cfRule type="containsText" dxfId="54" priority="9" operator="containsText" text="none">
      <formula>NOT(ISERROR(SEARCH("none",B64)))</formula>
    </cfRule>
  </conditionalFormatting>
  <conditionalFormatting sqref="B70:B75">
    <cfRule type="containsText" dxfId="53" priority="8" operator="containsText" text="none">
      <formula>NOT(ISERROR(SEARCH("none",B70)))</formula>
    </cfRule>
  </conditionalFormatting>
  <conditionalFormatting sqref="B76:B81">
    <cfRule type="containsText" dxfId="52" priority="7" operator="containsText" text="none">
      <formula>NOT(ISERROR(SEARCH("none",B76)))</formula>
    </cfRule>
  </conditionalFormatting>
  <conditionalFormatting sqref="B82:B87">
    <cfRule type="containsText" dxfId="51" priority="6" operator="containsText" text="none">
      <formula>NOT(ISERROR(SEARCH("none",B82)))</formula>
    </cfRule>
  </conditionalFormatting>
  <conditionalFormatting sqref="B88:B93">
    <cfRule type="containsText" dxfId="50" priority="5" operator="containsText" text="none">
      <formula>NOT(ISERROR(SEARCH("none",B88)))</formula>
    </cfRule>
  </conditionalFormatting>
  <conditionalFormatting sqref="B95:B106">
    <cfRule type="containsText" dxfId="49" priority="4" operator="containsText" text="none">
      <formula>NOT(ISERROR(SEARCH("none",B95)))</formula>
    </cfRule>
  </conditionalFormatting>
  <conditionalFormatting sqref="B107:B112">
    <cfRule type="containsText" dxfId="48" priority="3" operator="containsText" text="none">
      <formula>NOT(ISERROR(SEARCH("none",B107)))</formula>
    </cfRule>
  </conditionalFormatting>
  <conditionalFormatting sqref="B113:B118">
    <cfRule type="containsText" dxfId="47" priority="2" operator="containsText" text="none">
      <formula>NOT(ISERROR(SEARCH("none",B113)))</formula>
    </cfRule>
  </conditionalFormatting>
  <conditionalFormatting sqref="B119">
    <cfRule type="containsText" dxfId="4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D47" sqref="D47"/>
    </sheetView>
  </sheetViews>
  <sheetFormatPr defaultColWidth="9.15234375" defaultRowHeight="14.6" x14ac:dyDescent="0.4"/>
  <cols>
    <col min="1" max="1" width="32.3046875" style="82" bestFit="1" customWidth="1"/>
    <col min="2" max="2" width="32.3828125" style="82" customWidth="1"/>
    <col min="3" max="3" width="54.53515625" style="82" bestFit="1" customWidth="1"/>
    <col min="4" max="4" width="19.15234375" style="82" customWidth="1"/>
    <col min="5" max="8" width="13.69140625" style="82" customWidth="1"/>
    <col min="9" max="9" width="13.3828125" style="82" customWidth="1"/>
    <col min="10" max="10" width="11" style="82" bestFit="1" customWidth="1"/>
    <col min="11" max="11" width="9.15234375" style="82"/>
    <col min="12" max="12" width="43.15234375" style="82" bestFit="1" customWidth="1"/>
    <col min="13" max="16384" width="9.15234375" style="82"/>
  </cols>
  <sheetData>
    <row r="1" spans="1:4" ht="18.45" x14ac:dyDescent="0.4">
      <c r="A1" s="1131" t="s">
        <v>998</v>
      </c>
      <c r="B1" s="1132"/>
      <c r="C1" s="749" t="s">
        <v>939</v>
      </c>
      <c r="D1" s="783" t="s">
        <v>1047</v>
      </c>
    </row>
    <row r="2" spans="1:4" ht="18.45" x14ac:dyDescent="0.4">
      <c r="A2" s="1131" t="s">
        <v>929</v>
      </c>
      <c r="B2" s="1132"/>
      <c r="C2" s="750" t="s">
        <v>942</v>
      </c>
      <c r="D2" s="783" t="s">
        <v>1047</v>
      </c>
    </row>
    <row r="3" spans="1:4" ht="18.45" x14ac:dyDescent="0.4">
      <c r="A3" s="1131" t="s">
        <v>928</v>
      </c>
      <c r="B3" s="1132"/>
      <c r="C3" s="750" t="s">
        <v>938</v>
      </c>
      <c r="D3" s="783" t="s">
        <v>1047</v>
      </c>
    </row>
    <row r="4" spans="1:4" ht="18.45" x14ac:dyDescent="0.4">
      <c r="A4" s="1131" t="s">
        <v>713</v>
      </c>
      <c r="B4" s="1132"/>
      <c r="C4" s="750" t="s">
        <v>1064</v>
      </c>
      <c r="D4" s="783" t="s">
        <v>1047</v>
      </c>
    </row>
    <row r="5" spans="1:4" ht="18.45" x14ac:dyDescent="0.4">
      <c r="A5" s="1132" t="s">
        <v>990</v>
      </c>
      <c r="B5" s="1133"/>
      <c r="C5" s="750" t="s">
        <v>1060</v>
      </c>
      <c r="D5" s="783" t="s">
        <v>1047</v>
      </c>
    </row>
    <row r="6" spans="1:4" ht="18.45" x14ac:dyDescent="0.4">
      <c r="A6" s="1132" t="s">
        <v>975</v>
      </c>
      <c r="B6" s="1133"/>
      <c r="C6" s="750">
        <v>0</v>
      </c>
      <c r="D6" s="783" t="s">
        <v>1048</v>
      </c>
    </row>
    <row r="7" spans="1:4" ht="18.45" x14ac:dyDescent="0.4">
      <c r="A7" s="1131" t="s">
        <v>974</v>
      </c>
      <c r="B7" s="1132"/>
      <c r="C7" s="750"/>
      <c r="D7" s="783" t="s">
        <v>1048</v>
      </c>
    </row>
    <row r="8" spans="1:4" ht="18.45" x14ac:dyDescent="0.4">
      <c r="A8" s="1131" t="s">
        <v>1052</v>
      </c>
      <c r="B8" s="1132"/>
      <c r="C8" s="750"/>
      <c r="D8" s="783" t="s">
        <v>1048</v>
      </c>
    </row>
    <row r="9" spans="1:4" ht="18.45" x14ac:dyDescent="0.4">
      <c r="A9" s="1131" t="s">
        <v>1061</v>
      </c>
      <c r="B9" s="1132"/>
      <c r="C9" s="784">
        <f>IFERROR(IF(C3="Wall",0,SUM(1+(C7/C12))*C6),0)</f>
        <v>0</v>
      </c>
      <c r="D9" s="783"/>
    </row>
    <row r="10" spans="1:4" ht="18.45" x14ac:dyDescent="0.4">
      <c r="A10" s="1131" t="s">
        <v>976</v>
      </c>
      <c r="B10" s="1132"/>
      <c r="C10" s="751"/>
      <c r="D10" s="783" t="s">
        <v>1048</v>
      </c>
    </row>
    <row r="11" spans="1:4" ht="18.45" x14ac:dyDescent="0.4">
      <c r="A11" s="1131" t="s">
        <v>977</v>
      </c>
      <c r="B11" s="1132"/>
      <c r="C11" s="751"/>
      <c r="D11" s="783" t="s">
        <v>1048</v>
      </c>
    </row>
    <row r="12" spans="1:4" ht="18.45" x14ac:dyDescent="0.4">
      <c r="A12" s="1131" t="s">
        <v>1051</v>
      </c>
      <c r="B12" s="1132"/>
      <c r="C12" s="750"/>
      <c r="D12" s="783" t="s">
        <v>1048</v>
      </c>
    </row>
    <row r="13" spans="1:4" ht="18.45" x14ac:dyDescent="0.4">
      <c r="A13" s="1131" t="s">
        <v>1044</v>
      </c>
      <c r="B13" s="1132"/>
      <c r="C13" s="750"/>
      <c r="D13" s="783" t="s">
        <v>1048</v>
      </c>
    </row>
    <row r="14" spans="1:4" ht="18.45" x14ac:dyDescent="0.4">
      <c r="A14" s="1131" t="s">
        <v>936</v>
      </c>
      <c r="B14" s="1132"/>
      <c r="C14" s="750"/>
      <c r="D14" s="783" t="s">
        <v>1047</v>
      </c>
    </row>
    <row r="15" spans="1:4" ht="18.45" x14ac:dyDescent="0.4">
      <c r="A15" s="1131" t="s">
        <v>963</v>
      </c>
      <c r="B15" s="1132"/>
      <c r="C15" s="752"/>
      <c r="D15" s="783" t="s">
        <v>1048</v>
      </c>
    </row>
    <row r="17" spans="1:13" ht="29.15" x14ac:dyDescent="0.4">
      <c r="A17" s="785" t="s">
        <v>953</v>
      </c>
      <c r="B17" s="84" t="s">
        <v>11</v>
      </c>
      <c r="C17" s="84" t="s">
        <v>12</v>
      </c>
      <c r="D17" s="600" t="s">
        <v>435</v>
      </c>
      <c r="E17" s="584" t="s">
        <v>436</v>
      </c>
      <c r="F17" s="594" t="s">
        <v>437</v>
      </c>
      <c r="G17" s="601" t="s">
        <v>425</v>
      </c>
      <c r="H17" s="583" t="s">
        <v>978</v>
      </c>
      <c r="I17" s="584" t="s">
        <v>716</v>
      </c>
      <c r="J17" s="583" t="s">
        <v>500</v>
      </c>
    </row>
    <row r="18" spans="1:13" x14ac:dyDescent="0.4">
      <c r="A18" s="565" t="s">
        <v>953</v>
      </c>
      <c r="B18" s="723" t="str">
        <f>IFERROR(VLOOKUP(C1,'Grab Rail Item List'!B23:F25,2,FALSE),)</f>
        <v>GR-Round 20'</v>
      </c>
      <c r="C18" s="724" t="str">
        <f>IFERROR(VLOOKUP(B18,'Grab Rail Item List'!C:D,2,FALSE),"")</f>
        <v>1-1/2" Schedule 40 Round Grab Rail 20'</v>
      </c>
      <c r="D18" s="765">
        <f>IF(B18="none",0,SUM((C7*C8)*C6))</f>
        <v>0</v>
      </c>
      <c r="E18" s="766">
        <f>IFERROR(IF(Table113[[#This Row],[Item]]="None",0,(ROUNDUP(Table113[[#This Row],[Qty (Feet)]]/(VLOOKUP(Table113[[#This Row],[Item]],'Grab Rail Item List'!C:E,3,FALSE)),0))),0)</f>
        <v>0</v>
      </c>
      <c r="F18" s="728">
        <f>IFERROR(VLOOKUP(Table113[[#This Row],[Item]],'Grab Rail Item List'!C:F,4,FALSE),0)</f>
        <v>56.62</v>
      </c>
      <c r="G18" s="729">
        <f>F18*E18</f>
        <v>0</v>
      </c>
      <c r="H18" s="733">
        <f>IFERROR(+(Table113[[#This Row],[Qty (Feet)]]*C15),0)</f>
        <v>0</v>
      </c>
      <c r="I18" s="734">
        <f>IFERROR(IF(Table113[[#This Row],[Item]]="None",0,ROUNDUP(Table113[[#This Row],[Coushion Qty LF]]/VLOOKUP(Table113[[#This Row],[Item]],'Grab Rail Item List'!C:E,3,FALSE),2)),)</f>
        <v>0</v>
      </c>
      <c r="J18" s="731">
        <f>G18+(I18*F18)</f>
        <v>0</v>
      </c>
      <c r="L18" s="786" t="s">
        <v>1050</v>
      </c>
      <c r="M18" s="787"/>
    </row>
    <row r="19" spans="1:13" x14ac:dyDescent="0.4">
      <c r="A19" s="653" t="s">
        <v>1053</v>
      </c>
      <c r="B19" s="759" t="str">
        <f>IFERROR(IF(C3="Wall","None",VLOOKUP(C1,'Grab Rail Item List'!B23:F25,2,FALSE)),"None")</f>
        <v>GR-Round 20'</v>
      </c>
      <c r="C19" s="754" t="str">
        <f>IFERROR(VLOOKUP(B19,'Grab Rail Item List'!C:D,2,FALSE),"")</f>
        <v>1-1/2" Schedule 40 Round Grab Rail 20'</v>
      </c>
      <c r="D19" s="767">
        <f>IF(C12=0,0,IF(B19="none",0,SUM(((1+(C7/C12))*C6)*3)))</f>
        <v>0</v>
      </c>
      <c r="E19" s="768">
        <f>IFERROR(IF(Table113[[#This Row],[Item]]="None",0,(ROUNDUP(Table113[[#This Row],[Qty (Feet)]]/(VLOOKUP(Table113[[#This Row],[Item]],'Grab Rail Item List'!C:E,3,FALSE)),0))),0)</f>
        <v>0</v>
      </c>
      <c r="F19" s="760">
        <f>IFERROR(VLOOKUP(Table113[[#This Row],[Item]],'Grab Rail Item List'!C:F,4,FALSE),0)</f>
        <v>56.62</v>
      </c>
      <c r="G19" s="761">
        <f>F19*E19</f>
        <v>0</v>
      </c>
      <c r="H19" s="762">
        <f>IFERROR(+(Table113[[#This Row],[Qty (Feet)]]*C15),0)</f>
        <v>0</v>
      </c>
      <c r="I19" s="763">
        <f>IFERROR(IF(Table113[[#This Row],[Item]]="None",0,ROUNDUP(Table113[[#This Row],[Coushion Qty LF]]/VLOOKUP(Table113[[#This Row],[Item]],'Grab Rail Item List'!C:E,3,FALSE),2)),)</f>
        <v>0</v>
      </c>
      <c r="J19" s="746">
        <f>G19+(I19*F19)</f>
        <v>0</v>
      </c>
    </row>
    <row r="20" spans="1:13" ht="15" thickBot="1" x14ac:dyDescent="0.45">
      <c r="A20" s="575"/>
      <c r="B20" s="575"/>
      <c r="C20" s="575"/>
      <c r="D20" s="756"/>
      <c r="E20" s="756"/>
      <c r="F20" s="687"/>
      <c r="G20" s="757">
        <f>SUM(G18:G19)</f>
        <v>0</v>
      </c>
      <c r="H20" s="758"/>
      <c r="I20" s="758"/>
      <c r="J20" s="757">
        <f>SUM(J18:J19)</f>
        <v>0</v>
      </c>
    </row>
    <row r="21" spans="1:13" ht="16.3" thickTop="1" x14ac:dyDescent="0.45">
      <c r="A21" s="578"/>
      <c r="B21" s="578"/>
      <c r="C21" s="578"/>
      <c r="D21" s="578"/>
      <c r="E21" s="578"/>
      <c r="F21" s="578"/>
      <c r="G21" s="578"/>
      <c r="H21" s="578"/>
      <c r="I21" s="578"/>
      <c r="J21" s="578"/>
    </row>
    <row r="22" spans="1:13" ht="29.15" x14ac:dyDescent="0.4">
      <c r="A22" s="753" t="s">
        <v>961</v>
      </c>
      <c r="B22" s="84" t="s">
        <v>11</v>
      </c>
      <c r="C22" s="84" t="s">
        <v>12</v>
      </c>
      <c r="D22" s="580" t="s">
        <v>435</v>
      </c>
      <c r="E22" s="581" t="s">
        <v>436</v>
      </c>
      <c r="F22" s="582" t="s">
        <v>437</v>
      </c>
      <c r="G22" s="583" t="s">
        <v>425</v>
      </c>
      <c r="H22" s="583" t="s">
        <v>501</v>
      </c>
      <c r="I22" s="584" t="s">
        <v>989</v>
      </c>
      <c r="J22" s="583" t="s">
        <v>500</v>
      </c>
    </row>
    <row r="23" spans="1:13" x14ac:dyDescent="0.4">
      <c r="A23" s="585" t="s">
        <v>949</v>
      </c>
      <c r="B23" s="723" t="str">
        <f>IFERROR(IF(C10&lt;1,"None",VLOOKUP(C1,'Grab Rail Item List'!B27:F32,2,FALSE)),"")</f>
        <v>None</v>
      </c>
      <c r="C23" s="724" t="str">
        <f>IFERROR(VLOOKUP(B23,'Grab Rail Item List'!C:D,2,FALSE),"")</f>
        <v>None</v>
      </c>
      <c r="D23" s="769">
        <f>IF(Table113[[#This Row],[Item]]="None",0,(1*C10)*$C$6)</f>
        <v>0</v>
      </c>
      <c r="E23" s="727">
        <f>IFERROR(IF(B23="none",0,('Grab Rail'!C10*'Grab Rail'!C6)),0)</f>
        <v>0</v>
      </c>
      <c r="F23" s="728">
        <f>IF(Table113[[#This Row],[Item]]="None",0,(VLOOKUP(B23,'Grab Rail Item List'!C:F,4,FALSE)))</f>
        <v>0</v>
      </c>
      <c r="G23" s="729">
        <f t="shared" ref="G23" si="0">F23*E23</f>
        <v>0</v>
      </c>
      <c r="H23" s="730">
        <f>ROUNDUP(E23*C15,0)</f>
        <v>0</v>
      </c>
      <c r="I23" s="727">
        <f>Table113[[#This Row],[Unit Cost]]*Table113[[#This Row],[Coushion Qty LF]]</f>
        <v>0</v>
      </c>
      <c r="J23" s="731">
        <f>G23+(I23)</f>
        <v>0</v>
      </c>
    </row>
    <row r="24" spans="1:13" x14ac:dyDescent="0.4">
      <c r="A24" s="585" t="s">
        <v>956</v>
      </c>
      <c r="B24" s="723" t="str">
        <f>IFERROR(IF(C11&lt;1,"None",VLOOKUP(C1,'Grab Rail Item List'!B19:F21,2,FALSE)),"")</f>
        <v>None</v>
      </c>
      <c r="C24" s="724" t="str">
        <f>IFERROR(VLOOKUP(B24,'Grab Rail Item List'!C:D,2,FALSE),"")</f>
        <v>None</v>
      </c>
      <c r="D24" s="769">
        <f>IF(Table113[[#This Row],[Item]]="None",0,(3*C11)*$C$6)</f>
        <v>0</v>
      </c>
      <c r="E24" s="727">
        <f>IFERROR(IF(B24="none",0,('Grab Rail'!C11*'Grab Rail'!C6)),0)</f>
        <v>0</v>
      </c>
      <c r="F24" s="728">
        <f>IF(Table113[[#This Row],[Item]]="None",0,(VLOOKUP(B24,'Grab Rail Item List'!C:F,4,FALSE)))</f>
        <v>0</v>
      </c>
      <c r="G24" s="729">
        <f t="shared" ref="G24:G26" si="1">F24*E24</f>
        <v>0</v>
      </c>
      <c r="H24" s="730">
        <f>ROUNDUP(E24*C15,0)</f>
        <v>0</v>
      </c>
      <c r="I24" s="727">
        <f>Table113[[#This Row],[Unit Cost]]*Table113[[#This Row],[Coushion Qty LF]]</f>
        <v>0</v>
      </c>
      <c r="J24" s="731">
        <f>G24+(I24)</f>
        <v>0</v>
      </c>
    </row>
    <row r="25" spans="1:13" x14ac:dyDescent="0.4">
      <c r="A25" s="585" t="s">
        <v>952</v>
      </c>
      <c r="B25" s="725" t="str">
        <f>IF(C13&lt;1,"none",VLOOKUP(C1,'Grab Rail Item List'!B4:F6,2,FALSE))</f>
        <v>none</v>
      </c>
      <c r="C25" s="724" t="str">
        <f>IFERROR(VLOOKUP(B25,'Grab Rail Item List'!C:D,2,FALSE),"")</f>
        <v>None</v>
      </c>
      <c r="D25" s="587"/>
      <c r="E25" s="727">
        <f>IFERROR(IF(B25="none",0,(C13*C6)),0)</f>
        <v>0</v>
      </c>
      <c r="F25" s="728">
        <f>IF(Table113[[#This Row],[Item]]="None",0,(VLOOKUP(B25,'Grab Rail Item List'!C:F,4,FALSE)))</f>
        <v>0</v>
      </c>
      <c r="G25" s="729">
        <f t="shared" si="1"/>
        <v>0</v>
      </c>
      <c r="H25" s="730">
        <f>ROUNDUP(E25*C15,0)</f>
        <v>0</v>
      </c>
      <c r="I25" s="727">
        <f>Table113[[#This Row],[Unit Cost]]*Table113[[#This Row],[Coushion Qty LF]]</f>
        <v>0</v>
      </c>
      <c r="J25" s="731">
        <f>G25+(I25)</f>
        <v>0</v>
      </c>
    </row>
    <row r="26" spans="1:13" x14ac:dyDescent="0.4">
      <c r="A26" s="585" t="s">
        <v>950</v>
      </c>
      <c r="B26" s="754" t="str">
        <f>IFERROR(IF($C$14="No","None",VLOOKUP($C$1,'Grab Rail Item List'!$B$33:$D$36,2,FALSE)),"")</f>
        <v>GR-Round Splice</v>
      </c>
      <c r="C26" s="724" t="str">
        <f>IFERROR(VLOOKUP(B26,'Grab Rail Item List'!C:D,2,FALSE),"")</f>
        <v>Coupling Splice for  1-1/2" Round  Pipe Grab Rail</v>
      </c>
      <c r="D26" s="587"/>
      <c r="E26" s="727">
        <f>IF(Table113[[#This Row],[Item]]="None",0,IF(C7&gt;20,((_xlfn.FLOOR.MATH(C7/20))*C8)*C6,0))</f>
        <v>0</v>
      </c>
      <c r="F26" s="728">
        <f>IFERROR(IF(Table113[[#This Row],[Item]]="None",0,(VLOOKUP(B26,'Grab Rail Item List'!C:F,4,FALSE))),0)</f>
        <v>2.06</v>
      </c>
      <c r="G26" s="729">
        <f t="shared" si="1"/>
        <v>0</v>
      </c>
      <c r="H26" s="730">
        <f>ROUNDUP(E26*C16,0)</f>
        <v>0</v>
      </c>
      <c r="I26" s="727">
        <f>Table113[[#This Row],[Unit Cost]]*Table113[[#This Row],[Coushion Qty LF]]</f>
        <v>0</v>
      </c>
      <c r="J26" s="731">
        <f>G26+(I26)</f>
        <v>0</v>
      </c>
    </row>
    <row r="27" spans="1:13" ht="15" thickBot="1" x14ac:dyDescent="0.45">
      <c r="A27" s="574" t="s">
        <v>714</v>
      </c>
      <c r="B27" s="575"/>
      <c r="C27" s="574"/>
      <c r="D27" s="590"/>
      <c r="E27" s="398"/>
      <c r="F27" s="591"/>
      <c r="G27" s="732">
        <f>SUM(G23:G26)</f>
        <v>0</v>
      </c>
      <c r="H27" s="591"/>
      <c r="I27" s="732">
        <f>SUM(I23:I26)</f>
        <v>0</v>
      </c>
      <c r="J27" s="732">
        <f>SUM(J23:J26)</f>
        <v>0</v>
      </c>
    </row>
    <row r="28" spans="1:13" ht="16.75" thickTop="1" thickBot="1" x14ac:dyDescent="0.5">
      <c r="A28" s="578"/>
      <c r="B28" s="578"/>
      <c r="C28" s="578"/>
      <c r="D28" s="578"/>
      <c r="E28" s="578"/>
      <c r="F28" s="578"/>
      <c r="G28" s="578"/>
      <c r="H28" s="578"/>
      <c r="I28" s="578"/>
      <c r="J28" s="578"/>
    </row>
    <row r="29" spans="1:13" ht="16.3" thickTop="1" x14ac:dyDescent="0.45">
      <c r="A29" s="578"/>
      <c r="B29" s="578"/>
      <c r="C29" s="578"/>
      <c r="D29" s="578"/>
      <c r="E29" s="578"/>
      <c r="F29" s="578"/>
      <c r="G29" s="578"/>
      <c r="H29" s="578"/>
      <c r="I29" s="578"/>
      <c r="J29" s="578"/>
    </row>
    <row r="30" spans="1:13" ht="29.15" x14ac:dyDescent="0.4">
      <c r="A30" s="753" t="s">
        <v>964</v>
      </c>
      <c r="B30" s="593" t="s">
        <v>11</v>
      </c>
      <c r="C30" s="593"/>
      <c r="D30" s="593"/>
      <c r="E30" s="584" t="s">
        <v>436</v>
      </c>
      <c r="F30" s="594" t="s">
        <v>437</v>
      </c>
      <c r="G30" s="601" t="s">
        <v>425</v>
      </c>
      <c r="H30" s="583" t="s">
        <v>1097</v>
      </c>
      <c r="I30" s="584" t="s">
        <v>1098</v>
      </c>
      <c r="J30" s="583" t="s">
        <v>500</v>
      </c>
    </row>
    <row r="31" spans="1:13" x14ac:dyDescent="0.4">
      <c r="A31" s="565" t="s">
        <v>957</v>
      </c>
      <c r="B31" s="723" t="str">
        <f>IF($C$3="Wall",'Grab Rail Item List'!C3,"None")</f>
        <v>None</v>
      </c>
      <c r="C31" s="726" t="str">
        <f>IF(Table113[[#This Row],[Item]]="None","",(VLOOKUP(B31,'Grab Rail Item List'!C:D,2,FALSE)))</f>
        <v/>
      </c>
      <c r="D31" s="587"/>
      <c r="E31" s="735">
        <f>IF(Table113[[#This Row],[Item]]="None",0,(((C7/C12)+1)*C6))</f>
        <v>0</v>
      </c>
      <c r="F31" s="736">
        <f>IF(Table113[[#This Row],[Item]]="None",0,VLOOKUP(Table113[[#This Row],[Item]],'Grab Rail Item List'!C:G,4,FALSE))</f>
        <v>0</v>
      </c>
      <c r="G31" s="729">
        <f>Table113[[#This Row],[Unit Cost]]*Table113[[#This Row],[Unit Count]]</f>
        <v>0</v>
      </c>
      <c r="H31" s="737" t="str">
        <f>IF(Table113[[#This Row],[Item]]="None","",Table113[[#This Row],[Unit Count]]*$C$15)</f>
        <v/>
      </c>
      <c r="I31" s="738" t="str">
        <f>IFERROR(SUM(IF(Table113[[#This Row],[Item]]="none",0,VLOOKUP(Table113[[#This Row],[Item]],'Grab Rail Item List'!C:F,4,FALSE))*Table113[[#This Row],[Coushion Qty LF]]),"")</f>
        <v/>
      </c>
      <c r="J31" s="731">
        <f>IFERROR(Table113[[#This Row],[Coushion Unit Count]]+Table113[[#This Row],[Extended Cost]],0)</f>
        <v>0</v>
      </c>
    </row>
    <row r="32" spans="1:13" x14ac:dyDescent="0.4">
      <c r="A32" s="565" t="s">
        <v>988</v>
      </c>
      <c r="B32" s="723" t="str">
        <f>IF(C3="Floor",C5,"None")</f>
        <v>3/8" x 4" Base Plate</v>
      </c>
      <c r="C32" s="726" t="str">
        <f>IF(Table113[[#This Row],[Item]]="None","",(VLOOKUP(B32,'Grab Rail Item List'!C:D,2,FALSE)))</f>
        <v xml:space="preserve">3/8" x 4" From Coast Aluminum </v>
      </c>
      <c r="D32" s="587"/>
      <c r="E32" s="735">
        <f>IF( C12=0,0,IF(Table113[[#This Row],[Item]]="None",0,((1+(C7/C12))*C6)))</f>
        <v>0</v>
      </c>
      <c r="F32" s="736">
        <f>IF(Table113[[#This Row],[Item]]="None",0,VLOOKUP(Table113[[#This Row],[Item]],'Grab Rail Item List'!C:G,4,FALSE))</f>
        <v>0.80208333333333337</v>
      </c>
      <c r="G32" s="728">
        <f>F32*E32</f>
        <v>0</v>
      </c>
      <c r="H32" s="737">
        <f>IF(Table113[[#This Row],[Item]]="None","",Table113[[#This Row],[Unit Count]]*$C$15)</f>
        <v>0</v>
      </c>
      <c r="I32" s="738">
        <f>IFERROR(SUM(IF(Table113[[#This Row],[Item]]="none",0,VLOOKUP(Table113[[#This Row],[Item]],'Grab Rail Item List'!C:F,4,FALSE))*Table113[[#This Row],[Coushion Qty LF]]),"")</f>
        <v>0</v>
      </c>
      <c r="J32" s="731">
        <f>IFERROR(Table113[[#This Row],[Coushion Unit Count]]+Table113[[#This Row],[Extended Cost]],0)</f>
        <v>0</v>
      </c>
    </row>
    <row r="33" spans="1:10" x14ac:dyDescent="0.4">
      <c r="A33" s="565" t="s">
        <v>991</v>
      </c>
      <c r="B33" s="723" t="str">
        <f>IF($B$31="None","none",VLOOKUP(C4,'Grab Rail Item List'!B36:F37,2,FALSE))</f>
        <v>none</v>
      </c>
      <c r="C33" s="726" t="str">
        <f>IF(Table113[[#This Row],[Item]]="None","",VLOOKUP(B33,'Grab Rail Item List'!C:D,2,FALSE))</f>
        <v/>
      </c>
      <c r="D33" s="587"/>
      <c r="E33" s="735">
        <f>IF(Table113[[#This Row],[Item]]="None",0,VLOOKUP(Table113[[#This Row],[Item]],'Grab Rail Item List'!C:P,14,FALSE))</f>
        <v>0</v>
      </c>
      <c r="F33" s="736">
        <f>IF(Table113[[#This Row],[Item]]="None",0,VLOOKUP(Table113[[#This Row],[Item]],'Grab Rail Item List'!C:G,4,FALSE))</f>
        <v>0</v>
      </c>
      <c r="G33" s="728">
        <f t="shared" ref="G33:G38" si="2">F33*E33</f>
        <v>0</v>
      </c>
      <c r="H33" s="737" t="str">
        <f>IF(Table113[[#This Row],[Item]]="None","",Table113[[#This Row],[Unit Count]]*$C$15)</f>
        <v/>
      </c>
      <c r="I33" s="738" t="str">
        <f>IFERROR(SUM(IF(Table113[[#This Row],[Item]]="none",0,VLOOKUP(Table113[[#This Row],[Item]],'Grab Rail Item List'!C:F,4,FALSE))*Table113[[#This Row],[Coushion Qty LF]]),"")</f>
        <v/>
      </c>
      <c r="J33" s="731">
        <f>IFERROR(Table113[[#This Row],[Coushion Unit Count]]+Table113[[#This Row],[Extended Cost]],0)</f>
        <v>0</v>
      </c>
    </row>
    <row r="34" spans="1:10" x14ac:dyDescent="0.4">
      <c r="A34" s="565" t="s">
        <v>991</v>
      </c>
      <c r="B34" s="723" t="str">
        <f>IF($B$31="None","none",VLOOKUP(C2,'Grab Rail Item List'!B8:F12,2,FALSE))</f>
        <v>none</v>
      </c>
      <c r="C34" s="726" t="str">
        <f>IF(Table113[[#This Row],[Item]]="None","",VLOOKUP(B34,'Grab Rail Item List'!C:D,2,FALSE))</f>
        <v/>
      </c>
      <c r="D34" s="587"/>
      <c r="E34" s="735">
        <f>IF(Table113[[#This Row],[Item]]="None",0,VLOOKUP(Table113[[#This Row],[Item]],'Grab Rail Item List'!C:P,14,FALSE))</f>
        <v>0</v>
      </c>
      <c r="F34" s="736">
        <f>IF(Table113[[#This Row],[Item]]="None",0,VLOOKUP(Table113[[#This Row],[Item]],'Grab Rail Item List'!C:G,4,FALSE))</f>
        <v>0</v>
      </c>
      <c r="G34" s="728">
        <f t="shared" si="2"/>
        <v>0</v>
      </c>
      <c r="H34" s="737" t="str">
        <f>IF(Table113[[#This Row],[Item]]="None","",Table113[[#This Row],[Unit Count]]*$C$15)</f>
        <v/>
      </c>
      <c r="I34" s="738" t="str">
        <f>IFERROR(SUM(IF(Table113[[#This Row],[Item]]="none",0,VLOOKUP(Table113[[#This Row],[Item]],'Grab Rail Item List'!C:F,4,FALSE))*Table113[[#This Row],[Coushion Qty LF]]),"")</f>
        <v/>
      </c>
      <c r="J34" s="731">
        <f>IFERROR(Table113[[#This Row],[Coushion Unit Count]]+Table113[[#This Row],[Extended Cost]],0)</f>
        <v>0</v>
      </c>
    </row>
    <row r="35" spans="1:10" x14ac:dyDescent="0.4">
      <c r="A35" s="565" t="s">
        <v>991</v>
      </c>
      <c r="B35" s="723" t="str">
        <f>IF($B$31="None","none",VLOOKUP(C2,'Grab Rail Item List'!B13:F17,2,FALSE))</f>
        <v>none</v>
      </c>
      <c r="C35" s="726" t="str">
        <f>IF(Table113[[#This Row],[Item]]="None","",VLOOKUP(B35,'Grab Rail Item List'!C:D,2,FALSE))</f>
        <v/>
      </c>
      <c r="D35" s="587"/>
      <c r="E35" s="735">
        <f>IF(Table113[[#This Row],[Item]]="None",0,VLOOKUP(Table113[[#This Row],[Item]],'Grab Rail Item List'!C:P,14,FALSE))</f>
        <v>0</v>
      </c>
      <c r="F35" s="736">
        <f>IF(Table113[[#This Row],[Item]]="None",0,VLOOKUP(Table113[[#This Row],[Item]],'Grab Rail Item List'!C:G,4,FALSE))</f>
        <v>0</v>
      </c>
      <c r="G35" s="728">
        <f t="shared" si="2"/>
        <v>0</v>
      </c>
      <c r="H35" s="737" t="str">
        <f>IF(Table113[[#This Row],[Item]]="None","",Table113[[#This Row],[Unit Count]]*$C$15)</f>
        <v/>
      </c>
      <c r="I35" s="738" t="str">
        <f>IFERROR(SUM(IF(Table113[[#This Row],[Item]]="none",0,VLOOKUP(Table113[[#This Row],[Item]],'Grab Rail Item List'!C:F,4,FALSE))*Table113[[#This Row],[Coushion Qty LF]]),"")</f>
        <v/>
      </c>
      <c r="J35" s="731">
        <f>IFERROR(Table113[[#This Row],[Coushion Unit Count]]+Table113[[#This Row],[Extended Cost]],0)</f>
        <v>0</v>
      </c>
    </row>
    <row r="36" spans="1:10" x14ac:dyDescent="0.4">
      <c r="A36" s="565" t="s">
        <v>991</v>
      </c>
      <c r="B36" s="723" t="str">
        <f>IF($B$31="None","none",VLOOKUP($B$31,'Grab Rail Item List'!C:O,12,FALSE))</f>
        <v>none</v>
      </c>
      <c r="C36" s="726" t="str">
        <f>IF(Table113[[#This Row],[Item]]="None","",VLOOKUP(B36,'Grab Rail Item List'!C:D,2,FALSE))</f>
        <v/>
      </c>
      <c r="D36" s="587"/>
      <c r="E36" s="735">
        <f>IF(Table113[[#This Row],[Item]]="None",0,VLOOKUP(Table113[[#This Row],[Item]],'Grab Rail Item List'!C:P,14,FALSE))</f>
        <v>0</v>
      </c>
      <c r="F36" s="736">
        <f>IF(Table113[[#This Row],[Item]]="None",0,VLOOKUP(Table113[[#This Row],[Item]],'Grab Rail Item List'!C:G,4,FALSE))</f>
        <v>0</v>
      </c>
      <c r="G36" s="728">
        <f t="shared" si="2"/>
        <v>0</v>
      </c>
      <c r="H36" s="737" t="str">
        <f>IF(Table113[[#This Row],[Item]]="None","",Table113[[#This Row],[Unit Count]]*$C$15)</f>
        <v/>
      </c>
      <c r="I36" s="738" t="str">
        <f>IFERROR(SUM(IF(Table113[[#This Row],[Item]]="none",0,VLOOKUP(Table113[[#This Row],[Item]],'Grab Rail Item List'!C:F,4,FALSE))*Table113[[#This Row],[Coushion Qty LF]]),"")</f>
        <v/>
      </c>
      <c r="J36" s="731">
        <f>IFERROR(Table113[[#This Row],[Coushion Unit Count]]+Table113[[#This Row],[Extended Cost]],0)</f>
        <v>0</v>
      </c>
    </row>
    <row r="37" spans="1:10" x14ac:dyDescent="0.4">
      <c r="A37" s="700" t="s">
        <v>992</v>
      </c>
      <c r="B37" s="723" t="str">
        <f>IF($B$32="None","None",VLOOKUP($B$32,'Grab Rail Item List'!C:O,9,FALSE))</f>
        <v>SS Concrete Wedge Anchor</v>
      </c>
      <c r="C37" s="726" t="str">
        <f>IFERROR(VLOOKUP(Table113[[#This Row],[Item]],'Grab Rail Item List'!C:F,2,FALSE),"")</f>
        <v>3/8"x3-3/4" 18-8 Stainless Steel Wedge Anchor</v>
      </c>
      <c r="D37" s="587"/>
      <c r="E37" s="735">
        <f>IF(Table113[[#This Row],[Item]]="None",0,VLOOKUP(Table113[[#This Row],[Item]],'Grab Rail Item List'!C:Q,15,FALSE))</f>
        <v>0</v>
      </c>
      <c r="F37" s="736">
        <f>IF(Table113[[#This Row],[Item]]="None",0,VLOOKUP(Table113[[#This Row],[Item]],'Grab Rail Item List'!C:G,4,FALSE))</f>
        <v>2.12</v>
      </c>
      <c r="G37" s="728">
        <f t="shared" si="2"/>
        <v>0</v>
      </c>
      <c r="H37" s="737">
        <f>IF(Table113[[#This Row],[Item]]="None","",Table113[[#This Row],[Unit Count]]*$C$15)</f>
        <v>0</v>
      </c>
      <c r="I37" s="738">
        <f>IFERROR(SUM(IF(Table113[[#This Row],[Item]]="none",0,VLOOKUP(Table113[[#This Row],[Item]],'Grab Rail Item List'!C:F,4,FALSE))*Table113[[#This Row],[Coushion Qty LF]]),"")</f>
        <v>0</v>
      </c>
      <c r="J37" s="731">
        <f>IFERROR(Table113[[#This Row],[Coushion Unit Count]]+Table113[[#This Row],[Extended Cost]],0)</f>
        <v>0</v>
      </c>
    </row>
    <row r="38" spans="1:10" x14ac:dyDescent="0.4">
      <c r="A38" s="700" t="s">
        <v>992</v>
      </c>
      <c r="B38" s="723" t="str">
        <f>IFERROR(IF($B$32="Core Hole","None",IF(C5="None","None",VLOOKUP(C2,'Grab Rail Item List'!B13:F17,2,FALSE))),"")</f>
        <v>NC- Blk</v>
      </c>
      <c r="C38" s="726" t="str">
        <f>IFERROR(VLOOKUP(Table113[[#This Row],[Item]],'Grab Rail Item List'!C:F,2,FALSE),"")</f>
        <v>Nylon Bolt Cap- Black</v>
      </c>
      <c r="D38" s="587"/>
      <c r="E38" s="735">
        <f>IFERROR(IF(Table113[[#This Row],[Item]]="None",0,VLOOKUP(Table113[[#This Row],[Item]],'Grab Rail Item List'!C:Q,15,FALSE)),0)</f>
        <v>0</v>
      </c>
      <c r="F38" s="736">
        <f>IFERROR(IF(Table113[[#This Row],[Item]]="None",0,VLOOKUP(Table113[[#This Row],[Item]],'Grab Rail Item List'!C:G,4,FALSE)),0)</f>
        <v>7.1279999999999996E-2</v>
      </c>
      <c r="G38" s="728">
        <f t="shared" si="2"/>
        <v>0</v>
      </c>
      <c r="H38" s="737">
        <f>IF(Table113[[#This Row],[Item]]="None","",Table113[[#This Row],[Unit Count]]*$C$15)</f>
        <v>0</v>
      </c>
      <c r="I38" s="738">
        <f>IFERROR(SUM(IF(Table113[[#This Row],[Item]]="none",0,VLOOKUP(Table113[[#This Row],[Item]],'Grab Rail Item List'!C:F,4,FALSE))*Table113[[#This Row],[Coushion Qty LF]]),"")</f>
        <v>0</v>
      </c>
      <c r="J38" s="731">
        <f>IFERROR(Table113[[#This Row],[Coushion Unit Count]]+Table113[[#This Row],[Extended Cost]],0)</f>
        <v>0</v>
      </c>
    </row>
    <row r="39" spans="1:10" ht="29.15" x14ac:dyDescent="0.4">
      <c r="A39" s="700" t="s">
        <v>1030</v>
      </c>
      <c r="B39" s="723" t="str">
        <f>IFERROR(IF(B26="None","None",VLOOKUP(C2,'Grab Rail Item List'!B8:F12,2,FALSE)),"")</f>
        <v>SS W805X100 - Blk</v>
      </c>
      <c r="C39" s="726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87"/>
      <c r="E39" s="770">
        <f>IF(B26="None",0,E26*2)</f>
        <v>0</v>
      </c>
      <c r="F39" s="736">
        <f>IFERROR(IF(Table113[[#This Row],[Item]]="None",0,VLOOKUP(Table113[[#This Row],[Item]],'Grab Rail Item List'!C:G,4,FALSE)),0)</f>
        <v>2.8</v>
      </c>
      <c r="G39" s="728">
        <f t="shared" ref="G39" si="3">F39*E39</f>
        <v>0</v>
      </c>
      <c r="H39" s="739"/>
      <c r="I39" s="738">
        <f>IFERROR(SUM(IF(Table113[[#This Row],[Item]]="none",0,VLOOKUP(Table113[[#This Row],[Item]],'Grab Rail Item List'!C:F,4,FALSE))*Table113[[#This Row],[Coushion Qty LF]]),"")</f>
        <v>0</v>
      </c>
      <c r="J39" s="731">
        <f>IFERROR(Table113[[#This Row],[Coushion Unit Count]]+Table113[[#This Row],[Extended Cost]],0)</f>
        <v>0</v>
      </c>
    </row>
    <row r="40" spans="1:10" ht="15" thickBot="1" x14ac:dyDescent="0.45">
      <c r="A40" s="574"/>
      <c r="B40" s="401"/>
      <c r="C40" s="401"/>
      <c r="D40" s="402"/>
      <c r="E40" s="740"/>
      <c r="F40" s="741"/>
      <c r="G40" s="732">
        <f>SUM(G31:G39)</f>
        <v>0</v>
      </c>
      <c r="H40" s="740"/>
      <c r="I40" s="732">
        <f>SUM(I31:I39)</f>
        <v>0</v>
      </c>
      <c r="J40" s="732">
        <f>SUM(J31:J39)</f>
        <v>0</v>
      </c>
    </row>
    <row r="41" spans="1:10" ht="16.75" thickTop="1" thickBot="1" x14ac:dyDescent="0.5">
      <c r="A41" s="708"/>
      <c r="B41" s="708"/>
      <c r="C41" s="708"/>
      <c r="D41" s="708"/>
      <c r="E41" s="708"/>
      <c r="F41" s="708"/>
      <c r="G41" s="708"/>
      <c r="H41" s="708"/>
      <c r="I41" s="708"/>
      <c r="J41" s="708"/>
    </row>
    <row r="42" spans="1:10" ht="15" thickTop="1" x14ac:dyDescent="0.4">
      <c r="A42" s="705"/>
      <c r="B42" s="705"/>
      <c r="C42" s="705"/>
      <c r="D42" s="706"/>
      <c r="E42" s="706"/>
      <c r="F42" s="706"/>
      <c r="G42" s="706"/>
      <c r="H42" s="706"/>
      <c r="I42" s="706"/>
      <c r="J42" s="706"/>
    </row>
    <row r="43" spans="1:10" ht="29.6" x14ac:dyDescent="0.45">
      <c r="A43" s="707" t="s">
        <v>1049</v>
      </c>
      <c r="B43" s="593" t="s">
        <v>11</v>
      </c>
      <c r="C43" s="593"/>
      <c r="D43" s="584" t="s">
        <v>436</v>
      </c>
      <c r="E43" s="594" t="s">
        <v>1041</v>
      </c>
      <c r="F43" s="594" t="s">
        <v>1042</v>
      </c>
      <c r="G43" s="601" t="s">
        <v>425</v>
      </c>
      <c r="H43" s="583" t="s">
        <v>972</v>
      </c>
      <c r="I43" s="584" t="s">
        <v>973</v>
      </c>
      <c r="J43" s="583" t="s">
        <v>500</v>
      </c>
    </row>
    <row r="44" spans="1:10" x14ac:dyDescent="0.4">
      <c r="A44" s="565" t="s">
        <v>980</v>
      </c>
      <c r="B44" s="724" t="s">
        <v>965</v>
      </c>
      <c r="C44" s="724" t="s">
        <v>966</v>
      </c>
      <c r="D44" s="764">
        <f>C6*'Work Area'!G40</f>
        <v>0</v>
      </c>
      <c r="E44" s="727">
        <f>D44*'Work Area'!E40</f>
        <v>0</v>
      </c>
      <c r="F44" s="743">
        <f>'Work Area'!$D$37</f>
        <v>20.88</v>
      </c>
      <c r="G44" s="729">
        <f t="shared" ref="G44:G50" si="4">F44*E44</f>
        <v>0</v>
      </c>
      <c r="H44" s="737">
        <f t="shared" ref="H44:H50" si="5">E44*$C$15</f>
        <v>0</v>
      </c>
      <c r="I44" s="744">
        <f t="shared" ref="I44:I50" si="6">H44*F44</f>
        <v>0</v>
      </c>
      <c r="J44" s="731">
        <f t="shared" ref="J44:J50" si="7">I44+G44</f>
        <v>0</v>
      </c>
    </row>
    <row r="45" spans="1:10" x14ac:dyDescent="0.4">
      <c r="A45" s="565" t="s">
        <v>981</v>
      </c>
      <c r="B45" s="724" t="s">
        <v>965</v>
      </c>
      <c r="C45" s="724" t="s">
        <v>966</v>
      </c>
      <c r="D45" s="764">
        <f>(C10*'Work Area'!G41)*'Grab Rail'!C6</f>
        <v>0</v>
      </c>
      <c r="E45" s="727">
        <f>D45*'Work Area'!E41</f>
        <v>0</v>
      </c>
      <c r="F45" s="743">
        <f>'Work Area'!$D$37</f>
        <v>20.88</v>
      </c>
      <c r="G45" s="729">
        <f t="shared" si="4"/>
        <v>0</v>
      </c>
      <c r="H45" s="737">
        <f t="shared" si="5"/>
        <v>0</v>
      </c>
      <c r="I45" s="744">
        <f t="shared" si="6"/>
        <v>0</v>
      </c>
      <c r="J45" s="731">
        <f t="shared" si="7"/>
        <v>0</v>
      </c>
    </row>
    <row r="46" spans="1:10" x14ac:dyDescent="0.4">
      <c r="A46" s="565" t="s">
        <v>982</v>
      </c>
      <c r="B46" s="724" t="s">
        <v>965</v>
      </c>
      <c r="C46" s="724" t="s">
        <v>966</v>
      </c>
      <c r="D46" s="764">
        <f>(C11*'Work Area'!G42)*'Grab Rail'!C6</f>
        <v>0</v>
      </c>
      <c r="E46" s="727">
        <f>D46*'Work Area'!E42</f>
        <v>0</v>
      </c>
      <c r="F46" s="743">
        <f>'Work Area'!$D$37</f>
        <v>20.88</v>
      </c>
      <c r="G46" s="729">
        <f t="shared" si="4"/>
        <v>0</v>
      </c>
      <c r="H46" s="737">
        <f t="shared" si="5"/>
        <v>0</v>
      </c>
      <c r="I46" s="744">
        <f t="shared" si="6"/>
        <v>0</v>
      </c>
      <c r="J46" s="731">
        <f t="shared" si="7"/>
        <v>0</v>
      </c>
    </row>
    <row r="47" spans="1:10" x14ac:dyDescent="0.4">
      <c r="A47" s="565" t="s">
        <v>1055</v>
      </c>
      <c r="B47" s="724" t="s">
        <v>965</v>
      </c>
      <c r="C47" s="724" t="s">
        <v>966</v>
      </c>
      <c r="D47" s="764">
        <f>IF(C3="Wall",0,SUM(C9)*C8)</f>
        <v>0</v>
      </c>
      <c r="E47" s="727">
        <f>D47*'Work Area'!E43</f>
        <v>0</v>
      </c>
      <c r="F47" s="743">
        <f>'Work Area'!$D$37</f>
        <v>20.88</v>
      </c>
      <c r="G47" s="729">
        <f t="shared" si="4"/>
        <v>0</v>
      </c>
      <c r="H47" s="737">
        <f t="shared" si="5"/>
        <v>0</v>
      </c>
      <c r="I47" s="744">
        <f t="shared" si="6"/>
        <v>0</v>
      </c>
      <c r="J47" s="731">
        <f t="shared" si="7"/>
        <v>0</v>
      </c>
    </row>
    <row r="48" spans="1:10" x14ac:dyDescent="0.4">
      <c r="A48" s="565" t="s">
        <v>1056</v>
      </c>
      <c r="B48" s="724" t="s">
        <v>965</v>
      </c>
      <c r="C48" s="724" t="s">
        <v>966</v>
      </c>
      <c r="D48" s="764">
        <f>IF(C5="Core Hole",0,C9)</f>
        <v>0</v>
      </c>
      <c r="E48" s="727">
        <f>D48*'Work Area'!E44</f>
        <v>0</v>
      </c>
      <c r="F48" s="743">
        <f>'Work Area'!$D$37</f>
        <v>20.88</v>
      </c>
      <c r="G48" s="729">
        <f t="shared" si="4"/>
        <v>0</v>
      </c>
      <c r="H48" s="737">
        <f t="shared" si="5"/>
        <v>0</v>
      </c>
      <c r="I48" s="744">
        <f t="shared" si="6"/>
        <v>0</v>
      </c>
      <c r="J48" s="731">
        <f t="shared" si="7"/>
        <v>0</v>
      </c>
    </row>
    <row r="49" spans="1:10" x14ac:dyDescent="0.4">
      <c r="A49" s="565" t="s">
        <v>1057</v>
      </c>
      <c r="B49" s="724" t="s">
        <v>1054</v>
      </c>
      <c r="C49" s="724" t="s">
        <v>1058</v>
      </c>
      <c r="D49" s="764">
        <f>IF(C5="Core Hole",0,C9)</f>
        <v>0</v>
      </c>
      <c r="E49" s="727">
        <f>D49*'Work Area'!E47</f>
        <v>0</v>
      </c>
      <c r="F49" s="743">
        <f>'Work Area'!$D$37</f>
        <v>20.88</v>
      </c>
      <c r="G49" s="729">
        <f t="shared" si="4"/>
        <v>0</v>
      </c>
      <c r="H49" s="737">
        <f t="shared" si="5"/>
        <v>0</v>
      </c>
      <c r="I49" s="744">
        <f t="shared" si="6"/>
        <v>0</v>
      </c>
      <c r="J49" s="731">
        <f t="shared" si="7"/>
        <v>0</v>
      </c>
    </row>
    <row r="50" spans="1:10" x14ac:dyDescent="0.4">
      <c r="A50" s="565" t="s">
        <v>1027</v>
      </c>
      <c r="B50" s="724" t="str">
        <f>IFERROR(VLOOKUP(C2,'Grab Rail Item List'!B42:F46,2,FALSE),"")</f>
        <v>Powder Coating - Black</v>
      </c>
      <c r="C50" s="726" t="str">
        <f>IFERROR(VLOOKUP(B50,'Grab Rail Item List'!C42:F47,2,FALSE),"")</f>
        <v>Black Powder Coating Per LF</v>
      </c>
      <c r="D50" s="745"/>
      <c r="E50" s="742">
        <f>IF(B50="None",0,SUM(D24+D23+D19+D18))</f>
        <v>0</v>
      </c>
      <c r="F50" s="743">
        <f>IFERROR(VLOOKUP(B50,'Grab Rail Item List'!C42:F47,4,FALSE),)</f>
        <v>5</v>
      </c>
      <c r="G50" s="729">
        <f t="shared" si="4"/>
        <v>0</v>
      </c>
      <c r="H50" s="737">
        <f t="shared" si="5"/>
        <v>0</v>
      </c>
      <c r="I50" s="744">
        <f t="shared" si="6"/>
        <v>0</v>
      </c>
      <c r="J50" s="731">
        <f t="shared" si="7"/>
        <v>0</v>
      </c>
    </row>
    <row r="51" spans="1:10" ht="15" thickBot="1" x14ac:dyDescent="0.45">
      <c r="A51" s="574"/>
      <c r="B51" s="747"/>
      <c r="C51" s="747"/>
      <c r="D51" s="748"/>
      <c r="E51" s="740"/>
      <c r="F51" s="741"/>
      <c r="G51" s="732">
        <f>SUM(G44:G50)</f>
        <v>0</v>
      </c>
      <c r="H51" s="740"/>
      <c r="I51" s="732">
        <f>SUM(I44:I50)</f>
        <v>0</v>
      </c>
      <c r="J51" s="732">
        <f>SUM(J44:J50)</f>
        <v>0</v>
      </c>
    </row>
    <row r="52" spans="1:10" ht="15" thickTop="1" x14ac:dyDescent="0.4"/>
    <row r="54" spans="1:10" ht="15" thickBot="1" x14ac:dyDescent="0.45">
      <c r="A54" s="574" t="s">
        <v>979</v>
      </c>
      <c r="B54" s="401"/>
      <c r="C54" s="401"/>
      <c r="D54" s="402"/>
      <c r="E54" s="400"/>
      <c r="F54" s="577"/>
      <c r="G54" s="399"/>
      <c r="H54" s="400"/>
      <c r="I54" s="577"/>
      <c r="J54" s="732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33" priority="30" operator="containsText" text="none">
      <formula>NOT(ISERROR(SEARCH("none",B33)))</formula>
    </cfRule>
  </conditionalFormatting>
  <conditionalFormatting sqref="E27">
    <cfRule type="expression" dxfId="32" priority="38">
      <formula>(E27-#REF!)&lt;&gt;0</formula>
    </cfRule>
  </conditionalFormatting>
  <conditionalFormatting sqref="B44:B46 B49:B50">
    <cfRule type="containsText" dxfId="31" priority="17" operator="containsText" text="none">
      <formula>NOT(ISERROR(SEARCH("none",B44)))</formula>
    </cfRule>
  </conditionalFormatting>
  <conditionalFormatting sqref="B31">
    <cfRule type="containsText" dxfId="30" priority="12" operator="containsText" text="none">
      <formula>NOT(ISERROR(SEARCH("none",B31)))</formula>
    </cfRule>
  </conditionalFormatting>
  <conditionalFormatting sqref="B32:B36">
    <cfRule type="containsText" dxfId="29" priority="10" operator="containsText" text="none">
      <formula>NOT(ISERROR(SEARCH("none",B32)))</formula>
    </cfRule>
  </conditionalFormatting>
  <conditionalFormatting sqref="B39">
    <cfRule type="containsText" dxfId="28" priority="9" operator="containsText" text="none">
      <formula>NOT(ISERROR(SEARCH("none",B39)))</formula>
    </cfRule>
  </conditionalFormatting>
  <conditionalFormatting sqref="B24">
    <cfRule type="containsText" dxfId="27" priority="8" operator="containsText" text="none">
      <formula>NOT(ISERROR(SEARCH("none",B24)))</formula>
    </cfRule>
  </conditionalFormatting>
  <conditionalFormatting sqref="B23">
    <cfRule type="containsText" dxfId="26" priority="6" operator="containsText" text="none">
      <formula>NOT(ISERROR(SEARCH("none",B23)))</formula>
    </cfRule>
  </conditionalFormatting>
  <conditionalFormatting sqref="B18:B19">
    <cfRule type="containsText" dxfId="25" priority="5" operator="containsText" text="none">
      <formula>NOT(ISERROR(SEARCH("none",B18)))</formula>
    </cfRule>
  </conditionalFormatting>
  <conditionalFormatting sqref="B26">
    <cfRule type="containsText" dxfId="24" priority="4" operator="containsText" text="none">
      <formula>NOT(ISERROR(SEARCH("none",B26)))</formula>
    </cfRule>
  </conditionalFormatting>
  <conditionalFormatting sqref="B25">
    <cfRule type="containsText" dxfId="23" priority="3" operator="containsText" text="none">
      <formula>NOT(ISERROR(SEARCH("none",B25)))</formula>
    </cfRule>
  </conditionalFormatting>
  <conditionalFormatting sqref="B47">
    <cfRule type="containsText" dxfId="22" priority="2" operator="containsText" text="none">
      <formula>NOT(ISERROR(SEARCH("none",B47)))</formula>
    </cfRule>
  </conditionalFormatting>
  <conditionalFormatting sqref="B48">
    <cfRule type="containsText" dxfId="21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2" customWidth="1"/>
    <col min="2" max="2" width="35.15234375" style="84" customWidth="1"/>
    <col min="3" max="6" width="17" style="82" bestFit="1" customWidth="1"/>
    <col min="7" max="7" width="17" style="82" customWidth="1"/>
    <col min="8" max="8" width="14.84375" style="82" customWidth="1"/>
    <col min="9" max="9" width="9" style="82" customWidth="1"/>
    <col min="10" max="10" width="15.3046875" style="82" customWidth="1"/>
    <col min="11" max="11" width="11.53515625" style="82" bestFit="1" customWidth="1"/>
    <col min="12" max="12" width="13.3046875" style="82" customWidth="1"/>
    <col min="13" max="13" width="11.53515625" style="82" bestFit="1" customWidth="1"/>
    <col min="14" max="14" width="13.69140625" style="82" customWidth="1"/>
    <col min="15" max="15" width="12.53515625" style="82" bestFit="1" customWidth="1"/>
    <col min="16" max="16" width="11.53515625" style="82" bestFit="1" customWidth="1"/>
    <col min="17" max="20" width="8.84375" style="82"/>
    <col min="21" max="21" width="11.53515625" style="82" bestFit="1" customWidth="1"/>
    <col min="22" max="16384" width="8.84375" style="82"/>
  </cols>
  <sheetData>
    <row r="1" spans="1:37" ht="31.5" customHeight="1" x14ac:dyDescent="0.4">
      <c r="A1" s="1161" t="s">
        <v>909</v>
      </c>
      <c r="B1" s="405" t="s">
        <v>740</v>
      </c>
      <c r="C1" s="1160" t="str">
        <f>IF('Project Materials'!I2="","",'Project Materials'!I2)</f>
        <v/>
      </c>
      <c r="D1" s="1160"/>
      <c r="E1" s="1160"/>
      <c r="F1" s="1160"/>
      <c r="G1" s="780"/>
      <c r="H1" s="1164" t="s">
        <v>739</v>
      </c>
      <c r="I1" s="1164"/>
      <c r="J1" s="1164"/>
      <c r="K1" s="1160" t="str">
        <f>IF('Project Materials'!S2="","",'Project Materials'!S2)</f>
        <v/>
      </c>
      <c r="L1" s="1160"/>
      <c r="M1" s="1160"/>
      <c r="N1" s="1160"/>
      <c r="O1" s="406"/>
      <c r="P1" s="406"/>
      <c r="Q1" s="406"/>
      <c r="R1" s="406"/>
      <c r="S1" s="406"/>
      <c r="T1" s="406"/>
      <c r="U1" s="406"/>
      <c r="V1" s="406"/>
      <c r="W1" s="406"/>
      <c r="X1" s="406"/>
      <c r="Y1" s="406"/>
      <c r="Z1" s="406"/>
      <c r="AA1" s="406"/>
      <c r="AB1" s="406"/>
      <c r="AC1" s="406"/>
      <c r="AD1" s="406"/>
      <c r="AE1" s="406"/>
      <c r="AF1" s="406"/>
      <c r="AG1" s="406"/>
      <c r="AH1" s="406"/>
      <c r="AI1" s="406"/>
      <c r="AJ1" s="406"/>
      <c r="AK1" s="406"/>
    </row>
    <row r="2" spans="1:37" ht="15.9" thickBot="1" x14ac:dyDescent="0.45">
      <c r="A2" s="1162"/>
      <c r="B2" s="407"/>
      <c r="C2" s="406"/>
      <c r="D2" s="406"/>
      <c r="E2" s="406"/>
      <c r="F2" s="406"/>
      <c r="G2" s="406"/>
      <c r="H2" s="406"/>
      <c r="I2" s="406"/>
      <c r="J2" s="406"/>
      <c r="K2" s="406"/>
      <c r="L2" s="406"/>
      <c r="M2" s="406"/>
      <c r="N2" s="406"/>
      <c r="O2" s="406" t="s">
        <v>9</v>
      </c>
      <c r="P2" s="406"/>
      <c r="Q2" s="406"/>
      <c r="R2" s="406"/>
      <c r="S2" s="406"/>
      <c r="T2" s="406"/>
      <c r="U2" s="406"/>
      <c r="V2" s="406"/>
      <c r="W2" s="406"/>
      <c r="X2" s="406"/>
      <c r="Y2" s="406"/>
      <c r="Z2" s="406"/>
      <c r="AA2" s="406"/>
      <c r="AB2" s="406"/>
      <c r="AC2" s="406"/>
      <c r="AD2" s="406"/>
      <c r="AE2" s="406"/>
      <c r="AF2" s="406"/>
      <c r="AG2" s="406"/>
      <c r="AH2" s="406"/>
      <c r="AI2" s="406"/>
      <c r="AJ2" s="406"/>
      <c r="AK2" s="406"/>
    </row>
    <row r="3" spans="1:37" ht="15.45" x14ac:dyDescent="0.4">
      <c r="A3" s="406"/>
      <c r="B3" s="408" t="s">
        <v>899</v>
      </c>
      <c r="C3" s="409">
        <v>1</v>
      </c>
      <c r="D3" s="409">
        <v>2</v>
      </c>
      <c r="E3" s="409">
        <v>3</v>
      </c>
      <c r="F3" s="410">
        <v>4</v>
      </c>
      <c r="G3" s="781"/>
      <c r="H3" s="406"/>
      <c r="I3" s="406"/>
      <c r="J3" s="1138" t="s">
        <v>897</v>
      </c>
      <c r="K3" s="1139"/>
      <c r="L3" s="1139"/>
      <c r="M3" s="1139"/>
      <c r="N3" s="1140"/>
      <c r="P3" s="411"/>
      <c r="Q3" s="411"/>
      <c r="R3" s="406"/>
      <c r="S3" s="406"/>
      <c r="T3" s="406"/>
      <c r="U3" s="406"/>
      <c r="V3" s="406"/>
      <c r="W3" s="406"/>
      <c r="X3" s="406"/>
      <c r="Y3" s="406"/>
      <c r="Z3" s="406"/>
      <c r="AA3" s="406"/>
      <c r="AB3" s="406"/>
      <c r="AC3" s="406"/>
    </row>
    <row r="4" spans="1:37" ht="30" customHeight="1" x14ac:dyDescent="0.5">
      <c r="A4" s="406"/>
      <c r="B4" s="412" t="s">
        <v>731</v>
      </c>
      <c r="C4" s="413" t="s">
        <v>730</v>
      </c>
      <c r="D4" s="413" t="s">
        <v>729</v>
      </c>
      <c r="E4" s="413" t="s">
        <v>728</v>
      </c>
      <c r="F4" s="414" t="s">
        <v>727</v>
      </c>
      <c r="G4" s="413"/>
      <c r="H4" s="406"/>
      <c r="I4" s="843">
        <v>10</v>
      </c>
      <c r="J4" s="845">
        <f>IF(K4="Yes", MAX(P20,P21),0)</f>
        <v>3000</v>
      </c>
      <c r="K4" s="844" t="s">
        <v>419</v>
      </c>
      <c r="L4" s="1154" t="s">
        <v>925</v>
      </c>
      <c r="M4" s="1154"/>
      <c r="N4" s="1155"/>
      <c r="P4" s="411"/>
      <c r="Q4" s="411"/>
      <c r="R4" s="406"/>
      <c r="S4" s="406"/>
      <c r="T4" s="406"/>
      <c r="U4" s="406"/>
      <c r="V4" s="406"/>
      <c r="W4" s="406"/>
      <c r="X4" s="406"/>
      <c r="Y4" s="406"/>
      <c r="Z4" s="406"/>
      <c r="AA4" s="406"/>
      <c r="AB4" s="406"/>
      <c r="AC4" s="406"/>
    </row>
    <row r="5" spans="1:37" ht="15.45" x14ac:dyDescent="0.4">
      <c r="A5" s="406"/>
      <c r="B5" s="416" t="s">
        <v>726</v>
      </c>
      <c r="C5" s="417">
        <v>0</v>
      </c>
      <c r="D5" s="417">
        <v>0.05</v>
      </c>
      <c r="E5" s="417">
        <v>0.1</v>
      </c>
      <c r="F5" s="418">
        <v>0.15</v>
      </c>
      <c r="G5" s="417"/>
      <c r="H5" s="406"/>
      <c r="I5" s="406"/>
      <c r="J5" s="846">
        <v>0</v>
      </c>
      <c r="K5" s="1141" t="s">
        <v>906</v>
      </c>
      <c r="L5" s="1141"/>
      <c r="M5" s="1141"/>
      <c r="N5" s="1142"/>
      <c r="O5" s="406"/>
      <c r="P5" s="406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</row>
    <row r="6" spans="1:37" ht="15.45" x14ac:dyDescent="0.4">
      <c r="A6" s="406"/>
      <c r="B6" s="416" t="s">
        <v>879</v>
      </c>
      <c r="C6" s="417">
        <v>0</v>
      </c>
      <c r="D6" s="419">
        <v>2.5000000000000001E-2</v>
      </c>
      <c r="E6" s="417">
        <v>0.05</v>
      </c>
      <c r="F6" s="420">
        <v>7.4999999999999997E-2</v>
      </c>
      <c r="G6" s="419"/>
      <c r="H6" s="406"/>
      <c r="I6" s="406"/>
      <c r="J6" s="847">
        <f>+L26</f>
        <v>1225.3599999999999</v>
      </c>
      <c r="K6" s="1141" t="s">
        <v>1119</v>
      </c>
      <c r="L6" s="1141"/>
      <c r="M6" s="1141"/>
      <c r="N6" s="1142"/>
      <c r="O6" s="406"/>
      <c r="P6" s="406"/>
      <c r="Q6" s="406"/>
      <c r="R6" s="406"/>
      <c r="S6" s="406"/>
      <c r="T6" s="406"/>
      <c r="U6" s="406"/>
      <c r="V6" s="406"/>
      <c r="W6" s="406"/>
      <c r="X6" s="406"/>
      <c r="Y6" s="406"/>
      <c r="Z6" s="406"/>
      <c r="AA6" s="406"/>
      <c r="AB6" s="406"/>
      <c r="AC6" s="406"/>
      <c r="AD6" s="406"/>
      <c r="AE6" s="406"/>
      <c r="AF6" s="406"/>
      <c r="AG6" s="406"/>
      <c r="AH6" s="406"/>
      <c r="AI6" s="406"/>
      <c r="AJ6" s="406"/>
      <c r="AK6" s="406"/>
    </row>
    <row r="7" spans="1:37" ht="22.75" thickBot="1" x14ac:dyDescent="0.55000000000000004">
      <c r="A7" s="415" t="s">
        <v>913</v>
      </c>
      <c r="B7" s="422" t="s">
        <v>900</v>
      </c>
      <c r="C7" s="510">
        <v>1</v>
      </c>
      <c r="D7" s="1156" t="s">
        <v>903</v>
      </c>
      <c r="E7" s="1156"/>
      <c r="F7" s="1157"/>
      <c r="G7" s="776"/>
      <c r="H7" s="406"/>
      <c r="I7" s="406"/>
      <c r="J7" s="848"/>
      <c r="K7" s="458"/>
      <c r="L7" s="458"/>
      <c r="M7" s="458"/>
      <c r="N7" s="428"/>
      <c r="O7" s="406"/>
      <c r="P7" s="406"/>
      <c r="Q7" s="406"/>
      <c r="R7" s="406"/>
      <c r="S7" s="406"/>
      <c r="T7" s="406"/>
      <c r="U7" s="406"/>
      <c r="V7" s="406"/>
      <c r="W7" s="406"/>
      <c r="X7" s="406"/>
      <c r="Y7" s="406"/>
      <c r="Z7" s="406"/>
      <c r="AA7" s="406"/>
      <c r="AB7" s="406"/>
      <c r="AC7" s="406"/>
      <c r="AD7" s="406"/>
      <c r="AE7" s="406"/>
      <c r="AF7" s="406"/>
      <c r="AG7" s="406"/>
      <c r="AH7" s="406"/>
      <c r="AI7" s="406"/>
      <c r="AJ7" s="406"/>
      <c r="AK7" s="406"/>
    </row>
    <row r="8" spans="1:37" ht="15.9" thickBot="1" x14ac:dyDescent="0.45">
      <c r="A8" s="406"/>
      <c r="B8" s="407"/>
      <c r="C8" s="406"/>
      <c r="D8" s="406"/>
      <c r="E8" s="406"/>
      <c r="F8" s="406"/>
      <c r="G8" s="406"/>
      <c r="H8" s="406"/>
      <c r="I8" s="406"/>
      <c r="J8" s="421">
        <f>SUM(J4:J6)</f>
        <v>4225.3599999999997</v>
      </c>
      <c r="K8" s="1156" t="s">
        <v>898</v>
      </c>
      <c r="L8" s="1156"/>
      <c r="M8" s="1156"/>
      <c r="N8" s="1157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406"/>
      <c r="AJ8" s="406"/>
      <c r="AK8" s="406"/>
    </row>
    <row r="9" spans="1:37" ht="15.45" x14ac:dyDescent="0.4">
      <c r="A9" s="406"/>
      <c r="B9" s="423"/>
      <c r="C9" s="424" t="s">
        <v>725</v>
      </c>
      <c r="D9" s="424" t="s">
        <v>724</v>
      </c>
      <c r="E9" s="424" t="s">
        <v>723</v>
      </c>
      <c r="F9" s="425"/>
      <c r="G9" s="458"/>
      <c r="H9" s="406"/>
      <c r="I9" s="406"/>
      <c r="M9" s="406"/>
      <c r="N9" s="406"/>
      <c r="O9" s="406"/>
      <c r="P9" s="406"/>
      <c r="Q9" s="406"/>
      <c r="R9" s="406"/>
      <c r="S9" s="406"/>
      <c r="T9" s="406"/>
      <c r="U9" s="406"/>
      <c r="V9" s="406"/>
      <c r="W9" s="406"/>
      <c r="X9" s="406"/>
      <c r="Y9" s="406"/>
      <c r="Z9" s="406"/>
      <c r="AA9" s="406"/>
      <c r="AB9" s="406"/>
      <c r="AC9" s="406"/>
      <c r="AD9" s="406"/>
      <c r="AE9" s="406"/>
      <c r="AF9" s="406"/>
      <c r="AG9" s="406"/>
      <c r="AH9" s="406"/>
      <c r="AI9" s="406"/>
      <c r="AJ9" s="406"/>
      <c r="AK9" s="406"/>
    </row>
    <row r="10" spans="1:37" ht="15.45" x14ac:dyDescent="0.4">
      <c r="A10" s="406"/>
      <c r="B10" s="426" t="s">
        <v>722</v>
      </c>
      <c r="C10" s="427">
        <v>1</v>
      </c>
      <c r="D10" s="427">
        <v>2</v>
      </c>
      <c r="E10" s="427">
        <v>3</v>
      </c>
      <c r="F10" s="428"/>
      <c r="G10" s="458"/>
      <c r="H10" s="406"/>
      <c r="I10" s="406"/>
      <c r="J10" s="502" t="s">
        <v>1103</v>
      </c>
      <c r="K10" s="502"/>
      <c r="L10" s="502"/>
      <c r="M10" s="406" t="s">
        <v>9</v>
      </c>
      <c r="N10" s="406"/>
      <c r="O10" s="406"/>
      <c r="P10" s="406"/>
      <c r="Q10" s="406"/>
      <c r="R10" s="406"/>
      <c r="S10" s="406"/>
      <c r="T10" s="406"/>
      <c r="U10" s="406"/>
      <c r="V10" s="406"/>
      <c r="W10" s="406"/>
      <c r="X10" s="406"/>
      <c r="Y10" s="406"/>
      <c r="Z10" s="406"/>
      <c r="AA10" s="406"/>
      <c r="AB10" s="406"/>
      <c r="AC10" s="406"/>
      <c r="AD10" s="406"/>
      <c r="AE10" s="406"/>
      <c r="AF10" s="406"/>
      <c r="AG10" s="406"/>
      <c r="AH10" s="406"/>
      <c r="AI10" s="406"/>
      <c r="AJ10" s="406"/>
      <c r="AK10" s="406"/>
    </row>
    <row r="11" spans="1:37" ht="22.75" thickBot="1" x14ac:dyDescent="0.55000000000000004">
      <c r="A11" s="415" t="s">
        <v>918</v>
      </c>
      <c r="B11" s="422" t="s">
        <v>721</v>
      </c>
      <c r="C11" s="510">
        <v>1</v>
      </c>
      <c r="D11" s="1156" t="s">
        <v>902</v>
      </c>
      <c r="E11" s="1156"/>
      <c r="F11" s="1157"/>
      <c r="G11" s="776"/>
      <c r="H11" s="406"/>
      <c r="I11" s="406"/>
      <c r="J11" s="836" t="s">
        <v>1110</v>
      </c>
      <c r="K11" s="406"/>
      <c r="L11" s="406"/>
      <c r="M11" s="406"/>
      <c r="N11" s="406"/>
      <c r="O11" s="406"/>
      <c r="P11" s="406"/>
      <c r="Q11" s="406"/>
      <c r="R11" s="406"/>
      <c r="S11" s="406"/>
      <c r="T11" s="406"/>
      <c r="U11" s="406"/>
      <c r="V11" s="406"/>
      <c r="W11" s="406"/>
      <c r="X11" s="406"/>
      <c r="Y11" s="406"/>
      <c r="Z11" s="406"/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  <c r="AK11" s="406"/>
    </row>
    <row r="12" spans="1:37" ht="15.9" thickBot="1" x14ac:dyDescent="0.45">
      <c r="A12" s="406"/>
      <c r="B12" s="429"/>
      <c r="C12" s="430"/>
      <c r="D12" s="431"/>
      <c r="E12" s="431"/>
      <c r="F12" s="431"/>
      <c r="G12" s="431"/>
      <c r="H12" s="406"/>
      <c r="I12" s="406"/>
      <c r="J12" s="406" t="s">
        <v>1104</v>
      </c>
      <c r="K12" s="840">
        <v>1200</v>
      </c>
      <c r="L12" s="406"/>
      <c r="M12" s="406"/>
      <c r="N12" s="406"/>
      <c r="O12" s="406"/>
      <c r="P12" s="406"/>
      <c r="Q12" s="406"/>
      <c r="R12" s="406"/>
      <c r="S12" s="406"/>
      <c r="T12" s="406"/>
      <c r="U12" s="406"/>
      <c r="V12" s="406"/>
      <c r="W12" s="406"/>
      <c r="X12" s="406"/>
      <c r="Y12" s="406"/>
      <c r="Z12" s="406"/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  <c r="AK12" s="406"/>
    </row>
    <row r="13" spans="1:37" ht="15.45" x14ac:dyDescent="0.4">
      <c r="A13" s="406"/>
      <c r="B13" s="1150" t="s">
        <v>908</v>
      </c>
      <c r="C13" s="1151"/>
      <c r="D13" s="1151"/>
      <c r="E13" s="1151"/>
      <c r="F13" s="1152"/>
      <c r="G13" s="798"/>
      <c r="H13" s="406"/>
      <c r="I13" s="406"/>
      <c r="J13" s="406" t="s">
        <v>1105</v>
      </c>
      <c r="K13" s="840">
        <v>3000</v>
      </c>
      <c r="L13" s="406"/>
      <c r="M13" s="406"/>
      <c r="N13" s="406"/>
      <c r="O13" s="406"/>
      <c r="P13" s="406"/>
      <c r="Q13" s="406"/>
      <c r="R13" s="406"/>
      <c r="S13" s="406"/>
      <c r="T13" s="406"/>
      <c r="U13" s="406"/>
      <c r="V13" s="406"/>
      <c r="W13" s="406"/>
      <c r="X13" s="406"/>
      <c r="Y13" s="406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  <c r="AK13" s="406"/>
    </row>
    <row r="14" spans="1:37" ht="22.3" x14ac:dyDescent="0.5">
      <c r="A14" s="415" t="s">
        <v>919</v>
      </c>
      <c r="B14" s="432" t="s">
        <v>904</v>
      </c>
      <c r="C14" s="510" t="s">
        <v>420</v>
      </c>
      <c r="D14" s="1149" t="s">
        <v>905</v>
      </c>
      <c r="E14" s="1149"/>
      <c r="F14" s="433"/>
      <c r="G14" s="438"/>
      <c r="H14" s="406"/>
      <c r="I14" s="406"/>
      <c r="J14" s="406" t="s">
        <v>1106</v>
      </c>
      <c r="K14" s="840">
        <v>8400</v>
      </c>
      <c r="L14" s="406"/>
      <c r="M14" s="406"/>
      <c r="N14" s="406"/>
      <c r="O14" s="406"/>
      <c r="P14" s="406"/>
      <c r="Q14" s="406"/>
      <c r="R14" s="406"/>
      <c r="S14" s="406"/>
      <c r="T14" s="406"/>
      <c r="U14" s="406"/>
      <c r="V14" s="406"/>
      <c r="W14" s="406"/>
      <c r="X14" s="406"/>
      <c r="Y14" s="406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  <c r="AK14" s="406"/>
    </row>
    <row r="15" spans="1:37" ht="15.9" thickBot="1" x14ac:dyDescent="0.45">
      <c r="A15" s="406"/>
      <c r="B15" s="434"/>
      <c r="C15" s="435"/>
      <c r="D15" s="435"/>
      <c r="E15" s="435"/>
      <c r="F15" s="436"/>
      <c r="G15" s="438"/>
      <c r="H15" s="406"/>
      <c r="I15" s="406"/>
      <c r="J15" s="406" t="s">
        <v>9</v>
      </c>
      <c r="K15" s="830"/>
      <c r="L15" s="406"/>
      <c r="Q15" s="406"/>
      <c r="R15" s="406"/>
      <c r="S15" s="406"/>
      <c r="T15" s="406"/>
      <c r="U15" s="406"/>
      <c r="V15" s="406"/>
      <c r="W15" s="406"/>
      <c r="X15" s="406"/>
      <c r="Y15" s="406"/>
      <c r="Z15" s="406"/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  <c r="AK15" s="406"/>
    </row>
    <row r="16" spans="1:37" ht="15.75" customHeight="1" x14ac:dyDescent="0.4">
      <c r="A16" s="406"/>
      <c r="B16" s="432"/>
      <c r="C16" s="437"/>
      <c r="D16" s="437"/>
      <c r="E16" s="437"/>
      <c r="F16" s="438"/>
      <c r="G16" s="438"/>
      <c r="H16" s="406"/>
      <c r="I16" s="406"/>
      <c r="J16" s="406" t="s">
        <v>1108</v>
      </c>
      <c r="K16" s="834">
        <v>4.2500000000000003E-2</v>
      </c>
      <c r="L16" s="406"/>
      <c r="Q16" s="406"/>
      <c r="R16" s="406"/>
      <c r="S16" s="406"/>
      <c r="T16" s="406"/>
      <c r="U16" s="406"/>
      <c r="V16" s="406"/>
      <c r="W16" s="406"/>
      <c r="X16" s="406"/>
      <c r="Y16" s="406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  <c r="AK16" s="406"/>
    </row>
    <row r="17" spans="1:37" ht="15.45" x14ac:dyDescent="0.4">
      <c r="A17" s="406"/>
      <c r="B17" s="439"/>
      <c r="C17" s="430"/>
      <c r="D17" s="438"/>
      <c r="E17" s="438"/>
      <c r="F17" s="438"/>
      <c r="G17" s="438"/>
      <c r="H17" s="406"/>
      <c r="I17" s="406"/>
      <c r="Q17" s="406"/>
      <c r="R17" s="406"/>
      <c r="S17" s="406"/>
      <c r="T17" s="406"/>
      <c r="U17" s="406"/>
      <c r="V17" s="406"/>
      <c r="W17" s="406"/>
      <c r="X17" s="406"/>
      <c r="Y17" s="406"/>
      <c r="Z17" s="406"/>
      <c r="AA17" s="406"/>
      <c r="AB17" s="406"/>
      <c r="AC17" s="406"/>
      <c r="AD17" s="406"/>
      <c r="AE17" s="406"/>
      <c r="AF17" s="406"/>
      <c r="AG17" s="406"/>
      <c r="AH17" s="406"/>
      <c r="AI17" s="406"/>
      <c r="AJ17" s="406"/>
      <c r="AK17" s="406"/>
    </row>
    <row r="18" spans="1:37" ht="15.45" x14ac:dyDescent="0.4">
      <c r="A18" s="406"/>
      <c r="B18" s="440"/>
      <c r="C18" s="441"/>
      <c r="D18" s="442"/>
      <c r="E18" s="442"/>
      <c r="F18" s="442"/>
      <c r="G18" s="442"/>
      <c r="H18" s="442"/>
      <c r="I18" s="443"/>
      <c r="K18" s="833" t="str">
        <f>+C19</f>
        <v/>
      </c>
      <c r="L18" s="833" t="str">
        <f>+D19</f>
        <v/>
      </c>
      <c r="M18" s="833" t="str">
        <f>+E19</f>
        <v/>
      </c>
      <c r="N18" s="833" t="str">
        <f>+F19</f>
        <v/>
      </c>
      <c r="O18" s="833" t="str">
        <f>+G19</f>
        <v>Grab Rail</v>
      </c>
      <c r="P18" s="406" t="s">
        <v>367</v>
      </c>
      <c r="Q18" s="832" t="s">
        <v>9</v>
      </c>
      <c r="R18" s="406"/>
      <c r="S18" s="406"/>
      <c r="T18" s="406"/>
      <c r="U18" s="406"/>
      <c r="V18" s="406"/>
      <c r="W18" s="406"/>
      <c r="X18" s="406"/>
      <c r="Y18" s="406"/>
      <c r="Z18" s="406"/>
      <c r="AA18" s="406"/>
      <c r="AB18" s="406"/>
      <c r="AC18" s="406"/>
      <c r="AD18" s="406"/>
      <c r="AE18" s="406"/>
      <c r="AF18" s="406"/>
      <c r="AG18" s="406"/>
      <c r="AH18" s="406"/>
      <c r="AI18" s="406"/>
      <c r="AJ18" s="406"/>
      <c r="AK18" s="406"/>
    </row>
    <row r="19" spans="1:37" ht="15.45" x14ac:dyDescent="0.4">
      <c r="A19" s="406"/>
      <c r="B19" s="1159" t="s">
        <v>738</v>
      </c>
      <c r="C19" s="1158" t="str">
        <f>IF('Project Materials'!C25="","",'Project Materials'!C25)</f>
        <v/>
      </c>
      <c r="D19" s="1153" t="str">
        <f>IF('Project Materials'!C26="","",'Project Materials'!C26)</f>
        <v/>
      </c>
      <c r="E19" s="1158" t="str">
        <f>IF('Project Materials'!C27="","",'Project Materials'!C27)</f>
        <v/>
      </c>
      <c r="F19" s="1153" t="str">
        <f>IF('Project Materials'!C28="","",'Project Materials'!C28)</f>
        <v/>
      </c>
      <c r="G19" s="782" t="s">
        <v>953</v>
      </c>
      <c r="H19" s="1163" t="s">
        <v>367</v>
      </c>
      <c r="I19" s="443"/>
      <c r="J19" s="406" t="s">
        <v>1107</v>
      </c>
      <c r="K19" s="830">
        <f>+'Estimate Total'!O11</f>
        <v>0</v>
      </c>
      <c r="L19" s="830">
        <f>+'Estimate Total'!P11</f>
        <v>0</v>
      </c>
      <c r="M19" s="830">
        <f>+'Estimate Total'!Q11</f>
        <v>0</v>
      </c>
      <c r="N19" s="830">
        <f>+'Estimate Total'!R11</f>
        <v>0</v>
      </c>
      <c r="O19" s="830">
        <f>+'Estimate Total'!S11</f>
        <v>0</v>
      </c>
      <c r="P19" s="508">
        <f>SUM(K19:O19)</f>
        <v>0</v>
      </c>
      <c r="Q19" s="406"/>
      <c r="R19" s="406"/>
      <c r="S19" s="406"/>
      <c r="T19" s="406"/>
      <c r="U19" s="406"/>
      <c r="V19" s="406"/>
      <c r="W19" s="406"/>
    </row>
    <row r="20" spans="1:37" ht="15.45" x14ac:dyDescent="0.4">
      <c r="A20" s="406"/>
      <c r="B20" s="1159"/>
      <c r="C20" s="1158"/>
      <c r="D20" s="1153"/>
      <c r="E20" s="1158"/>
      <c r="F20" s="1153"/>
      <c r="G20" s="782"/>
      <c r="H20" s="1163"/>
      <c r="I20" s="443"/>
      <c r="J20" s="406" t="s">
        <v>1111</v>
      </c>
      <c r="K20" s="830">
        <f>IF($P$19=0,0,+ROUND(K19/$P$19*$P$20,0))</f>
        <v>0</v>
      </c>
      <c r="L20" s="830">
        <f>IF($P$19=0,0,+ROUND(L19/$P$19*$P$20,0))</f>
        <v>0</v>
      </c>
      <c r="M20" s="830">
        <f>IF($P$19=0,0,+ROUND(M19/$P$19*$P$20,0))</f>
        <v>0</v>
      </c>
      <c r="N20" s="830">
        <f>IF($P$19=0,0,+ROUND(N19/$P$19*$P$20,0))</f>
        <v>0</v>
      </c>
      <c r="O20" s="830">
        <f>IF($P$19=0,0,+ROUND(O19/$P$19*$P$20,0))</f>
        <v>0</v>
      </c>
      <c r="P20" s="508">
        <f>+ROUND($K$16*P19,0)</f>
        <v>0</v>
      </c>
      <c r="Q20" s="406"/>
      <c r="R20" s="406"/>
      <c r="S20" s="406"/>
      <c r="T20" s="406"/>
      <c r="U20" s="406"/>
      <c r="V20" s="406"/>
      <c r="W20" s="406"/>
    </row>
    <row r="21" spans="1:37" s="450" customFormat="1" ht="15.45" x14ac:dyDescent="0.4">
      <c r="A21" s="444"/>
      <c r="B21" s="445" t="s">
        <v>737</v>
      </c>
      <c r="C21" s="446">
        <f>'Project Materials'!O25</f>
        <v>0</v>
      </c>
      <c r="D21" s="446">
        <f>'Project Materials'!O26</f>
        <v>0</v>
      </c>
      <c r="E21" s="446">
        <f>'Project Materials'!O27</f>
        <v>0</v>
      </c>
      <c r="F21" s="447">
        <f>'Project Materials'!O28</f>
        <v>0</v>
      </c>
      <c r="G21" s="447">
        <f>'Grab Rail'!C7</f>
        <v>0</v>
      </c>
      <c r="H21" s="448"/>
      <c r="I21" s="449"/>
      <c r="J21" s="406" t="s">
        <v>1120</v>
      </c>
      <c r="K21" s="831">
        <f>IF($P$19=0,0,+ROUND(K19/$P$19*$P$21,0))</f>
        <v>0</v>
      </c>
      <c r="L21" s="831">
        <f>IF($P$19=0,0,+ROUND(L19/$P$19*$P$21,0))</f>
        <v>0</v>
      </c>
      <c r="M21" s="831">
        <f>IF($P$19=0,0,+ROUND(M19/$P$19*$P$21,0))</f>
        <v>0</v>
      </c>
      <c r="N21" s="831">
        <f>IF($P$19=0,0,+ROUND(N19/$P$19*$P$21,0))</f>
        <v>0</v>
      </c>
      <c r="O21" s="831">
        <f>IF($P$19=0,0,+ROUND(O19/$P$19*$P$21,0))</f>
        <v>0</v>
      </c>
      <c r="P21" s="849">
        <f>+K13</f>
        <v>3000</v>
      </c>
      <c r="Q21" s="444"/>
      <c r="R21" s="444"/>
      <c r="S21" s="444"/>
      <c r="T21" s="444"/>
      <c r="U21" s="444"/>
      <c r="V21" s="444"/>
      <c r="W21" s="444"/>
    </row>
    <row r="22" spans="1:37" s="450" customFormat="1" ht="15.9" thickBot="1" x14ac:dyDescent="0.45">
      <c r="A22" s="444"/>
      <c r="B22" s="445" t="s">
        <v>428</v>
      </c>
      <c r="C22" s="451">
        <f>'Project Materials'!P25</f>
        <v>0</v>
      </c>
      <c r="D22" s="451">
        <f>'Project Materials'!P26</f>
        <v>0</v>
      </c>
      <c r="E22" s="451">
        <f>'Project Materials'!P27</f>
        <v>0</v>
      </c>
      <c r="F22" s="452">
        <f>'Project Materials'!P28</f>
        <v>0</v>
      </c>
      <c r="G22" s="452">
        <f>'Grab Rail'!C6</f>
        <v>0</v>
      </c>
      <c r="H22" s="453">
        <f>SUM(C22:G22)</f>
        <v>0</v>
      </c>
      <c r="I22" s="449"/>
      <c r="O22" s="444"/>
      <c r="P22" s="444"/>
      <c r="Q22" s="444"/>
      <c r="R22" s="444"/>
      <c r="S22" s="444"/>
      <c r="T22" s="444"/>
      <c r="U22" s="444"/>
      <c r="V22" s="444"/>
      <c r="W22" s="444"/>
    </row>
    <row r="23" spans="1:37" s="450" customFormat="1" ht="15.9" thickBot="1" x14ac:dyDescent="0.45">
      <c r="A23" s="444"/>
      <c r="B23" s="445" t="s">
        <v>907</v>
      </c>
      <c r="C23" s="454">
        <f>+C22*C21</f>
        <v>0</v>
      </c>
      <c r="D23" s="454">
        <f>+D22*D21</f>
        <v>0</v>
      </c>
      <c r="E23" s="454">
        <f>+E22*E21</f>
        <v>0</v>
      </c>
      <c r="F23" s="455">
        <f>+F22*F21</f>
        <v>0</v>
      </c>
      <c r="G23" s="455">
        <f>+G22*G21</f>
        <v>0</v>
      </c>
      <c r="H23" s="456">
        <f>SUM(C23:G23)</f>
        <v>0</v>
      </c>
      <c r="I23" s="449"/>
      <c r="J23" s="1138" t="s">
        <v>1118</v>
      </c>
      <c r="K23" s="1139"/>
      <c r="L23" s="1139"/>
      <c r="M23" s="1139"/>
      <c r="N23" s="1140"/>
      <c r="O23" s="444"/>
      <c r="P23" s="444"/>
      <c r="Q23" s="444"/>
      <c r="R23" s="444"/>
      <c r="S23" s="444"/>
      <c r="T23" s="444"/>
      <c r="U23" s="444"/>
      <c r="V23" s="444"/>
      <c r="W23" s="444"/>
    </row>
    <row r="24" spans="1:37" s="450" customFormat="1" ht="15.9" thickTop="1" x14ac:dyDescent="0.4">
      <c r="A24" s="444"/>
      <c r="B24" s="445"/>
      <c r="C24" s="444"/>
      <c r="D24" s="444"/>
      <c r="E24" s="444"/>
      <c r="F24" s="444"/>
      <c r="G24" s="444"/>
      <c r="H24" s="457"/>
      <c r="I24" s="430"/>
      <c r="M24" s="444"/>
      <c r="N24" s="444"/>
      <c r="O24" s="444"/>
      <c r="P24" s="444"/>
      <c r="Q24" s="444"/>
      <c r="R24" s="444"/>
      <c r="S24" s="444"/>
      <c r="T24" s="444"/>
      <c r="U24" s="444"/>
      <c r="V24" s="444"/>
      <c r="W24" s="444"/>
    </row>
    <row r="25" spans="1:37" ht="15.45" x14ac:dyDescent="0.4">
      <c r="A25" s="406"/>
      <c r="B25" s="407" t="s">
        <v>736</v>
      </c>
      <c r="C25" s="458"/>
      <c r="D25" s="406"/>
      <c r="E25" s="406"/>
      <c r="F25" s="406"/>
      <c r="G25" s="406"/>
      <c r="H25" s="459"/>
      <c r="I25" s="458"/>
      <c r="J25" s="444" t="s">
        <v>1114</v>
      </c>
      <c r="K25" s="444"/>
      <c r="L25" s="839">
        <v>40</v>
      </c>
      <c r="M25" s="444"/>
      <c r="N25" s="444"/>
      <c r="O25" s="406"/>
      <c r="P25" s="406"/>
      <c r="Q25" s="406"/>
      <c r="R25" s="406"/>
      <c r="S25" s="406"/>
      <c r="T25" s="406"/>
      <c r="U25" s="406"/>
      <c r="V25" s="406"/>
      <c r="W25" s="406"/>
    </row>
    <row r="26" spans="1:37" ht="22.3" x14ac:dyDescent="0.5">
      <c r="A26" s="415" t="s">
        <v>920</v>
      </c>
      <c r="B26" s="460" t="s">
        <v>927</v>
      </c>
      <c r="C26" s="511"/>
      <c r="D26" s="511"/>
      <c r="E26" s="511"/>
      <c r="F26" s="511"/>
      <c r="G26" s="511"/>
      <c r="H26" s="461"/>
      <c r="I26" s="462"/>
      <c r="J26" s="444" t="s">
        <v>1117</v>
      </c>
      <c r="K26" s="444"/>
      <c r="L26" s="842">
        <f>+L25*'Work Area'!$D$23</f>
        <v>1225.3599999999999</v>
      </c>
      <c r="M26" s="406"/>
      <c r="N26" s="406"/>
      <c r="O26" s="406"/>
      <c r="P26" s="406"/>
      <c r="Q26" s="406"/>
      <c r="R26" s="406"/>
      <c r="S26" s="406"/>
      <c r="T26" s="406"/>
      <c r="U26" s="406"/>
      <c r="V26" s="406"/>
      <c r="W26" s="406"/>
    </row>
    <row r="27" spans="1:37" ht="31.75" x14ac:dyDescent="0.5">
      <c r="A27" s="415" t="s">
        <v>916</v>
      </c>
      <c r="B27" s="460" t="s">
        <v>887</v>
      </c>
      <c r="C27" s="512">
        <v>2</v>
      </c>
      <c r="D27" s="512">
        <v>2</v>
      </c>
      <c r="E27" s="512">
        <v>2</v>
      </c>
      <c r="F27" s="512">
        <v>2</v>
      </c>
      <c r="G27" s="512"/>
      <c r="H27" s="463"/>
      <c r="I27" s="458"/>
      <c r="J27" s="406"/>
      <c r="K27" s="406"/>
      <c r="L27" s="406"/>
      <c r="M27" s="406"/>
      <c r="N27" s="406"/>
      <c r="O27" s="406"/>
      <c r="P27" s="406"/>
      <c r="Q27" s="406"/>
      <c r="R27" s="406"/>
      <c r="S27" s="406"/>
      <c r="T27" s="406"/>
      <c r="U27" s="406"/>
      <c r="V27" s="406"/>
      <c r="W27" s="406"/>
    </row>
    <row r="28" spans="1:37" ht="15.45" x14ac:dyDescent="0.4">
      <c r="A28" s="406"/>
      <c r="B28" s="406" t="s">
        <v>735</v>
      </c>
      <c r="C28" s="464">
        <f>8-C27</f>
        <v>6</v>
      </c>
      <c r="D28" s="464">
        <f>8-D27</f>
        <v>6</v>
      </c>
      <c r="E28" s="464">
        <f>8-E27</f>
        <v>6</v>
      </c>
      <c r="F28" s="464">
        <f>8-F27</f>
        <v>6</v>
      </c>
      <c r="G28" s="464">
        <f>8-G27</f>
        <v>8</v>
      </c>
      <c r="H28" s="459"/>
      <c r="I28" s="458"/>
      <c r="Q28" s="406"/>
      <c r="R28" s="406"/>
      <c r="S28" s="406"/>
      <c r="T28" s="406"/>
      <c r="U28" s="406"/>
      <c r="V28" s="406"/>
      <c r="W28" s="406"/>
    </row>
    <row r="29" spans="1:37" ht="17.600000000000001" x14ac:dyDescent="0.4">
      <c r="A29" s="406"/>
      <c r="C29" s="406"/>
      <c r="D29" s="406"/>
      <c r="E29" s="406"/>
      <c r="F29" s="406"/>
      <c r="G29" s="406"/>
      <c r="H29" s="459"/>
      <c r="I29" s="458"/>
      <c r="J29" s="856" t="s">
        <v>1127</v>
      </c>
      <c r="Q29" s="406"/>
      <c r="R29" s="406"/>
      <c r="S29" s="406"/>
      <c r="T29" s="406"/>
      <c r="U29" s="406"/>
      <c r="V29" s="406"/>
      <c r="W29" s="406"/>
    </row>
    <row r="30" spans="1:37" ht="31.75" x14ac:dyDescent="0.5">
      <c r="A30" s="415" t="s">
        <v>921</v>
      </c>
      <c r="B30" s="460" t="s">
        <v>890</v>
      </c>
      <c r="C30" s="513">
        <v>20</v>
      </c>
      <c r="D30" s="513">
        <v>20</v>
      </c>
      <c r="E30" s="513">
        <v>20</v>
      </c>
      <c r="F30" s="513">
        <v>20</v>
      </c>
      <c r="G30" s="513">
        <v>60</v>
      </c>
      <c r="H30" s="465"/>
      <c r="I30" s="466"/>
      <c r="J30" s="406"/>
      <c r="K30" s="406"/>
      <c r="L30" s="406"/>
      <c r="M30" s="406"/>
      <c r="N30" s="406"/>
      <c r="O30" s="406"/>
      <c r="P30" s="406"/>
      <c r="Q30" s="406"/>
      <c r="R30" s="406"/>
      <c r="S30" s="406"/>
      <c r="T30" s="406"/>
      <c r="U30" s="406"/>
      <c r="V30" s="406"/>
      <c r="W30" s="406"/>
    </row>
    <row r="31" spans="1:37" ht="31.75" x14ac:dyDescent="0.5">
      <c r="A31" s="415" t="s">
        <v>922</v>
      </c>
      <c r="B31" s="460" t="s">
        <v>891</v>
      </c>
      <c r="C31" s="512">
        <v>2</v>
      </c>
      <c r="D31" s="512">
        <v>2</v>
      </c>
      <c r="E31" s="512">
        <v>2</v>
      </c>
      <c r="F31" s="512">
        <v>2</v>
      </c>
      <c r="G31" s="512">
        <v>2</v>
      </c>
      <c r="H31" s="463"/>
      <c r="I31" s="458"/>
      <c r="J31" s="1159" t="s">
        <v>738</v>
      </c>
      <c r="K31" s="1134" t="str">
        <f>+C19</f>
        <v/>
      </c>
      <c r="L31" s="1135" t="str">
        <f>+D19</f>
        <v/>
      </c>
      <c r="M31" s="1134" t="str">
        <f>+E19</f>
        <v/>
      </c>
      <c r="N31" s="1135" t="str">
        <f>+F19</f>
        <v/>
      </c>
      <c r="O31" s="1137" t="s">
        <v>953</v>
      </c>
      <c r="P31" s="1136" t="s">
        <v>367</v>
      </c>
      <c r="Q31" s="406"/>
      <c r="R31" s="406"/>
      <c r="S31" s="406"/>
      <c r="T31" s="406"/>
      <c r="U31" s="406"/>
      <c r="V31" s="406"/>
      <c r="W31" s="406"/>
    </row>
    <row r="32" spans="1:37" ht="15.45" x14ac:dyDescent="0.4">
      <c r="A32" s="406"/>
      <c r="B32" s="407"/>
      <c r="C32" s="406"/>
      <c r="D32" s="406"/>
      <c r="E32" s="406"/>
      <c r="F32" s="406"/>
      <c r="G32" s="406"/>
      <c r="H32" s="459"/>
      <c r="I32" s="458"/>
      <c r="J32" s="1159"/>
      <c r="K32" s="1134"/>
      <c r="L32" s="1135"/>
      <c r="M32" s="1134"/>
      <c r="N32" s="1135"/>
      <c r="O32" s="1137"/>
      <c r="P32" s="1136"/>
      <c r="Q32" s="406"/>
      <c r="R32" s="406"/>
      <c r="S32" s="406"/>
      <c r="T32" s="406"/>
      <c r="U32" s="406"/>
      <c r="V32" s="406"/>
      <c r="W32" s="406"/>
    </row>
    <row r="33" spans="1:37" ht="15.45" x14ac:dyDescent="0.4">
      <c r="A33" s="467">
        <f>HLOOKUP($C$11,'Work Area'!$D$1:$F$7,7)</f>
        <v>34.68</v>
      </c>
      <c r="B33" s="407" t="s">
        <v>733</v>
      </c>
      <c r="C33" s="468">
        <f>+$A$33*((HLOOKUP($C$7,$C$3:$F$5,3))+1)</f>
        <v>34.68</v>
      </c>
      <c r="D33" s="469">
        <f>+C33</f>
        <v>34.68</v>
      </c>
      <c r="E33" s="469">
        <f>+D33</f>
        <v>34.68</v>
      </c>
      <c r="F33" s="470">
        <f>+E33</f>
        <v>34.68</v>
      </c>
      <c r="G33" s="470">
        <f>+F33</f>
        <v>34.68</v>
      </c>
      <c r="H33" s="471"/>
      <c r="I33" s="472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</row>
    <row r="34" spans="1:37" ht="15.45" x14ac:dyDescent="0.4">
      <c r="A34" s="406"/>
      <c r="B34" s="473" t="s">
        <v>9</v>
      </c>
      <c r="C34" s="406"/>
      <c r="D34" s="406"/>
      <c r="E34" s="406"/>
      <c r="F34" s="406"/>
      <c r="G34" s="406"/>
      <c r="H34" s="459"/>
      <c r="I34" s="458"/>
      <c r="J34" s="445" t="s">
        <v>907</v>
      </c>
      <c r="K34" s="857">
        <f>+C23</f>
        <v>0</v>
      </c>
      <c r="L34" s="857">
        <f t="shared" ref="L34" si="0">+D23</f>
        <v>0</v>
      </c>
      <c r="M34" s="857">
        <f t="shared" ref="M34" si="1">+E23</f>
        <v>0</v>
      </c>
      <c r="N34" s="857">
        <f t="shared" ref="N34" si="2">+F23</f>
        <v>0</v>
      </c>
      <c r="O34" s="857">
        <f t="shared" ref="O34" si="3">+G23</f>
        <v>0</v>
      </c>
      <c r="P34" s="480">
        <f>SUM(K34:O34)</f>
        <v>0</v>
      </c>
      <c r="Q34" s="406"/>
      <c r="R34" s="406"/>
      <c r="S34" s="406"/>
      <c r="T34" s="406"/>
      <c r="U34" s="406"/>
      <c r="V34" s="406"/>
      <c r="W34" s="406"/>
    </row>
    <row r="35" spans="1:37" ht="15.45" x14ac:dyDescent="0.4">
      <c r="A35" s="406"/>
      <c r="B35" s="407"/>
      <c r="C35" s="406"/>
      <c r="D35" s="406"/>
      <c r="E35" s="406"/>
      <c r="F35" s="406"/>
      <c r="G35" s="406"/>
      <c r="H35" s="459"/>
      <c r="I35" s="458"/>
      <c r="J35" s="871" t="s">
        <v>1128</v>
      </c>
      <c r="K35" s="858">
        <v>40</v>
      </c>
      <c r="L35" s="858">
        <v>40</v>
      </c>
      <c r="M35" s="858">
        <v>40</v>
      </c>
      <c r="N35" s="858">
        <v>40</v>
      </c>
      <c r="O35" s="858">
        <v>80</v>
      </c>
      <c r="P35" s="859">
        <f>IF(P34=0,0,+P36/P34)</f>
        <v>0</v>
      </c>
      <c r="Q35" s="406"/>
      <c r="R35" s="406"/>
      <c r="S35" s="406"/>
      <c r="T35" s="406"/>
      <c r="U35" s="406"/>
      <c r="V35" s="406"/>
      <c r="W35" s="406"/>
    </row>
    <row r="36" spans="1:37" ht="15.45" x14ac:dyDescent="0.4">
      <c r="A36" s="406"/>
      <c r="B36" s="406" t="s">
        <v>732</v>
      </c>
      <c r="C36" s="474">
        <f>IF(C31=0,0,IF(C30=0,0,+C23/C30)+(C26)/8/C31)</f>
        <v>0</v>
      </c>
      <c r="D36" s="474">
        <f>IF(D31=0,0,IF(D30=0,0,+D23/D30)+(D26)/8/D31)</f>
        <v>0</v>
      </c>
      <c r="E36" s="474">
        <f>IF(E31=0,0,IF(E30=0,0,+E23/E30)+(E26)/8/E31)</f>
        <v>0</v>
      </c>
      <c r="F36" s="474">
        <f>IF(F31=0,0,IF(F30=0,0,+F23/F30)+(F26)/8/F31)</f>
        <v>0</v>
      </c>
      <c r="G36" s="474">
        <f>IF(G31=0,0,IF(G30=0,0,+G23/G30)+(G26)/8/G31)</f>
        <v>0</v>
      </c>
      <c r="H36" s="475">
        <f>SUM(C36:F36)</f>
        <v>0</v>
      </c>
      <c r="I36" s="476"/>
      <c r="J36" s="445" t="s">
        <v>1129</v>
      </c>
      <c r="K36" s="480">
        <f>+K35*K34</f>
        <v>0</v>
      </c>
      <c r="L36" s="480">
        <f t="shared" ref="L36:O36" si="4">+L35*L34</f>
        <v>0</v>
      </c>
      <c r="M36" s="480">
        <f t="shared" si="4"/>
        <v>0</v>
      </c>
      <c r="N36" s="480">
        <f t="shared" si="4"/>
        <v>0</v>
      </c>
      <c r="O36" s="480">
        <f t="shared" si="4"/>
        <v>0</v>
      </c>
      <c r="P36" s="480">
        <f>SUM(K36:O36)</f>
        <v>0</v>
      </c>
      <c r="Q36" s="406"/>
      <c r="R36" s="406"/>
      <c r="S36" s="406"/>
      <c r="T36" s="406"/>
      <c r="U36" s="406"/>
      <c r="V36" s="406"/>
      <c r="W36" s="406"/>
    </row>
    <row r="37" spans="1:37" ht="15.45" x14ac:dyDescent="0.4">
      <c r="A37" s="406"/>
      <c r="B37" s="442" t="s">
        <v>845</v>
      </c>
      <c r="C37" s="477">
        <f>IFERROR(IF($C$14="No",0,C62),0)</f>
        <v>0</v>
      </c>
      <c r="D37" s="477">
        <f>IFERROR(IF($C$14="No",0,D62),0)</f>
        <v>0</v>
      </c>
      <c r="E37" s="477">
        <f>IFERROR(IF($C$14="No",0,E62),0)</f>
        <v>0</v>
      </c>
      <c r="F37" s="477">
        <f>IFERROR(IF($C$14="No",0,F62),0)</f>
        <v>0</v>
      </c>
      <c r="G37" s="477">
        <f>IFERROR(IF($C$14="No",0,G62),0)</f>
        <v>0</v>
      </c>
      <c r="H37" s="478">
        <f>SUM(C37:F37)</f>
        <v>0</v>
      </c>
      <c r="I37" s="479"/>
      <c r="J37" s="406"/>
      <c r="K37" s="406"/>
      <c r="L37" s="406"/>
      <c r="M37" s="406"/>
      <c r="N37" s="406"/>
      <c r="O37" s="406"/>
      <c r="P37" s="406"/>
      <c r="Q37" s="406"/>
      <c r="R37" s="406"/>
      <c r="S37" s="406"/>
      <c r="T37" s="406"/>
      <c r="U37" s="406"/>
      <c r="V37" s="406"/>
      <c r="W37" s="406"/>
    </row>
    <row r="38" spans="1:37" ht="15.45" x14ac:dyDescent="0.4">
      <c r="A38" s="480" t="s">
        <v>9</v>
      </c>
      <c r="B38" s="481" t="s">
        <v>892</v>
      </c>
      <c r="C38" s="474">
        <f>(+C36*(+C28+C27)*C31)+C37</f>
        <v>0</v>
      </c>
      <c r="D38" s="474">
        <f>(+D36*(+D28+D27)*D31)+D37</f>
        <v>0</v>
      </c>
      <c r="E38" s="474">
        <f>(+E36*(+E28+E27)*E31)+E37</f>
        <v>0</v>
      </c>
      <c r="F38" s="474">
        <f>(+F36*(+F28+F27)*F31)+F37</f>
        <v>0</v>
      </c>
      <c r="G38" s="474">
        <f>(+G36*(+G28+G27)*G31)+G37</f>
        <v>0</v>
      </c>
      <c r="H38" s="475">
        <f>SUM(C38:F38)</f>
        <v>0</v>
      </c>
      <c r="I38" s="476"/>
      <c r="J38" s="406"/>
      <c r="K38" s="406"/>
      <c r="L38" s="406"/>
      <c r="M38" s="406"/>
      <c r="N38" s="406"/>
      <c r="O38" s="406"/>
      <c r="P38" s="406"/>
      <c r="Q38" s="406"/>
      <c r="R38" s="406"/>
      <c r="S38" s="406"/>
      <c r="T38" s="406"/>
      <c r="U38" s="406"/>
      <c r="V38" s="406"/>
      <c r="W38" s="406"/>
    </row>
    <row r="39" spans="1:37" ht="15.9" thickBot="1" x14ac:dyDescent="0.45">
      <c r="A39" s="480" t="s">
        <v>9</v>
      </c>
      <c r="B39" s="482" t="s">
        <v>895</v>
      </c>
      <c r="C39" s="483">
        <f>+C38*C33</f>
        <v>0</v>
      </c>
      <c r="D39" s="483">
        <f>+D38*D33</f>
        <v>0</v>
      </c>
      <c r="E39" s="483">
        <f>+E38*E33</f>
        <v>0</v>
      </c>
      <c r="F39" s="483">
        <f>+F38*F33</f>
        <v>0</v>
      </c>
      <c r="G39" s="483">
        <f>+G38*G33</f>
        <v>0</v>
      </c>
      <c r="H39" s="484">
        <f>SUM(C39:F39)</f>
        <v>0</v>
      </c>
      <c r="I39" s="462"/>
      <c r="J39" s="406"/>
      <c r="K39" s="406"/>
      <c r="L39" s="406"/>
      <c r="M39" s="406"/>
      <c r="N39" s="406"/>
      <c r="O39" s="406"/>
      <c r="P39" s="406"/>
      <c r="Q39" s="406"/>
      <c r="R39" s="406"/>
      <c r="S39" s="406"/>
      <c r="T39" s="406"/>
      <c r="U39" s="406"/>
      <c r="V39" s="406"/>
      <c r="W39" s="406"/>
    </row>
    <row r="40" spans="1:37" ht="17.25" customHeight="1" thickTop="1" thickBot="1" x14ac:dyDescent="0.45">
      <c r="A40" s="406"/>
      <c r="B40" s="407"/>
      <c r="C40" s="406"/>
      <c r="D40" s="406"/>
      <c r="E40" s="406"/>
      <c r="F40" s="406"/>
      <c r="G40" s="406"/>
      <c r="H40" s="406"/>
      <c r="I40" s="406"/>
      <c r="J40" s="406"/>
      <c r="K40" s="406"/>
      <c r="L40" s="406"/>
      <c r="M40" s="406"/>
      <c r="N40" s="406"/>
      <c r="O40" s="406"/>
      <c r="P40" s="406"/>
      <c r="Q40" s="406"/>
      <c r="R40" s="406"/>
      <c r="S40" s="406"/>
      <c r="T40" s="406"/>
      <c r="U40" s="406"/>
      <c r="V40" s="406"/>
      <c r="W40" s="406"/>
      <c r="X40" s="406"/>
      <c r="Y40" s="406"/>
      <c r="Z40" s="406"/>
      <c r="AA40" s="406"/>
      <c r="AB40" s="406"/>
      <c r="AC40" s="406"/>
      <c r="AD40" s="406"/>
      <c r="AE40" s="406"/>
      <c r="AF40" s="406"/>
      <c r="AG40" s="406"/>
      <c r="AH40" s="406"/>
      <c r="AI40" s="406"/>
      <c r="AJ40" s="406"/>
      <c r="AK40" s="406"/>
    </row>
    <row r="41" spans="1:37" ht="9" customHeight="1" thickTop="1" thickBot="1" x14ac:dyDescent="0.45">
      <c r="A41" s="1145"/>
      <c r="B41" s="1145"/>
      <c r="C41" s="1145"/>
      <c r="D41" s="1145"/>
      <c r="E41" s="1145"/>
      <c r="F41" s="1145"/>
      <c r="G41" s="1145"/>
      <c r="H41" s="1145"/>
      <c r="I41" s="1145"/>
      <c r="J41" s="1145"/>
      <c r="K41" s="1145"/>
      <c r="L41" s="1145"/>
      <c r="M41" s="1145"/>
      <c r="N41" s="1145"/>
      <c r="O41" s="1145"/>
      <c r="P41" s="1145"/>
      <c r="Q41" s="1145"/>
      <c r="R41" s="1145"/>
      <c r="S41" s="1145"/>
      <c r="T41" s="1145"/>
      <c r="U41" s="1146"/>
      <c r="V41" s="406"/>
      <c r="W41" s="406"/>
      <c r="X41" s="406"/>
      <c r="Y41" s="406"/>
      <c r="Z41" s="406"/>
      <c r="AA41" s="406"/>
      <c r="AB41" s="406"/>
      <c r="AC41" s="406"/>
      <c r="AD41" s="406"/>
      <c r="AE41" s="406"/>
      <c r="AF41" s="406"/>
      <c r="AG41" s="406"/>
      <c r="AH41" s="406"/>
      <c r="AI41" s="406"/>
      <c r="AJ41" s="406"/>
      <c r="AK41" s="406"/>
    </row>
    <row r="42" spans="1:37" ht="31.4" customHeight="1" thickTop="1" x14ac:dyDescent="0.4">
      <c r="A42" s="406"/>
      <c r="B42" s="485"/>
      <c r="C42" s="486" t="str">
        <f>C19</f>
        <v/>
      </c>
      <c r="D42" s="487" t="str">
        <f>D19</f>
        <v/>
      </c>
      <c r="E42" s="486" t="str">
        <f>E19</f>
        <v/>
      </c>
      <c r="F42" s="487" t="str">
        <f>F19</f>
        <v/>
      </c>
      <c r="G42" s="775"/>
      <c r="H42" s="406"/>
      <c r="I42" s="406"/>
      <c r="J42" s="406"/>
      <c r="K42" s="406"/>
      <c r="L42" s="406"/>
      <c r="M42" s="406"/>
      <c r="N42" s="406"/>
      <c r="O42" s="406"/>
      <c r="P42" s="406"/>
      <c r="Q42" s="406"/>
      <c r="R42" s="406"/>
      <c r="S42" s="406"/>
      <c r="T42" s="406"/>
      <c r="U42" s="406"/>
      <c r="V42" s="406"/>
      <c r="W42" s="406"/>
      <c r="X42" s="406"/>
      <c r="Y42" s="406"/>
      <c r="Z42" s="406"/>
      <c r="AA42" s="406"/>
      <c r="AB42" s="406"/>
      <c r="AC42" s="406"/>
      <c r="AD42" s="406"/>
      <c r="AE42" s="406"/>
      <c r="AF42" s="406"/>
      <c r="AG42" s="406"/>
      <c r="AH42" s="406"/>
      <c r="AI42" s="406"/>
      <c r="AJ42" s="406"/>
      <c r="AK42" s="406"/>
    </row>
    <row r="43" spans="1:37" ht="15.45" x14ac:dyDescent="0.4">
      <c r="A43" s="406"/>
      <c r="B43" s="1147" t="s">
        <v>846</v>
      </c>
      <c r="C43" s="1147"/>
      <c r="D43" s="1147"/>
      <c r="E43" s="1147"/>
      <c r="F43" s="1147"/>
      <c r="G43" s="774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6"/>
      <c r="AB43" s="406"/>
      <c r="AC43" s="406"/>
      <c r="AD43" s="406"/>
      <c r="AE43" s="406"/>
      <c r="AF43" s="406"/>
      <c r="AG43" s="406"/>
      <c r="AH43" s="406"/>
      <c r="AI43" s="406"/>
      <c r="AJ43" s="406"/>
      <c r="AK43" s="406"/>
    </row>
    <row r="44" spans="1:37" ht="15.45" x14ac:dyDescent="0.4">
      <c r="A44" s="406"/>
      <c r="B44" s="488" t="s">
        <v>901</v>
      </c>
      <c r="C44" s="489"/>
      <c r="D44" s="489"/>
      <c r="E44" s="489"/>
      <c r="F44" s="489"/>
      <c r="G44" s="774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06"/>
      <c r="S44" s="406"/>
      <c r="T44" s="406"/>
      <c r="U44" s="406"/>
      <c r="V44" s="406"/>
      <c r="W44" s="406"/>
      <c r="X44" s="406"/>
      <c r="Y44" s="406"/>
      <c r="Z44" s="406"/>
      <c r="AA44" s="406"/>
      <c r="AB44" s="406"/>
      <c r="AC44" s="406"/>
      <c r="AD44" s="406"/>
      <c r="AE44" s="406"/>
      <c r="AF44" s="406"/>
      <c r="AG44" s="406"/>
      <c r="AH44" s="406"/>
      <c r="AI44" s="406"/>
      <c r="AJ44" s="406"/>
      <c r="AK44" s="406"/>
    </row>
    <row r="45" spans="1:37" ht="36.75" customHeight="1" x14ac:dyDescent="0.5">
      <c r="A45" s="415" t="s">
        <v>923</v>
      </c>
      <c r="B45" s="514" t="s">
        <v>841</v>
      </c>
      <c r="C45" s="490">
        <f>IF($B$45='Per Diem'!$A$2,0,VLOOKUP($B$45,'Per Diem'!$A:$D,4,FALSE))</f>
        <v>0</v>
      </c>
      <c r="D45" s="490">
        <f>IF($B$45='Per Diem'!$A$2,0,VLOOKUP($B$45,'Per Diem'!$A:$D,4,FALSE))</f>
        <v>0</v>
      </c>
      <c r="E45" s="490">
        <f>IF($B$45='Per Diem'!$A$2,0,VLOOKUP($B$45,'Per Diem'!$A:$D,4,FALSE))</f>
        <v>0</v>
      </c>
      <c r="F45" s="490">
        <f>IF($B$45='Per Diem'!$A$2,0,VLOOKUP($B$45,'Per Diem'!$A:$D,4,FALSE))</f>
        <v>0</v>
      </c>
      <c r="G45" s="490">
        <f>IF($B$45='Per Diem'!$A$2,0,VLOOKUP($B$45,'Per Diem'!$A:$D,4,FALSE))</f>
        <v>0</v>
      </c>
      <c r="H45" s="406"/>
      <c r="I45" s="406"/>
      <c r="J45" s="406"/>
      <c r="K45" s="406"/>
      <c r="L45" s="406"/>
      <c r="M45" s="406"/>
      <c r="N45" s="406"/>
      <c r="O45" s="406"/>
      <c r="P45" s="406"/>
      <c r="Q45" s="406"/>
      <c r="R45" s="406"/>
      <c r="S45" s="406"/>
      <c r="T45" s="406"/>
      <c r="U45" s="406"/>
      <c r="V45" s="406"/>
      <c r="W45" s="406"/>
      <c r="X45" s="406"/>
      <c r="Y45" s="406"/>
      <c r="Z45" s="406"/>
      <c r="AA45" s="406"/>
      <c r="AB45" s="406"/>
      <c r="AC45" s="406"/>
      <c r="AD45" s="406"/>
      <c r="AE45" s="406"/>
      <c r="AF45" s="406"/>
      <c r="AG45" s="406"/>
      <c r="AH45" s="406"/>
      <c r="AI45" s="406"/>
      <c r="AJ45" s="406"/>
      <c r="AK45" s="406"/>
    </row>
    <row r="46" spans="1:37" ht="15.45" x14ac:dyDescent="0.4">
      <c r="A46" s="406"/>
      <c r="B46" s="407" t="s">
        <v>734</v>
      </c>
      <c r="C46" s="491">
        <f>C31</f>
        <v>2</v>
      </c>
      <c r="D46" s="492">
        <f>D31</f>
        <v>2</v>
      </c>
      <c r="E46" s="492">
        <f>E31</f>
        <v>2</v>
      </c>
      <c r="F46" s="492">
        <f>F31</f>
        <v>2</v>
      </c>
      <c r="G46" s="492">
        <f>G31</f>
        <v>2</v>
      </c>
      <c r="H46" s="406"/>
      <c r="I46" s="406"/>
      <c r="J46" s="458"/>
      <c r="K46" s="406"/>
      <c r="L46" s="406"/>
      <c r="M46" s="406"/>
      <c r="N46" s="406"/>
      <c r="O46" s="406"/>
      <c r="P46" s="406"/>
      <c r="Q46" s="406"/>
      <c r="R46" s="406"/>
      <c r="S46" s="406"/>
      <c r="T46" s="406"/>
      <c r="U46" s="406"/>
      <c r="V46" s="406"/>
      <c r="W46" s="406"/>
      <c r="X46" s="406"/>
      <c r="Y46" s="406"/>
      <c r="Z46" s="406"/>
      <c r="AA46" s="406"/>
      <c r="AB46" s="406"/>
      <c r="AC46" s="406"/>
      <c r="AD46" s="406"/>
      <c r="AE46" s="406"/>
      <c r="AF46" s="406"/>
      <c r="AG46" s="406"/>
      <c r="AH46" s="406"/>
      <c r="AI46" s="406"/>
      <c r="AJ46" s="406"/>
      <c r="AK46" s="406"/>
    </row>
    <row r="47" spans="1:37" ht="15.45" x14ac:dyDescent="0.4">
      <c r="A47" s="406"/>
      <c r="B47" s="407" t="s">
        <v>843</v>
      </c>
      <c r="C47" s="490">
        <f>C46*C45</f>
        <v>0</v>
      </c>
      <c r="D47" s="490">
        <f>D46*D45</f>
        <v>0</v>
      </c>
      <c r="E47" s="490">
        <f>E46*E45</f>
        <v>0</v>
      </c>
      <c r="F47" s="490">
        <f>F46*F45</f>
        <v>0</v>
      </c>
      <c r="G47" s="490">
        <f>G46*G45</f>
        <v>0</v>
      </c>
      <c r="H47" s="406"/>
      <c r="I47" s="406"/>
      <c r="J47" s="430"/>
      <c r="K47" s="406"/>
      <c r="L47" s="406"/>
      <c r="M47" s="406"/>
      <c r="N47" s="406"/>
      <c r="O47" s="406"/>
      <c r="P47" s="406"/>
      <c r="Q47" s="406"/>
      <c r="R47" s="406"/>
      <c r="S47" s="406"/>
      <c r="T47" s="406"/>
      <c r="U47" s="406"/>
      <c r="V47" s="406"/>
      <c r="W47" s="406"/>
      <c r="X47" s="406"/>
      <c r="Y47" s="406"/>
      <c r="Z47" s="406"/>
      <c r="AA47" s="406"/>
      <c r="AB47" s="406"/>
      <c r="AC47" s="406"/>
      <c r="AD47" s="406"/>
      <c r="AE47" s="406"/>
      <c r="AF47" s="406"/>
      <c r="AG47" s="406"/>
      <c r="AH47" s="406"/>
      <c r="AI47" s="406"/>
      <c r="AJ47" s="406"/>
      <c r="AK47" s="406"/>
    </row>
    <row r="48" spans="1:37" ht="15.45" x14ac:dyDescent="0.4">
      <c r="A48" s="406"/>
      <c r="B48" s="407" t="s">
        <v>1090</v>
      </c>
      <c r="C48" s="493">
        <f>MROUND(C36,1)</f>
        <v>0</v>
      </c>
      <c r="D48" s="493">
        <f>MROUND(D36,1)</f>
        <v>0</v>
      </c>
      <c r="E48" s="493">
        <f>MROUND(E36,1)</f>
        <v>0</v>
      </c>
      <c r="F48" s="493">
        <f>MROUND(F36,1)</f>
        <v>0</v>
      </c>
      <c r="G48" s="493">
        <f>MROUND(G36,1)</f>
        <v>0</v>
      </c>
      <c r="H48" s="406"/>
      <c r="I48" s="406"/>
      <c r="J48" s="430"/>
      <c r="K48" s="406"/>
      <c r="L48" s="406"/>
      <c r="M48" s="406"/>
      <c r="N48" s="406"/>
      <c r="O48" s="406"/>
      <c r="P48" s="406"/>
      <c r="Q48" s="406"/>
      <c r="R48" s="406"/>
      <c r="S48" s="406"/>
      <c r="T48" s="406"/>
      <c r="U48" s="406"/>
      <c r="V48" s="406"/>
      <c r="W48" s="406"/>
      <c r="X48" s="406"/>
      <c r="Y48" s="406"/>
      <c r="Z48" s="406"/>
      <c r="AA48" s="406"/>
      <c r="AB48" s="406"/>
      <c r="AC48" s="406"/>
      <c r="AD48" s="406"/>
      <c r="AE48" s="406"/>
      <c r="AF48" s="406"/>
      <c r="AG48" s="406"/>
      <c r="AH48" s="406"/>
      <c r="AI48" s="406"/>
      <c r="AJ48" s="406"/>
      <c r="AK48" s="406"/>
    </row>
    <row r="49" spans="1:37" ht="15.9" thickBot="1" x14ac:dyDescent="0.45">
      <c r="A49" s="406"/>
      <c r="B49" s="494" t="s">
        <v>893</v>
      </c>
      <c r="C49" s="495">
        <f>C48*C47</f>
        <v>0</v>
      </c>
      <c r="D49" s="495">
        <f>D48*D47</f>
        <v>0</v>
      </c>
      <c r="E49" s="495">
        <f>E48*E47</f>
        <v>0</v>
      </c>
      <c r="F49" s="495">
        <f>F48*F47</f>
        <v>0</v>
      </c>
      <c r="G49" s="495">
        <f>G48*G47</f>
        <v>0</v>
      </c>
      <c r="H49" s="406"/>
      <c r="I49" s="406"/>
      <c r="J49" s="496"/>
      <c r="K49" s="406"/>
      <c r="L49" s="406"/>
      <c r="M49" s="406"/>
      <c r="N49" s="406"/>
      <c r="O49" s="406"/>
      <c r="P49" s="406"/>
      <c r="Q49" s="406"/>
      <c r="R49" s="406"/>
      <c r="S49" s="406"/>
      <c r="T49" s="406"/>
      <c r="U49" s="406"/>
      <c r="V49" s="406"/>
      <c r="W49" s="406"/>
      <c r="X49" s="406"/>
      <c r="Y49" s="406"/>
      <c r="Z49" s="406"/>
      <c r="AA49" s="406"/>
      <c r="AB49" s="406"/>
      <c r="AC49" s="406"/>
      <c r="AD49" s="406"/>
      <c r="AE49" s="406"/>
      <c r="AF49" s="406"/>
      <c r="AG49" s="406"/>
      <c r="AH49" s="406"/>
      <c r="AI49" s="406"/>
      <c r="AJ49" s="406"/>
      <c r="AK49" s="406"/>
    </row>
    <row r="50" spans="1:37" ht="15.9" thickTop="1" x14ac:dyDescent="0.4">
      <c r="A50" s="406"/>
      <c r="B50" s="1144" t="s">
        <v>852</v>
      </c>
      <c r="C50" s="1144"/>
      <c r="D50" s="1144"/>
      <c r="E50" s="1144"/>
      <c r="F50" s="1144"/>
      <c r="G50" s="773"/>
      <c r="H50" s="406"/>
      <c r="I50" s="406"/>
      <c r="J50" s="496"/>
      <c r="K50" s="406"/>
      <c r="L50" s="406"/>
      <c r="M50" s="406"/>
      <c r="N50" s="406"/>
      <c r="O50" s="406"/>
      <c r="P50" s="406"/>
      <c r="Q50" s="406"/>
      <c r="R50" s="406"/>
      <c r="S50" s="406"/>
      <c r="T50" s="406"/>
      <c r="U50" s="406"/>
      <c r="V50" s="406"/>
      <c r="W50" s="406"/>
      <c r="X50" s="406"/>
      <c r="Y50" s="406"/>
      <c r="Z50" s="406"/>
      <c r="AA50" s="406"/>
      <c r="AB50" s="406"/>
      <c r="AC50" s="406"/>
      <c r="AD50" s="406"/>
      <c r="AE50" s="406"/>
      <c r="AF50" s="406"/>
      <c r="AG50" s="406"/>
      <c r="AH50" s="406"/>
      <c r="AI50" s="406"/>
      <c r="AJ50" s="406"/>
      <c r="AK50" s="406"/>
    </row>
    <row r="51" spans="1:37" ht="15.45" x14ac:dyDescent="0.4">
      <c r="A51" s="406"/>
      <c r="B51" s="407"/>
      <c r="C51" s="1148" t="s">
        <v>847</v>
      </c>
      <c r="D51" s="1148"/>
      <c r="E51" s="1148"/>
      <c r="F51" s="1148"/>
      <c r="G51" s="775"/>
      <c r="H51" s="406"/>
      <c r="I51" s="406"/>
      <c r="J51" s="496"/>
      <c r="K51" s="406"/>
      <c r="L51" s="406"/>
      <c r="M51" s="406"/>
      <c r="N51" s="406"/>
      <c r="O51" s="406"/>
      <c r="P51" s="406"/>
      <c r="Q51" s="406"/>
      <c r="R51" s="406"/>
      <c r="S51" s="406"/>
      <c r="T51" s="406"/>
      <c r="U51" s="406"/>
      <c r="V51" s="406"/>
      <c r="W51" s="406"/>
      <c r="X51" s="406"/>
      <c r="Y51" s="406"/>
      <c r="Z51" s="406"/>
      <c r="AA51" s="406"/>
      <c r="AB51" s="406"/>
      <c r="AC51" s="406"/>
      <c r="AD51" s="406"/>
      <c r="AE51" s="406"/>
      <c r="AF51" s="406"/>
      <c r="AG51" s="406"/>
      <c r="AH51" s="406"/>
      <c r="AI51" s="406"/>
      <c r="AJ51" s="406"/>
      <c r="AK51" s="406"/>
    </row>
    <row r="52" spans="1:37" ht="22.3" x14ac:dyDescent="0.5">
      <c r="A52" s="415" t="s">
        <v>924</v>
      </c>
      <c r="B52" s="407" t="s">
        <v>888</v>
      </c>
      <c r="C52" s="515"/>
      <c r="D52" s="515"/>
      <c r="E52" s="515"/>
      <c r="F52" s="515"/>
      <c r="G52" s="515"/>
      <c r="H52" s="406"/>
      <c r="I52" s="406"/>
      <c r="J52" s="496"/>
      <c r="K52" s="406"/>
      <c r="L52" s="406"/>
      <c r="M52" s="406"/>
      <c r="N52" s="406"/>
      <c r="O52" s="406"/>
      <c r="P52" s="406"/>
      <c r="Q52" s="406"/>
      <c r="R52" s="406"/>
      <c r="S52" s="406"/>
      <c r="T52" s="406"/>
      <c r="U52" s="406"/>
      <c r="V52" s="406"/>
      <c r="W52" s="406"/>
      <c r="X52" s="406"/>
      <c r="Y52" s="406"/>
      <c r="Z52" s="406"/>
      <c r="AA52" s="406"/>
      <c r="AB52" s="406"/>
      <c r="AC52" s="406"/>
      <c r="AD52" s="406"/>
      <c r="AE52" s="406"/>
      <c r="AF52" s="406"/>
      <c r="AG52" s="406"/>
      <c r="AH52" s="406"/>
      <c r="AI52" s="406"/>
      <c r="AJ52" s="406"/>
      <c r="AK52" s="406"/>
    </row>
    <row r="53" spans="1:37" ht="15.45" x14ac:dyDescent="0.4">
      <c r="A53" s="406"/>
      <c r="B53" s="407" t="s">
        <v>889</v>
      </c>
      <c r="C53" s="497">
        <f>IF(C26=0,0,ROUNDUP(C36/C26,0))</f>
        <v>0</v>
      </c>
      <c r="D53" s="497">
        <f>IF(D26=0,0,ROUNDUP(D36/D26,0))</f>
        <v>0</v>
      </c>
      <c r="E53" s="497">
        <f>IF(E26=0,0,ROUNDUP(E36/E26,0))</f>
        <v>0</v>
      </c>
      <c r="F53" s="497">
        <f>IF(F26=0,0,ROUNDUP(F36/F26,0))</f>
        <v>0</v>
      </c>
      <c r="G53" s="497">
        <f>IF(G26=0,0,ROUNDUP(G36/G26,0))</f>
        <v>0</v>
      </c>
      <c r="H53" s="406"/>
      <c r="I53" s="406"/>
      <c r="J53" s="496"/>
      <c r="K53" s="406"/>
      <c r="L53" s="406"/>
      <c r="M53" s="406"/>
      <c r="N53" s="406"/>
      <c r="O53" s="406"/>
      <c r="P53" s="406"/>
      <c r="Q53" s="406"/>
      <c r="R53" s="406"/>
      <c r="S53" s="406"/>
      <c r="T53" s="406"/>
      <c r="U53" s="406"/>
      <c r="V53" s="406"/>
      <c r="W53" s="406"/>
      <c r="X53" s="406"/>
      <c r="Y53" s="406"/>
      <c r="Z53" s="406"/>
      <c r="AA53" s="406"/>
      <c r="AB53" s="406"/>
      <c r="AC53" s="406"/>
      <c r="AD53" s="406"/>
      <c r="AE53" s="406"/>
      <c r="AF53" s="406"/>
      <c r="AG53" s="406"/>
      <c r="AH53" s="406"/>
      <c r="AI53" s="406"/>
      <c r="AJ53" s="406"/>
      <c r="AK53" s="406"/>
    </row>
    <row r="54" spans="1:37" ht="15.45" x14ac:dyDescent="0.4">
      <c r="A54" s="406"/>
      <c r="B54" s="407" t="s">
        <v>1126</v>
      </c>
      <c r="C54" s="855">
        <v>0.56000000000000005</v>
      </c>
      <c r="D54" s="498">
        <f>+$C$54</f>
        <v>0.56000000000000005</v>
      </c>
      <c r="E54" s="498">
        <f t="shared" ref="E54:G54" si="5">+$C$54</f>
        <v>0.56000000000000005</v>
      </c>
      <c r="F54" s="498">
        <f t="shared" si="5"/>
        <v>0.56000000000000005</v>
      </c>
      <c r="G54" s="498">
        <f t="shared" si="5"/>
        <v>0.56000000000000005</v>
      </c>
      <c r="H54" s="406"/>
      <c r="I54" s="406"/>
      <c r="J54" s="496"/>
      <c r="K54" s="406"/>
      <c r="L54" s="406"/>
      <c r="M54" s="406"/>
      <c r="N54" s="406"/>
      <c r="O54" s="406"/>
      <c r="P54" s="406"/>
      <c r="Q54" s="406"/>
      <c r="R54" s="406"/>
      <c r="S54" s="406"/>
      <c r="T54" s="406"/>
      <c r="U54" s="406"/>
      <c r="V54" s="406"/>
      <c r="W54" s="406"/>
      <c r="X54" s="406"/>
      <c r="Y54" s="406"/>
      <c r="Z54" s="406"/>
      <c r="AA54" s="406"/>
      <c r="AB54" s="406"/>
      <c r="AC54" s="406"/>
      <c r="AD54" s="406"/>
      <c r="AE54" s="406"/>
      <c r="AF54" s="406"/>
      <c r="AG54" s="406"/>
      <c r="AH54" s="406"/>
      <c r="AI54" s="406"/>
      <c r="AJ54" s="406"/>
      <c r="AK54" s="406"/>
    </row>
    <row r="55" spans="1:37" ht="15.9" thickBot="1" x14ac:dyDescent="0.45">
      <c r="A55" s="406"/>
      <c r="B55" s="494" t="s">
        <v>894</v>
      </c>
      <c r="C55" s="499">
        <f>(C52*C53)*C54</f>
        <v>0</v>
      </c>
      <c r="D55" s="499">
        <f>(D52*D53)*D54</f>
        <v>0</v>
      </c>
      <c r="E55" s="499">
        <f>(E52*E53)*E54</f>
        <v>0</v>
      </c>
      <c r="F55" s="499">
        <f>(F52*F53)*F54</f>
        <v>0</v>
      </c>
      <c r="G55" s="499">
        <f>(G52*G53)*G54</f>
        <v>0</v>
      </c>
      <c r="H55" s="406"/>
      <c r="I55" s="406"/>
      <c r="J55" s="496"/>
      <c r="K55" s="406"/>
      <c r="L55" s="406"/>
      <c r="M55" s="406"/>
      <c r="N55" s="406"/>
      <c r="O55" s="406"/>
      <c r="P55" s="406"/>
      <c r="Q55" s="406"/>
      <c r="R55" s="406"/>
      <c r="S55" s="406"/>
      <c r="T55" s="406"/>
      <c r="U55" s="406"/>
      <c r="V55" s="406"/>
      <c r="W55" s="406"/>
      <c r="X55" s="406"/>
      <c r="Y55" s="406"/>
      <c r="Z55" s="406"/>
      <c r="AA55" s="406"/>
      <c r="AB55" s="406"/>
      <c r="AC55" s="406"/>
      <c r="AD55" s="406"/>
      <c r="AE55" s="406"/>
      <c r="AF55" s="406"/>
      <c r="AG55" s="406"/>
      <c r="AH55" s="406"/>
      <c r="AI55" s="406"/>
      <c r="AJ55" s="406"/>
      <c r="AK55" s="406"/>
    </row>
    <row r="56" spans="1:37" ht="15.9" thickTop="1" x14ac:dyDescent="0.4">
      <c r="A56" s="406"/>
      <c r="B56" s="407"/>
      <c r="C56" s="500"/>
      <c r="D56" s="500"/>
      <c r="E56" s="500"/>
      <c r="F56" s="500"/>
      <c r="G56" s="500"/>
      <c r="H56" s="406"/>
      <c r="I56" s="406"/>
      <c r="J56" s="496"/>
      <c r="K56" s="406"/>
      <c r="L56" s="406"/>
      <c r="M56" s="406"/>
      <c r="N56" s="406"/>
      <c r="O56" s="406"/>
      <c r="P56" s="406"/>
      <c r="Q56" s="406"/>
      <c r="R56" s="406"/>
      <c r="S56" s="406"/>
      <c r="T56" s="406"/>
      <c r="U56" s="406"/>
      <c r="V56" s="406"/>
      <c r="W56" s="406"/>
      <c r="X56" s="406"/>
      <c r="Y56" s="406"/>
      <c r="Z56" s="406"/>
      <c r="AA56" s="406"/>
      <c r="AB56" s="406"/>
      <c r="AC56" s="406"/>
      <c r="AD56" s="406"/>
      <c r="AE56" s="406"/>
      <c r="AF56" s="406"/>
      <c r="AG56" s="406"/>
      <c r="AH56" s="406"/>
      <c r="AI56" s="406"/>
      <c r="AJ56" s="406"/>
      <c r="AK56" s="406"/>
    </row>
    <row r="57" spans="1:37" ht="15.45" x14ac:dyDescent="0.4">
      <c r="A57" s="406"/>
      <c r="C57" s="1143" t="s">
        <v>848</v>
      </c>
      <c r="D57" s="1143"/>
      <c r="E57" s="1143"/>
      <c r="F57" s="1143"/>
      <c r="G57" s="772"/>
      <c r="H57" s="406"/>
      <c r="I57" s="406"/>
      <c r="J57" s="496"/>
      <c r="K57" s="406"/>
      <c r="L57" s="406"/>
      <c r="M57" s="406"/>
      <c r="N57" s="406"/>
      <c r="O57" s="406"/>
      <c r="P57" s="406"/>
      <c r="Q57" s="406"/>
      <c r="R57" s="406"/>
      <c r="S57" s="406"/>
      <c r="T57" s="406"/>
      <c r="U57" s="406"/>
      <c r="V57" s="406"/>
      <c r="W57" s="406"/>
      <c r="X57" s="406"/>
      <c r="Y57" s="406"/>
      <c r="Z57" s="406"/>
      <c r="AA57" s="406"/>
      <c r="AB57" s="406"/>
      <c r="AC57" s="406"/>
      <c r="AD57" s="406"/>
      <c r="AE57" s="406"/>
      <c r="AF57" s="406"/>
      <c r="AG57" s="406"/>
      <c r="AH57" s="406"/>
      <c r="AI57" s="406"/>
      <c r="AJ57" s="406"/>
      <c r="AK57" s="406"/>
    </row>
    <row r="58" spans="1:37" ht="15.45" x14ac:dyDescent="0.4">
      <c r="A58" s="406"/>
      <c r="B58" s="407" t="s">
        <v>844</v>
      </c>
      <c r="C58" s="501">
        <f>C52/60</f>
        <v>0</v>
      </c>
      <c r="D58" s="501">
        <f>D52/60</f>
        <v>0</v>
      </c>
      <c r="E58" s="501">
        <f>E52/60</f>
        <v>0</v>
      </c>
      <c r="F58" s="501">
        <f>F52/60</f>
        <v>0</v>
      </c>
      <c r="G58" s="501">
        <f>G52/60</f>
        <v>0</v>
      </c>
      <c r="H58" s="406"/>
      <c r="I58" s="406"/>
      <c r="J58" s="496"/>
      <c r="K58" s="406"/>
      <c r="L58" s="406"/>
      <c r="M58" s="406"/>
      <c r="N58" s="406"/>
      <c r="O58" s="406"/>
      <c r="P58" s="406"/>
      <c r="Q58" s="406"/>
      <c r="R58" s="406"/>
      <c r="S58" s="406"/>
      <c r="T58" s="406"/>
      <c r="U58" s="406"/>
      <c r="V58" s="406"/>
      <c r="W58" s="406"/>
      <c r="X58" s="406"/>
      <c r="Y58" s="406"/>
      <c r="Z58" s="406"/>
      <c r="AA58" s="406"/>
      <c r="AB58" s="406"/>
      <c r="AC58" s="406"/>
      <c r="AD58" s="406"/>
      <c r="AE58" s="406"/>
      <c r="AF58" s="406"/>
      <c r="AG58" s="406"/>
      <c r="AH58" s="406"/>
      <c r="AI58" s="406"/>
      <c r="AJ58" s="406"/>
      <c r="AK58" s="406"/>
    </row>
    <row r="59" spans="1:37" ht="15.45" x14ac:dyDescent="0.4">
      <c r="A59" s="406"/>
      <c r="B59" s="502" t="s">
        <v>734</v>
      </c>
      <c r="C59" s="503">
        <f>C31</f>
        <v>2</v>
      </c>
      <c r="D59" s="503">
        <f>D31</f>
        <v>2</v>
      </c>
      <c r="E59" s="503">
        <f>E31</f>
        <v>2</v>
      </c>
      <c r="F59" s="503">
        <f>F31</f>
        <v>2</v>
      </c>
      <c r="G59" s="503">
        <f>G31</f>
        <v>2</v>
      </c>
      <c r="H59" s="406"/>
      <c r="I59" s="406"/>
      <c r="J59" s="496"/>
      <c r="K59" s="406"/>
      <c r="L59" s="406"/>
      <c r="M59" s="406"/>
      <c r="N59" s="406"/>
      <c r="O59" s="406"/>
      <c r="P59" s="406"/>
      <c r="Q59" s="406"/>
      <c r="R59" s="406"/>
      <c r="S59" s="406"/>
      <c r="T59" s="406"/>
      <c r="U59" s="406"/>
      <c r="V59" s="406"/>
      <c r="W59" s="406"/>
      <c r="X59" s="406"/>
      <c r="Y59" s="406"/>
      <c r="Z59" s="406"/>
      <c r="AA59" s="406"/>
      <c r="AB59" s="406"/>
      <c r="AC59" s="406"/>
      <c r="AD59" s="406"/>
      <c r="AE59" s="406"/>
      <c r="AF59" s="406"/>
      <c r="AG59" s="406"/>
      <c r="AH59" s="406"/>
      <c r="AI59" s="406"/>
      <c r="AJ59" s="406"/>
      <c r="AK59" s="406"/>
    </row>
    <row r="60" spans="1:37" ht="15.45" x14ac:dyDescent="0.4">
      <c r="A60" s="406"/>
      <c r="B60" s="504" t="s">
        <v>849</v>
      </c>
      <c r="C60" s="505">
        <f>C58*C59</f>
        <v>0</v>
      </c>
      <c r="D60" s="505">
        <f>D58*D59</f>
        <v>0</v>
      </c>
      <c r="E60" s="505">
        <f>E58*E59</f>
        <v>0</v>
      </c>
      <c r="F60" s="505">
        <f>F58*F59</f>
        <v>0</v>
      </c>
      <c r="G60" s="505">
        <f>G58*G59</f>
        <v>0</v>
      </c>
      <c r="H60" s="406"/>
      <c r="I60" s="406"/>
      <c r="J60" s="496"/>
      <c r="K60" s="406"/>
      <c r="L60" s="406"/>
      <c r="M60" s="406"/>
      <c r="N60" s="406"/>
      <c r="O60" s="406"/>
      <c r="P60" s="406"/>
      <c r="Q60" s="406"/>
      <c r="R60" s="406"/>
      <c r="S60" s="406"/>
      <c r="T60" s="406"/>
      <c r="U60" s="406"/>
      <c r="V60" s="406"/>
      <c r="W60" s="406"/>
      <c r="X60" s="406"/>
      <c r="Y60" s="406"/>
      <c r="Z60" s="406"/>
      <c r="AA60" s="406"/>
      <c r="AB60" s="406"/>
      <c r="AC60" s="406"/>
      <c r="AD60" s="406"/>
      <c r="AE60" s="406"/>
      <c r="AF60" s="406"/>
      <c r="AG60" s="406"/>
      <c r="AH60" s="406"/>
      <c r="AI60" s="406"/>
      <c r="AJ60" s="406"/>
      <c r="AK60" s="406"/>
    </row>
    <row r="61" spans="1:37" ht="15.45" x14ac:dyDescent="0.4">
      <c r="A61" s="406"/>
      <c r="B61" s="504" t="s">
        <v>850</v>
      </c>
      <c r="C61" s="506">
        <f>C53</f>
        <v>0</v>
      </c>
      <c r="D61" s="506">
        <f>D53</f>
        <v>0</v>
      </c>
      <c r="E61" s="506">
        <f>E53</f>
        <v>0</v>
      </c>
      <c r="F61" s="506">
        <f>F53</f>
        <v>0</v>
      </c>
      <c r="G61" s="506">
        <f>G53</f>
        <v>0</v>
      </c>
      <c r="H61" s="406"/>
      <c r="I61" s="406"/>
      <c r="J61" s="496"/>
      <c r="K61" s="406"/>
      <c r="L61" s="406"/>
      <c r="M61" s="406"/>
      <c r="N61" s="406"/>
      <c r="O61" s="406"/>
      <c r="P61" s="406"/>
      <c r="Q61" s="406"/>
      <c r="R61" s="406"/>
      <c r="S61" s="406"/>
      <c r="T61" s="406"/>
      <c r="U61" s="406"/>
      <c r="V61" s="406"/>
      <c r="W61" s="406"/>
      <c r="X61" s="406"/>
      <c r="Y61" s="406"/>
      <c r="Z61" s="406"/>
      <c r="AA61" s="406"/>
      <c r="AB61" s="406"/>
      <c r="AC61" s="406"/>
      <c r="AD61" s="406"/>
      <c r="AE61" s="406"/>
      <c r="AF61" s="406"/>
      <c r="AG61" s="406"/>
      <c r="AH61" s="406"/>
      <c r="AI61" s="406"/>
      <c r="AJ61" s="406"/>
      <c r="AK61" s="406"/>
    </row>
    <row r="62" spans="1:37" ht="15.9" thickBot="1" x14ac:dyDescent="0.45">
      <c r="A62" s="406"/>
      <c r="B62" s="494" t="s">
        <v>851</v>
      </c>
      <c r="C62" s="507">
        <f>C60*C61</f>
        <v>0</v>
      </c>
      <c r="D62" s="507">
        <f>D60*D61</f>
        <v>0</v>
      </c>
      <c r="E62" s="507">
        <f>E60*E61</f>
        <v>0</v>
      </c>
      <c r="F62" s="507">
        <f>F60*F61</f>
        <v>0</v>
      </c>
      <c r="G62" s="507">
        <f>G60*G61</f>
        <v>0</v>
      </c>
      <c r="H62" s="406"/>
      <c r="I62" s="406"/>
      <c r="J62" s="496"/>
      <c r="K62" s="406"/>
      <c r="L62" s="406"/>
      <c r="M62" s="406"/>
      <c r="N62" s="406"/>
      <c r="O62" s="406"/>
      <c r="P62" s="406"/>
      <c r="Q62" s="406"/>
      <c r="R62" s="406"/>
      <c r="S62" s="406"/>
      <c r="T62" s="406"/>
      <c r="U62" s="406"/>
      <c r="V62" s="406"/>
      <c r="W62" s="406"/>
      <c r="X62" s="406"/>
      <c r="Y62" s="406"/>
      <c r="Z62" s="406"/>
      <c r="AA62" s="406"/>
      <c r="AB62" s="406"/>
      <c r="AC62" s="406"/>
      <c r="AD62" s="406"/>
      <c r="AE62" s="406"/>
      <c r="AF62" s="406"/>
      <c r="AG62" s="406"/>
      <c r="AH62" s="406"/>
      <c r="AI62" s="406"/>
      <c r="AJ62" s="406"/>
      <c r="AK62" s="406"/>
    </row>
    <row r="63" spans="1:37" ht="15.9" thickTop="1" x14ac:dyDescent="0.4">
      <c r="A63" s="406"/>
      <c r="B63" s="407"/>
      <c r="C63" s="501"/>
      <c r="D63" s="501"/>
      <c r="E63" s="501"/>
      <c r="F63" s="501"/>
      <c r="G63" s="501"/>
      <c r="H63" s="406"/>
      <c r="I63" s="406"/>
      <c r="J63" s="444"/>
      <c r="K63" s="406"/>
      <c r="L63" s="406"/>
      <c r="M63" s="406"/>
      <c r="N63" s="406"/>
      <c r="O63" s="406"/>
      <c r="P63" s="406"/>
      <c r="Q63" s="406"/>
      <c r="R63" s="406"/>
      <c r="S63" s="406"/>
      <c r="T63" s="406"/>
      <c r="U63" s="406"/>
      <c r="V63" s="406"/>
      <c r="W63" s="406"/>
      <c r="X63" s="406"/>
      <c r="Y63" s="406"/>
      <c r="Z63" s="406"/>
      <c r="AA63" s="406"/>
      <c r="AB63" s="406"/>
      <c r="AC63" s="406"/>
      <c r="AD63" s="406"/>
      <c r="AE63" s="406"/>
      <c r="AF63" s="406"/>
      <c r="AG63" s="406"/>
      <c r="AH63" s="406"/>
      <c r="AI63" s="406"/>
      <c r="AJ63" s="406"/>
      <c r="AK63" s="406"/>
    </row>
    <row r="64" spans="1:37" ht="15.45" x14ac:dyDescent="0.4">
      <c r="A64" s="406"/>
      <c r="B64" s="407"/>
      <c r="C64" s="501"/>
      <c r="D64" s="501"/>
      <c r="E64" s="501"/>
      <c r="F64" s="501"/>
      <c r="G64" s="501"/>
      <c r="H64" s="406"/>
      <c r="I64" s="406"/>
      <c r="J64" s="444"/>
      <c r="K64" s="406"/>
      <c r="L64" s="406"/>
      <c r="M64" s="406"/>
      <c r="N64" s="406"/>
      <c r="O64" s="406"/>
      <c r="P64" s="406"/>
      <c r="Q64" s="406"/>
      <c r="R64" s="406"/>
      <c r="S64" s="406"/>
      <c r="T64" s="406"/>
      <c r="U64" s="406"/>
      <c r="V64" s="406"/>
      <c r="W64" s="406"/>
      <c r="X64" s="406"/>
      <c r="Y64" s="406"/>
      <c r="Z64" s="406"/>
      <c r="AA64" s="406"/>
      <c r="AB64" s="406"/>
      <c r="AC64" s="406"/>
      <c r="AD64" s="406"/>
      <c r="AE64" s="406"/>
      <c r="AF64" s="406"/>
      <c r="AG64" s="406"/>
      <c r="AH64" s="406"/>
      <c r="AI64" s="406"/>
      <c r="AJ64" s="406"/>
      <c r="AK64" s="406"/>
    </row>
    <row r="65" spans="1:37" ht="15.45" x14ac:dyDescent="0.4">
      <c r="A65" s="406"/>
      <c r="B65" s="407"/>
      <c r="C65" s="501"/>
      <c r="D65" s="501"/>
      <c r="E65" s="501"/>
      <c r="F65" s="501"/>
      <c r="G65" s="501"/>
      <c r="H65" s="406"/>
      <c r="I65" s="406"/>
      <c r="J65" s="508"/>
      <c r="K65" s="406"/>
      <c r="L65" s="406"/>
      <c r="M65" s="406"/>
      <c r="N65" s="406"/>
      <c r="O65" s="406"/>
      <c r="P65" s="406"/>
      <c r="Q65" s="406"/>
      <c r="R65" s="406"/>
      <c r="S65" s="406"/>
      <c r="T65" s="406"/>
      <c r="U65" s="406"/>
      <c r="V65" s="406"/>
      <c r="W65" s="406"/>
      <c r="X65" s="406"/>
      <c r="Y65" s="406"/>
      <c r="Z65" s="406"/>
      <c r="AA65" s="406"/>
      <c r="AB65" s="406"/>
      <c r="AC65" s="406"/>
      <c r="AD65" s="406"/>
      <c r="AE65" s="406"/>
      <c r="AF65" s="406"/>
      <c r="AG65" s="406"/>
      <c r="AH65" s="406"/>
      <c r="AI65" s="406"/>
      <c r="AJ65" s="406"/>
      <c r="AK65" s="406"/>
    </row>
    <row r="66" spans="1:37" ht="15.45" x14ac:dyDescent="0.4">
      <c r="A66" s="406"/>
      <c r="B66" s="407"/>
      <c r="C66" s="501"/>
      <c r="D66" s="501"/>
      <c r="E66" s="501"/>
      <c r="F66" s="501"/>
      <c r="G66" s="501"/>
      <c r="H66" s="406"/>
      <c r="I66" s="406"/>
      <c r="J66" s="406"/>
      <c r="K66" s="406"/>
      <c r="L66" s="406"/>
      <c r="M66" s="406"/>
      <c r="N66" s="406"/>
      <c r="O66" s="406"/>
      <c r="P66" s="406"/>
      <c r="Q66" s="406"/>
      <c r="R66" s="406"/>
      <c r="S66" s="406"/>
      <c r="T66" s="406"/>
      <c r="U66" s="406"/>
      <c r="V66" s="406"/>
      <c r="W66" s="406"/>
      <c r="X66" s="406"/>
      <c r="Y66" s="406"/>
      <c r="Z66" s="406"/>
      <c r="AA66" s="406"/>
      <c r="AB66" s="406"/>
      <c r="AC66" s="406"/>
      <c r="AD66" s="406"/>
      <c r="AE66" s="406"/>
      <c r="AF66" s="406"/>
      <c r="AG66" s="406"/>
      <c r="AH66" s="406"/>
      <c r="AI66" s="406"/>
      <c r="AJ66" s="406"/>
      <c r="AK66" s="406"/>
    </row>
    <row r="67" spans="1:37" ht="15.45" x14ac:dyDescent="0.4">
      <c r="A67" s="406"/>
      <c r="B67" s="407"/>
      <c r="C67" s="501"/>
      <c r="D67" s="501"/>
      <c r="E67" s="501"/>
      <c r="F67" s="501"/>
      <c r="G67" s="501"/>
      <c r="H67" s="406"/>
      <c r="I67" s="406"/>
      <c r="J67" s="406"/>
      <c r="K67" s="406"/>
      <c r="L67" s="406"/>
      <c r="M67" s="406"/>
      <c r="N67" s="406"/>
      <c r="O67" s="406"/>
      <c r="P67" s="406"/>
      <c r="Q67" s="406"/>
      <c r="R67" s="406"/>
      <c r="S67" s="406"/>
      <c r="T67" s="406"/>
      <c r="U67" s="406"/>
      <c r="V67" s="406"/>
      <c r="W67" s="406"/>
      <c r="X67" s="406"/>
      <c r="Y67" s="406"/>
      <c r="Z67" s="406"/>
      <c r="AA67" s="406"/>
      <c r="AB67" s="406"/>
      <c r="AC67" s="406"/>
      <c r="AD67" s="406"/>
      <c r="AE67" s="406"/>
      <c r="AF67" s="406"/>
      <c r="AG67" s="406"/>
      <c r="AH67" s="406"/>
      <c r="AI67" s="406"/>
      <c r="AJ67" s="406"/>
      <c r="AK67" s="406"/>
    </row>
    <row r="68" spans="1:37" ht="15.45" x14ac:dyDescent="0.4">
      <c r="A68" s="406"/>
      <c r="B68" s="407"/>
      <c r="C68" s="501"/>
      <c r="D68" s="501"/>
      <c r="E68" s="501"/>
      <c r="F68" s="501"/>
      <c r="G68" s="501"/>
      <c r="H68" s="406"/>
      <c r="I68" s="406"/>
      <c r="J68" s="406"/>
      <c r="K68" s="406"/>
      <c r="L68" s="406"/>
      <c r="M68" s="406"/>
      <c r="N68" s="406"/>
      <c r="O68" s="406"/>
      <c r="P68" s="406"/>
      <c r="Q68" s="406"/>
      <c r="R68" s="406"/>
      <c r="S68" s="406"/>
      <c r="T68" s="406"/>
      <c r="U68" s="406"/>
      <c r="V68" s="406"/>
      <c r="W68" s="406"/>
      <c r="X68" s="406"/>
      <c r="Y68" s="406"/>
      <c r="Z68" s="406"/>
      <c r="AA68" s="406"/>
      <c r="AB68" s="406"/>
      <c r="AC68" s="406"/>
      <c r="AD68" s="406"/>
      <c r="AE68" s="406"/>
      <c r="AF68" s="406"/>
      <c r="AG68" s="406"/>
      <c r="AH68" s="406"/>
      <c r="AI68" s="406"/>
      <c r="AJ68" s="406"/>
      <c r="AK68" s="406"/>
    </row>
    <row r="69" spans="1:37" ht="15.45" x14ac:dyDescent="0.4">
      <c r="A69" s="406"/>
      <c r="B69" s="407"/>
      <c r="C69" s="501"/>
      <c r="D69" s="501"/>
      <c r="E69" s="501"/>
      <c r="F69" s="501"/>
      <c r="G69" s="501"/>
      <c r="H69" s="406"/>
      <c r="I69" s="406"/>
      <c r="J69" s="406"/>
      <c r="K69" s="406"/>
      <c r="L69" s="406"/>
      <c r="M69" s="406"/>
      <c r="N69" s="406"/>
      <c r="O69" s="406"/>
      <c r="P69" s="406"/>
      <c r="Q69" s="406"/>
      <c r="R69" s="406"/>
      <c r="S69" s="406"/>
      <c r="T69" s="406"/>
      <c r="U69" s="406"/>
      <c r="V69" s="406"/>
      <c r="W69" s="406"/>
      <c r="X69" s="406"/>
      <c r="Y69" s="406"/>
      <c r="Z69" s="406"/>
      <c r="AA69" s="406"/>
      <c r="AB69" s="406"/>
      <c r="AC69" s="406"/>
      <c r="AD69" s="406"/>
      <c r="AE69" s="406"/>
      <c r="AF69" s="406"/>
      <c r="AG69" s="406"/>
      <c r="AH69" s="406"/>
      <c r="AI69" s="406"/>
      <c r="AJ69" s="406"/>
      <c r="AK69" s="406"/>
    </row>
    <row r="70" spans="1:37" ht="15.45" x14ac:dyDescent="0.4">
      <c r="A70" s="406"/>
      <c r="B70" s="407"/>
      <c r="C70" s="501"/>
      <c r="D70" s="501"/>
      <c r="E70" s="501"/>
      <c r="F70" s="501"/>
      <c r="G70" s="501"/>
      <c r="H70" s="406"/>
      <c r="I70" s="406"/>
      <c r="J70" s="406"/>
      <c r="K70" s="406"/>
      <c r="L70" s="406"/>
      <c r="M70" s="406"/>
      <c r="N70" s="406"/>
      <c r="O70" s="406"/>
      <c r="P70" s="406"/>
      <c r="Q70" s="406"/>
      <c r="R70" s="406"/>
      <c r="S70" s="406"/>
      <c r="T70" s="406"/>
      <c r="U70" s="406"/>
      <c r="V70" s="406"/>
      <c r="W70" s="406"/>
      <c r="X70" s="406"/>
      <c r="Y70" s="406"/>
      <c r="Z70" s="406"/>
      <c r="AA70" s="406"/>
      <c r="AB70" s="406"/>
      <c r="AC70" s="406"/>
      <c r="AD70" s="406"/>
      <c r="AE70" s="406"/>
      <c r="AF70" s="406"/>
      <c r="AG70" s="406"/>
      <c r="AH70" s="406"/>
      <c r="AI70" s="406"/>
      <c r="AJ70" s="406"/>
      <c r="AK70" s="406"/>
    </row>
    <row r="71" spans="1:37" ht="15.45" x14ac:dyDescent="0.4">
      <c r="A71" s="406"/>
      <c r="B71" s="407"/>
      <c r="C71" s="501"/>
      <c r="D71" s="501"/>
      <c r="E71" s="501"/>
      <c r="F71" s="501"/>
      <c r="G71" s="501"/>
      <c r="H71" s="406"/>
      <c r="I71" s="406"/>
      <c r="J71" s="406"/>
      <c r="K71" s="406"/>
      <c r="L71" s="406"/>
      <c r="M71" s="406"/>
      <c r="N71" s="406"/>
      <c r="O71" s="406"/>
      <c r="P71" s="406"/>
      <c r="Q71" s="406"/>
      <c r="R71" s="406"/>
      <c r="S71" s="406"/>
      <c r="T71" s="406"/>
      <c r="U71" s="406"/>
      <c r="V71" s="406"/>
      <c r="W71" s="406"/>
      <c r="X71" s="406"/>
      <c r="Y71" s="406"/>
      <c r="Z71" s="406"/>
      <c r="AA71" s="406"/>
      <c r="AB71" s="406"/>
      <c r="AC71" s="406"/>
      <c r="AD71" s="406"/>
      <c r="AE71" s="406"/>
      <c r="AF71" s="406"/>
      <c r="AG71" s="406"/>
      <c r="AH71" s="406"/>
      <c r="AI71" s="406"/>
      <c r="AJ71" s="406"/>
      <c r="AK71" s="406"/>
    </row>
    <row r="72" spans="1:37" ht="15.45" x14ac:dyDescent="0.4">
      <c r="A72" s="406"/>
      <c r="B72" s="407"/>
      <c r="C72" s="501"/>
      <c r="D72" s="501"/>
      <c r="E72" s="501"/>
      <c r="F72" s="501"/>
      <c r="G72" s="501"/>
      <c r="H72" s="406"/>
      <c r="I72" s="406"/>
      <c r="J72" s="406"/>
      <c r="K72" s="406"/>
      <c r="L72" s="406"/>
      <c r="M72" s="406"/>
      <c r="N72" s="406"/>
      <c r="O72" s="406"/>
      <c r="P72" s="406"/>
      <c r="Q72" s="406"/>
      <c r="R72" s="406"/>
      <c r="S72" s="406"/>
      <c r="T72" s="406"/>
      <c r="U72" s="406"/>
      <c r="V72" s="406"/>
      <c r="W72" s="406"/>
      <c r="X72" s="406"/>
      <c r="Y72" s="406"/>
      <c r="Z72" s="406"/>
      <c r="AA72" s="406"/>
      <c r="AB72" s="406"/>
      <c r="AC72" s="406"/>
      <c r="AD72" s="406"/>
      <c r="AE72" s="406"/>
      <c r="AF72" s="406"/>
      <c r="AG72" s="406"/>
      <c r="AH72" s="406"/>
      <c r="AI72" s="406"/>
      <c r="AJ72" s="406"/>
      <c r="AK72" s="406"/>
    </row>
    <row r="73" spans="1:37" ht="15.45" x14ac:dyDescent="0.4">
      <c r="A73" s="406"/>
      <c r="B73" s="407"/>
      <c r="C73" s="501"/>
      <c r="D73" s="501"/>
      <c r="E73" s="501"/>
      <c r="F73" s="501"/>
      <c r="G73" s="501"/>
      <c r="H73" s="406"/>
      <c r="I73" s="406"/>
      <c r="J73" s="406"/>
      <c r="K73" s="406"/>
      <c r="L73" s="406"/>
      <c r="M73" s="406"/>
      <c r="N73" s="406"/>
      <c r="O73" s="406"/>
      <c r="P73" s="406"/>
      <c r="Q73" s="406"/>
      <c r="R73" s="406"/>
      <c r="S73" s="406"/>
      <c r="T73" s="406"/>
      <c r="U73" s="406"/>
      <c r="V73" s="406"/>
      <c r="W73" s="406"/>
      <c r="X73" s="406"/>
      <c r="Y73" s="406"/>
      <c r="Z73" s="406"/>
      <c r="AA73" s="406"/>
      <c r="AB73" s="406"/>
      <c r="AC73" s="406"/>
      <c r="AD73" s="406"/>
      <c r="AE73" s="406"/>
      <c r="AF73" s="406"/>
      <c r="AG73" s="406"/>
      <c r="AH73" s="406"/>
      <c r="AI73" s="406"/>
      <c r="AJ73" s="406"/>
      <c r="AK73" s="406"/>
    </row>
    <row r="74" spans="1:37" ht="15.45" x14ac:dyDescent="0.4">
      <c r="A74" s="406"/>
      <c r="B74" s="407"/>
      <c r="C74" s="501"/>
      <c r="D74" s="501"/>
      <c r="E74" s="501"/>
      <c r="F74" s="501"/>
      <c r="G74" s="501"/>
      <c r="H74" s="406"/>
      <c r="I74" s="406"/>
      <c r="J74" s="406"/>
      <c r="K74" s="406"/>
      <c r="L74" s="406"/>
      <c r="M74" s="406"/>
      <c r="N74" s="406"/>
      <c r="O74" s="406"/>
      <c r="P74" s="406"/>
      <c r="Q74" s="406"/>
      <c r="R74" s="406"/>
      <c r="S74" s="406"/>
      <c r="T74" s="406"/>
      <c r="U74" s="406"/>
      <c r="V74" s="406"/>
      <c r="W74" s="406"/>
      <c r="X74" s="406"/>
      <c r="Y74" s="406"/>
      <c r="Z74" s="406"/>
      <c r="AA74" s="406"/>
      <c r="AB74" s="406"/>
      <c r="AC74" s="406"/>
      <c r="AD74" s="406"/>
      <c r="AE74" s="406"/>
      <c r="AF74" s="406"/>
      <c r="AG74" s="406"/>
      <c r="AH74" s="406"/>
      <c r="AI74" s="406"/>
      <c r="AJ74" s="406"/>
      <c r="AK74" s="406"/>
    </row>
    <row r="75" spans="1:37" ht="15.45" x14ac:dyDescent="0.4">
      <c r="A75" s="406"/>
      <c r="B75" s="407"/>
      <c r="C75" s="501"/>
      <c r="D75" s="501"/>
      <c r="E75" s="501"/>
      <c r="F75" s="501"/>
      <c r="G75" s="501"/>
      <c r="H75" s="406"/>
      <c r="I75" s="406"/>
      <c r="J75" s="406"/>
      <c r="K75" s="406"/>
      <c r="L75" s="406"/>
      <c r="M75" s="406"/>
      <c r="N75" s="406"/>
      <c r="O75" s="406"/>
      <c r="P75" s="406"/>
      <c r="Q75" s="406"/>
      <c r="R75" s="406"/>
      <c r="S75" s="406"/>
      <c r="T75" s="406"/>
      <c r="U75" s="406"/>
      <c r="V75" s="406"/>
      <c r="W75" s="406"/>
      <c r="X75" s="406"/>
      <c r="Y75" s="406"/>
      <c r="Z75" s="406"/>
      <c r="AA75" s="406"/>
      <c r="AB75" s="406"/>
      <c r="AC75" s="406"/>
      <c r="AD75" s="406"/>
      <c r="AE75" s="406"/>
      <c r="AF75" s="406"/>
      <c r="AG75" s="406"/>
      <c r="AH75" s="406"/>
      <c r="AI75" s="406"/>
      <c r="AJ75" s="406"/>
      <c r="AK75" s="406"/>
    </row>
    <row r="76" spans="1:37" ht="15.45" x14ac:dyDescent="0.4">
      <c r="A76" s="406"/>
      <c r="B76" s="407"/>
      <c r="C76" s="501"/>
      <c r="D76" s="501"/>
      <c r="E76" s="501"/>
      <c r="F76" s="501"/>
      <c r="G76" s="501"/>
      <c r="H76" s="406"/>
      <c r="I76" s="406"/>
      <c r="J76" s="406"/>
      <c r="K76" s="406"/>
      <c r="L76" s="406"/>
      <c r="M76" s="406"/>
      <c r="N76" s="406"/>
      <c r="O76" s="406"/>
      <c r="P76" s="406"/>
      <c r="Q76" s="406"/>
      <c r="R76" s="406"/>
      <c r="S76" s="406"/>
      <c r="T76" s="406"/>
      <c r="U76" s="406"/>
      <c r="V76" s="406"/>
      <c r="W76" s="406"/>
      <c r="X76" s="406"/>
      <c r="Y76" s="406"/>
      <c r="Z76" s="406"/>
      <c r="AA76" s="406"/>
      <c r="AB76" s="406"/>
      <c r="AC76" s="406"/>
      <c r="AD76" s="406"/>
      <c r="AE76" s="406"/>
      <c r="AF76" s="406"/>
      <c r="AG76" s="406"/>
      <c r="AH76" s="406"/>
      <c r="AI76" s="406"/>
      <c r="AJ76" s="406"/>
      <c r="AK76" s="406"/>
    </row>
    <row r="77" spans="1:37" ht="15.45" x14ac:dyDescent="0.4">
      <c r="A77" s="406"/>
      <c r="B77" s="407"/>
      <c r="C77" s="501"/>
      <c r="D77" s="501"/>
      <c r="E77" s="501"/>
      <c r="F77" s="501"/>
      <c r="G77" s="501"/>
      <c r="H77" s="406"/>
      <c r="I77" s="406"/>
      <c r="J77" s="406"/>
      <c r="K77" s="406"/>
      <c r="L77" s="406"/>
      <c r="M77" s="406"/>
      <c r="N77" s="406"/>
      <c r="O77" s="406"/>
      <c r="P77" s="406"/>
      <c r="Q77" s="406"/>
      <c r="R77" s="406"/>
      <c r="S77" s="406"/>
      <c r="T77" s="406"/>
      <c r="U77" s="406"/>
      <c r="V77" s="406"/>
      <c r="W77" s="406"/>
      <c r="X77" s="406"/>
      <c r="Y77" s="406"/>
      <c r="Z77" s="406"/>
      <c r="AA77" s="406"/>
      <c r="AB77" s="406"/>
      <c r="AC77" s="406"/>
      <c r="AD77" s="406"/>
      <c r="AE77" s="406"/>
      <c r="AF77" s="406"/>
      <c r="AG77" s="406"/>
      <c r="AH77" s="406"/>
      <c r="AI77" s="406"/>
      <c r="AJ77" s="406"/>
      <c r="AK77" s="406"/>
    </row>
    <row r="78" spans="1:37" ht="15.45" x14ac:dyDescent="0.4">
      <c r="A78" s="406"/>
      <c r="B78" s="407"/>
      <c r="C78" s="501"/>
      <c r="D78" s="501"/>
      <c r="E78" s="501"/>
      <c r="F78" s="501"/>
      <c r="G78" s="501"/>
      <c r="H78" s="406"/>
      <c r="I78" s="406"/>
      <c r="J78" s="406"/>
      <c r="K78" s="406"/>
      <c r="L78" s="406"/>
      <c r="M78" s="406"/>
      <c r="N78" s="406"/>
      <c r="O78" s="406"/>
      <c r="P78" s="406"/>
      <c r="Q78" s="406"/>
      <c r="R78" s="406"/>
      <c r="S78" s="406"/>
      <c r="T78" s="406"/>
      <c r="U78" s="406"/>
      <c r="V78" s="406"/>
      <c r="W78" s="406"/>
      <c r="X78" s="406"/>
      <c r="Y78" s="406"/>
      <c r="Z78" s="406"/>
      <c r="AA78" s="406"/>
      <c r="AB78" s="406"/>
      <c r="AC78" s="406"/>
      <c r="AD78" s="406"/>
      <c r="AE78" s="406"/>
      <c r="AF78" s="406"/>
      <c r="AG78" s="406"/>
      <c r="AH78" s="406"/>
      <c r="AI78" s="406"/>
      <c r="AJ78" s="406"/>
      <c r="AK78" s="406"/>
    </row>
    <row r="79" spans="1:37" ht="15.45" x14ac:dyDescent="0.4">
      <c r="A79" s="406"/>
      <c r="B79" s="407"/>
      <c r="C79" s="501"/>
      <c r="D79" s="501"/>
      <c r="E79" s="501"/>
      <c r="F79" s="501"/>
      <c r="G79" s="501"/>
      <c r="H79" s="406"/>
      <c r="I79" s="406"/>
      <c r="J79" s="406"/>
      <c r="K79" s="406"/>
      <c r="L79" s="406"/>
      <c r="M79" s="406"/>
      <c r="N79" s="406"/>
      <c r="O79" s="406"/>
      <c r="P79" s="406"/>
      <c r="Q79" s="406"/>
      <c r="R79" s="406"/>
      <c r="S79" s="406"/>
      <c r="T79" s="406"/>
      <c r="U79" s="406"/>
      <c r="V79" s="406"/>
      <c r="W79" s="406"/>
      <c r="X79" s="406"/>
      <c r="Y79" s="406"/>
      <c r="Z79" s="406"/>
      <c r="AA79" s="406"/>
      <c r="AB79" s="406"/>
      <c r="AC79" s="406"/>
      <c r="AD79" s="406"/>
      <c r="AE79" s="406"/>
      <c r="AF79" s="406"/>
      <c r="AG79" s="406"/>
      <c r="AH79" s="406"/>
      <c r="AI79" s="406"/>
      <c r="AJ79" s="406"/>
      <c r="AK79" s="406"/>
    </row>
    <row r="80" spans="1:37" ht="15.45" x14ac:dyDescent="0.4">
      <c r="A80" s="406"/>
      <c r="B80" s="407"/>
      <c r="C80" s="501"/>
      <c r="D80" s="501"/>
      <c r="E80" s="501"/>
      <c r="F80" s="501"/>
      <c r="G80" s="501"/>
      <c r="H80" s="406"/>
      <c r="I80" s="406"/>
      <c r="J80" s="406"/>
      <c r="K80" s="406"/>
      <c r="L80" s="406"/>
      <c r="M80" s="406"/>
      <c r="N80" s="406"/>
      <c r="O80" s="406"/>
      <c r="P80" s="406"/>
      <c r="Q80" s="406"/>
      <c r="R80" s="406"/>
      <c r="S80" s="406"/>
      <c r="T80" s="406"/>
      <c r="U80" s="406"/>
      <c r="V80" s="406"/>
      <c r="W80" s="406"/>
      <c r="X80" s="406"/>
      <c r="Y80" s="406"/>
      <c r="Z80" s="406"/>
      <c r="AA80" s="406"/>
      <c r="AB80" s="406"/>
      <c r="AC80" s="406"/>
      <c r="AD80" s="406"/>
      <c r="AE80" s="406"/>
      <c r="AF80" s="406"/>
      <c r="AG80" s="406"/>
      <c r="AH80" s="406"/>
      <c r="AI80" s="406"/>
      <c r="AJ80" s="406"/>
      <c r="AK80" s="406"/>
    </row>
    <row r="81" spans="1:37" ht="15.45" x14ac:dyDescent="0.4">
      <c r="A81" s="406"/>
      <c r="B81" s="407"/>
      <c r="C81" s="501"/>
      <c r="D81" s="501"/>
      <c r="E81" s="501"/>
      <c r="F81" s="501"/>
      <c r="G81" s="501"/>
      <c r="H81" s="406"/>
      <c r="I81" s="406"/>
      <c r="J81" s="406"/>
      <c r="K81" s="406"/>
      <c r="L81" s="406"/>
      <c r="M81" s="406"/>
      <c r="N81" s="406"/>
      <c r="O81" s="406"/>
      <c r="P81" s="406"/>
      <c r="Q81" s="406"/>
      <c r="R81" s="406"/>
      <c r="S81" s="406"/>
      <c r="T81" s="406"/>
      <c r="U81" s="406"/>
      <c r="V81" s="406"/>
      <c r="W81" s="406"/>
      <c r="X81" s="406"/>
      <c r="Y81" s="406"/>
      <c r="Z81" s="406"/>
      <c r="AA81" s="406"/>
      <c r="AB81" s="406"/>
      <c r="AC81" s="406"/>
      <c r="AD81" s="406"/>
      <c r="AE81" s="406"/>
      <c r="AF81" s="406"/>
      <c r="AG81" s="406"/>
      <c r="AH81" s="406"/>
      <c r="AI81" s="406"/>
      <c r="AJ81" s="406"/>
      <c r="AK81" s="406"/>
    </row>
    <row r="82" spans="1:37" ht="15.45" x14ac:dyDescent="0.4">
      <c r="A82" s="406"/>
      <c r="B82" s="407"/>
      <c r="C82" s="501"/>
      <c r="D82" s="501"/>
      <c r="E82" s="501"/>
      <c r="F82" s="501"/>
      <c r="G82" s="501"/>
      <c r="H82" s="406"/>
      <c r="I82" s="406"/>
      <c r="J82" s="406"/>
      <c r="K82" s="406"/>
      <c r="L82" s="406"/>
      <c r="M82" s="406"/>
      <c r="N82" s="406"/>
      <c r="O82" s="406"/>
      <c r="P82" s="406"/>
      <c r="Q82" s="406"/>
      <c r="R82" s="406"/>
      <c r="S82" s="406"/>
      <c r="T82" s="406"/>
      <c r="U82" s="406"/>
      <c r="V82" s="406"/>
      <c r="W82" s="406"/>
      <c r="X82" s="406"/>
      <c r="Y82" s="406"/>
      <c r="Z82" s="406"/>
      <c r="AA82" s="406"/>
      <c r="AB82" s="406"/>
      <c r="AC82" s="406"/>
      <c r="AD82" s="406"/>
      <c r="AE82" s="406"/>
      <c r="AF82" s="406"/>
      <c r="AG82" s="406"/>
      <c r="AH82" s="406"/>
      <c r="AI82" s="406"/>
      <c r="AJ82" s="406"/>
      <c r="AK82" s="406"/>
    </row>
    <row r="83" spans="1:37" ht="15.45" x14ac:dyDescent="0.4">
      <c r="A83" s="406"/>
      <c r="B83" s="407"/>
      <c r="C83" s="501"/>
      <c r="D83" s="501"/>
      <c r="E83" s="501"/>
      <c r="F83" s="501"/>
      <c r="G83" s="501"/>
      <c r="H83" s="406"/>
      <c r="I83" s="406"/>
      <c r="J83" s="406"/>
      <c r="K83" s="406"/>
      <c r="L83" s="406"/>
      <c r="M83" s="406"/>
      <c r="N83" s="406"/>
      <c r="O83" s="406"/>
      <c r="P83" s="406"/>
      <c r="Q83" s="406"/>
      <c r="R83" s="406"/>
      <c r="S83" s="406"/>
      <c r="T83" s="406"/>
      <c r="U83" s="406"/>
      <c r="V83" s="406"/>
      <c r="W83" s="406"/>
      <c r="X83" s="406"/>
      <c r="Y83" s="406"/>
      <c r="Z83" s="406"/>
      <c r="AA83" s="406"/>
      <c r="AB83" s="406"/>
      <c r="AC83" s="406"/>
      <c r="AD83" s="406"/>
      <c r="AE83" s="406"/>
      <c r="AF83" s="406"/>
      <c r="AG83" s="406"/>
      <c r="AH83" s="406"/>
      <c r="AI83" s="406"/>
      <c r="AJ83" s="406"/>
      <c r="AK83" s="406"/>
    </row>
    <row r="84" spans="1:37" ht="15.45" x14ac:dyDescent="0.4">
      <c r="A84" s="406"/>
      <c r="B84" s="407"/>
      <c r="C84" s="501"/>
      <c r="D84" s="501"/>
      <c r="E84" s="501"/>
      <c r="F84" s="501"/>
      <c r="G84" s="501"/>
      <c r="H84" s="406"/>
      <c r="I84" s="406"/>
      <c r="J84" s="406"/>
      <c r="K84" s="406"/>
      <c r="L84" s="406"/>
      <c r="M84" s="406"/>
      <c r="N84" s="406"/>
      <c r="O84" s="406"/>
      <c r="P84" s="406"/>
      <c r="Q84" s="406"/>
      <c r="R84" s="406"/>
      <c r="S84" s="406"/>
      <c r="T84" s="406"/>
      <c r="U84" s="406"/>
      <c r="V84" s="406"/>
      <c r="W84" s="406"/>
      <c r="X84" s="406"/>
      <c r="Y84" s="406"/>
      <c r="Z84" s="406"/>
      <c r="AA84" s="406"/>
      <c r="AB84" s="406"/>
      <c r="AC84" s="406"/>
      <c r="AD84" s="406"/>
      <c r="AE84" s="406"/>
      <c r="AF84" s="406"/>
      <c r="AG84" s="406"/>
      <c r="AH84" s="406"/>
      <c r="AI84" s="406"/>
      <c r="AJ84" s="406"/>
      <c r="AK84" s="406"/>
    </row>
    <row r="85" spans="1:37" ht="15.45" x14ac:dyDescent="0.4">
      <c r="A85" s="406"/>
      <c r="B85" s="407"/>
      <c r="C85" s="501"/>
      <c r="D85" s="501"/>
      <c r="E85" s="501"/>
      <c r="F85" s="501"/>
      <c r="G85" s="501"/>
      <c r="H85" s="406"/>
      <c r="I85" s="406"/>
      <c r="J85" s="406"/>
      <c r="K85" s="406"/>
      <c r="L85" s="406"/>
      <c r="M85" s="406"/>
      <c r="N85" s="406"/>
      <c r="O85" s="406"/>
      <c r="P85" s="406"/>
      <c r="Q85" s="406"/>
      <c r="R85" s="406"/>
      <c r="S85" s="406"/>
      <c r="T85" s="406"/>
      <c r="U85" s="406"/>
      <c r="V85" s="406"/>
      <c r="W85" s="406"/>
      <c r="X85" s="406"/>
      <c r="Y85" s="406"/>
      <c r="Z85" s="406"/>
      <c r="AA85" s="406"/>
      <c r="AB85" s="406"/>
      <c r="AC85" s="406"/>
      <c r="AD85" s="406"/>
      <c r="AE85" s="406"/>
      <c r="AF85" s="406"/>
      <c r="AG85" s="406"/>
      <c r="AH85" s="406"/>
      <c r="AI85" s="406"/>
      <c r="AJ85" s="406"/>
      <c r="AK85" s="406"/>
    </row>
    <row r="86" spans="1:37" ht="15.45" x14ac:dyDescent="0.4">
      <c r="A86" s="406"/>
      <c r="B86" s="407"/>
      <c r="C86" s="501"/>
      <c r="D86" s="501"/>
      <c r="E86" s="501"/>
      <c r="F86" s="501"/>
      <c r="G86" s="501"/>
      <c r="H86" s="406"/>
      <c r="I86" s="406"/>
      <c r="J86" s="406"/>
      <c r="K86" s="406"/>
      <c r="L86" s="406"/>
      <c r="M86" s="406"/>
      <c r="N86" s="406"/>
      <c r="O86" s="406"/>
      <c r="P86" s="406"/>
      <c r="Q86" s="406"/>
      <c r="R86" s="406"/>
      <c r="S86" s="406"/>
      <c r="T86" s="406"/>
      <c r="U86" s="406"/>
      <c r="V86" s="406"/>
      <c r="W86" s="406"/>
      <c r="X86" s="406"/>
      <c r="Y86" s="406"/>
      <c r="Z86" s="406"/>
      <c r="AA86" s="406"/>
      <c r="AB86" s="406"/>
      <c r="AC86" s="406"/>
      <c r="AD86" s="406"/>
      <c r="AE86" s="406"/>
      <c r="AF86" s="406"/>
      <c r="AG86" s="406"/>
      <c r="AH86" s="406"/>
      <c r="AI86" s="406"/>
      <c r="AJ86" s="406"/>
      <c r="AK86" s="406"/>
    </row>
    <row r="87" spans="1:37" ht="15.45" x14ac:dyDescent="0.4">
      <c r="A87" s="406"/>
      <c r="B87" s="407"/>
      <c r="C87" s="501"/>
      <c r="D87" s="501"/>
      <c r="E87" s="501"/>
      <c r="F87" s="501"/>
      <c r="G87" s="501"/>
      <c r="H87" s="406"/>
      <c r="I87" s="406"/>
      <c r="J87" s="406"/>
      <c r="K87" s="406"/>
      <c r="L87" s="406"/>
      <c r="M87" s="406"/>
      <c r="N87" s="406"/>
      <c r="O87" s="406"/>
      <c r="P87" s="406"/>
      <c r="Q87" s="406"/>
      <c r="R87" s="406"/>
      <c r="S87" s="406"/>
      <c r="T87" s="406"/>
      <c r="U87" s="406"/>
      <c r="V87" s="406"/>
      <c r="W87" s="406"/>
      <c r="X87" s="406"/>
      <c r="Y87" s="406"/>
      <c r="Z87" s="406"/>
      <c r="AA87" s="406"/>
      <c r="AB87" s="406"/>
      <c r="AC87" s="406"/>
      <c r="AD87" s="406"/>
      <c r="AE87" s="406"/>
      <c r="AF87" s="406"/>
      <c r="AG87" s="406"/>
      <c r="AH87" s="406"/>
      <c r="AI87" s="406"/>
      <c r="AJ87" s="406"/>
      <c r="AK87" s="406"/>
    </row>
    <row r="88" spans="1:37" ht="15.45" x14ac:dyDescent="0.4">
      <c r="A88" s="406"/>
      <c r="B88" s="407"/>
      <c r="C88" s="501"/>
      <c r="D88" s="501"/>
      <c r="E88" s="501"/>
      <c r="F88" s="501"/>
      <c r="G88" s="501"/>
      <c r="H88" s="406"/>
      <c r="I88" s="406"/>
      <c r="J88" s="406"/>
      <c r="K88" s="406"/>
      <c r="L88" s="406"/>
      <c r="M88" s="406"/>
      <c r="N88" s="406"/>
      <c r="O88" s="406"/>
      <c r="P88" s="406"/>
      <c r="Q88" s="406"/>
      <c r="R88" s="406"/>
      <c r="S88" s="406"/>
      <c r="T88" s="406"/>
      <c r="U88" s="406"/>
      <c r="V88" s="406"/>
      <c r="W88" s="406"/>
      <c r="X88" s="406"/>
      <c r="Y88" s="406"/>
      <c r="Z88" s="406"/>
      <c r="AA88" s="406"/>
      <c r="AB88" s="406"/>
      <c r="AC88" s="406"/>
      <c r="AD88" s="406"/>
      <c r="AE88" s="406"/>
      <c r="AF88" s="406"/>
      <c r="AG88" s="406"/>
      <c r="AH88" s="406"/>
      <c r="AI88" s="406"/>
      <c r="AJ88" s="406"/>
      <c r="AK88" s="406"/>
    </row>
    <row r="89" spans="1:37" ht="15.45" x14ac:dyDescent="0.4">
      <c r="A89" s="406"/>
      <c r="B89" s="407"/>
      <c r="C89" s="501"/>
      <c r="D89" s="501"/>
      <c r="E89" s="501"/>
      <c r="F89" s="501"/>
      <c r="G89" s="501"/>
      <c r="H89" s="406"/>
      <c r="I89" s="406"/>
      <c r="J89" s="406"/>
      <c r="K89" s="406"/>
      <c r="L89" s="406"/>
      <c r="M89" s="406"/>
      <c r="N89" s="406"/>
      <c r="O89" s="406"/>
      <c r="P89" s="406"/>
      <c r="Q89" s="406"/>
      <c r="R89" s="406"/>
      <c r="S89" s="406"/>
      <c r="T89" s="406"/>
      <c r="U89" s="406"/>
      <c r="V89" s="406"/>
      <c r="W89" s="406"/>
      <c r="X89" s="406"/>
      <c r="Y89" s="406"/>
      <c r="Z89" s="406"/>
      <c r="AA89" s="406"/>
      <c r="AB89" s="406"/>
      <c r="AC89" s="406"/>
      <c r="AD89" s="406"/>
      <c r="AE89" s="406"/>
      <c r="AF89" s="406"/>
      <c r="AG89" s="406"/>
      <c r="AH89" s="406"/>
      <c r="AI89" s="406"/>
      <c r="AJ89" s="406"/>
      <c r="AK89" s="406"/>
    </row>
    <row r="90" spans="1:37" ht="15.45" x14ac:dyDescent="0.4">
      <c r="A90" s="406"/>
      <c r="B90" s="407"/>
      <c r="C90" s="501"/>
      <c r="D90" s="501"/>
      <c r="E90" s="501"/>
      <c r="F90" s="501"/>
      <c r="G90" s="501"/>
      <c r="H90" s="406"/>
      <c r="I90" s="406"/>
      <c r="J90" s="406"/>
      <c r="K90" s="406"/>
      <c r="L90" s="406"/>
      <c r="M90" s="406"/>
      <c r="N90" s="406"/>
      <c r="O90" s="406"/>
      <c r="P90" s="406"/>
      <c r="Q90" s="406"/>
      <c r="R90" s="406"/>
      <c r="S90" s="406"/>
      <c r="T90" s="406"/>
      <c r="U90" s="406"/>
      <c r="V90" s="406"/>
      <c r="W90" s="406"/>
      <c r="X90" s="406"/>
      <c r="Y90" s="406"/>
      <c r="Z90" s="406"/>
      <c r="AA90" s="406"/>
      <c r="AB90" s="406"/>
      <c r="AC90" s="406"/>
      <c r="AD90" s="406"/>
      <c r="AE90" s="406"/>
      <c r="AF90" s="406"/>
      <c r="AG90" s="406"/>
      <c r="AH90" s="406"/>
      <c r="AI90" s="406"/>
      <c r="AJ90" s="406"/>
      <c r="AK90" s="406"/>
    </row>
    <row r="91" spans="1:37" ht="15.45" x14ac:dyDescent="0.4">
      <c r="A91" s="406"/>
      <c r="B91" s="407"/>
      <c r="C91" s="501"/>
      <c r="D91" s="501"/>
      <c r="E91" s="501"/>
      <c r="F91" s="501"/>
      <c r="G91" s="501"/>
      <c r="H91" s="406"/>
      <c r="I91" s="406"/>
      <c r="J91" s="406"/>
      <c r="K91" s="406"/>
      <c r="L91" s="406"/>
      <c r="M91" s="406"/>
      <c r="N91" s="406"/>
      <c r="O91" s="406"/>
      <c r="P91" s="406"/>
      <c r="Q91" s="406"/>
      <c r="R91" s="406"/>
      <c r="S91" s="406"/>
      <c r="T91" s="406"/>
      <c r="U91" s="406"/>
      <c r="V91" s="406"/>
      <c r="W91" s="406"/>
      <c r="X91" s="406"/>
      <c r="Y91" s="406"/>
      <c r="Z91" s="406"/>
      <c r="AA91" s="406"/>
      <c r="AB91" s="406"/>
      <c r="AC91" s="406"/>
      <c r="AD91" s="406"/>
      <c r="AE91" s="406"/>
      <c r="AF91" s="406"/>
      <c r="AG91" s="406"/>
      <c r="AH91" s="406"/>
      <c r="AI91" s="406"/>
      <c r="AJ91" s="406"/>
      <c r="AK91" s="406"/>
    </row>
    <row r="92" spans="1:37" ht="15.45" x14ac:dyDescent="0.4">
      <c r="A92" s="406"/>
      <c r="B92" s="407"/>
      <c r="C92" s="501"/>
      <c r="D92" s="501"/>
      <c r="E92" s="501"/>
      <c r="F92" s="501"/>
      <c r="G92" s="501"/>
      <c r="H92" s="406"/>
      <c r="I92" s="406"/>
      <c r="J92" s="406"/>
      <c r="K92" s="406"/>
      <c r="L92" s="406"/>
      <c r="M92" s="406"/>
      <c r="N92" s="406"/>
      <c r="O92" s="406"/>
      <c r="P92" s="406"/>
      <c r="Q92" s="406"/>
      <c r="R92" s="406"/>
      <c r="S92" s="406"/>
      <c r="T92" s="406"/>
      <c r="U92" s="406"/>
      <c r="V92" s="406"/>
      <c r="W92" s="406"/>
      <c r="X92" s="406"/>
      <c r="Y92" s="406"/>
      <c r="Z92" s="406"/>
      <c r="AA92" s="406"/>
      <c r="AB92" s="406"/>
      <c r="AC92" s="406"/>
      <c r="AD92" s="406"/>
      <c r="AE92" s="406"/>
      <c r="AF92" s="406"/>
      <c r="AG92" s="406"/>
      <c r="AH92" s="406"/>
      <c r="AI92" s="406"/>
      <c r="AJ92" s="406"/>
      <c r="AK92" s="406"/>
    </row>
    <row r="93" spans="1:37" ht="15.45" x14ac:dyDescent="0.4">
      <c r="A93" s="406"/>
      <c r="B93" s="407"/>
      <c r="C93" s="501"/>
      <c r="D93" s="501"/>
      <c r="E93" s="501"/>
      <c r="F93" s="501"/>
      <c r="G93" s="501"/>
      <c r="H93" s="406"/>
      <c r="I93" s="406"/>
      <c r="J93" s="406"/>
      <c r="K93" s="406"/>
      <c r="L93" s="406"/>
      <c r="M93" s="406"/>
      <c r="N93" s="406"/>
      <c r="O93" s="406"/>
      <c r="P93" s="406"/>
      <c r="Q93" s="406"/>
      <c r="R93" s="406"/>
      <c r="S93" s="406"/>
      <c r="T93" s="406"/>
      <c r="U93" s="406"/>
      <c r="V93" s="406"/>
      <c r="W93" s="406"/>
      <c r="X93" s="406"/>
      <c r="Y93" s="406"/>
      <c r="Z93" s="406"/>
      <c r="AA93" s="406"/>
      <c r="AB93" s="406"/>
      <c r="AC93" s="406"/>
      <c r="AD93" s="406"/>
      <c r="AE93" s="406"/>
      <c r="AF93" s="406"/>
      <c r="AG93" s="406"/>
      <c r="AH93" s="406"/>
      <c r="AI93" s="406"/>
      <c r="AJ93" s="406"/>
      <c r="AK93" s="406"/>
    </row>
    <row r="94" spans="1:37" ht="15.45" x14ac:dyDescent="0.4">
      <c r="A94" s="406"/>
      <c r="B94" s="407"/>
      <c r="C94" s="501"/>
      <c r="D94" s="501"/>
      <c r="E94" s="501"/>
      <c r="F94" s="501"/>
      <c r="G94" s="501"/>
      <c r="H94" s="406"/>
      <c r="I94" s="406"/>
      <c r="J94" s="406"/>
      <c r="K94" s="406"/>
      <c r="L94" s="406"/>
      <c r="M94" s="406"/>
      <c r="N94" s="406"/>
      <c r="O94" s="406"/>
      <c r="P94" s="406"/>
      <c r="Q94" s="406"/>
      <c r="R94" s="406"/>
      <c r="S94" s="406"/>
      <c r="T94" s="406"/>
      <c r="U94" s="406"/>
      <c r="V94" s="406"/>
      <c r="W94" s="406"/>
      <c r="X94" s="406"/>
      <c r="Y94" s="406"/>
      <c r="Z94" s="406"/>
      <c r="AA94" s="406"/>
      <c r="AB94" s="406"/>
      <c r="AC94" s="406"/>
      <c r="AD94" s="406"/>
      <c r="AE94" s="406"/>
      <c r="AF94" s="406"/>
      <c r="AG94" s="406"/>
      <c r="AH94" s="406"/>
      <c r="AI94" s="406"/>
      <c r="AJ94" s="406"/>
      <c r="AK94" s="406"/>
    </row>
    <row r="95" spans="1:37" ht="15.45" x14ac:dyDescent="0.4">
      <c r="A95" s="406"/>
      <c r="B95" s="407"/>
      <c r="C95" s="501"/>
      <c r="D95" s="501"/>
      <c r="E95" s="501"/>
      <c r="F95" s="501"/>
      <c r="G95" s="501"/>
      <c r="H95" s="406"/>
      <c r="I95" s="406"/>
      <c r="J95" s="406"/>
      <c r="K95" s="406"/>
      <c r="L95" s="406"/>
      <c r="M95" s="406"/>
      <c r="N95" s="406"/>
      <c r="O95" s="406"/>
      <c r="P95" s="406"/>
      <c r="Q95" s="406"/>
      <c r="R95" s="406"/>
      <c r="S95" s="406"/>
      <c r="T95" s="406"/>
      <c r="U95" s="406"/>
      <c r="V95" s="406"/>
      <c r="W95" s="406"/>
      <c r="X95" s="406"/>
      <c r="Y95" s="406"/>
      <c r="Z95" s="406"/>
      <c r="AA95" s="406"/>
      <c r="AB95" s="406"/>
      <c r="AC95" s="406"/>
      <c r="AD95" s="406"/>
      <c r="AE95" s="406"/>
      <c r="AF95" s="406"/>
      <c r="AG95" s="406"/>
      <c r="AH95" s="406"/>
      <c r="AI95" s="406"/>
      <c r="AJ95" s="406"/>
      <c r="AK95" s="406"/>
    </row>
    <row r="96" spans="1:37" ht="15.45" x14ac:dyDescent="0.4">
      <c r="A96" s="406"/>
      <c r="B96" s="407"/>
      <c r="C96" s="501"/>
      <c r="D96" s="501"/>
      <c r="E96" s="501"/>
      <c r="F96" s="501"/>
      <c r="G96" s="501"/>
      <c r="H96" s="406"/>
      <c r="I96" s="406"/>
      <c r="J96" s="406"/>
      <c r="K96" s="406"/>
      <c r="L96" s="406"/>
      <c r="M96" s="406"/>
      <c r="N96" s="406"/>
      <c r="O96" s="406"/>
      <c r="P96" s="406"/>
      <c r="Q96" s="406"/>
      <c r="R96" s="406"/>
      <c r="S96" s="406"/>
      <c r="T96" s="406"/>
      <c r="U96" s="406"/>
      <c r="V96" s="406"/>
      <c r="W96" s="406"/>
      <c r="X96" s="406"/>
      <c r="Y96" s="406"/>
      <c r="Z96" s="406"/>
      <c r="AA96" s="406"/>
      <c r="AB96" s="406"/>
      <c r="AC96" s="406"/>
      <c r="AD96" s="406"/>
      <c r="AE96" s="406"/>
      <c r="AF96" s="406"/>
      <c r="AG96" s="406"/>
      <c r="AH96" s="406"/>
      <c r="AI96" s="406"/>
      <c r="AJ96" s="406"/>
      <c r="AK96" s="406"/>
    </row>
    <row r="97" spans="1:37" ht="15.45" x14ac:dyDescent="0.4">
      <c r="A97" s="406"/>
      <c r="B97" s="407"/>
      <c r="C97" s="501"/>
      <c r="D97" s="501"/>
      <c r="E97" s="501"/>
      <c r="F97" s="501"/>
      <c r="G97" s="501"/>
      <c r="H97" s="406"/>
      <c r="I97" s="406"/>
      <c r="J97" s="406"/>
      <c r="K97" s="406"/>
      <c r="L97" s="406"/>
      <c r="M97" s="406"/>
      <c r="N97" s="406"/>
      <c r="O97" s="406"/>
      <c r="P97" s="406"/>
      <c r="Q97" s="406"/>
      <c r="R97" s="406"/>
      <c r="S97" s="406"/>
      <c r="T97" s="406"/>
      <c r="U97" s="406"/>
      <c r="V97" s="406"/>
      <c r="W97" s="406"/>
      <c r="X97" s="406"/>
      <c r="Y97" s="406"/>
      <c r="Z97" s="406"/>
      <c r="AA97" s="406"/>
      <c r="AB97" s="406"/>
      <c r="AC97" s="406"/>
      <c r="AD97" s="406"/>
      <c r="AE97" s="406"/>
      <c r="AF97" s="406"/>
      <c r="AG97" s="406"/>
      <c r="AH97" s="406"/>
      <c r="AI97" s="406"/>
      <c r="AJ97" s="406"/>
      <c r="AK97" s="406"/>
    </row>
    <row r="98" spans="1:37" ht="15.45" x14ac:dyDescent="0.4">
      <c r="A98" s="406"/>
      <c r="B98" s="407"/>
      <c r="C98" s="501"/>
      <c r="D98" s="501"/>
      <c r="E98" s="501"/>
      <c r="F98" s="501"/>
      <c r="G98" s="501"/>
      <c r="H98" s="406"/>
      <c r="I98" s="406"/>
      <c r="J98" s="406"/>
      <c r="K98" s="406"/>
      <c r="L98" s="406"/>
      <c r="M98" s="406"/>
      <c r="N98" s="406"/>
      <c r="O98" s="406"/>
      <c r="P98" s="406"/>
      <c r="Q98" s="406"/>
      <c r="R98" s="406"/>
      <c r="S98" s="406"/>
      <c r="T98" s="406"/>
      <c r="U98" s="406"/>
      <c r="V98" s="406"/>
      <c r="W98" s="406"/>
      <c r="X98" s="406"/>
      <c r="Y98" s="406"/>
      <c r="Z98" s="406"/>
      <c r="AA98" s="406"/>
      <c r="AB98" s="406"/>
      <c r="AC98" s="406"/>
      <c r="AD98" s="406"/>
      <c r="AE98" s="406"/>
      <c r="AF98" s="406"/>
      <c r="AG98" s="406"/>
      <c r="AH98" s="406"/>
      <c r="AI98" s="406"/>
      <c r="AJ98" s="406"/>
      <c r="AK98" s="406"/>
    </row>
    <row r="99" spans="1:37" ht="15.45" x14ac:dyDescent="0.4">
      <c r="A99" s="406"/>
      <c r="B99" s="407"/>
      <c r="C99" s="501"/>
      <c r="D99" s="501"/>
      <c r="E99" s="501"/>
      <c r="F99" s="501"/>
      <c r="G99" s="501"/>
      <c r="H99" s="406"/>
      <c r="I99" s="406"/>
      <c r="J99" s="406"/>
      <c r="K99" s="406"/>
      <c r="L99" s="406"/>
      <c r="M99" s="406"/>
      <c r="N99" s="406"/>
      <c r="O99" s="406"/>
      <c r="P99" s="406"/>
      <c r="Q99" s="406"/>
      <c r="R99" s="406"/>
      <c r="S99" s="406"/>
      <c r="T99" s="406"/>
      <c r="U99" s="406"/>
      <c r="V99" s="406"/>
      <c r="W99" s="406"/>
      <c r="X99" s="406"/>
      <c r="Y99" s="406"/>
      <c r="Z99" s="406"/>
      <c r="AA99" s="406"/>
      <c r="AB99" s="406"/>
      <c r="AC99" s="406"/>
      <c r="AD99" s="406"/>
      <c r="AE99" s="406"/>
      <c r="AF99" s="406"/>
      <c r="AG99" s="406"/>
      <c r="AH99" s="406"/>
      <c r="AI99" s="406"/>
      <c r="AJ99" s="406"/>
      <c r="AK99" s="406"/>
    </row>
    <row r="100" spans="1:37" ht="15.45" x14ac:dyDescent="0.4">
      <c r="A100" s="406"/>
      <c r="B100" s="407"/>
      <c r="C100" s="501"/>
      <c r="D100" s="501"/>
      <c r="E100" s="501"/>
      <c r="F100" s="501"/>
      <c r="G100" s="501"/>
      <c r="H100" s="406"/>
      <c r="I100" s="406"/>
      <c r="J100" s="406"/>
      <c r="K100" s="406"/>
      <c r="L100" s="406"/>
      <c r="M100" s="406"/>
      <c r="N100" s="406"/>
      <c r="O100" s="406"/>
      <c r="P100" s="406"/>
      <c r="Q100" s="406"/>
      <c r="R100" s="406"/>
      <c r="S100" s="406"/>
      <c r="T100" s="406"/>
      <c r="U100" s="406"/>
      <c r="V100" s="406"/>
      <c r="W100" s="406"/>
      <c r="X100" s="406"/>
      <c r="Y100" s="406"/>
      <c r="Z100" s="406"/>
      <c r="AA100" s="406"/>
      <c r="AB100" s="406"/>
      <c r="AC100" s="406"/>
      <c r="AD100" s="406"/>
      <c r="AE100" s="406"/>
      <c r="AF100" s="406"/>
      <c r="AG100" s="406"/>
      <c r="AH100" s="406"/>
      <c r="AI100" s="406"/>
      <c r="AJ100" s="406"/>
      <c r="AK100" s="406"/>
    </row>
    <row r="101" spans="1:37" ht="15.45" x14ac:dyDescent="0.4">
      <c r="A101" s="406"/>
      <c r="B101" s="407"/>
      <c r="C101" s="501"/>
      <c r="D101" s="501"/>
      <c r="E101" s="501"/>
      <c r="F101" s="501"/>
      <c r="G101" s="501"/>
      <c r="H101" s="406"/>
      <c r="I101" s="406"/>
      <c r="J101" s="406"/>
      <c r="K101" s="406"/>
      <c r="L101" s="406"/>
      <c r="M101" s="406"/>
      <c r="N101" s="406"/>
      <c r="O101" s="406"/>
      <c r="P101" s="406"/>
      <c r="Q101" s="406"/>
      <c r="R101" s="406"/>
      <c r="S101" s="406"/>
      <c r="T101" s="406"/>
      <c r="U101" s="406"/>
      <c r="V101" s="406"/>
      <c r="W101" s="406"/>
      <c r="X101" s="406"/>
      <c r="Y101" s="406"/>
      <c r="Z101" s="406"/>
      <c r="AA101" s="406"/>
      <c r="AB101" s="406"/>
      <c r="AC101" s="406"/>
      <c r="AD101" s="406"/>
      <c r="AE101" s="406"/>
      <c r="AF101" s="406"/>
      <c r="AG101" s="406"/>
      <c r="AH101" s="406"/>
      <c r="AI101" s="406"/>
      <c r="AJ101" s="406"/>
      <c r="AK101" s="406"/>
    </row>
    <row r="102" spans="1:37" ht="15.45" x14ac:dyDescent="0.4">
      <c r="A102" s="406"/>
      <c r="B102" s="407"/>
      <c r="C102" s="501"/>
      <c r="D102" s="501"/>
      <c r="E102" s="501"/>
      <c r="F102" s="501"/>
      <c r="G102" s="501"/>
      <c r="H102" s="406"/>
      <c r="I102" s="406"/>
      <c r="J102" s="406"/>
      <c r="K102" s="406"/>
      <c r="L102" s="406"/>
      <c r="M102" s="406"/>
      <c r="N102" s="406"/>
      <c r="O102" s="406"/>
      <c r="P102" s="406"/>
      <c r="Q102" s="406"/>
      <c r="R102" s="406"/>
      <c r="S102" s="406"/>
      <c r="T102" s="406"/>
      <c r="U102" s="406"/>
      <c r="V102" s="406"/>
      <c r="W102" s="406"/>
      <c r="X102" s="406"/>
      <c r="Y102" s="406"/>
      <c r="Z102" s="406"/>
      <c r="AA102" s="406"/>
      <c r="AB102" s="406"/>
      <c r="AC102" s="406"/>
      <c r="AD102" s="406"/>
      <c r="AE102" s="406"/>
      <c r="AF102" s="406"/>
      <c r="AG102" s="406"/>
      <c r="AH102" s="406"/>
      <c r="AI102" s="406"/>
      <c r="AJ102" s="406"/>
      <c r="AK102" s="406"/>
    </row>
    <row r="103" spans="1:37" ht="15.45" x14ac:dyDescent="0.4">
      <c r="A103" s="406"/>
      <c r="B103" s="407"/>
      <c r="C103" s="501"/>
      <c r="D103" s="501"/>
      <c r="E103" s="501"/>
      <c r="F103" s="501"/>
      <c r="G103" s="501"/>
      <c r="H103" s="406"/>
      <c r="I103" s="406"/>
      <c r="J103" s="406"/>
      <c r="K103" s="406"/>
      <c r="L103" s="406"/>
      <c r="M103" s="406"/>
      <c r="N103" s="406"/>
      <c r="O103" s="406"/>
      <c r="P103" s="406"/>
      <c r="Q103" s="406"/>
      <c r="R103" s="406"/>
      <c r="S103" s="406"/>
      <c r="T103" s="406"/>
      <c r="U103" s="406"/>
      <c r="V103" s="406"/>
      <c r="W103" s="406"/>
      <c r="X103" s="406"/>
      <c r="Y103" s="406"/>
      <c r="Z103" s="406"/>
      <c r="AA103" s="406"/>
      <c r="AB103" s="406"/>
      <c r="AC103" s="406"/>
      <c r="AD103" s="406"/>
      <c r="AE103" s="406"/>
      <c r="AF103" s="406"/>
      <c r="AG103" s="406"/>
      <c r="AH103" s="406"/>
      <c r="AI103" s="406"/>
      <c r="AJ103" s="406"/>
      <c r="AK103" s="406"/>
    </row>
    <row r="104" spans="1:37" ht="15.45" x14ac:dyDescent="0.4">
      <c r="A104" s="406"/>
      <c r="B104" s="407"/>
      <c r="C104" s="501"/>
      <c r="D104" s="501"/>
      <c r="E104" s="501"/>
      <c r="F104" s="501"/>
      <c r="G104" s="501"/>
      <c r="H104" s="406"/>
      <c r="I104" s="406"/>
      <c r="J104" s="406"/>
      <c r="K104" s="406"/>
      <c r="L104" s="406"/>
      <c r="M104" s="406"/>
      <c r="N104" s="406"/>
      <c r="O104" s="406"/>
      <c r="P104" s="406"/>
      <c r="Q104" s="406"/>
      <c r="R104" s="406"/>
      <c r="S104" s="406"/>
      <c r="T104" s="406"/>
      <c r="U104" s="406"/>
      <c r="V104" s="406"/>
      <c r="W104" s="406"/>
      <c r="X104" s="406"/>
      <c r="Y104" s="406"/>
      <c r="Z104" s="406"/>
      <c r="AA104" s="406"/>
      <c r="AB104" s="406"/>
      <c r="AC104" s="406"/>
      <c r="AD104" s="406"/>
      <c r="AE104" s="406"/>
      <c r="AF104" s="406"/>
      <c r="AG104" s="406"/>
      <c r="AH104" s="406"/>
      <c r="AI104" s="406"/>
      <c r="AJ104" s="406"/>
      <c r="AK104" s="406"/>
    </row>
    <row r="105" spans="1:37" ht="15.45" x14ac:dyDescent="0.4">
      <c r="A105" s="406"/>
      <c r="B105" s="407"/>
      <c r="C105" s="501"/>
      <c r="D105" s="501"/>
      <c r="E105" s="501"/>
      <c r="F105" s="501"/>
      <c r="G105" s="501"/>
      <c r="H105" s="406"/>
      <c r="I105" s="406"/>
      <c r="J105" s="406"/>
      <c r="K105" s="406"/>
      <c r="L105" s="406"/>
      <c r="M105" s="406"/>
      <c r="N105" s="406"/>
      <c r="O105" s="406"/>
      <c r="P105" s="406"/>
      <c r="Q105" s="406"/>
      <c r="R105" s="406"/>
      <c r="S105" s="406"/>
      <c r="T105" s="406"/>
      <c r="U105" s="406"/>
      <c r="V105" s="406"/>
      <c r="W105" s="406"/>
      <c r="X105" s="406"/>
      <c r="Y105" s="406"/>
      <c r="Z105" s="406"/>
      <c r="AA105" s="406"/>
      <c r="AB105" s="406"/>
      <c r="AC105" s="406"/>
      <c r="AD105" s="406"/>
      <c r="AE105" s="406"/>
      <c r="AF105" s="406"/>
      <c r="AG105" s="406"/>
      <c r="AH105" s="406"/>
      <c r="AI105" s="406"/>
      <c r="AJ105" s="406"/>
      <c r="AK105" s="406"/>
    </row>
    <row r="106" spans="1:37" ht="15.45" x14ac:dyDescent="0.4">
      <c r="A106" s="406"/>
      <c r="B106" s="407"/>
      <c r="C106" s="501"/>
      <c r="D106" s="501"/>
      <c r="E106" s="501"/>
      <c r="F106" s="501"/>
      <c r="G106" s="501"/>
      <c r="H106" s="406"/>
      <c r="I106" s="406"/>
      <c r="J106" s="406"/>
      <c r="K106" s="406"/>
      <c r="L106" s="406"/>
      <c r="M106" s="406"/>
      <c r="N106" s="406"/>
      <c r="O106" s="406"/>
      <c r="P106" s="406"/>
      <c r="Q106" s="406"/>
      <c r="R106" s="406"/>
      <c r="S106" s="406"/>
      <c r="T106" s="406"/>
      <c r="U106" s="406"/>
      <c r="V106" s="406"/>
      <c r="W106" s="406"/>
      <c r="X106" s="406"/>
      <c r="Y106" s="406"/>
      <c r="Z106" s="406"/>
      <c r="AA106" s="406"/>
      <c r="AB106" s="406"/>
      <c r="AC106" s="406"/>
      <c r="AD106" s="406"/>
      <c r="AE106" s="406"/>
      <c r="AF106" s="406"/>
      <c r="AG106" s="406"/>
      <c r="AH106" s="406"/>
      <c r="AI106" s="406"/>
      <c r="AJ106" s="406"/>
      <c r="AK106" s="406"/>
    </row>
    <row r="107" spans="1:37" ht="15.45" x14ac:dyDescent="0.4">
      <c r="A107" s="406"/>
      <c r="B107" s="407"/>
      <c r="C107" s="501"/>
      <c r="D107" s="501"/>
      <c r="E107" s="501"/>
      <c r="F107" s="501"/>
      <c r="G107" s="501"/>
      <c r="H107" s="406"/>
      <c r="I107" s="406"/>
      <c r="J107" s="406"/>
      <c r="K107" s="406"/>
      <c r="L107" s="406"/>
      <c r="M107" s="406"/>
      <c r="N107" s="406"/>
      <c r="O107" s="406"/>
      <c r="P107" s="406"/>
      <c r="Q107" s="406"/>
      <c r="R107" s="406"/>
      <c r="S107" s="406"/>
      <c r="T107" s="406"/>
      <c r="U107" s="406"/>
      <c r="V107" s="406"/>
      <c r="W107" s="406"/>
      <c r="X107" s="406"/>
      <c r="Y107" s="406"/>
      <c r="Z107" s="406"/>
      <c r="AA107" s="406"/>
      <c r="AB107" s="406"/>
      <c r="AC107" s="406"/>
      <c r="AD107" s="406"/>
      <c r="AE107" s="406"/>
      <c r="AF107" s="406"/>
      <c r="AG107" s="406"/>
      <c r="AH107" s="406"/>
      <c r="AI107" s="406"/>
      <c r="AJ107" s="406"/>
      <c r="AK107" s="406"/>
    </row>
    <row r="108" spans="1:37" ht="15.45" x14ac:dyDescent="0.4">
      <c r="A108" s="406"/>
      <c r="B108" s="407"/>
      <c r="C108" s="501"/>
      <c r="D108" s="501"/>
      <c r="E108" s="501"/>
      <c r="F108" s="501"/>
      <c r="G108" s="501"/>
      <c r="H108" s="406"/>
      <c r="I108" s="406"/>
      <c r="J108" s="406"/>
      <c r="K108" s="406"/>
      <c r="L108" s="406"/>
      <c r="M108" s="406"/>
      <c r="N108" s="406"/>
      <c r="O108" s="406"/>
      <c r="P108" s="406"/>
      <c r="Q108" s="406"/>
      <c r="R108" s="406"/>
      <c r="S108" s="406"/>
      <c r="T108" s="406"/>
      <c r="U108" s="406"/>
      <c r="V108" s="406"/>
      <c r="W108" s="406"/>
      <c r="X108" s="406"/>
      <c r="Y108" s="406"/>
      <c r="Z108" s="406"/>
      <c r="AA108" s="406"/>
      <c r="AB108" s="406"/>
      <c r="AC108" s="406"/>
      <c r="AD108" s="406"/>
      <c r="AE108" s="406"/>
      <c r="AF108" s="406"/>
      <c r="AG108" s="406"/>
      <c r="AH108" s="406"/>
      <c r="AI108" s="406"/>
      <c r="AJ108" s="406"/>
      <c r="AK108" s="406"/>
    </row>
    <row r="109" spans="1:37" ht="15.45" x14ac:dyDescent="0.4">
      <c r="A109" s="406"/>
      <c r="B109" s="407"/>
      <c r="C109" s="501"/>
      <c r="D109" s="501"/>
      <c r="E109" s="501"/>
      <c r="F109" s="501"/>
      <c r="G109" s="501"/>
      <c r="H109" s="406"/>
      <c r="I109" s="406"/>
      <c r="J109" s="406"/>
      <c r="K109" s="406"/>
      <c r="L109" s="406"/>
      <c r="M109" s="406"/>
      <c r="N109" s="406"/>
      <c r="O109" s="406"/>
      <c r="P109" s="406"/>
      <c r="Q109" s="406"/>
      <c r="R109" s="406"/>
      <c r="S109" s="406"/>
      <c r="T109" s="406"/>
      <c r="U109" s="406"/>
      <c r="V109" s="406"/>
      <c r="W109" s="406"/>
      <c r="X109" s="406"/>
      <c r="Y109" s="406"/>
      <c r="Z109" s="406"/>
      <c r="AA109" s="406"/>
      <c r="AB109" s="406"/>
      <c r="AC109" s="406"/>
      <c r="AD109" s="406"/>
      <c r="AE109" s="406"/>
      <c r="AF109" s="406"/>
      <c r="AG109" s="406"/>
      <c r="AH109" s="406"/>
      <c r="AI109" s="406"/>
      <c r="AJ109" s="406"/>
      <c r="AK109" s="406"/>
    </row>
    <row r="110" spans="1:37" ht="15.45" x14ac:dyDescent="0.4">
      <c r="A110" s="406"/>
      <c r="B110" s="407"/>
      <c r="C110" s="501"/>
      <c r="D110" s="501"/>
      <c r="E110" s="501"/>
      <c r="F110" s="501"/>
      <c r="G110" s="501"/>
      <c r="H110" s="406"/>
      <c r="I110" s="406"/>
      <c r="J110" s="406"/>
      <c r="K110" s="406"/>
      <c r="L110" s="406"/>
      <c r="M110" s="406"/>
      <c r="N110" s="406"/>
      <c r="O110" s="406"/>
      <c r="P110" s="406"/>
      <c r="Q110" s="406"/>
      <c r="R110" s="406"/>
      <c r="S110" s="406"/>
      <c r="T110" s="406"/>
      <c r="U110" s="406"/>
      <c r="V110" s="406"/>
      <c r="W110" s="406"/>
      <c r="X110" s="406"/>
      <c r="Y110" s="406"/>
      <c r="Z110" s="406"/>
      <c r="AA110" s="406"/>
      <c r="AB110" s="406"/>
      <c r="AC110" s="406"/>
      <c r="AD110" s="406"/>
      <c r="AE110" s="406"/>
      <c r="AF110" s="406"/>
      <c r="AG110" s="406"/>
      <c r="AH110" s="406"/>
      <c r="AI110" s="406"/>
      <c r="AJ110" s="406"/>
      <c r="AK110" s="406"/>
    </row>
    <row r="111" spans="1:37" ht="15.45" x14ac:dyDescent="0.4">
      <c r="A111" s="406"/>
      <c r="B111" s="407"/>
      <c r="C111" s="501"/>
      <c r="D111" s="501"/>
      <c r="E111" s="501"/>
      <c r="F111" s="501"/>
      <c r="G111" s="501"/>
      <c r="H111" s="406"/>
      <c r="I111" s="406"/>
      <c r="J111" s="406"/>
      <c r="K111" s="406"/>
      <c r="L111" s="406"/>
      <c r="M111" s="406"/>
      <c r="N111" s="406"/>
      <c r="O111" s="406"/>
      <c r="P111" s="406"/>
      <c r="Q111" s="406"/>
      <c r="R111" s="406"/>
      <c r="S111" s="406"/>
      <c r="T111" s="406"/>
      <c r="U111" s="406"/>
      <c r="V111" s="406"/>
      <c r="W111" s="406"/>
      <c r="X111" s="406"/>
      <c r="Y111" s="406"/>
      <c r="Z111" s="406"/>
      <c r="AA111" s="406"/>
      <c r="AB111" s="406"/>
      <c r="AC111" s="406"/>
      <c r="AD111" s="406"/>
      <c r="AE111" s="406"/>
      <c r="AF111" s="406"/>
      <c r="AG111" s="406"/>
      <c r="AH111" s="406"/>
      <c r="AI111" s="406"/>
      <c r="AJ111" s="406"/>
      <c r="AK111" s="406"/>
    </row>
    <row r="112" spans="1:37" ht="15.45" x14ac:dyDescent="0.4">
      <c r="A112" s="406"/>
      <c r="B112" s="407"/>
      <c r="C112" s="501"/>
      <c r="D112" s="501"/>
      <c r="E112" s="501"/>
      <c r="F112" s="501"/>
      <c r="G112" s="501"/>
      <c r="H112" s="406"/>
      <c r="I112" s="406"/>
      <c r="J112" s="406"/>
      <c r="K112" s="406"/>
      <c r="L112" s="406"/>
      <c r="M112" s="406"/>
      <c r="N112" s="406"/>
      <c r="O112" s="406"/>
      <c r="P112" s="406"/>
      <c r="Q112" s="406"/>
      <c r="R112" s="406"/>
      <c r="S112" s="406"/>
      <c r="T112" s="406"/>
      <c r="U112" s="406"/>
      <c r="V112" s="406"/>
      <c r="W112" s="406"/>
      <c r="X112" s="406"/>
      <c r="Y112" s="406"/>
      <c r="Z112" s="406"/>
      <c r="AA112" s="406"/>
      <c r="AB112" s="406"/>
      <c r="AC112" s="406"/>
      <c r="AD112" s="406"/>
      <c r="AE112" s="406"/>
      <c r="AF112" s="406"/>
      <c r="AG112" s="406"/>
      <c r="AH112" s="406"/>
      <c r="AI112" s="406"/>
      <c r="AJ112" s="406"/>
      <c r="AK112" s="406"/>
    </row>
    <row r="113" spans="1:37" ht="15.45" x14ac:dyDescent="0.4">
      <c r="A113" s="406"/>
      <c r="B113" s="407"/>
      <c r="C113" s="501"/>
      <c r="D113" s="501"/>
      <c r="E113" s="501"/>
      <c r="F113" s="501"/>
      <c r="G113" s="501"/>
      <c r="H113" s="406"/>
      <c r="I113" s="406"/>
      <c r="J113" s="406"/>
      <c r="K113" s="406"/>
      <c r="L113" s="406"/>
      <c r="M113" s="406"/>
      <c r="N113" s="406"/>
      <c r="O113" s="406"/>
      <c r="P113" s="406"/>
      <c r="Q113" s="406"/>
      <c r="R113" s="406"/>
      <c r="S113" s="406"/>
      <c r="T113" s="406"/>
      <c r="U113" s="406"/>
      <c r="V113" s="406"/>
      <c r="W113" s="406"/>
      <c r="X113" s="406"/>
      <c r="Y113" s="406"/>
      <c r="Z113" s="406"/>
      <c r="AA113" s="406"/>
      <c r="AB113" s="406"/>
      <c r="AC113" s="406"/>
      <c r="AD113" s="406"/>
      <c r="AE113" s="406"/>
      <c r="AF113" s="406"/>
      <c r="AG113" s="406"/>
      <c r="AH113" s="406"/>
      <c r="AI113" s="406"/>
      <c r="AJ113" s="406"/>
      <c r="AK113" s="406"/>
    </row>
    <row r="114" spans="1:37" ht="15.45" x14ac:dyDescent="0.4">
      <c r="A114" s="406"/>
      <c r="B114" s="407"/>
      <c r="C114" s="501"/>
      <c r="D114" s="501"/>
      <c r="E114" s="501"/>
      <c r="F114" s="501"/>
      <c r="G114" s="501"/>
      <c r="H114" s="406"/>
      <c r="I114" s="406"/>
      <c r="J114" s="406"/>
      <c r="K114" s="406"/>
      <c r="L114" s="406"/>
      <c r="M114" s="406"/>
      <c r="N114" s="406"/>
      <c r="O114" s="406"/>
      <c r="P114" s="406"/>
      <c r="Q114" s="406"/>
      <c r="R114" s="406"/>
      <c r="S114" s="406"/>
      <c r="T114" s="406"/>
      <c r="U114" s="406"/>
      <c r="V114" s="406"/>
      <c r="W114" s="406"/>
      <c r="X114" s="406"/>
      <c r="Y114" s="406"/>
      <c r="Z114" s="406"/>
      <c r="AA114" s="406"/>
      <c r="AB114" s="406"/>
      <c r="AC114" s="406"/>
      <c r="AD114" s="406"/>
      <c r="AE114" s="406"/>
      <c r="AF114" s="406"/>
      <c r="AG114" s="406"/>
      <c r="AH114" s="406"/>
      <c r="AI114" s="406"/>
      <c r="AJ114" s="406"/>
      <c r="AK114" s="406"/>
    </row>
    <row r="115" spans="1:37" ht="15.45" x14ac:dyDescent="0.4">
      <c r="A115" s="406"/>
      <c r="B115" s="407"/>
      <c r="C115" s="501"/>
      <c r="D115" s="501"/>
      <c r="E115" s="501"/>
      <c r="F115" s="501"/>
      <c r="G115" s="501"/>
      <c r="H115" s="406"/>
      <c r="I115" s="406"/>
      <c r="J115" s="406"/>
      <c r="K115" s="406"/>
      <c r="L115" s="406"/>
      <c r="M115" s="406"/>
      <c r="N115" s="406"/>
      <c r="O115" s="406"/>
      <c r="P115" s="406"/>
      <c r="Q115" s="406"/>
      <c r="R115" s="406"/>
      <c r="S115" s="406"/>
      <c r="T115" s="406"/>
      <c r="U115" s="406"/>
      <c r="V115" s="406"/>
      <c r="W115" s="406"/>
      <c r="X115" s="406"/>
      <c r="Y115" s="406"/>
      <c r="Z115" s="406"/>
      <c r="AA115" s="406"/>
      <c r="AB115" s="406"/>
      <c r="AC115" s="406"/>
      <c r="AD115" s="406"/>
      <c r="AE115" s="406"/>
      <c r="AF115" s="406"/>
      <c r="AG115" s="406"/>
      <c r="AH115" s="406"/>
      <c r="AI115" s="406"/>
      <c r="AJ115" s="406"/>
      <c r="AK115" s="406"/>
    </row>
    <row r="116" spans="1:37" ht="15.45" x14ac:dyDescent="0.4">
      <c r="A116" s="406"/>
      <c r="B116" s="407"/>
      <c r="C116" s="501"/>
      <c r="D116" s="501"/>
      <c r="E116" s="501"/>
      <c r="F116" s="501"/>
      <c r="G116" s="501"/>
      <c r="H116" s="406"/>
      <c r="I116" s="406"/>
      <c r="J116" s="406"/>
      <c r="K116" s="406"/>
      <c r="L116" s="406"/>
      <c r="M116" s="406"/>
      <c r="N116" s="406"/>
      <c r="O116" s="406"/>
      <c r="P116" s="406"/>
      <c r="Q116" s="406"/>
      <c r="R116" s="406"/>
      <c r="S116" s="406"/>
      <c r="T116" s="406"/>
      <c r="U116" s="406"/>
      <c r="V116" s="406"/>
      <c r="W116" s="406"/>
      <c r="X116" s="406"/>
      <c r="Y116" s="406"/>
      <c r="Z116" s="406"/>
      <c r="AA116" s="406"/>
      <c r="AB116" s="406"/>
      <c r="AC116" s="406"/>
      <c r="AD116" s="406"/>
      <c r="AE116" s="406"/>
      <c r="AF116" s="406"/>
      <c r="AG116" s="406"/>
      <c r="AH116" s="406"/>
      <c r="AI116" s="406"/>
      <c r="AJ116" s="406"/>
      <c r="AK116" s="406"/>
    </row>
    <row r="117" spans="1:37" ht="15.45" x14ac:dyDescent="0.4">
      <c r="A117" s="406"/>
      <c r="B117" s="407"/>
      <c r="C117" s="501"/>
      <c r="D117" s="501"/>
      <c r="E117" s="501"/>
      <c r="F117" s="501"/>
      <c r="G117" s="501"/>
      <c r="H117" s="406"/>
      <c r="I117" s="406"/>
      <c r="J117" s="406"/>
      <c r="K117" s="406"/>
      <c r="L117" s="406"/>
      <c r="M117" s="406"/>
      <c r="N117" s="406"/>
      <c r="O117" s="406"/>
      <c r="P117" s="406"/>
      <c r="Q117" s="406"/>
      <c r="R117" s="406"/>
      <c r="S117" s="406"/>
      <c r="T117" s="406"/>
      <c r="U117" s="406"/>
      <c r="V117" s="406"/>
      <c r="W117" s="406"/>
      <c r="X117" s="406"/>
      <c r="Y117" s="406"/>
      <c r="Z117" s="406"/>
      <c r="AA117" s="406"/>
      <c r="AB117" s="406"/>
      <c r="AC117" s="406"/>
      <c r="AD117" s="406"/>
      <c r="AE117" s="406"/>
      <c r="AF117" s="406"/>
      <c r="AG117" s="406"/>
      <c r="AH117" s="406"/>
      <c r="AI117" s="406"/>
      <c r="AJ117" s="406"/>
      <c r="AK117" s="406"/>
    </row>
    <row r="118" spans="1:37" ht="15.45" x14ac:dyDescent="0.4">
      <c r="A118" s="406"/>
      <c r="B118" s="407"/>
      <c r="C118" s="501"/>
      <c r="D118" s="501"/>
      <c r="E118" s="501"/>
      <c r="F118" s="501"/>
      <c r="G118" s="501"/>
      <c r="H118" s="406"/>
      <c r="I118" s="406"/>
      <c r="J118" s="406"/>
      <c r="K118" s="406"/>
      <c r="L118" s="406"/>
      <c r="M118" s="406"/>
      <c r="N118" s="406"/>
      <c r="O118" s="406"/>
      <c r="P118" s="406"/>
      <c r="Q118" s="406"/>
      <c r="R118" s="406"/>
      <c r="S118" s="406"/>
      <c r="T118" s="406"/>
      <c r="U118" s="406"/>
      <c r="V118" s="406"/>
      <c r="W118" s="406"/>
      <c r="X118" s="406"/>
      <c r="Y118" s="406"/>
      <c r="Z118" s="406"/>
      <c r="AA118" s="406"/>
      <c r="AB118" s="406"/>
      <c r="AC118" s="406"/>
      <c r="AD118" s="406"/>
      <c r="AE118" s="406"/>
      <c r="AF118" s="406"/>
      <c r="AG118" s="406"/>
      <c r="AH118" s="406"/>
      <c r="AI118" s="406"/>
      <c r="AJ118" s="406"/>
      <c r="AK118" s="406"/>
    </row>
    <row r="119" spans="1:37" ht="15.45" x14ac:dyDescent="0.4">
      <c r="A119" s="406"/>
      <c r="B119" s="407"/>
      <c r="C119" s="501"/>
      <c r="D119" s="501"/>
      <c r="E119" s="501"/>
      <c r="F119" s="501"/>
      <c r="G119" s="501"/>
      <c r="H119" s="406"/>
      <c r="I119" s="406"/>
      <c r="J119" s="406"/>
      <c r="K119" s="406"/>
      <c r="L119" s="406"/>
      <c r="M119" s="406"/>
      <c r="N119" s="406"/>
      <c r="O119" s="406"/>
      <c r="P119" s="406"/>
      <c r="Q119" s="406"/>
      <c r="R119" s="406"/>
      <c r="S119" s="406"/>
      <c r="T119" s="406"/>
      <c r="U119" s="406"/>
      <c r="V119" s="406"/>
      <c r="W119" s="406"/>
      <c r="X119" s="406"/>
      <c r="Y119" s="406"/>
      <c r="Z119" s="406"/>
      <c r="AA119" s="406"/>
      <c r="AB119" s="406"/>
      <c r="AC119" s="406"/>
      <c r="AD119" s="406"/>
      <c r="AE119" s="406"/>
      <c r="AF119" s="406"/>
      <c r="AG119" s="406"/>
      <c r="AH119" s="406"/>
      <c r="AI119" s="406"/>
      <c r="AJ119" s="406"/>
      <c r="AK119" s="406"/>
    </row>
    <row r="120" spans="1:37" ht="15.45" x14ac:dyDescent="0.4">
      <c r="A120" s="406"/>
      <c r="B120" s="407"/>
      <c r="C120" s="501"/>
      <c r="D120" s="501"/>
      <c r="E120" s="501"/>
      <c r="F120" s="501"/>
      <c r="G120" s="501"/>
      <c r="H120" s="406"/>
      <c r="I120" s="406"/>
      <c r="J120" s="406"/>
      <c r="K120" s="406"/>
      <c r="L120" s="406"/>
      <c r="M120" s="406"/>
      <c r="N120" s="406"/>
      <c r="O120" s="406"/>
      <c r="P120" s="406"/>
      <c r="Q120" s="406"/>
      <c r="R120" s="406"/>
      <c r="S120" s="406"/>
      <c r="T120" s="406"/>
      <c r="U120" s="406"/>
      <c r="V120" s="406"/>
      <c r="W120" s="406"/>
      <c r="X120" s="406"/>
      <c r="Y120" s="406"/>
      <c r="Z120" s="406"/>
      <c r="AA120" s="406"/>
      <c r="AB120" s="406"/>
      <c r="AC120" s="406"/>
      <c r="AD120" s="406"/>
      <c r="AE120" s="406"/>
      <c r="AF120" s="406"/>
      <c r="AG120" s="406"/>
      <c r="AH120" s="406"/>
      <c r="AI120" s="406"/>
      <c r="AJ120" s="406"/>
      <c r="AK120" s="406"/>
    </row>
    <row r="121" spans="1:37" ht="15.45" x14ac:dyDescent="0.4">
      <c r="A121" s="406"/>
      <c r="B121" s="407"/>
      <c r="C121" s="501"/>
      <c r="D121" s="501"/>
      <c r="E121" s="501"/>
      <c r="F121" s="501"/>
      <c r="G121" s="501"/>
      <c r="H121" s="406"/>
      <c r="I121" s="406"/>
      <c r="J121" s="406"/>
      <c r="K121" s="406"/>
      <c r="L121" s="406"/>
      <c r="M121" s="406"/>
      <c r="N121" s="406"/>
      <c r="O121" s="406"/>
      <c r="P121" s="406"/>
      <c r="Q121" s="406"/>
      <c r="R121" s="406"/>
      <c r="S121" s="406"/>
      <c r="T121" s="406"/>
      <c r="U121" s="406"/>
      <c r="V121" s="406"/>
      <c r="W121" s="406"/>
      <c r="X121" s="406"/>
      <c r="Y121" s="406"/>
      <c r="Z121" s="406"/>
      <c r="AA121" s="406"/>
      <c r="AB121" s="406"/>
      <c r="AC121" s="406"/>
      <c r="AD121" s="406"/>
      <c r="AE121" s="406"/>
      <c r="AF121" s="406"/>
      <c r="AG121" s="406"/>
      <c r="AH121" s="406"/>
      <c r="AI121" s="406"/>
      <c r="AJ121" s="406"/>
      <c r="AK121" s="406"/>
    </row>
    <row r="122" spans="1:37" ht="15.45" x14ac:dyDescent="0.4">
      <c r="A122" s="406"/>
      <c r="B122" s="407"/>
      <c r="C122" s="501"/>
      <c r="D122" s="501"/>
      <c r="E122" s="501"/>
      <c r="F122" s="501"/>
      <c r="G122" s="501"/>
      <c r="H122" s="406"/>
      <c r="I122" s="406"/>
      <c r="J122" s="406"/>
      <c r="K122" s="406"/>
      <c r="L122" s="406"/>
      <c r="M122" s="406"/>
      <c r="N122" s="406"/>
      <c r="O122" s="406"/>
      <c r="P122" s="406"/>
      <c r="Q122" s="406"/>
      <c r="R122" s="406"/>
      <c r="S122" s="406"/>
      <c r="T122" s="406"/>
      <c r="U122" s="406"/>
      <c r="V122" s="406"/>
      <c r="W122" s="406"/>
      <c r="X122" s="406"/>
      <c r="Y122" s="406"/>
      <c r="Z122" s="406"/>
      <c r="AA122" s="406"/>
      <c r="AB122" s="406"/>
      <c r="AC122" s="406"/>
      <c r="AD122" s="406"/>
      <c r="AE122" s="406"/>
      <c r="AF122" s="406"/>
      <c r="AG122" s="406"/>
      <c r="AH122" s="406"/>
      <c r="AI122" s="406"/>
      <c r="AJ122" s="406"/>
      <c r="AK122" s="406"/>
    </row>
    <row r="123" spans="1:37" ht="15.45" x14ac:dyDescent="0.4">
      <c r="A123" s="406"/>
      <c r="B123" s="407"/>
      <c r="C123" s="501"/>
      <c r="D123" s="501"/>
      <c r="E123" s="501"/>
      <c r="F123" s="501"/>
      <c r="G123" s="501"/>
      <c r="H123" s="406"/>
      <c r="I123" s="406"/>
      <c r="J123" s="406"/>
      <c r="K123" s="406"/>
      <c r="L123" s="406"/>
      <c r="M123" s="406"/>
      <c r="N123" s="406"/>
      <c r="O123" s="406"/>
      <c r="P123" s="406"/>
      <c r="Q123" s="406"/>
      <c r="R123" s="406"/>
      <c r="S123" s="406"/>
      <c r="T123" s="406"/>
      <c r="U123" s="406"/>
      <c r="V123" s="406"/>
      <c r="W123" s="406"/>
      <c r="X123" s="406"/>
      <c r="Y123" s="406"/>
      <c r="Z123" s="406"/>
      <c r="AA123" s="406"/>
      <c r="AB123" s="406"/>
      <c r="AC123" s="406"/>
      <c r="AD123" s="406"/>
      <c r="AE123" s="406"/>
      <c r="AF123" s="406"/>
      <c r="AG123" s="406"/>
      <c r="AH123" s="406"/>
      <c r="AI123" s="406"/>
      <c r="AJ123" s="406"/>
      <c r="AK123" s="406"/>
    </row>
    <row r="124" spans="1:37" ht="15.45" x14ac:dyDescent="0.4">
      <c r="A124" s="406"/>
      <c r="B124" s="407"/>
      <c r="C124" s="501"/>
      <c r="D124" s="501"/>
      <c r="E124" s="501"/>
      <c r="F124" s="501"/>
      <c r="G124" s="501"/>
      <c r="H124" s="406"/>
      <c r="I124" s="406"/>
      <c r="J124" s="406"/>
      <c r="K124" s="406"/>
      <c r="L124" s="406"/>
      <c r="M124" s="406"/>
      <c r="N124" s="406"/>
      <c r="O124" s="406"/>
      <c r="P124" s="406"/>
      <c r="Q124" s="406"/>
      <c r="R124" s="406"/>
      <c r="S124" s="406"/>
      <c r="T124" s="406"/>
      <c r="U124" s="406"/>
      <c r="V124" s="406"/>
      <c r="W124" s="406"/>
      <c r="X124" s="406"/>
      <c r="Y124" s="406"/>
      <c r="Z124" s="406"/>
      <c r="AA124" s="406"/>
      <c r="AB124" s="406"/>
      <c r="AC124" s="406"/>
      <c r="AD124" s="406"/>
      <c r="AE124" s="406"/>
      <c r="AF124" s="406"/>
      <c r="AG124" s="406"/>
      <c r="AH124" s="406"/>
      <c r="AI124" s="406"/>
      <c r="AJ124" s="406"/>
      <c r="AK124" s="406"/>
    </row>
    <row r="125" spans="1:37" ht="15.45" x14ac:dyDescent="0.4">
      <c r="A125" s="406"/>
      <c r="B125" s="407"/>
      <c r="C125" s="501"/>
      <c r="D125" s="501"/>
      <c r="E125" s="501"/>
      <c r="F125" s="501"/>
      <c r="G125" s="501"/>
      <c r="H125" s="406"/>
      <c r="I125" s="406"/>
      <c r="J125" s="406"/>
      <c r="K125" s="406"/>
      <c r="L125" s="406"/>
      <c r="M125" s="406"/>
      <c r="N125" s="406"/>
      <c r="O125" s="406"/>
      <c r="P125" s="406"/>
      <c r="Q125" s="406"/>
      <c r="R125" s="406"/>
      <c r="S125" s="406"/>
      <c r="T125" s="406"/>
      <c r="U125" s="406"/>
      <c r="V125" s="406"/>
      <c r="W125" s="406"/>
      <c r="X125" s="406"/>
      <c r="Y125" s="406"/>
      <c r="Z125" s="406"/>
      <c r="AA125" s="406"/>
      <c r="AB125" s="406"/>
      <c r="AC125" s="406"/>
      <c r="AD125" s="406"/>
      <c r="AE125" s="406"/>
      <c r="AF125" s="406"/>
      <c r="AG125" s="406"/>
      <c r="AH125" s="406"/>
      <c r="AI125" s="406"/>
      <c r="AJ125" s="406"/>
      <c r="AK125" s="406"/>
    </row>
    <row r="126" spans="1:37" ht="15.45" x14ac:dyDescent="0.4">
      <c r="A126" s="406"/>
      <c r="B126" s="407"/>
      <c r="C126" s="501"/>
      <c r="D126" s="501"/>
      <c r="E126" s="501"/>
      <c r="F126" s="501"/>
      <c r="G126" s="501"/>
      <c r="H126" s="406"/>
      <c r="I126" s="406"/>
      <c r="J126" s="406"/>
      <c r="K126" s="406"/>
      <c r="L126" s="406"/>
      <c r="M126" s="406"/>
      <c r="N126" s="406"/>
      <c r="O126" s="406"/>
      <c r="P126" s="406"/>
      <c r="Q126" s="406"/>
      <c r="R126" s="406"/>
      <c r="S126" s="406"/>
      <c r="T126" s="406"/>
      <c r="U126" s="406"/>
      <c r="V126" s="406"/>
      <c r="W126" s="406"/>
      <c r="X126" s="406"/>
      <c r="Y126" s="406"/>
      <c r="Z126" s="406"/>
      <c r="AA126" s="406"/>
      <c r="AB126" s="406"/>
      <c r="AC126" s="406"/>
      <c r="AD126" s="406"/>
      <c r="AE126" s="406"/>
      <c r="AF126" s="406"/>
      <c r="AG126" s="406"/>
      <c r="AH126" s="406"/>
      <c r="AI126" s="406"/>
      <c r="AJ126" s="406"/>
      <c r="AK126" s="406"/>
    </row>
    <row r="127" spans="1:37" ht="15.45" x14ac:dyDescent="0.4">
      <c r="A127" s="406"/>
      <c r="B127" s="407"/>
      <c r="C127" s="501"/>
      <c r="D127" s="501"/>
      <c r="E127" s="501"/>
      <c r="F127" s="501"/>
      <c r="G127" s="501"/>
      <c r="H127" s="406"/>
      <c r="I127" s="406"/>
      <c r="J127" s="406"/>
      <c r="K127" s="406"/>
      <c r="L127" s="406"/>
      <c r="M127" s="406"/>
      <c r="N127" s="406"/>
      <c r="O127" s="406"/>
      <c r="P127" s="406"/>
      <c r="Q127" s="406"/>
      <c r="R127" s="406"/>
      <c r="S127" s="406"/>
      <c r="T127" s="406"/>
      <c r="U127" s="406"/>
      <c r="V127" s="406"/>
      <c r="W127" s="406"/>
      <c r="X127" s="406"/>
      <c r="Y127" s="406"/>
      <c r="Z127" s="406"/>
      <c r="AA127" s="406"/>
      <c r="AB127" s="406"/>
      <c r="AC127" s="406"/>
      <c r="AD127" s="406"/>
      <c r="AE127" s="406"/>
      <c r="AF127" s="406"/>
      <c r="AG127" s="406"/>
      <c r="AH127" s="406"/>
      <c r="AI127" s="406"/>
      <c r="AJ127" s="406"/>
      <c r="AK127" s="406"/>
    </row>
    <row r="128" spans="1:37" ht="15.45" x14ac:dyDescent="0.4">
      <c r="A128" s="406"/>
      <c r="B128" s="407"/>
      <c r="C128" s="501"/>
      <c r="D128" s="501"/>
      <c r="E128" s="501"/>
      <c r="F128" s="501"/>
      <c r="G128" s="501"/>
      <c r="H128" s="406"/>
      <c r="I128" s="406"/>
      <c r="J128" s="406"/>
      <c r="K128" s="406"/>
      <c r="L128" s="406"/>
      <c r="M128" s="406"/>
      <c r="N128" s="406"/>
      <c r="O128" s="406"/>
      <c r="P128" s="406"/>
      <c r="Q128" s="406"/>
      <c r="R128" s="406"/>
      <c r="S128" s="406"/>
      <c r="T128" s="406"/>
      <c r="U128" s="406"/>
      <c r="V128" s="406"/>
      <c r="W128" s="406"/>
      <c r="X128" s="406"/>
      <c r="Y128" s="406"/>
      <c r="Z128" s="406"/>
      <c r="AA128" s="406"/>
      <c r="AB128" s="406"/>
      <c r="AC128" s="406"/>
      <c r="AD128" s="406"/>
      <c r="AE128" s="406"/>
      <c r="AF128" s="406"/>
      <c r="AG128" s="406"/>
      <c r="AH128" s="406"/>
      <c r="AI128" s="406"/>
      <c r="AJ128" s="406"/>
      <c r="AK128" s="406"/>
    </row>
    <row r="129" spans="1:37" ht="15.45" x14ac:dyDescent="0.4">
      <c r="A129" s="406"/>
      <c r="B129" s="407"/>
      <c r="C129" s="501"/>
      <c r="D129" s="501"/>
      <c r="E129" s="501"/>
      <c r="F129" s="501"/>
      <c r="G129" s="501"/>
      <c r="H129" s="406"/>
      <c r="I129" s="406"/>
      <c r="J129" s="406"/>
      <c r="K129" s="406"/>
      <c r="L129" s="406"/>
      <c r="M129" s="406"/>
      <c r="N129" s="406"/>
      <c r="O129" s="406"/>
      <c r="P129" s="406"/>
      <c r="Q129" s="406"/>
      <c r="R129" s="406"/>
      <c r="S129" s="406"/>
      <c r="T129" s="406"/>
      <c r="U129" s="406"/>
      <c r="V129" s="406"/>
      <c r="W129" s="406"/>
      <c r="X129" s="406"/>
      <c r="Y129" s="406"/>
      <c r="Z129" s="406"/>
      <c r="AA129" s="406"/>
      <c r="AB129" s="406"/>
      <c r="AC129" s="406"/>
      <c r="AD129" s="406"/>
      <c r="AE129" s="406"/>
      <c r="AF129" s="406"/>
      <c r="AG129" s="406"/>
      <c r="AH129" s="406"/>
      <c r="AI129" s="406"/>
      <c r="AJ129" s="406"/>
      <c r="AK129" s="406"/>
    </row>
    <row r="130" spans="1:37" ht="15.45" x14ac:dyDescent="0.4">
      <c r="A130" s="406"/>
      <c r="B130" s="407"/>
      <c r="C130" s="501"/>
      <c r="D130" s="501"/>
      <c r="E130" s="501"/>
      <c r="F130" s="501"/>
      <c r="G130" s="501"/>
      <c r="H130" s="406"/>
      <c r="I130" s="406"/>
      <c r="J130" s="406"/>
      <c r="K130" s="406"/>
      <c r="L130" s="406"/>
      <c r="M130" s="406"/>
      <c r="N130" s="406"/>
      <c r="O130" s="406"/>
      <c r="P130" s="406"/>
      <c r="Q130" s="406"/>
      <c r="R130" s="406"/>
      <c r="S130" s="406"/>
      <c r="T130" s="406"/>
      <c r="U130" s="406"/>
      <c r="V130" s="406"/>
      <c r="W130" s="406"/>
      <c r="X130" s="406"/>
      <c r="Y130" s="406"/>
      <c r="Z130" s="406"/>
      <c r="AA130" s="406"/>
      <c r="AB130" s="406"/>
      <c r="AC130" s="406"/>
      <c r="AD130" s="406"/>
      <c r="AE130" s="406"/>
      <c r="AF130" s="406"/>
      <c r="AG130" s="406"/>
      <c r="AH130" s="406"/>
      <c r="AI130" s="406"/>
      <c r="AJ130" s="406"/>
      <c r="AK130" s="406"/>
    </row>
    <row r="131" spans="1:37" ht="15.45" x14ac:dyDescent="0.4">
      <c r="A131" s="406"/>
      <c r="B131" s="407"/>
      <c r="C131" s="501"/>
      <c r="D131" s="501"/>
      <c r="E131" s="501"/>
      <c r="F131" s="501"/>
      <c r="G131" s="501"/>
      <c r="H131" s="406"/>
      <c r="I131" s="406"/>
      <c r="J131" s="406"/>
      <c r="K131" s="406"/>
      <c r="L131" s="406"/>
      <c r="M131" s="406"/>
      <c r="N131" s="406"/>
      <c r="O131" s="406"/>
      <c r="P131" s="406"/>
      <c r="Q131" s="406"/>
      <c r="R131" s="406"/>
      <c r="S131" s="406"/>
      <c r="T131" s="406"/>
      <c r="U131" s="406"/>
      <c r="V131" s="406"/>
      <c r="W131" s="406"/>
      <c r="X131" s="406"/>
      <c r="Y131" s="406"/>
      <c r="Z131" s="406"/>
      <c r="AA131" s="406"/>
      <c r="AB131" s="406"/>
      <c r="AC131" s="406"/>
      <c r="AD131" s="406"/>
      <c r="AE131" s="406"/>
      <c r="AF131" s="406"/>
      <c r="AG131" s="406"/>
      <c r="AH131" s="406"/>
      <c r="AI131" s="406"/>
      <c r="AJ131" s="406"/>
      <c r="AK131" s="406"/>
    </row>
    <row r="132" spans="1:37" ht="15.45" x14ac:dyDescent="0.4">
      <c r="A132" s="406"/>
      <c r="B132" s="407"/>
      <c r="C132" s="501"/>
      <c r="D132" s="501"/>
      <c r="E132" s="501"/>
      <c r="F132" s="501"/>
      <c r="G132" s="501"/>
      <c r="H132" s="406"/>
      <c r="I132" s="406"/>
      <c r="J132" s="406"/>
      <c r="K132" s="406"/>
      <c r="L132" s="406"/>
      <c r="M132" s="406"/>
      <c r="N132" s="406"/>
      <c r="O132" s="406"/>
      <c r="P132" s="406"/>
      <c r="Q132" s="406"/>
      <c r="R132" s="406"/>
      <c r="S132" s="406"/>
      <c r="T132" s="406"/>
      <c r="U132" s="406"/>
      <c r="V132" s="406"/>
      <c r="W132" s="406"/>
      <c r="X132" s="406"/>
      <c r="Y132" s="406"/>
      <c r="Z132" s="406"/>
      <c r="AA132" s="406"/>
      <c r="AB132" s="406"/>
      <c r="AC132" s="406"/>
      <c r="AD132" s="406"/>
      <c r="AE132" s="406"/>
      <c r="AF132" s="406"/>
      <c r="AG132" s="406"/>
      <c r="AH132" s="406"/>
      <c r="AI132" s="406"/>
      <c r="AJ132" s="406"/>
      <c r="AK132" s="406"/>
    </row>
    <row r="133" spans="1:37" ht="15.45" x14ac:dyDescent="0.4">
      <c r="A133" s="406"/>
      <c r="B133" s="407"/>
      <c r="C133" s="501"/>
      <c r="D133" s="501"/>
      <c r="E133" s="501"/>
      <c r="F133" s="501"/>
      <c r="G133" s="501"/>
      <c r="H133" s="406"/>
      <c r="I133" s="406"/>
      <c r="J133" s="406"/>
      <c r="K133" s="406"/>
      <c r="L133" s="406"/>
      <c r="M133" s="406"/>
      <c r="N133" s="406"/>
      <c r="O133" s="406"/>
      <c r="P133" s="406"/>
      <c r="Q133" s="406"/>
      <c r="R133" s="406"/>
      <c r="S133" s="406"/>
      <c r="T133" s="406"/>
      <c r="U133" s="406"/>
      <c r="V133" s="406"/>
      <c r="W133" s="406"/>
      <c r="X133" s="406"/>
      <c r="Y133" s="406"/>
      <c r="Z133" s="406"/>
      <c r="AA133" s="406"/>
      <c r="AB133" s="406"/>
      <c r="AC133" s="406"/>
      <c r="AD133" s="406"/>
      <c r="AE133" s="406"/>
      <c r="AF133" s="406"/>
      <c r="AG133" s="406"/>
      <c r="AH133" s="406"/>
      <c r="AI133" s="406"/>
      <c r="AJ133" s="406"/>
      <c r="AK133" s="406"/>
    </row>
    <row r="134" spans="1:37" ht="15.45" x14ac:dyDescent="0.4">
      <c r="A134" s="406"/>
      <c r="B134" s="407"/>
      <c r="C134" s="501"/>
      <c r="D134" s="501"/>
      <c r="E134" s="501"/>
      <c r="F134" s="501"/>
      <c r="G134" s="501"/>
      <c r="H134" s="406"/>
      <c r="I134" s="406"/>
      <c r="J134" s="406"/>
      <c r="K134" s="406"/>
      <c r="L134" s="406"/>
      <c r="M134" s="406"/>
      <c r="N134" s="406"/>
      <c r="O134" s="406"/>
      <c r="P134" s="406"/>
      <c r="Q134" s="406"/>
      <c r="R134" s="406"/>
      <c r="S134" s="406"/>
      <c r="T134" s="406"/>
      <c r="U134" s="406"/>
      <c r="V134" s="406"/>
      <c r="W134" s="406"/>
      <c r="X134" s="406"/>
      <c r="Y134" s="406"/>
      <c r="Z134" s="406"/>
      <c r="AA134" s="406"/>
      <c r="AB134" s="406"/>
      <c r="AC134" s="406"/>
      <c r="AD134" s="406"/>
      <c r="AE134" s="406"/>
      <c r="AF134" s="406"/>
      <c r="AG134" s="406"/>
      <c r="AH134" s="406"/>
      <c r="AI134" s="406"/>
      <c r="AJ134" s="406"/>
      <c r="AK134" s="406"/>
    </row>
    <row r="135" spans="1:37" ht="15.45" x14ac:dyDescent="0.4">
      <c r="A135" s="406"/>
      <c r="B135" s="407"/>
      <c r="C135" s="501"/>
      <c r="D135" s="501"/>
      <c r="E135" s="501"/>
      <c r="F135" s="501"/>
      <c r="G135" s="501"/>
      <c r="H135" s="406"/>
      <c r="I135" s="406"/>
      <c r="J135" s="406"/>
      <c r="K135" s="406"/>
      <c r="L135" s="406"/>
      <c r="M135" s="406"/>
      <c r="N135" s="406"/>
      <c r="O135" s="406"/>
      <c r="P135" s="406"/>
      <c r="Q135" s="406"/>
      <c r="R135" s="406"/>
      <c r="S135" s="406"/>
      <c r="T135" s="406"/>
      <c r="U135" s="406"/>
      <c r="V135" s="406"/>
      <c r="W135" s="406"/>
      <c r="X135" s="406"/>
      <c r="Y135" s="406"/>
      <c r="Z135" s="406"/>
      <c r="AA135" s="406"/>
      <c r="AB135" s="406"/>
      <c r="AC135" s="406"/>
      <c r="AD135" s="406"/>
      <c r="AE135" s="406"/>
      <c r="AF135" s="406"/>
      <c r="AG135" s="406"/>
      <c r="AH135" s="406"/>
      <c r="AI135" s="406"/>
      <c r="AJ135" s="406"/>
      <c r="AK135" s="406"/>
    </row>
    <row r="136" spans="1:37" ht="15.45" x14ac:dyDescent="0.4">
      <c r="A136" s="406"/>
      <c r="B136" s="407"/>
      <c r="C136" s="501"/>
      <c r="D136" s="501"/>
      <c r="E136" s="501"/>
      <c r="F136" s="501"/>
      <c r="G136" s="501"/>
      <c r="H136" s="406"/>
      <c r="I136" s="406"/>
      <c r="J136" s="406"/>
      <c r="K136" s="406"/>
      <c r="L136" s="406"/>
      <c r="M136" s="406"/>
      <c r="N136" s="406"/>
      <c r="O136" s="406"/>
      <c r="P136" s="406"/>
      <c r="Q136" s="406"/>
      <c r="R136" s="406"/>
      <c r="S136" s="406"/>
      <c r="T136" s="406"/>
      <c r="U136" s="406"/>
      <c r="V136" s="406"/>
      <c r="W136" s="406"/>
      <c r="X136" s="406"/>
      <c r="Y136" s="406"/>
      <c r="Z136" s="406"/>
      <c r="AA136" s="406"/>
      <c r="AB136" s="406"/>
      <c r="AC136" s="406"/>
      <c r="AD136" s="406"/>
      <c r="AE136" s="406"/>
      <c r="AF136" s="406"/>
      <c r="AG136" s="406"/>
      <c r="AH136" s="406"/>
      <c r="AI136" s="406"/>
      <c r="AJ136" s="406"/>
      <c r="AK136" s="406"/>
    </row>
    <row r="137" spans="1:37" ht="15.45" x14ac:dyDescent="0.4">
      <c r="A137" s="406"/>
      <c r="B137" s="407"/>
      <c r="C137" s="501"/>
      <c r="D137" s="501"/>
      <c r="E137" s="501"/>
      <c r="F137" s="501"/>
      <c r="G137" s="501"/>
      <c r="H137" s="406"/>
      <c r="I137" s="406"/>
      <c r="J137" s="406"/>
      <c r="K137" s="406"/>
      <c r="L137" s="406"/>
      <c r="M137" s="406"/>
      <c r="N137" s="406"/>
      <c r="O137" s="406"/>
      <c r="P137" s="406"/>
      <c r="Q137" s="406"/>
      <c r="R137" s="406"/>
      <c r="S137" s="406"/>
      <c r="T137" s="406"/>
      <c r="U137" s="406"/>
      <c r="V137" s="406"/>
      <c r="W137" s="406"/>
      <c r="X137" s="406"/>
      <c r="Y137" s="406"/>
      <c r="Z137" s="406"/>
      <c r="AA137" s="406"/>
      <c r="AB137" s="406"/>
      <c r="AC137" s="406"/>
      <c r="AD137" s="406"/>
      <c r="AE137" s="406"/>
      <c r="AF137" s="406"/>
      <c r="AG137" s="406"/>
      <c r="AH137" s="406"/>
      <c r="AI137" s="406"/>
      <c r="AJ137" s="406"/>
      <c r="AK137" s="406"/>
    </row>
    <row r="138" spans="1:37" ht="15.45" x14ac:dyDescent="0.4">
      <c r="A138" s="406"/>
      <c r="B138" s="407"/>
      <c r="C138" s="501"/>
      <c r="D138" s="501"/>
      <c r="E138" s="501"/>
      <c r="F138" s="501"/>
      <c r="G138" s="501"/>
      <c r="H138" s="406"/>
      <c r="I138" s="406"/>
      <c r="J138" s="406"/>
      <c r="K138" s="406"/>
      <c r="L138" s="406"/>
      <c r="M138" s="406"/>
      <c r="N138" s="406"/>
      <c r="O138" s="406"/>
      <c r="P138" s="406"/>
      <c r="Q138" s="406"/>
      <c r="R138" s="406"/>
      <c r="S138" s="406"/>
      <c r="T138" s="406"/>
      <c r="U138" s="406"/>
      <c r="V138" s="406"/>
      <c r="W138" s="406"/>
      <c r="X138" s="406"/>
      <c r="Y138" s="406"/>
      <c r="Z138" s="406"/>
      <c r="AA138" s="406"/>
      <c r="AB138" s="406"/>
      <c r="AC138" s="406"/>
      <c r="AD138" s="406"/>
      <c r="AE138" s="406"/>
      <c r="AF138" s="406"/>
      <c r="AG138" s="406"/>
      <c r="AH138" s="406"/>
      <c r="AI138" s="406"/>
      <c r="AJ138" s="406"/>
      <c r="AK138" s="406"/>
    </row>
    <row r="139" spans="1:37" ht="15.45" x14ac:dyDescent="0.4">
      <c r="A139" s="406"/>
      <c r="B139" s="407"/>
      <c r="C139" s="501"/>
      <c r="D139" s="501"/>
      <c r="E139" s="501"/>
      <c r="F139" s="501"/>
      <c r="G139" s="501"/>
      <c r="H139" s="406"/>
      <c r="I139" s="406"/>
      <c r="J139" s="406"/>
      <c r="K139" s="406"/>
      <c r="L139" s="406"/>
      <c r="M139" s="406"/>
      <c r="N139" s="406"/>
      <c r="O139" s="406"/>
      <c r="P139" s="406"/>
      <c r="Q139" s="406"/>
      <c r="R139" s="406"/>
      <c r="S139" s="406"/>
      <c r="T139" s="406"/>
      <c r="U139" s="406"/>
      <c r="V139" s="406"/>
      <c r="W139" s="406"/>
      <c r="X139" s="406"/>
      <c r="Y139" s="406"/>
      <c r="Z139" s="406"/>
      <c r="AA139" s="406"/>
      <c r="AB139" s="406"/>
      <c r="AC139" s="406"/>
      <c r="AD139" s="406"/>
      <c r="AE139" s="406"/>
      <c r="AF139" s="406"/>
      <c r="AG139" s="406"/>
      <c r="AH139" s="406"/>
      <c r="AI139" s="406"/>
      <c r="AJ139" s="406"/>
      <c r="AK139" s="406"/>
    </row>
    <row r="140" spans="1:37" ht="15.45" x14ac:dyDescent="0.4">
      <c r="A140" s="406"/>
      <c r="B140" s="407"/>
      <c r="C140" s="501"/>
      <c r="D140" s="501"/>
      <c r="E140" s="501"/>
      <c r="F140" s="501"/>
      <c r="G140" s="501"/>
      <c r="H140" s="406"/>
      <c r="I140" s="406"/>
      <c r="J140" s="406"/>
      <c r="K140" s="406"/>
      <c r="L140" s="406"/>
      <c r="M140" s="406"/>
      <c r="N140" s="406"/>
      <c r="O140" s="406"/>
      <c r="P140" s="406"/>
      <c r="Q140" s="406"/>
      <c r="R140" s="406"/>
      <c r="S140" s="406"/>
      <c r="T140" s="406"/>
      <c r="U140" s="406"/>
      <c r="V140" s="406"/>
      <c r="W140" s="406"/>
      <c r="X140" s="406"/>
      <c r="Y140" s="406"/>
      <c r="Z140" s="406"/>
      <c r="AA140" s="406"/>
      <c r="AB140" s="406"/>
      <c r="AC140" s="406"/>
      <c r="AD140" s="406"/>
      <c r="AE140" s="406"/>
      <c r="AF140" s="406"/>
      <c r="AG140" s="406"/>
      <c r="AH140" s="406"/>
      <c r="AI140" s="406"/>
      <c r="AJ140" s="406"/>
      <c r="AK140" s="406"/>
    </row>
    <row r="141" spans="1:37" ht="15.45" x14ac:dyDescent="0.4">
      <c r="A141" s="406"/>
      <c r="B141" s="407"/>
      <c r="C141" s="501"/>
      <c r="D141" s="501"/>
      <c r="E141" s="501"/>
      <c r="F141" s="501"/>
      <c r="G141" s="501"/>
      <c r="H141" s="406"/>
      <c r="I141" s="406"/>
      <c r="J141" s="406"/>
      <c r="K141" s="406"/>
      <c r="L141" s="406"/>
      <c r="M141" s="406"/>
      <c r="N141" s="406"/>
      <c r="O141" s="406"/>
      <c r="P141" s="406"/>
      <c r="Q141" s="406"/>
      <c r="R141" s="406"/>
      <c r="S141" s="406"/>
      <c r="T141" s="406"/>
      <c r="U141" s="406"/>
      <c r="V141" s="406"/>
      <c r="W141" s="406"/>
      <c r="X141" s="406"/>
      <c r="Y141" s="406"/>
      <c r="Z141" s="406"/>
      <c r="AA141" s="406"/>
      <c r="AB141" s="406"/>
      <c r="AC141" s="406"/>
      <c r="AD141" s="406"/>
      <c r="AE141" s="406"/>
      <c r="AF141" s="406"/>
      <c r="AG141" s="406"/>
      <c r="AH141" s="406"/>
      <c r="AI141" s="406"/>
      <c r="AJ141" s="406"/>
      <c r="AK141" s="406"/>
    </row>
    <row r="142" spans="1:37" ht="15.45" x14ac:dyDescent="0.4">
      <c r="A142" s="406"/>
      <c r="B142" s="407"/>
      <c r="C142" s="501"/>
      <c r="D142" s="501"/>
      <c r="E142" s="501"/>
      <c r="F142" s="501"/>
      <c r="G142" s="501"/>
      <c r="H142" s="406"/>
      <c r="I142" s="406"/>
      <c r="J142" s="406"/>
      <c r="K142" s="406"/>
      <c r="L142" s="406"/>
      <c r="M142" s="406"/>
      <c r="N142" s="406"/>
      <c r="O142" s="406"/>
      <c r="P142" s="406"/>
      <c r="Q142" s="406"/>
      <c r="R142" s="406"/>
      <c r="S142" s="406"/>
      <c r="T142" s="406"/>
      <c r="U142" s="406"/>
      <c r="V142" s="406"/>
      <c r="W142" s="406"/>
      <c r="X142" s="406"/>
      <c r="Y142" s="406"/>
      <c r="Z142" s="406"/>
      <c r="AA142" s="406"/>
      <c r="AB142" s="406"/>
      <c r="AC142" s="406"/>
      <c r="AD142" s="406"/>
      <c r="AE142" s="406"/>
      <c r="AF142" s="406"/>
      <c r="AG142" s="406"/>
      <c r="AH142" s="406"/>
      <c r="AI142" s="406"/>
      <c r="AJ142" s="406"/>
      <c r="AK142" s="406"/>
    </row>
    <row r="143" spans="1:37" ht="15.45" x14ac:dyDescent="0.4">
      <c r="A143" s="406"/>
      <c r="B143" s="407"/>
      <c r="C143" s="501"/>
      <c r="D143" s="501"/>
      <c r="E143" s="501"/>
      <c r="F143" s="501"/>
      <c r="G143" s="501"/>
      <c r="H143" s="406"/>
      <c r="I143" s="406"/>
      <c r="J143" s="406"/>
      <c r="K143" s="406"/>
      <c r="L143" s="406"/>
      <c r="M143" s="406"/>
      <c r="N143" s="406"/>
      <c r="O143" s="406"/>
      <c r="P143" s="406"/>
      <c r="Q143" s="406"/>
      <c r="R143" s="406"/>
      <c r="S143" s="406"/>
      <c r="T143" s="406"/>
      <c r="U143" s="406"/>
      <c r="V143" s="406"/>
      <c r="W143" s="406"/>
      <c r="X143" s="406"/>
      <c r="Y143" s="406"/>
      <c r="Z143" s="406"/>
      <c r="AA143" s="406"/>
      <c r="AB143" s="406"/>
      <c r="AC143" s="406"/>
      <c r="AD143" s="406"/>
      <c r="AE143" s="406"/>
      <c r="AF143" s="406"/>
      <c r="AG143" s="406"/>
      <c r="AH143" s="406"/>
      <c r="AI143" s="406"/>
      <c r="AJ143" s="406"/>
      <c r="AK143" s="406"/>
    </row>
    <row r="144" spans="1:37" ht="15.45" x14ac:dyDescent="0.4">
      <c r="A144" s="406"/>
      <c r="B144" s="407"/>
      <c r="C144" s="501"/>
      <c r="D144" s="501"/>
      <c r="E144" s="501"/>
      <c r="F144" s="501"/>
      <c r="G144" s="501"/>
      <c r="H144" s="406"/>
      <c r="I144" s="406"/>
      <c r="J144" s="406"/>
      <c r="K144" s="406"/>
      <c r="L144" s="406"/>
      <c r="M144" s="406"/>
      <c r="N144" s="406"/>
      <c r="O144" s="406"/>
      <c r="P144" s="406"/>
      <c r="Q144" s="406"/>
      <c r="R144" s="406"/>
      <c r="S144" s="406"/>
      <c r="T144" s="406"/>
      <c r="U144" s="406"/>
      <c r="V144" s="406"/>
      <c r="W144" s="406"/>
      <c r="X144" s="406"/>
      <c r="Y144" s="406"/>
      <c r="Z144" s="406"/>
      <c r="AA144" s="406"/>
      <c r="AB144" s="406"/>
      <c r="AC144" s="406"/>
      <c r="AD144" s="406"/>
      <c r="AE144" s="406"/>
      <c r="AF144" s="406"/>
      <c r="AG144" s="406"/>
      <c r="AH144" s="406"/>
      <c r="AI144" s="406"/>
      <c r="AJ144" s="406"/>
      <c r="AK144" s="406"/>
    </row>
    <row r="145" spans="1:37" ht="15.45" x14ac:dyDescent="0.4">
      <c r="A145" s="406"/>
      <c r="B145" s="407"/>
      <c r="C145" s="501"/>
      <c r="D145" s="501"/>
      <c r="E145" s="501"/>
      <c r="F145" s="501"/>
      <c r="G145" s="501"/>
      <c r="H145" s="406"/>
      <c r="I145" s="406"/>
      <c r="J145" s="406"/>
      <c r="K145" s="406"/>
      <c r="L145" s="406"/>
      <c r="M145" s="406"/>
      <c r="N145" s="406"/>
      <c r="O145" s="406"/>
      <c r="P145" s="406"/>
      <c r="Q145" s="406"/>
      <c r="R145" s="406"/>
      <c r="S145" s="406"/>
      <c r="T145" s="406"/>
      <c r="U145" s="406"/>
      <c r="V145" s="406"/>
      <c r="W145" s="406"/>
      <c r="X145" s="406"/>
      <c r="Y145" s="406"/>
      <c r="Z145" s="406"/>
      <c r="AA145" s="406"/>
      <c r="AB145" s="406"/>
      <c r="AC145" s="406"/>
      <c r="AD145" s="406"/>
      <c r="AE145" s="406"/>
      <c r="AF145" s="406"/>
      <c r="AG145" s="406"/>
      <c r="AH145" s="406"/>
      <c r="AI145" s="406"/>
      <c r="AJ145" s="406"/>
      <c r="AK145" s="406"/>
    </row>
    <row r="146" spans="1:37" ht="15.45" x14ac:dyDescent="0.4">
      <c r="A146" s="406"/>
      <c r="B146" s="407"/>
      <c r="C146" s="501"/>
      <c r="D146" s="501"/>
      <c r="E146" s="501"/>
      <c r="F146" s="501"/>
      <c r="G146" s="501"/>
      <c r="H146" s="406"/>
      <c r="I146" s="406"/>
      <c r="J146" s="406"/>
      <c r="K146" s="406"/>
      <c r="L146" s="406"/>
      <c r="M146" s="406"/>
      <c r="N146" s="406"/>
      <c r="O146" s="406"/>
      <c r="P146" s="406"/>
      <c r="Q146" s="406"/>
      <c r="R146" s="406"/>
      <c r="S146" s="406"/>
      <c r="T146" s="406"/>
      <c r="U146" s="406"/>
      <c r="V146" s="406"/>
      <c r="W146" s="406"/>
      <c r="X146" s="406"/>
      <c r="Y146" s="406"/>
      <c r="Z146" s="406"/>
      <c r="AA146" s="406"/>
      <c r="AB146" s="406"/>
      <c r="AC146" s="406"/>
      <c r="AD146" s="406"/>
      <c r="AE146" s="406"/>
      <c r="AF146" s="406"/>
      <c r="AG146" s="406"/>
      <c r="AH146" s="406"/>
      <c r="AI146" s="406"/>
      <c r="AJ146" s="406"/>
      <c r="AK146" s="406"/>
    </row>
    <row r="147" spans="1:37" ht="15.45" x14ac:dyDescent="0.4">
      <c r="A147" s="406"/>
      <c r="B147" s="407"/>
      <c r="C147" s="501"/>
      <c r="D147" s="501"/>
      <c r="E147" s="501"/>
      <c r="F147" s="501"/>
      <c r="G147" s="501"/>
      <c r="H147" s="406"/>
      <c r="I147" s="406"/>
      <c r="J147" s="406"/>
      <c r="K147" s="406"/>
      <c r="L147" s="406"/>
      <c r="M147" s="406"/>
      <c r="N147" s="406"/>
      <c r="O147" s="406"/>
      <c r="P147" s="406"/>
      <c r="Q147" s="406"/>
      <c r="R147" s="406"/>
      <c r="S147" s="406"/>
      <c r="T147" s="406"/>
      <c r="U147" s="406"/>
      <c r="V147" s="406"/>
      <c r="W147" s="406"/>
      <c r="X147" s="406"/>
      <c r="Y147" s="406"/>
      <c r="Z147" s="406"/>
      <c r="AA147" s="406"/>
      <c r="AB147" s="406"/>
      <c r="AC147" s="406"/>
      <c r="AD147" s="406"/>
      <c r="AE147" s="406"/>
      <c r="AF147" s="406"/>
      <c r="AG147" s="406"/>
      <c r="AH147" s="406"/>
      <c r="AI147" s="406"/>
      <c r="AJ147" s="406"/>
      <c r="AK147" s="406"/>
    </row>
    <row r="148" spans="1:37" ht="15.45" x14ac:dyDescent="0.4">
      <c r="A148" s="406"/>
      <c r="B148" s="407"/>
      <c r="C148" s="501"/>
      <c r="D148" s="501"/>
      <c r="E148" s="501"/>
      <c r="F148" s="501"/>
      <c r="G148" s="501"/>
      <c r="H148" s="406"/>
      <c r="I148" s="406"/>
      <c r="J148" s="406"/>
      <c r="K148" s="406"/>
      <c r="L148" s="406"/>
      <c r="M148" s="406"/>
      <c r="N148" s="406"/>
      <c r="O148" s="406"/>
      <c r="P148" s="406"/>
      <c r="Q148" s="406"/>
      <c r="R148" s="406"/>
      <c r="S148" s="406"/>
      <c r="T148" s="406"/>
      <c r="U148" s="406"/>
      <c r="V148" s="406"/>
      <c r="W148" s="406"/>
      <c r="X148" s="406"/>
      <c r="Y148" s="406"/>
      <c r="Z148" s="406"/>
      <c r="AA148" s="406"/>
      <c r="AB148" s="406"/>
      <c r="AC148" s="406"/>
      <c r="AD148" s="406"/>
      <c r="AE148" s="406"/>
      <c r="AF148" s="406"/>
      <c r="AG148" s="406"/>
      <c r="AH148" s="406"/>
      <c r="AI148" s="406"/>
      <c r="AJ148" s="406"/>
      <c r="AK148" s="406"/>
    </row>
    <row r="149" spans="1:37" ht="15.45" x14ac:dyDescent="0.4">
      <c r="A149" s="406"/>
      <c r="B149" s="407"/>
      <c r="C149" s="501"/>
      <c r="D149" s="501"/>
      <c r="E149" s="501"/>
      <c r="F149" s="501"/>
      <c r="G149" s="501"/>
      <c r="H149" s="406"/>
      <c r="I149" s="406"/>
      <c r="J149" s="406"/>
      <c r="K149" s="406"/>
      <c r="L149" s="406"/>
      <c r="M149" s="406"/>
      <c r="N149" s="406"/>
      <c r="O149" s="406"/>
      <c r="P149" s="406"/>
      <c r="Q149" s="406"/>
      <c r="R149" s="406"/>
      <c r="S149" s="406"/>
      <c r="T149" s="406"/>
      <c r="U149" s="406"/>
      <c r="V149" s="406"/>
      <c r="W149" s="406"/>
      <c r="X149" s="406"/>
      <c r="Y149" s="406"/>
      <c r="Z149" s="406"/>
      <c r="AA149" s="406"/>
      <c r="AB149" s="406"/>
      <c r="AC149" s="406"/>
      <c r="AD149" s="406"/>
      <c r="AE149" s="406"/>
      <c r="AF149" s="406"/>
      <c r="AG149" s="406"/>
      <c r="AH149" s="406"/>
      <c r="AI149" s="406"/>
      <c r="AJ149" s="406"/>
      <c r="AK149" s="406"/>
    </row>
    <row r="150" spans="1:37" ht="15.45" x14ac:dyDescent="0.4">
      <c r="A150" s="406"/>
      <c r="B150" s="407"/>
      <c r="C150" s="501"/>
      <c r="D150" s="501"/>
      <c r="E150" s="501"/>
      <c r="F150" s="501"/>
      <c r="G150" s="501"/>
      <c r="H150" s="406"/>
      <c r="I150" s="406"/>
      <c r="J150" s="406"/>
      <c r="K150" s="406"/>
      <c r="L150" s="406"/>
      <c r="M150" s="406"/>
      <c r="N150" s="406"/>
      <c r="O150" s="406"/>
      <c r="P150" s="406"/>
      <c r="Q150" s="406"/>
      <c r="R150" s="406"/>
      <c r="S150" s="406"/>
      <c r="T150" s="406"/>
      <c r="U150" s="406"/>
      <c r="V150" s="406"/>
      <c r="W150" s="406"/>
      <c r="X150" s="406"/>
      <c r="Y150" s="406"/>
      <c r="Z150" s="406"/>
      <c r="AA150" s="406"/>
      <c r="AB150" s="406"/>
      <c r="AC150" s="406"/>
      <c r="AD150" s="406"/>
      <c r="AE150" s="406"/>
      <c r="AF150" s="406"/>
      <c r="AG150" s="406"/>
      <c r="AH150" s="406"/>
      <c r="AI150" s="406"/>
      <c r="AJ150" s="406"/>
      <c r="AK150" s="406"/>
    </row>
    <row r="151" spans="1:37" ht="15.45" x14ac:dyDescent="0.4">
      <c r="A151" s="406"/>
      <c r="B151" s="407"/>
      <c r="C151" s="501"/>
      <c r="D151" s="501"/>
      <c r="E151" s="501"/>
      <c r="F151" s="501"/>
      <c r="G151" s="501"/>
      <c r="H151" s="406"/>
      <c r="I151" s="406"/>
      <c r="J151" s="406"/>
      <c r="K151" s="406"/>
      <c r="L151" s="406"/>
      <c r="M151" s="406"/>
      <c r="N151" s="406"/>
      <c r="O151" s="406"/>
      <c r="P151" s="406"/>
      <c r="Q151" s="406"/>
      <c r="R151" s="406"/>
      <c r="S151" s="406"/>
      <c r="T151" s="406"/>
      <c r="U151" s="406"/>
      <c r="V151" s="406"/>
      <c r="W151" s="406"/>
      <c r="X151" s="406"/>
      <c r="Y151" s="406"/>
      <c r="Z151" s="406"/>
      <c r="AA151" s="406"/>
      <c r="AB151" s="406"/>
      <c r="AC151" s="406"/>
      <c r="AD151" s="406"/>
      <c r="AE151" s="406"/>
      <c r="AF151" s="406"/>
      <c r="AG151" s="406"/>
      <c r="AH151" s="406"/>
      <c r="AI151" s="406"/>
      <c r="AJ151" s="406"/>
      <c r="AK151" s="406"/>
    </row>
    <row r="152" spans="1:37" ht="15.45" x14ac:dyDescent="0.4">
      <c r="A152" s="406"/>
      <c r="B152" s="407"/>
      <c r="C152" s="501"/>
      <c r="D152" s="501"/>
      <c r="E152" s="501"/>
      <c r="F152" s="501"/>
      <c r="G152" s="501"/>
      <c r="H152" s="406"/>
      <c r="I152" s="406"/>
      <c r="J152" s="406"/>
      <c r="K152" s="406"/>
      <c r="L152" s="406"/>
      <c r="M152" s="406"/>
      <c r="N152" s="406"/>
      <c r="O152" s="406"/>
      <c r="P152" s="406"/>
      <c r="Q152" s="406"/>
      <c r="R152" s="406"/>
      <c r="S152" s="406"/>
      <c r="T152" s="406"/>
      <c r="U152" s="406"/>
      <c r="V152" s="406"/>
      <c r="W152" s="406"/>
      <c r="X152" s="406"/>
      <c r="Y152" s="406"/>
      <c r="Z152" s="406"/>
      <c r="AA152" s="406"/>
      <c r="AB152" s="406"/>
      <c r="AC152" s="406"/>
      <c r="AD152" s="406"/>
      <c r="AE152" s="406"/>
      <c r="AF152" s="406"/>
      <c r="AG152" s="406"/>
      <c r="AH152" s="406"/>
      <c r="AI152" s="406"/>
      <c r="AJ152" s="406"/>
      <c r="AK152" s="406"/>
    </row>
    <row r="153" spans="1:37" ht="15.45" x14ac:dyDescent="0.4">
      <c r="A153" s="406"/>
      <c r="B153" s="407"/>
      <c r="C153" s="501"/>
      <c r="D153" s="501"/>
      <c r="E153" s="501"/>
      <c r="F153" s="501"/>
      <c r="G153" s="501"/>
      <c r="H153" s="406"/>
      <c r="I153" s="406"/>
      <c r="J153" s="406"/>
      <c r="K153" s="406"/>
      <c r="L153" s="406"/>
      <c r="M153" s="406"/>
      <c r="N153" s="406"/>
      <c r="O153" s="406"/>
      <c r="P153" s="406"/>
      <c r="Q153" s="406"/>
      <c r="R153" s="406"/>
      <c r="S153" s="406"/>
      <c r="T153" s="406"/>
      <c r="U153" s="406"/>
      <c r="V153" s="406"/>
      <c r="W153" s="406"/>
      <c r="X153" s="406"/>
      <c r="Y153" s="406"/>
      <c r="Z153" s="406"/>
      <c r="AA153" s="406"/>
      <c r="AB153" s="406"/>
      <c r="AC153" s="406"/>
      <c r="AD153" s="406"/>
      <c r="AE153" s="406"/>
      <c r="AF153" s="406"/>
      <c r="AG153" s="406"/>
      <c r="AH153" s="406"/>
      <c r="AI153" s="406"/>
      <c r="AJ153" s="406"/>
      <c r="AK153" s="406"/>
    </row>
    <row r="154" spans="1:37" ht="15.45" x14ac:dyDescent="0.4">
      <c r="A154" s="406"/>
      <c r="B154" s="407"/>
      <c r="C154" s="501"/>
      <c r="D154" s="501"/>
      <c r="E154" s="501"/>
      <c r="F154" s="501"/>
      <c r="G154" s="501"/>
      <c r="H154" s="406"/>
      <c r="I154" s="406"/>
      <c r="J154" s="406"/>
      <c r="K154" s="406"/>
      <c r="L154" s="406"/>
      <c r="M154" s="406"/>
      <c r="N154" s="406"/>
      <c r="O154" s="406"/>
      <c r="P154" s="406"/>
      <c r="Q154" s="406"/>
      <c r="R154" s="406"/>
      <c r="S154" s="406"/>
      <c r="T154" s="406"/>
      <c r="U154" s="406"/>
      <c r="V154" s="406"/>
      <c r="W154" s="406"/>
      <c r="X154" s="406"/>
      <c r="Y154" s="406"/>
      <c r="Z154" s="406"/>
      <c r="AA154" s="406"/>
      <c r="AB154" s="406"/>
      <c r="AC154" s="406"/>
      <c r="AD154" s="406"/>
      <c r="AE154" s="406"/>
      <c r="AF154" s="406"/>
      <c r="AG154" s="406"/>
      <c r="AH154" s="406"/>
      <c r="AI154" s="406"/>
      <c r="AJ154" s="406"/>
      <c r="AK154" s="406"/>
    </row>
    <row r="155" spans="1:37" ht="15.45" x14ac:dyDescent="0.4">
      <c r="A155" s="406"/>
      <c r="B155" s="407"/>
      <c r="C155" s="501"/>
      <c r="D155" s="501"/>
      <c r="E155" s="501"/>
      <c r="F155" s="501"/>
      <c r="G155" s="501"/>
      <c r="H155" s="406"/>
      <c r="I155" s="406"/>
      <c r="J155" s="406"/>
      <c r="K155" s="406"/>
      <c r="L155" s="406"/>
      <c r="M155" s="406"/>
      <c r="N155" s="406"/>
      <c r="O155" s="406"/>
      <c r="P155" s="406"/>
      <c r="Q155" s="406"/>
      <c r="R155" s="406"/>
      <c r="S155" s="406"/>
      <c r="T155" s="406"/>
      <c r="U155" s="406"/>
      <c r="V155" s="406"/>
      <c r="W155" s="406"/>
      <c r="X155" s="406"/>
      <c r="Y155" s="406"/>
      <c r="Z155" s="406"/>
      <c r="AA155" s="406"/>
      <c r="AB155" s="406"/>
      <c r="AC155" s="406"/>
      <c r="AD155" s="406"/>
      <c r="AE155" s="406"/>
      <c r="AF155" s="406"/>
      <c r="AG155" s="406"/>
      <c r="AH155" s="406"/>
      <c r="AI155" s="406"/>
      <c r="AJ155" s="406"/>
      <c r="AK155" s="406"/>
    </row>
    <row r="156" spans="1:37" ht="15.45" x14ac:dyDescent="0.4">
      <c r="A156" s="406"/>
      <c r="B156" s="407"/>
      <c r="C156" s="501"/>
      <c r="D156" s="501"/>
      <c r="E156" s="501"/>
      <c r="F156" s="501"/>
      <c r="G156" s="501"/>
      <c r="H156" s="406"/>
      <c r="I156" s="406"/>
      <c r="J156" s="406"/>
      <c r="K156" s="406"/>
      <c r="L156" s="406"/>
      <c r="M156" s="406"/>
      <c r="N156" s="406"/>
      <c r="O156" s="406"/>
      <c r="P156" s="406"/>
      <c r="Q156" s="406"/>
      <c r="R156" s="406"/>
      <c r="S156" s="406"/>
      <c r="T156" s="406"/>
      <c r="U156" s="406"/>
      <c r="V156" s="406"/>
      <c r="W156" s="406"/>
      <c r="X156" s="406"/>
      <c r="Y156" s="406"/>
      <c r="Z156" s="406"/>
      <c r="AA156" s="406"/>
      <c r="AB156" s="406"/>
      <c r="AC156" s="406"/>
      <c r="AD156" s="406"/>
      <c r="AE156" s="406"/>
      <c r="AF156" s="406"/>
      <c r="AG156" s="406"/>
      <c r="AH156" s="406"/>
      <c r="AI156" s="406"/>
      <c r="AJ156" s="406"/>
      <c r="AK156" s="406"/>
    </row>
    <row r="157" spans="1:37" ht="15.45" x14ac:dyDescent="0.4">
      <c r="A157" s="406"/>
      <c r="B157" s="407"/>
      <c r="C157" s="501"/>
      <c r="D157" s="501"/>
      <c r="E157" s="501"/>
      <c r="F157" s="501"/>
      <c r="G157" s="501"/>
      <c r="H157" s="406"/>
      <c r="I157" s="406"/>
      <c r="J157" s="406"/>
      <c r="K157" s="406"/>
      <c r="L157" s="406"/>
      <c r="M157" s="406"/>
      <c r="N157" s="406"/>
      <c r="O157" s="406"/>
      <c r="P157" s="406"/>
      <c r="Q157" s="406"/>
      <c r="R157" s="406"/>
      <c r="S157" s="406"/>
      <c r="T157" s="406"/>
      <c r="U157" s="406"/>
      <c r="V157" s="406"/>
      <c r="W157" s="406"/>
      <c r="X157" s="406"/>
      <c r="Y157" s="406"/>
      <c r="Z157" s="406"/>
      <c r="AA157" s="406"/>
      <c r="AB157" s="406"/>
      <c r="AC157" s="406"/>
      <c r="AD157" s="406"/>
      <c r="AE157" s="406"/>
      <c r="AF157" s="406"/>
      <c r="AG157" s="406"/>
      <c r="AH157" s="406"/>
      <c r="AI157" s="406"/>
      <c r="AJ157" s="406"/>
      <c r="AK157" s="406"/>
    </row>
    <row r="158" spans="1:37" ht="15.45" x14ac:dyDescent="0.4">
      <c r="A158" s="406"/>
      <c r="B158" s="407"/>
      <c r="C158" s="501"/>
      <c r="D158" s="501"/>
      <c r="E158" s="501"/>
      <c r="F158" s="501"/>
      <c r="G158" s="501"/>
      <c r="H158" s="406"/>
      <c r="I158" s="406"/>
      <c r="J158" s="406"/>
      <c r="K158" s="406"/>
      <c r="L158" s="406"/>
      <c r="M158" s="406"/>
      <c r="N158" s="406"/>
      <c r="O158" s="406"/>
      <c r="P158" s="406"/>
      <c r="Q158" s="406"/>
      <c r="R158" s="406"/>
      <c r="S158" s="406"/>
      <c r="T158" s="406"/>
      <c r="U158" s="406"/>
      <c r="V158" s="406"/>
      <c r="W158" s="406"/>
      <c r="X158" s="406"/>
      <c r="Y158" s="406"/>
      <c r="Z158" s="406"/>
      <c r="AA158" s="406"/>
      <c r="AB158" s="406"/>
      <c r="AC158" s="406"/>
      <c r="AD158" s="406"/>
      <c r="AE158" s="406"/>
      <c r="AF158" s="406"/>
      <c r="AG158" s="406"/>
      <c r="AH158" s="406"/>
      <c r="AI158" s="406"/>
      <c r="AJ158" s="406"/>
      <c r="AK158" s="406"/>
    </row>
    <row r="159" spans="1:37" ht="15.45" x14ac:dyDescent="0.4">
      <c r="A159" s="406"/>
      <c r="B159" s="407"/>
      <c r="C159" s="501"/>
      <c r="D159" s="501"/>
      <c r="E159" s="501"/>
      <c r="F159" s="501"/>
      <c r="G159" s="501"/>
      <c r="H159" s="406"/>
      <c r="I159" s="406"/>
      <c r="J159" s="406"/>
      <c r="K159" s="406"/>
      <c r="L159" s="406"/>
      <c r="M159" s="406"/>
      <c r="N159" s="406"/>
      <c r="O159" s="406"/>
      <c r="P159" s="406"/>
      <c r="Q159" s="406"/>
      <c r="R159" s="406"/>
      <c r="S159" s="406"/>
      <c r="T159" s="406"/>
      <c r="U159" s="406"/>
      <c r="V159" s="406"/>
      <c r="W159" s="406"/>
      <c r="X159" s="406"/>
      <c r="Y159" s="406"/>
      <c r="Z159" s="406"/>
      <c r="AA159" s="406"/>
      <c r="AB159" s="406"/>
      <c r="AC159" s="406"/>
      <c r="AD159" s="406"/>
      <c r="AE159" s="406"/>
      <c r="AF159" s="406"/>
      <c r="AG159" s="406"/>
      <c r="AH159" s="406"/>
      <c r="AI159" s="406"/>
      <c r="AJ159" s="406"/>
      <c r="AK159" s="406"/>
    </row>
    <row r="160" spans="1:37" ht="15.45" x14ac:dyDescent="0.4">
      <c r="A160" s="406"/>
      <c r="B160" s="407"/>
      <c r="C160" s="501"/>
      <c r="D160" s="501"/>
      <c r="E160" s="501"/>
      <c r="F160" s="501"/>
      <c r="G160" s="501"/>
      <c r="H160" s="406"/>
      <c r="I160" s="406"/>
      <c r="J160" s="406"/>
      <c r="K160" s="406"/>
      <c r="L160" s="406"/>
      <c r="M160" s="406"/>
      <c r="N160" s="406"/>
      <c r="O160" s="406"/>
      <c r="P160" s="406"/>
      <c r="Q160" s="406"/>
      <c r="R160" s="406"/>
      <c r="S160" s="406"/>
      <c r="T160" s="406"/>
      <c r="U160" s="406"/>
      <c r="V160" s="406"/>
      <c r="W160" s="406"/>
      <c r="X160" s="406"/>
      <c r="Y160" s="406"/>
      <c r="Z160" s="406"/>
      <c r="AA160" s="406"/>
      <c r="AB160" s="406"/>
      <c r="AC160" s="406"/>
      <c r="AD160" s="406"/>
      <c r="AE160" s="406"/>
      <c r="AF160" s="406"/>
      <c r="AG160" s="406"/>
      <c r="AH160" s="406"/>
      <c r="AI160" s="406"/>
      <c r="AJ160" s="406"/>
      <c r="AK160" s="406"/>
    </row>
    <row r="161" spans="1:37" ht="15.45" x14ac:dyDescent="0.4">
      <c r="A161" s="406"/>
      <c r="B161" s="407"/>
      <c r="C161" s="501"/>
      <c r="D161" s="501"/>
      <c r="E161" s="501"/>
      <c r="F161" s="501"/>
      <c r="G161" s="501"/>
      <c r="H161" s="406"/>
      <c r="I161" s="406"/>
      <c r="J161" s="406"/>
      <c r="K161" s="406"/>
      <c r="L161" s="406"/>
      <c r="M161" s="406"/>
      <c r="N161" s="406"/>
      <c r="O161" s="406"/>
      <c r="P161" s="406"/>
      <c r="Q161" s="406"/>
      <c r="R161" s="406"/>
      <c r="S161" s="406"/>
      <c r="T161" s="406"/>
      <c r="U161" s="406"/>
      <c r="V161" s="406"/>
      <c r="W161" s="406"/>
      <c r="X161" s="406"/>
      <c r="Y161" s="406"/>
      <c r="Z161" s="406"/>
      <c r="AA161" s="406"/>
      <c r="AB161" s="406"/>
      <c r="AC161" s="406"/>
      <c r="AD161" s="406"/>
      <c r="AE161" s="406"/>
      <c r="AF161" s="406"/>
      <c r="AG161" s="406"/>
      <c r="AH161" s="406"/>
      <c r="AI161" s="406"/>
      <c r="AJ161" s="406"/>
      <c r="AK161" s="406"/>
    </row>
    <row r="162" spans="1:37" ht="15.45" x14ac:dyDescent="0.4">
      <c r="A162" s="406"/>
      <c r="B162" s="407"/>
      <c r="C162" s="501"/>
      <c r="D162" s="501"/>
      <c r="E162" s="501"/>
      <c r="F162" s="501"/>
      <c r="G162" s="501"/>
      <c r="H162" s="406"/>
      <c r="I162" s="406"/>
      <c r="J162" s="406"/>
      <c r="K162" s="406"/>
      <c r="L162" s="406"/>
      <c r="M162" s="406"/>
      <c r="N162" s="406"/>
      <c r="O162" s="406"/>
      <c r="P162" s="406"/>
      <c r="Q162" s="406"/>
      <c r="R162" s="406"/>
      <c r="S162" s="406"/>
      <c r="T162" s="406"/>
      <c r="U162" s="406"/>
      <c r="V162" s="406"/>
      <c r="W162" s="406"/>
      <c r="X162" s="406"/>
      <c r="Y162" s="406"/>
      <c r="Z162" s="406"/>
      <c r="AA162" s="406"/>
      <c r="AB162" s="406"/>
      <c r="AC162" s="406"/>
      <c r="AD162" s="406"/>
      <c r="AE162" s="406"/>
      <c r="AF162" s="406"/>
      <c r="AG162" s="406"/>
      <c r="AH162" s="406"/>
      <c r="AI162" s="406"/>
      <c r="AJ162" s="406"/>
      <c r="AK162" s="406"/>
    </row>
    <row r="163" spans="1:37" ht="15.45" x14ac:dyDescent="0.4">
      <c r="A163" s="406"/>
      <c r="B163" s="407"/>
      <c r="C163" s="501"/>
      <c r="D163" s="501"/>
      <c r="E163" s="501"/>
      <c r="F163" s="501"/>
      <c r="G163" s="501"/>
      <c r="H163" s="406"/>
      <c r="I163" s="406"/>
      <c r="J163" s="406"/>
      <c r="K163" s="406"/>
      <c r="L163" s="406"/>
      <c r="M163" s="406"/>
      <c r="N163" s="406"/>
      <c r="O163" s="406"/>
      <c r="P163" s="406"/>
      <c r="Q163" s="406"/>
      <c r="R163" s="406"/>
      <c r="S163" s="406"/>
      <c r="T163" s="406"/>
      <c r="U163" s="406"/>
      <c r="V163" s="406"/>
      <c r="W163" s="406"/>
      <c r="X163" s="406"/>
      <c r="Y163" s="406"/>
      <c r="Z163" s="406"/>
      <c r="AA163" s="406"/>
      <c r="AB163" s="406"/>
      <c r="AC163" s="406"/>
      <c r="AD163" s="406"/>
      <c r="AE163" s="406"/>
      <c r="AF163" s="406"/>
      <c r="AG163" s="406"/>
      <c r="AH163" s="406"/>
      <c r="AI163" s="406"/>
      <c r="AJ163" s="406"/>
      <c r="AK163" s="406"/>
    </row>
    <row r="164" spans="1:37" ht="15.45" x14ac:dyDescent="0.4">
      <c r="A164" s="406"/>
      <c r="B164" s="407"/>
      <c r="C164" s="501"/>
      <c r="D164" s="501"/>
      <c r="E164" s="501"/>
      <c r="F164" s="501"/>
      <c r="G164" s="501"/>
      <c r="H164" s="406"/>
      <c r="I164" s="406"/>
      <c r="J164" s="406"/>
      <c r="K164" s="406"/>
      <c r="L164" s="406"/>
      <c r="M164" s="406"/>
      <c r="N164" s="406"/>
      <c r="O164" s="406"/>
      <c r="P164" s="406"/>
      <c r="Q164" s="406"/>
      <c r="R164" s="406"/>
      <c r="S164" s="406"/>
      <c r="T164" s="406"/>
      <c r="U164" s="406"/>
      <c r="V164" s="406"/>
      <c r="W164" s="406"/>
      <c r="X164" s="406"/>
      <c r="Y164" s="406"/>
      <c r="Z164" s="406"/>
      <c r="AA164" s="406"/>
      <c r="AB164" s="406"/>
      <c r="AC164" s="406"/>
      <c r="AD164" s="406"/>
      <c r="AE164" s="406"/>
      <c r="AF164" s="406"/>
      <c r="AG164" s="406"/>
      <c r="AH164" s="406"/>
      <c r="AI164" s="406"/>
      <c r="AJ164" s="406"/>
      <c r="AK164" s="406"/>
    </row>
    <row r="165" spans="1:37" ht="15.45" x14ac:dyDescent="0.4">
      <c r="A165" s="406"/>
      <c r="B165" s="407"/>
      <c r="C165" s="501"/>
      <c r="D165" s="501"/>
      <c r="E165" s="501"/>
      <c r="F165" s="501"/>
      <c r="G165" s="501"/>
      <c r="H165" s="406"/>
      <c r="I165" s="406"/>
      <c r="J165" s="406"/>
      <c r="K165" s="406"/>
      <c r="L165" s="406"/>
      <c r="M165" s="406"/>
      <c r="N165" s="406"/>
      <c r="O165" s="406"/>
      <c r="P165" s="406"/>
      <c r="Q165" s="406"/>
      <c r="R165" s="406"/>
      <c r="S165" s="406"/>
      <c r="T165" s="406"/>
      <c r="U165" s="406"/>
      <c r="V165" s="406"/>
      <c r="W165" s="406"/>
      <c r="X165" s="406"/>
      <c r="Y165" s="406"/>
      <c r="Z165" s="406"/>
      <c r="AA165" s="406"/>
      <c r="AB165" s="406"/>
      <c r="AC165" s="406"/>
      <c r="AD165" s="406"/>
      <c r="AE165" s="406"/>
      <c r="AF165" s="406"/>
      <c r="AG165" s="406"/>
      <c r="AH165" s="406"/>
      <c r="AI165" s="406"/>
      <c r="AJ165" s="406"/>
      <c r="AK165" s="406"/>
    </row>
    <row r="166" spans="1:37" ht="15.45" x14ac:dyDescent="0.4">
      <c r="A166" s="406"/>
      <c r="B166" s="407"/>
      <c r="C166" s="501"/>
      <c r="D166" s="501"/>
      <c r="E166" s="501"/>
      <c r="F166" s="501"/>
      <c r="G166" s="501"/>
      <c r="H166" s="406"/>
      <c r="I166" s="406"/>
      <c r="J166" s="406"/>
      <c r="K166" s="406"/>
      <c r="L166" s="406"/>
      <c r="M166" s="406"/>
      <c r="N166" s="406"/>
      <c r="O166" s="406"/>
      <c r="P166" s="406"/>
      <c r="Q166" s="406"/>
      <c r="R166" s="406"/>
      <c r="S166" s="406"/>
      <c r="T166" s="406"/>
      <c r="U166" s="406"/>
      <c r="V166" s="406"/>
      <c r="W166" s="406"/>
      <c r="X166" s="406"/>
      <c r="Y166" s="406"/>
      <c r="Z166" s="406"/>
      <c r="AA166" s="406"/>
      <c r="AB166" s="406"/>
      <c r="AC166" s="406"/>
      <c r="AD166" s="406"/>
      <c r="AE166" s="406"/>
      <c r="AF166" s="406"/>
      <c r="AG166" s="406"/>
      <c r="AH166" s="406"/>
      <c r="AI166" s="406"/>
      <c r="AJ166" s="406"/>
      <c r="AK166" s="406"/>
    </row>
    <row r="167" spans="1:37" ht="15.45" x14ac:dyDescent="0.4">
      <c r="A167" s="406"/>
      <c r="B167" s="407"/>
      <c r="C167" s="501"/>
      <c r="D167" s="501"/>
      <c r="E167" s="501"/>
      <c r="F167" s="501"/>
      <c r="G167" s="501"/>
      <c r="H167" s="406"/>
      <c r="I167" s="406"/>
      <c r="J167" s="406"/>
      <c r="K167" s="406"/>
      <c r="L167" s="406"/>
      <c r="M167" s="406"/>
      <c r="N167" s="406"/>
      <c r="O167" s="406"/>
      <c r="P167" s="406"/>
      <c r="Q167" s="406"/>
      <c r="R167" s="406"/>
      <c r="S167" s="406"/>
      <c r="T167" s="406"/>
      <c r="U167" s="406"/>
      <c r="V167" s="406"/>
      <c r="W167" s="406"/>
      <c r="X167" s="406"/>
      <c r="Y167" s="406"/>
      <c r="Z167" s="406"/>
      <c r="AA167" s="406"/>
      <c r="AB167" s="406"/>
      <c r="AC167" s="406"/>
      <c r="AD167" s="406"/>
      <c r="AE167" s="406"/>
      <c r="AF167" s="406"/>
      <c r="AG167" s="406"/>
      <c r="AH167" s="406"/>
      <c r="AI167" s="406"/>
      <c r="AJ167" s="406"/>
      <c r="AK167" s="406"/>
    </row>
    <row r="168" spans="1:37" ht="15.45" x14ac:dyDescent="0.4">
      <c r="A168" s="406"/>
      <c r="B168" s="407"/>
      <c r="C168" s="501"/>
      <c r="D168" s="501"/>
      <c r="E168" s="501"/>
      <c r="F168" s="501"/>
      <c r="G168" s="501"/>
      <c r="H168" s="406"/>
      <c r="I168" s="406"/>
      <c r="J168" s="406"/>
      <c r="K168" s="406"/>
      <c r="L168" s="406"/>
      <c r="M168" s="406"/>
      <c r="N168" s="406"/>
      <c r="O168" s="406"/>
      <c r="P168" s="406"/>
      <c r="Q168" s="406"/>
      <c r="R168" s="406"/>
      <c r="S168" s="406"/>
      <c r="T168" s="406"/>
      <c r="U168" s="406"/>
      <c r="V168" s="406"/>
      <c r="W168" s="406"/>
      <c r="X168" s="406"/>
      <c r="Y168" s="406"/>
      <c r="Z168" s="406"/>
      <c r="AA168" s="406"/>
      <c r="AB168" s="406"/>
      <c r="AC168" s="406"/>
      <c r="AD168" s="406"/>
      <c r="AE168" s="406"/>
      <c r="AF168" s="406"/>
      <c r="AG168" s="406"/>
      <c r="AH168" s="406"/>
      <c r="AI168" s="406"/>
      <c r="AJ168" s="406"/>
      <c r="AK168" s="406"/>
    </row>
    <row r="169" spans="1:37" ht="15.45" x14ac:dyDescent="0.4">
      <c r="A169" s="406"/>
      <c r="B169" s="407"/>
      <c r="C169" s="501"/>
      <c r="D169" s="501"/>
      <c r="E169" s="501"/>
      <c r="F169" s="501"/>
      <c r="G169" s="501"/>
      <c r="H169" s="406"/>
      <c r="I169" s="406"/>
      <c r="J169" s="406"/>
      <c r="K169" s="406"/>
      <c r="L169" s="406"/>
      <c r="M169" s="406"/>
      <c r="N169" s="406"/>
      <c r="O169" s="406"/>
      <c r="P169" s="406"/>
      <c r="Q169" s="406"/>
      <c r="R169" s="406"/>
      <c r="S169" s="406"/>
      <c r="T169" s="406"/>
      <c r="U169" s="406"/>
      <c r="V169" s="406"/>
      <c r="W169" s="406"/>
      <c r="X169" s="406"/>
      <c r="Y169" s="406"/>
      <c r="Z169" s="406"/>
      <c r="AA169" s="406"/>
      <c r="AB169" s="406"/>
      <c r="AC169" s="406"/>
      <c r="AD169" s="406"/>
      <c r="AE169" s="406"/>
      <c r="AF169" s="406"/>
      <c r="AG169" s="406"/>
      <c r="AH169" s="406"/>
      <c r="AI169" s="406"/>
      <c r="AJ169" s="406"/>
      <c r="AK169" s="406"/>
    </row>
    <row r="170" spans="1:37" ht="15.45" x14ac:dyDescent="0.4">
      <c r="A170" s="406"/>
      <c r="B170" s="407"/>
      <c r="C170" s="501"/>
      <c r="D170" s="501"/>
      <c r="E170" s="501"/>
      <c r="F170" s="501"/>
      <c r="G170" s="501"/>
      <c r="H170" s="406"/>
      <c r="I170" s="406"/>
      <c r="J170" s="406"/>
      <c r="K170" s="406"/>
      <c r="L170" s="406"/>
      <c r="M170" s="406"/>
      <c r="N170" s="406"/>
      <c r="O170" s="406"/>
      <c r="P170" s="406"/>
      <c r="Q170" s="406"/>
      <c r="R170" s="406"/>
      <c r="S170" s="406"/>
      <c r="T170" s="406"/>
      <c r="U170" s="406"/>
      <c r="V170" s="406"/>
      <c r="W170" s="406"/>
      <c r="X170" s="406"/>
      <c r="Y170" s="406"/>
      <c r="Z170" s="406"/>
      <c r="AA170" s="406"/>
      <c r="AB170" s="406"/>
      <c r="AC170" s="406"/>
      <c r="AD170" s="406"/>
      <c r="AE170" s="406"/>
      <c r="AF170" s="406"/>
      <c r="AG170" s="406"/>
      <c r="AH170" s="406"/>
      <c r="AI170" s="406"/>
      <c r="AJ170" s="406"/>
      <c r="AK170" s="406"/>
    </row>
    <row r="171" spans="1:37" ht="15.45" x14ac:dyDescent="0.4">
      <c r="A171" s="406"/>
      <c r="B171" s="407"/>
      <c r="C171" s="501"/>
      <c r="D171" s="501"/>
      <c r="E171" s="501"/>
      <c r="F171" s="501"/>
      <c r="G171" s="501"/>
      <c r="H171" s="406"/>
      <c r="I171" s="406"/>
      <c r="J171" s="406"/>
      <c r="K171" s="406"/>
      <c r="L171" s="406"/>
      <c r="M171" s="406"/>
      <c r="N171" s="406"/>
      <c r="O171" s="406"/>
      <c r="P171" s="406"/>
      <c r="Q171" s="406"/>
      <c r="R171" s="406"/>
      <c r="S171" s="406"/>
      <c r="T171" s="406"/>
      <c r="U171" s="406"/>
      <c r="V171" s="406"/>
      <c r="W171" s="406"/>
      <c r="X171" s="406"/>
      <c r="Y171" s="406"/>
      <c r="Z171" s="406"/>
      <c r="AA171" s="406"/>
      <c r="AB171" s="406"/>
      <c r="AC171" s="406"/>
      <c r="AD171" s="406"/>
      <c r="AE171" s="406"/>
      <c r="AF171" s="406"/>
      <c r="AG171" s="406"/>
      <c r="AH171" s="406"/>
      <c r="AI171" s="406"/>
      <c r="AJ171" s="406"/>
      <c r="AK171" s="406"/>
    </row>
    <row r="172" spans="1:37" ht="15.45" x14ac:dyDescent="0.4">
      <c r="A172" s="406"/>
      <c r="B172" s="407"/>
      <c r="C172" s="501"/>
      <c r="D172" s="501"/>
      <c r="E172" s="501"/>
      <c r="F172" s="501"/>
      <c r="G172" s="501"/>
      <c r="H172" s="406"/>
      <c r="I172" s="406"/>
      <c r="J172" s="406"/>
      <c r="K172" s="406"/>
      <c r="L172" s="406"/>
      <c r="M172" s="406"/>
      <c r="N172" s="406"/>
      <c r="O172" s="406"/>
      <c r="P172" s="406"/>
      <c r="Q172" s="406"/>
      <c r="R172" s="406"/>
      <c r="S172" s="406"/>
      <c r="T172" s="406"/>
      <c r="U172" s="406"/>
      <c r="V172" s="406"/>
      <c r="W172" s="406"/>
      <c r="X172" s="406"/>
      <c r="Y172" s="406"/>
      <c r="Z172" s="406"/>
      <c r="AA172" s="406"/>
      <c r="AB172" s="406"/>
      <c r="AC172" s="406"/>
      <c r="AD172" s="406"/>
      <c r="AE172" s="406"/>
      <c r="AF172" s="406"/>
      <c r="AG172" s="406"/>
      <c r="AH172" s="406"/>
      <c r="AI172" s="406"/>
      <c r="AJ172" s="406"/>
      <c r="AK172" s="406"/>
    </row>
    <row r="173" spans="1:37" ht="15.45" x14ac:dyDescent="0.4">
      <c r="A173" s="406"/>
      <c r="B173" s="407"/>
      <c r="C173" s="501"/>
      <c r="D173" s="501"/>
      <c r="E173" s="501"/>
      <c r="F173" s="501"/>
      <c r="G173" s="501"/>
      <c r="H173" s="406"/>
      <c r="I173" s="406"/>
      <c r="J173" s="406"/>
      <c r="K173" s="406"/>
      <c r="L173" s="406"/>
      <c r="M173" s="406"/>
      <c r="N173" s="406"/>
      <c r="O173" s="406"/>
      <c r="P173" s="406"/>
      <c r="Q173" s="406"/>
      <c r="R173" s="406"/>
      <c r="S173" s="406"/>
      <c r="T173" s="406"/>
      <c r="U173" s="406"/>
      <c r="V173" s="406"/>
      <c r="W173" s="406"/>
      <c r="X173" s="406"/>
      <c r="Y173" s="406"/>
      <c r="Z173" s="406"/>
      <c r="AA173" s="406"/>
      <c r="AB173" s="406"/>
      <c r="AC173" s="406"/>
      <c r="AD173" s="406"/>
      <c r="AE173" s="406"/>
      <c r="AF173" s="406"/>
      <c r="AG173" s="406"/>
      <c r="AH173" s="406"/>
      <c r="AI173" s="406"/>
      <c r="AJ173" s="406"/>
      <c r="AK173" s="406"/>
    </row>
    <row r="174" spans="1:37" ht="15.45" x14ac:dyDescent="0.4">
      <c r="A174" s="406"/>
      <c r="B174" s="407"/>
      <c r="C174" s="501"/>
      <c r="D174" s="501"/>
      <c r="E174" s="501"/>
      <c r="F174" s="501"/>
      <c r="G174" s="501"/>
      <c r="H174" s="406"/>
      <c r="I174" s="406"/>
      <c r="J174" s="406"/>
      <c r="K174" s="406"/>
      <c r="L174" s="406"/>
      <c r="M174" s="406"/>
      <c r="N174" s="406"/>
      <c r="O174" s="406"/>
      <c r="P174" s="406"/>
      <c r="Q174" s="406"/>
      <c r="R174" s="406"/>
      <c r="S174" s="406"/>
      <c r="T174" s="406"/>
      <c r="U174" s="406"/>
      <c r="V174" s="406"/>
      <c r="W174" s="406"/>
      <c r="X174" s="406"/>
      <c r="Y174" s="406"/>
      <c r="Z174" s="406"/>
      <c r="AA174" s="406"/>
      <c r="AB174" s="406"/>
      <c r="AC174" s="406"/>
      <c r="AD174" s="406"/>
      <c r="AE174" s="406"/>
      <c r="AF174" s="406"/>
      <c r="AG174" s="406"/>
      <c r="AH174" s="406"/>
      <c r="AI174" s="406"/>
      <c r="AJ174" s="406"/>
      <c r="AK174" s="406"/>
    </row>
    <row r="175" spans="1:37" ht="15.45" x14ac:dyDescent="0.4">
      <c r="A175" s="406"/>
      <c r="B175" s="407"/>
      <c r="C175" s="501"/>
      <c r="D175" s="501"/>
      <c r="E175" s="501"/>
      <c r="F175" s="501"/>
      <c r="G175" s="501"/>
      <c r="H175" s="406"/>
      <c r="I175" s="406"/>
      <c r="J175" s="406"/>
      <c r="K175" s="406"/>
      <c r="L175" s="406"/>
      <c r="M175" s="406"/>
      <c r="N175" s="406"/>
      <c r="O175" s="406"/>
      <c r="P175" s="406"/>
      <c r="Q175" s="406"/>
      <c r="R175" s="406"/>
      <c r="S175" s="406"/>
      <c r="T175" s="406"/>
      <c r="U175" s="406"/>
      <c r="V175" s="406"/>
      <c r="W175" s="406"/>
      <c r="X175" s="406"/>
      <c r="Y175" s="406"/>
      <c r="Z175" s="406"/>
      <c r="AA175" s="406"/>
      <c r="AB175" s="406"/>
      <c r="AC175" s="406"/>
      <c r="AD175" s="406"/>
      <c r="AE175" s="406"/>
      <c r="AF175" s="406"/>
      <c r="AG175" s="406"/>
      <c r="AH175" s="406"/>
      <c r="AI175" s="406"/>
      <c r="AJ175" s="406"/>
      <c r="AK175" s="406"/>
    </row>
    <row r="176" spans="1:37" ht="15.45" x14ac:dyDescent="0.4">
      <c r="A176" s="406"/>
      <c r="B176" s="407"/>
      <c r="C176" s="501"/>
      <c r="D176" s="501"/>
      <c r="E176" s="501"/>
      <c r="F176" s="501"/>
      <c r="G176" s="501"/>
      <c r="H176" s="406"/>
      <c r="I176" s="406"/>
      <c r="J176" s="406"/>
      <c r="K176" s="406"/>
      <c r="L176" s="406"/>
      <c r="M176" s="406"/>
      <c r="N176" s="406"/>
      <c r="O176" s="406"/>
      <c r="P176" s="406"/>
      <c r="Q176" s="406"/>
      <c r="R176" s="406"/>
      <c r="S176" s="406"/>
      <c r="T176" s="406"/>
      <c r="U176" s="406"/>
      <c r="V176" s="406"/>
      <c r="W176" s="406"/>
      <c r="X176" s="406"/>
      <c r="Y176" s="406"/>
      <c r="Z176" s="406"/>
      <c r="AA176" s="406"/>
      <c r="AB176" s="406"/>
      <c r="AC176" s="406"/>
      <c r="AD176" s="406"/>
      <c r="AE176" s="406"/>
      <c r="AF176" s="406"/>
      <c r="AG176" s="406"/>
      <c r="AH176" s="406"/>
      <c r="AI176" s="406"/>
      <c r="AJ176" s="406"/>
      <c r="AK176" s="406"/>
    </row>
    <row r="177" spans="1:37" ht="15.45" x14ac:dyDescent="0.4">
      <c r="A177" s="406"/>
      <c r="B177" s="407"/>
      <c r="C177" s="501"/>
      <c r="D177" s="501"/>
      <c r="E177" s="501"/>
      <c r="F177" s="501"/>
      <c r="G177" s="501"/>
      <c r="H177" s="406"/>
      <c r="I177" s="406"/>
      <c r="J177" s="406"/>
      <c r="K177" s="406"/>
      <c r="L177" s="406"/>
      <c r="M177" s="406"/>
      <c r="N177" s="406"/>
      <c r="O177" s="406"/>
      <c r="P177" s="406"/>
      <c r="Q177" s="406"/>
      <c r="R177" s="406"/>
      <c r="S177" s="406"/>
      <c r="T177" s="406"/>
      <c r="U177" s="406"/>
      <c r="V177" s="406"/>
      <c r="W177" s="406"/>
      <c r="X177" s="406"/>
      <c r="Y177" s="406"/>
      <c r="Z177" s="406"/>
      <c r="AA177" s="406"/>
      <c r="AB177" s="406"/>
      <c r="AC177" s="406"/>
      <c r="AD177" s="406"/>
      <c r="AE177" s="406"/>
      <c r="AF177" s="406"/>
      <c r="AG177" s="406"/>
      <c r="AH177" s="406"/>
      <c r="AI177" s="406"/>
      <c r="AJ177" s="406"/>
      <c r="AK177" s="406"/>
    </row>
    <row r="178" spans="1:37" ht="15.45" x14ac:dyDescent="0.4">
      <c r="A178" s="406"/>
      <c r="B178" s="407"/>
      <c r="C178" s="501"/>
      <c r="D178" s="501"/>
      <c r="E178" s="501"/>
      <c r="F178" s="501"/>
      <c r="G178" s="501"/>
      <c r="H178" s="406"/>
      <c r="I178" s="406"/>
      <c r="J178" s="406"/>
      <c r="K178" s="406"/>
      <c r="L178" s="406"/>
      <c r="M178" s="406"/>
      <c r="N178" s="406"/>
      <c r="O178" s="406"/>
      <c r="P178" s="406"/>
      <c r="Q178" s="406"/>
      <c r="R178" s="406"/>
      <c r="S178" s="406"/>
      <c r="T178" s="406"/>
      <c r="U178" s="406"/>
      <c r="V178" s="406"/>
      <c r="W178" s="406"/>
      <c r="X178" s="406"/>
      <c r="Y178" s="406"/>
      <c r="Z178" s="406"/>
      <c r="AA178" s="406"/>
      <c r="AB178" s="406"/>
      <c r="AC178" s="406"/>
      <c r="AD178" s="406"/>
      <c r="AE178" s="406"/>
      <c r="AF178" s="406"/>
      <c r="AG178" s="406"/>
      <c r="AH178" s="406"/>
      <c r="AI178" s="406"/>
      <c r="AJ178" s="406"/>
      <c r="AK178" s="406"/>
    </row>
    <row r="179" spans="1:37" ht="15.45" x14ac:dyDescent="0.4">
      <c r="A179" s="406"/>
      <c r="B179" s="407"/>
      <c r="C179" s="501"/>
      <c r="D179" s="501"/>
      <c r="E179" s="501"/>
      <c r="F179" s="501"/>
      <c r="G179" s="501"/>
      <c r="H179" s="406"/>
      <c r="I179" s="406"/>
      <c r="J179" s="406"/>
      <c r="K179" s="406"/>
      <c r="L179" s="406"/>
      <c r="M179" s="406"/>
      <c r="N179" s="406"/>
      <c r="O179" s="406"/>
      <c r="P179" s="406"/>
      <c r="Q179" s="406"/>
      <c r="R179" s="406"/>
      <c r="S179" s="406"/>
      <c r="T179" s="406"/>
      <c r="U179" s="406"/>
      <c r="V179" s="406"/>
      <c r="W179" s="406"/>
      <c r="X179" s="406"/>
      <c r="Y179" s="406"/>
      <c r="Z179" s="406"/>
      <c r="AA179" s="406"/>
      <c r="AB179" s="406"/>
      <c r="AC179" s="406"/>
      <c r="AD179" s="406"/>
      <c r="AE179" s="406"/>
      <c r="AF179" s="406"/>
      <c r="AG179" s="406"/>
      <c r="AH179" s="406"/>
      <c r="AI179" s="406"/>
      <c r="AJ179" s="406"/>
      <c r="AK179" s="406"/>
    </row>
    <row r="180" spans="1:37" ht="15.45" x14ac:dyDescent="0.4">
      <c r="A180" s="406"/>
      <c r="B180" s="407"/>
      <c r="C180" s="501"/>
      <c r="D180" s="501"/>
      <c r="E180" s="501"/>
      <c r="F180" s="501"/>
      <c r="G180" s="501"/>
      <c r="H180" s="406"/>
      <c r="I180" s="406"/>
      <c r="J180" s="406"/>
      <c r="K180" s="406"/>
      <c r="L180" s="406"/>
      <c r="M180" s="406"/>
      <c r="N180" s="406"/>
      <c r="O180" s="406"/>
      <c r="P180" s="406"/>
      <c r="Q180" s="406"/>
      <c r="R180" s="406"/>
      <c r="S180" s="406"/>
      <c r="T180" s="406"/>
      <c r="U180" s="406"/>
      <c r="V180" s="406"/>
      <c r="W180" s="406"/>
      <c r="X180" s="406"/>
      <c r="Y180" s="406"/>
      <c r="Z180" s="406"/>
      <c r="AA180" s="406"/>
      <c r="AB180" s="406"/>
      <c r="AC180" s="406"/>
      <c r="AD180" s="406"/>
      <c r="AE180" s="406"/>
      <c r="AF180" s="406"/>
      <c r="AG180" s="406"/>
      <c r="AH180" s="406"/>
      <c r="AI180" s="406"/>
      <c r="AJ180" s="406"/>
      <c r="AK180" s="406"/>
    </row>
    <row r="181" spans="1:37" ht="15.45" x14ac:dyDescent="0.4">
      <c r="A181" s="406"/>
      <c r="B181" s="407"/>
      <c r="C181" s="501"/>
      <c r="D181" s="501"/>
      <c r="E181" s="501"/>
      <c r="F181" s="501"/>
      <c r="G181" s="501"/>
      <c r="H181" s="406"/>
      <c r="I181" s="406"/>
      <c r="J181" s="406"/>
      <c r="K181" s="406"/>
      <c r="L181" s="406"/>
      <c r="M181" s="406"/>
      <c r="N181" s="406"/>
      <c r="O181" s="406"/>
      <c r="P181" s="406"/>
      <c r="Q181" s="406"/>
      <c r="R181" s="406"/>
      <c r="S181" s="406"/>
      <c r="T181" s="406"/>
      <c r="U181" s="406"/>
      <c r="V181" s="406"/>
      <c r="W181" s="406"/>
      <c r="X181" s="406"/>
      <c r="Y181" s="406"/>
      <c r="Z181" s="406"/>
      <c r="AA181" s="406"/>
      <c r="AB181" s="406"/>
      <c r="AC181" s="406"/>
      <c r="AD181" s="406"/>
      <c r="AE181" s="406"/>
      <c r="AF181" s="406"/>
      <c r="AG181" s="406"/>
      <c r="AH181" s="406"/>
      <c r="AI181" s="406"/>
      <c r="AJ181" s="406"/>
      <c r="AK181" s="406"/>
    </row>
    <row r="182" spans="1:37" ht="15.45" x14ac:dyDescent="0.4">
      <c r="A182" s="406"/>
      <c r="B182" s="407"/>
      <c r="C182" s="501"/>
      <c r="D182" s="501"/>
      <c r="E182" s="501"/>
      <c r="F182" s="501"/>
      <c r="G182" s="501"/>
      <c r="H182" s="406"/>
      <c r="I182" s="406"/>
      <c r="J182" s="406"/>
      <c r="K182" s="406"/>
      <c r="L182" s="406"/>
      <c r="M182" s="406"/>
      <c r="N182" s="406"/>
      <c r="O182" s="406"/>
      <c r="P182" s="406"/>
      <c r="Q182" s="406"/>
      <c r="R182" s="406"/>
      <c r="S182" s="406"/>
      <c r="T182" s="406"/>
      <c r="U182" s="406"/>
      <c r="V182" s="406"/>
      <c r="W182" s="406"/>
      <c r="X182" s="406"/>
      <c r="Y182" s="406"/>
      <c r="Z182" s="406"/>
      <c r="AA182" s="406"/>
      <c r="AB182" s="406"/>
      <c r="AC182" s="406"/>
      <c r="AD182" s="406"/>
      <c r="AE182" s="406"/>
      <c r="AF182" s="406"/>
      <c r="AG182" s="406"/>
      <c r="AH182" s="406"/>
      <c r="AI182" s="406"/>
      <c r="AJ182" s="406"/>
      <c r="AK182" s="406"/>
    </row>
    <row r="183" spans="1:37" ht="15.45" x14ac:dyDescent="0.4">
      <c r="A183" s="406"/>
      <c r="B183" s="407"/>
      <c r="C183" s="501"/>
      <c r="D183" s="501"/>
      <c r="E183" s="501"/>
      <c r="F183" s="501"/>
      <c r="G183" s="501"/>
      <c r="H183" s="406"/>
      <c r="I183" s="406"/>
      <c r="J183" s="406"/>
      <c r="K183" s="406"/>
      <c r="L183" s="406"/>
      <c r="M183" s="406"/>
      <c r="N183" s="406"/>
      <c r="O183" s="406"/>
      <c r="P183" s="406"/>
      <c r="Q183" s="406"/>
      <c r="R183" s="406"/>
      <c r="S183" s="406"/>
      <c r="T183" s="406"/>
      <c r="U183" s="406"/>
      <c r="V183" s="406"/>
      <c r="W183" s="406"/>
      <c r="X183" s="406"/>
      <c r="Y183" s="406"/>
      <c r="Z183" s="406"/>
      <c r="AA183" s="406"/>
      <c r="AB183" s="406"/>
      <c r="AC183" s="406"/>
      <c r="AD183" s="406"/>
      <c r="AE183" s="406"/>
      <c r="AF183" s="406"/>
      <c r="AG183" s="406"/>
      <c r="AH183" s="406"/>
      <c r="AI183" s="406"/>
      <c r="AJ183" s="406"/>
      <c r="AK183" s="406"/>
    </row>
    <row r="184" spans="1:37" ht="15.45" x14ac:dyDescent="0.4">
      <c r="A184" s="406"/>
      <c r="B184" s="407"/>
      <c r="C184" s="501"/>
      <c r="D184" s="501"/>
      <c r="E184" s="501"/>
      <c r="F184" s="501"/>
      <c r="G184" s="501"/>
      <c r="H184" s="406"/>
      <c r="I184" s="406"/>
      <c r="J184" s="406"/>
      <c r="K184" s="406"/>
      <c r="L184" s="406"/>
      <c r="M184" s="406"/>
      <c r="N184" s="406"/>
      <c r="O184" s="406"/>
      <c r="P184" s="406"/>
      <c r="Q184" s="406"/>
      <c r="R184" s="406"/>
      <c r="S184" s="406"/>
      <c r="T184" s="406"/>
      <c r="U184" s="406"/>
      <c r="V184" s="406"/>
      <c r="W184" s="406"/>
      <c r="X184" s="406"/>
      <c r="Y184" s="406"/>
      <c r="Z184" s="406"/>
      <c r="AA184" s="406"/>
      <c r="AB184" s="406"/>
      <c r="AC184" s="406"/>
      <c r="AD184" s="406"/>
      <c r="AE184" s="406"/>
      <c r="AF184" s="406"/>
      <c r="AG184" s="406"/>
      <c r="AH184" s="406"/>
      <c r="AI184" s="406"/>
      <c r="AJ184" s="406"/>
      <c r="AK184" s="406"/>
    </row>
    <row r="185" spans="1:37" ht="15.45" x14ac:dyDescent="0.4">
      <c r="A185" s="406"/>
      <c r="B185" s="407"/>
      <c r="C185" s="501"/>
      <c r="D185" s="501"/>
      <c r="E185" s="501"/>
      <c r="F185" s="501"/>
      <c r="G185" s="501"/>
      <c r="H185" s="406"/>
      <c r="I185" s="406"/>
      <c r="J185" s="406"/>
      <c r="K185" s="406"/>
      <c r="L185" s="406"/>
      <c r="M185" s="406"/>
      <c r="N185" s="406"/>
      <c r="O185" s="406"/>
      <c r="P185" s="406"/>
      <c r="Q185" s="406"/>
      <c r="R185" s="406"/>
      <c r="S185" s="406"/>
      <c r="T185" s="406"/>
      <c r="U185" s="406"/>
      <c r="V185" s="406"/>
      <c r="W185" s="406"/>
      <c r="X185" s="406"/>
      <c r="Y185" s="406"/>
      <c r="Z185" s="406"/>
      <c r="AA185" s="406"/>
      <c r="AB185" s="406"/>
      <c r="AC185" s="406"/>
      <c r="AD185" s="406"/>
      <c r="AE185" s="406"/>
      <c r="AF185" s="406"/>
      <c r="AG185" s="406"/>
      <c r="AH185" s="406"/>
      <c r="AI185" s="406"/>
      <c r="AJ185" s="406"/>
      <c r="AK185" s="406"/>
    </row>
    <row r="186" spans="1:37" ht="15.45" x14ac:dyDescent="0.4">
      <c r="A186" s="406"/>
      <c r="B186" s="407"/>
      <c r="C186" s="509"/>
      <c r="D186" s="509"/>
      <c r="E186" s="509"/>
      <c r="F186" s="509"/>
      <c r="G186" s="509"/>
      <c r="H186" s="406"/>
      <c r="I186" s="406"/>
      <c r="J186" s="406"/>
      <c r="K186" s="406"/>
      <c r="L186" s="406"/>
      <c r="M186" s="406"/>
      <c r="N186" s="406"/>
      <c r="O186" s="406"/>
      <c r="P186" s="406"/>
      <c r="Q186" s="406"/>
      <c r="R186" s="406"/>
      <c r="S186" s="406"/>
      <c r="T186" s="406"/>
      <c r="U186" s="406"/>
      <c r="V186" s="406"/>
      <c r="W186" s="406"/>
      <c r="X186" s="406"/>
      <c r="Y186" s="406"/>
      <c r="Z186" s="406"/>
      <c r="AA186" s="406"/>
      <c r="AB186" s="406"/>
      <c r="AC186" s="406"/>
      <c r="AD186" s="406"/>
      <c r="AE186" s="406"/>
      <c r="AF186" s="406"/>
      <c r="AG186" s="406"/>
      <c r="AH186" s="406"/>
      <c r="AI186" s="406"/>
      <c r="AJ186" s="406"/>
      <c r="AK186" s="406"/>
    </row>
    <row r="187" spans="1:37" ht="15.45" x14ac:dyDescent="0.4">
      <c r="A187" s="406"/>
      <c r="B187" s="407"/>
      <c r="C187" s="509"/>
      <c r="D187" s="509"/>
      <c r="E187" s="509"/>
      <c r="F187" s="509"/>
      <c r="G187" s="509"/>
      <c r="H187" s="406"/>
      <c r="I187" s="406"/>
      <c r="J187" s="406"/>
      <c r="K187" s="406"/>
      <c r="L187" s="406"/>
      <c r="M187" s="406"/>
      <c r="N187" s="406"/>
      <c r="O187" s="406"/>
      <c r="P187" s="406"/>
      <c r="Q187" s="406"/>
      <c r="R187" s="406"/>
      <c r="S187" s="406"/>
      <c r="T187" s="406"/>
      <c r="U187" s="406"/>
      <c r="V187" s="406"/>
      <c r="W187" s="406"/>
      <c r="X187" s="406"/>
      <c r="Y187" s="406"/>
      <c r="Z187" s="406"/>
      <c r="AA187" s="406"/>
      <c r="AB187" s="406"/>
      <c r="AC187" s="406"/>
      <c r="AD187" s="406"/>
      <c r="AE187" s="406"/>
      <c r="AF187" s="406"/>
      <c r="AG187" s="406"/>
      <c r="AH187" s="406"/>
      <c r="AI187" s="406"/>
      <c r="AJ187" s="406"/>
      <c r="AK187" s="406"/>
    </row>
    <row r="188" spans="1:37" ht="15.45" x14ac:dyDescent="0.4">
      <c r="A188" s="406"/>
      <c r="B188" s="407"/>
      <c r="C188" s="509"/>
      <c r="D188" s="509"/>
      <c r="E188" s="509"/>
      <c r="F188" s="509"/>
      <c r="G188" s="509"/>
      <c r="H188" s="406"/>
      <c r="I188" s="406"/>
      <c r="J188" s="406"/>
      <c r="K188" s="406"/>
      <c r="L188" s="406"/>
      <c r="M188" s="406"/>
      <c r="N188" s="406"/>
      <c r="O188" s="406"/>
      <c r="P188" s="406"/>
      <c r="Q188" s="406"/>
      <c r="R188" s="406"/>
      <c r="S188" s="406"/>
      <c r="T188" s="406"/>
      <c r="U188" s="406"/>
      <c r="V188" s="406"/>
      <c r="W188" s="406"/>
      <c r="X188" s="406"/>
      <c r="Y188" s="406"/>
      <c r="Z188" s="406"/>
      <c r="AA188" s="406"/>
      <c r="AB188" s="406"/>
      <c r="AC188" s="406"/>
      <c r="AD188" s="406"/>
      <c r="AE188" s="406"/>
      <c r="AF188" s="406"/>
      <c r="AG188" s="406"/>
      <c r="AH188" s="406"/>
      <c r="AI188" s="406"/>
      <c r="AJ188" s="406"/>
      <c r="AK188" s="406"/>
    </row>
    <row r="189" spans="1:37" ht="15.45" x14ac:dyDescent="0.4">
      <c r="A189" s="406"/>
      <c r="B189" s="407"/>
      <c r="C189" s="406"/>
      <c r="D189" s="406"/>
      <c r="E189" s="406"/>
      <c r="F189" s="406"/>
      <c r="G189" s="406"/>
      <c r="H189" s="406"/>
      <c r="I189" s="406"/>
      <c r="J189" s="406"/>
      <c r="K189" s="406"/>
      <c r="L189" s="406"/>
      <c r="M189" s="406"/>
      <c r="N189" s="406"/>
      <c r="O189" s="406"/>
      <c r="P189" s="406"/>
      <c r="Q189" s="406"/>
      <c r="R189" s="406"/>
      <c r="S189" s="406"/>
      <c r="T189" s="406"/>
      <c r="U189" s="406"/>
      <c r="V189" s="406"/>
      <c r="W189" s="406"/>
      <c r="X189" s="406"/>
      <c r="Y189" s="406"/>
      <c r="Z189" s="406"/>
      <c r="AA189" s="406"/>
      <c r="AB189" s="406"/>
      <c r="AC189" s="406"/>
      <c r="AD189" s="406"/>
      <c r="AE189" s="406"/>
      <c r="AF189" s="406"/>
      <c r="AG189" s="406"/>
      <c r="AH189" s="406"/>
      <c r="AI189" s="406"/>
      <c r="AJ189" s="406"/>
      <c r="AK189" s="406"/>
    </row>
    <row r="190" spans="1:37" ht="15.45" x14ac:dyDescent="0.4">
      <c r="A190" s="406"/>
      <c r="B190" s="407"/>
      <c r="C190" s="406"/>
      <c r="D190" s="406"/>
      <c r="E190" s="406"/>
      <c r="F190" s="406"/>
      <c r="G190" s="406"/>
      <c r="H190" s="406"/>
      <c r="I190" s="406"/>
      <c r="J190" s="406"/>
      <c r="K190" s="406"/>
      <c r="L190" s="406"/>
      <c r="M190" s="406"/>
      <c r="N190" s="406"/>
      <c r="O190" s="406"/>
      <c r="P190" s="406"/>
      <c r="Q190" s="406"/>
      <c r="R190" s="406"/>
      <c r="S190" s="406"/>
      <c r="T190" s="406"/>
      <c r="U190" s="406"/>
      <c r="V190" s="406"/>
      <c r="W190" s="406"/>
      <c r="X190" s="406"/>
      <c r="Y190" s="406"/>
      <c r="Z190" s="406"/>
      <c r="AA190" s="406"/>
      <c r="AB190" s="406"/>
      <c r="AC190" s="406"/>
      <c r="AD190" s="406"/>
      <c r="AE190" s="406"/>
      <c r="AF190" s="406"/>
      <c r="AG190" s="406"/>
      <c r="AH190" s="406"/>
      <c r="AI190" s="406"/>
      <c r="AJ190" s="406"/>
      <c r="AK190" s="406"/>
    </row>
    <row r="191" spans="1:37" ht="15.45" x14ac:dyDescent="0.4">
      <c r="A191" s="406"/>
      <c r="B191" s="407"/>
      <c r="C191" s="406"/>
      <c r="D191" s="406"/>
      <c r="E191" s="406"/>
      <c r="F191" s="406"/>
      <c r="G191" s="406"/>
      <c r="H191" s="406"/>
      <c r="I191" s="406"/>
      <c r="J191" s="406"/>
      <c r="K191" s="406"/>
      <c r="L191" s="406"/>
      <c r="M191" s="406"/>
      <c r="N191" s="406"/>
      <c r="O191" s="406"/>
      <c r="P191" s="406"/>
      <c r="Q191" s="406"/>
      <c r="R191" s="406"/>
      <c r="S191" s="406"/>
      <c r="T191" s="406"/>
      <c r="U191" s="406"/>
      <c r="V191" s="406"/>
      <c r="W191" s="406"/>
      <c r="X191" s="406"/>
      <c r="Y191" s="406"/>
      <c r="Z191" s="406"/>
      <c r="AA191" s="406"/>
      <c r="AB191" s="406"/>
      <c r="AC191" s="406"/>
      <c r="AD191" s="406"/>
      <c r="AE191" s="406"/>
      <c r="AF191" s="406"/>
      <c r="AG191" s="406"/>
      <c r="AH191" s="406"/>
      <c r="AI191" s="406"/>
      <c r="AJ191" s="406"/>
      <c r="AK191" s="406"/>
    </row>
    <row r="192" spans="1:37" ht="15.45" x14ac:dyDescent="0.4">
      <c r="A192" s="406"/>
      <c r="B192" s="407"/>
      <c r="C192" s="406"/>
      <c r="D192" s="406"/>
      <c r="E192" s="406"/>
      <c r="F192" s="406"/>
      <c r="G192" s="406"/>
      <c r="H192" s="406"/>
      <c r="I192" s="406"/>
      <c r="J192" s="406"/>
      <c r="K192" s="406"/>
      <c r="L192" s="406"/>
      <c r="M192" s="406"/>
      <c r="N192" s="406"/>
      <c r="O192" s="406"/>
      <c r="P192" s="406"/>
      <c r="Q192" s="406"/>
      <c r="R192" s="406"/>
      <c r="S192" s="406"/>
      <c r="T192" s="406"/>
      <c r="U192" s="406"/>
      <c r="V192" s="406"/>
      <c r="W192" s="406"/>
      <c r="X192" s="406"/>
      <c r="Y192" s="406"/>
      <c r="Z192" s="406"/>
      <c r="AA192" s="406"/>
      <c r="AB192" s="406"/>
      <c r="AC192" s="406"/>
      <c r="AD192" s="406"/>
      <c r="AE192" s="406"/>
      <c r="AF192" s="406"/>
      <c r="AG192" s="406"/>
      <c r="AH192" s="406"/>
      <c r="AI192" s="406"/>
      <c r="AJ192" s="406"/>
      <c r="AK192" s="406"/>
    </row>
    <row r="193" spans="1:37" ht="15.45" x14ac:dyDescent="0.4">
      <c r="A193" s="406"/>
      <c r="B193" s="407"/>
      <c r="C193" s="406"/>
      <c r="D193" s="406"/>
      <c r="E193" s="406"/>
      <c r="F193" s="406"/>
      <c r="G193" s="406"/>
      <c r="H193" s="406"/>
      <c r="I193" s="406"/>
      <c r="J193" s="406"/>
      <c r="K193" s="406"/>
      <c r="L193" s="406"/>
      <c r="M193" s="406"/>
      <c r="N193" s="406"/>
      <c r="O193" s="406"/>
      <c r="P193" s="406"/>
      <c r="Q193" s="406"/>
      <c r="R193" s="406"/>
      <c r="S193" s="406"/>
      <c r="T193" s="406"/>
      <c r="U193" s="406"/>
      <c r="V193" s="406"/>
      <c r="W193" s="406"/>
      <c r="X193" s="406"/>
      <c r="Y193" s="406"/>
      <c r="Z193" s="406"/>
      <c r="AA193" s="406"/>
      <c r="AB193" s="406"/>
      <c r="AC193" s="406"/>
      <c r="AD193" s="406"/>
      <c r="AE193" s="406"/>
      <c r="AF193" s="406"/>
      <c r="AG193" s="406"/>
      <c r="AH193" s="406"/>
      <c r="AI193" s="406"/>
      <c r="AJ193" s="406"/>
      <c r="AK193" s="406"/>
    </row>
    <row r="194" spans="1:37" ht="15.45" x14ac:dyDescent="0.4">
      <c r="A194" s="406"/>
      <c r="B194" s="407"/>
      <c r="C194" s="406"/>
      <c r="D194" s="406"/>
      <c r="E194" s="406"/>
      <c r="F194" s="406"/>
      <c r="G194" s="406"/>
      <c r="H194" s="406"/>
      <c r="I194" s="406"/>
      <c r="J194" s="406"/>
      <c r="K194" s="406"/>
      <c r="L194" s="406"/>
      <c r="M194" s="406"/>
      <c r="N194" s="406"/>
      <c r="O194" s="406"/>
      <c r="P194" s="406"/>
      <c r="Q194" s="406"/>
      <c r="R194" s="406"/>
      <c r="S194" s="406"/>
      <c r="T194" s="406"/>
      <c r="U194" s="406"/>
      <c r="V194" s="406"/>
      <c r="W194" s="406"/>
      <c r="X194" s="406"/>
      <c r="Y194" s="406"/>
      <c r="Z194" s="406"/>
      <c r="AA194" s="406"/>
      <c r="AB194" s="406"/>
      <c r="AC194" s="406"/>
      <c r="AD194" s="406"/>
      <c r="AE194" s="406"/>
      <c r="AF194" s="406"/>
      <c r="AG194" s="406"/>
      <c r="AH194" s="406"/>
      <c r="AI194" s="406"/>
      <c r="AJ194" s="406"/>
      <c r="AK194" s="406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301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65" t="s">
        <v>432</v>
      </c>
      <c r="B1" s="1165"/>
      <c r="C1" s="1165"/>
      <c r="D1" s="1165"/>
      <c r="E1" s="1165"/>
      <c r="G1" s="1166" t="s">
        <v>433</v>
      </c>
      <c r="H1" s="1166"/>
      <c r="I1" s="1166"/>
      <c r="J1" s="1166"/>
      <c r="K1" s="1166"/>
      <c r="M1" s="1167" t="s">
        <v>434</v>
      </c>
      <c r="N1" s="1167"/>
      <c r="O1" s="1167"/>
      <c r="P1" s="1167"/>
      <c r="Q1" s="1167"/>
      <c r="S1" s="1168" t="s">
        <v>926</v>
      </c>
      <c r="T1" s="1168"/>
      <c r="U1" s="1168"/>
      <c r="V1" s="1168"/>
      <c r="W1" s="1168"/>
    </row>
    <row r="2" spans="1:23" x14ac:dyDescent="0.4">
      <c r="A2" s="301" t="s">
        <v>11</v>
      </c>
      <c r="B2" s="301" t="s">
        <v>435</v>
      </c>
      <c r="C2" s="301" t="s">
        <v>436</v>
      </c>
      <c r="D2" s="301" t="s">
        <v>501</v>
      </c>
      <c r="E2" s="301" t="s">
        <v>716</v>
      </c>
      <c r="G2" s="301" t="s">
        <v>11</v>
      </c>
      <c r="H2" s="301" t="s">
        <v>435</v>
      </c>
      <c r="I2" s="301" t="s">
        <v>436</v>
      </c>
      <c r="J2" s="301" t="s">
        <v>501</v>
      </c>
      <c r="K2" s="301" t="s">
        <v>716</v>
      </c>
      <c r="M2" s="301" t="s">
        <v>11</v>
      </c>
      <c r="N2" s="301" t="s">
        <v>435</v>
      </c>
      <c r="O2" s="301" t="s">
        <v>436</v>
      </c>
      <c r="P2" s="301" t="s">
        <v>501</v>
      </c>
      <c r="Q2" s="301" t="s">
        <v>716</v>
      </c>
      <c r="S2" s="301" t="s">
        <v>11</v>
      </c>
      <c r="T2" s="301" t="s">
        <v>435</v>
      </c>
      <c r="U2" s="301" t="s">
        <v>436</v>
      </c>
      <c r="V2" s="301" t="s">
        <v>501</v>
      </c>
      <c r="W2" s="301" t="s">
        <v>716</v>
      </c>
    </row>
    <row r="3" spans="1:23" x14ac:dyDescent="0.4">
      <c r="A3" s="89"/>
      <c r="B3" s="301"/>
      <c r="C3" s="301"/>
      <c r="D3" s="301"/>
      <c r="E3" s="301"/>
      <c r="G3" s="89"/>
      <c r="H3" s="301"/>
      <c r="I3" s="301"/>
      <c r="J3" s="301"/>
      <c r="K3" s="301"/>
      <c r="M3" s="89"/>
      <c r="N3" s="301"/>
      <c r="O3" s="301"/>
      <c r="P3" s="301"/>
      <c r="Q3" s="301"/>
      <c r="S3" s="89"/>
      <c r="T3" s="301"/>
      <c r="U3" s="301"/>
      <c r="V3" s="301"/>
      <c r="W3" s="301"/>
    </row>
    <row r="4" spans="1:23" x14ac:dyDescent="0.4">
      <c r="A4" s="301"/>
      <c r="B4" s="301"/>
      <c r="C4" s="301"/>
      <c r="D4" s="301"/>
      <c r="E4" s="301"/>
      <c r="G4" s="301"/>
      <c r="H4" s="301"/>
      <c r="I4" s="301"/>
      <c r="J4" s="301"/>
      <c r="K4" s="301"/>
      <c r="M4" s="301"/>
      <c r="N4" s="301"/>
      <c r="O4" s="301"/>
      <c r="P4" s="301"/>
      <c r="Q4" s="301"/>
      <c r="S4" s="301"/>
      <c r="T4" s="301"/>
      <c r="U4" s="301"/>
      <c r="V4" s="301"/>
      <c r="W4" s="301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workbookViewId="0">
      <pane xSplit="3" ySplit="2" topLeftCell="D177" activePane="bottomRight" state="frozen"/>
      <selection pane="topRight" activeCell="D1" sqref="D1"/>
      <selection pane="bottomLeft" activeCell="A3" sqref="A3"/>
      <selection pane="bottomRight" activeCell="E188" sqref="E188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86" customWidth="1"/>
    <col min="7" max="7" width="18.3046875" style="286" customWidth="1"/>
    <col min="8" max="8" width="19.53515625" style="286" customWidth="1"/>
    <col min="9" max="9" width="23.3046875" style="286" customWidth="1"/>
    <col min="10" max="10" width="19.3046875" style="286" customWidth="1"/>
    <col min="11" max="11" width="21.15234375" style="286" customWidth="1"/>
    <col min="12" max="12" width="22.53515625" style="286" customWidth="1"/>
    <col min="13" max="13" width="12.53515625" style="291" customWidth="1"/>
    <col min="14" max="14" width="22.84375" style="291" bestFit="1" customWidth="1"/>
    <col min="15" max="15" width="16.15234375" style="291" customWidth="1"/>
    <col min="16" max="16" width="21.3046875" style="291" bestFit="1" customWidth="1"/>
    <col min="17" max="18" width="14.3046875" style="291" customWidth="1"/>
    <col min="19" max="19" width="12.3046875" style="291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13" customWidth="1"/>
    <col min="28" max="28" width="22.84375" style="213" bestFit="1" customWidth="1"/>
    <col min="29" max="29" width="16.15234375" style="213" customWidth="1"/>
    <col min="30" max="32" width="14.3046875" style="213" customWidth="1"/>
    <col min="33" max="33" width="12.3046875" style="213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13" bestFit="1" customWidth="1"/>
    <col min="38" max="38" width="12.3046875" customWidth="1"/>
    <col min="39" max="39" width="12.3046875" style="111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111">
        <v>4</v>
      </c>
      <c r="F1" s="286">
        <v>5</v>
      </c>
      <c r="G1" s="286">
        <v>6</v>
      </c>
      <c r="H1" s="286">
        <v>7</v>
      </c>
      <c r="I1" s="286">
        <v>8</v>
      </c>
      <c r="J1" s="286">
        <v>9</v>
      </c>
      <c r="K1" s="286">
        <v>10</v>
      </c>
      <c r="L1" s="286">
        <v>11</v>
      </c>
      <c r="M1" s="291">
        <v>12</v>
      </c>
      <c r="N1" s="291">
        <v>13</v>
      </c>
      <c r="O1" s="291">
        <v>14</v>
      </c>
      <c r="P1" s="291">
        <v>15</v>
      </c>
      <c r="Q1" s="291">
        <v>16</v>
      </c>
      <c r="R1" s="291">
        <v>17</v>
      </c>
      <c r="S1" s="291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13">
        <v>26</v>
      </c>
      <c r="AB1" s="213">
        <v>27</v>
      </c>
      <c r="AC1" s="213">
        <v>28</v>
      </c>
      <c r="AD1" s="213">
        <v>29</v>
      </c>
      <c r="AE1" s="213">
        <v>30</v>
      </c>
      <c r="AF1" s="213">
        <v>31</v>
      </c>
      <c r="AG1" s="213">
        <v>32</v>
      </c>
      <c r="AH1" s="30">
        <v>33</v>
      </c>
      <c r="AI1" s="27">
        <v>34</v>
      </c>
      <c r="AJ1" s="28">
        <v>35</v>
      </c>
      <c r="AK1" s="213">
        <v>36</v>
      </c>
      <c r="AL1" s="111">
        <v>37</v>
      </c>
      <c r="AM1" s="111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87" t="s">
        <v>414</v>
      </c>
      <c r="G2" s="287" t="s">
        <v>417</v>
      </c>
      <c r="H2" s="287" t="s">
        <v>421</v>
      </c>
      <c r="I2" s="287" t="s">
        <v>422</v>
      </c>
      <c r="J2" s="287" t="s">
        <v>423</v>
      </c>
      <c r="K2" s="287" t="s">
        <v>454</v>
      </c>
      <c r="L2" s="287" t="s">
        <v>495</v>
      </c>
      <c r="M2" s="292" t="s">
        <v>414</v>
      </c>
      <c r="N2" s="292" t="s">
        <v>417</v>
      </c>
      <c r="O2" s="292" t="s">
        <v>421</v>
      </c>
      <c r="P2" s="292" t="s">
        <v>422</v>
      </c>
      <c r="Q2" s="292" t="s">
        <v>423</v>
      </c>
      <c r="R2" s="292" t="s">
        <v>454</v>
      </c>
      <c r="S2" s="292" t="s">
        <v>495</v>
      </c>
      <c r="T2" s="163" t="s">
        <v>414</v>
      </c>
      <c r="U2" s="163" t="s">
        <v>417</v>
      </c>
      <c r="V2" s="163" t="s">
        <v>421</v>
      </c>
      <c r="W2" s="163" t="s">
        <v>422</v>
      </c>
      <c r="X2" s="163" t="s">
        <v>423</v>
      </c>
      <c r="Y2" s="163" t="s">
        <v>454</v>
      </c>
      <c r="Z2" s="163" t="s">
        <v>495</v>
      </c>
      <c r="AA2" s="214" t="s">
        <v>414</v>
      </c>
      <c r="AB2" s="214" t="s">
        <v>417</v>
      </c>
      <c r="AC2" s="214" t="s">
        <v>421</v>
      </c>
      <c r="AD2" s="214" t="s">
        <v>422</v>
      </c>
      <c r="AE2" s="214" t="s">
        <v>423</v>
      </c>
      <c r="AF2" s="214" t="s">
        <v>454</v>
      </c>
      <c r="AG2" s="214" t="s">
        <v>495</v>
      </c>
      <c r="AH2" s="173" t="s">
        <v>458</v>
      </c>
      <c r="AI2" s="168" t="s">
        <v>459</v>
      </c>
      <c r="AJ2" s="163" t="s">
        <v>460</v>
      </c>
      <c r="AK2" s="214" t="s">
        <v>798</v>
      </c>
      <c r="AL2" s="7" t="s">
        <v>478</v>
      </c>
      <c r="AM2" s="7" t="s">
        <v>811</v>
      </c>
      <c r="AN2" s="23" t="s">
        <v>880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88" t="s">
        <v>418</v>
      </c>
      <c r="G3" s="288" t="s">
        <v>418</v>
      </c>
      <c r="H3" s="288" t="s">
        <v>418</v>
      </c>
      <c r="I3" s="288" t="s">
        <v>418</v>
      </c>
      <c r="J3" s="288" t="s">
        <v>418</v>
      </c>
      <c r="K3" s="288" t="s">
        <v>418</v>
      </c>
      <c r="L3" s="288" t="s">
        <v>418</v>
      </c>
      <c r="M3" s="293" t="s">
        <v>418</v>
      </c>
      <c r="N3" s="293" t="s">
        <v>418</v>
      </c>
      <c r="O3" s="293" t="s">
        <v>418</v>
      </c>
      <c r="P3" s="293" t="s">
        <v>418</v>
      </c>
      <c r="Q3" s="293" t="s">
        <v>418</v>
      </c>
      <c r="R3" s="293" t="s">
        <v>418</v>
      </c>
      <c r="S3" s="293" t="s">
        <v>418</v>
      </c>
      <c r="T3" s="260" t="s">
        <v>418</v>
      </c>
      <c r="U3" s="260" t="s">
        <v>418</v>
      </c>
      <c r="V3" s="260" t="s">
        <v>418</v>
      </c>
      <c r="W3" s="260" t="s">
        <v>418</v>
      </c>
      <c r="X3" s="260" t="s">
        <v>418</v>
      </c>
      <c r="Y3" s="260" t="s">
        <v>418</v>
      </c>
      <c r="Z3" s="260" t="s">
        <v>418</v>
      </c>
      <c r="AA3" s="261" t="s">
        <v>418</v>
      </c>
      <c r="AB3" s="261" t="s">
        <v>418</v>
      </c>
      <c r="AC3" s="261" t="s">
        <v>418</v>
      </c>
      <c r="AD3" s="261" t="s">
        <v>418</v>
      </c>
      <c r="AE3" s="261" t="s">
        <v>418</v>
      </c>
      <c r="AF3" s="261" t="s">
        <v>418</v>
      </c>
      <c r="AG3" s="261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88" t="s">
        <v>418</v>
      </c>
      <c r="G4" s="288" t="s">
        <v>418</v>
      </c>
      <c r="H4" s="288" t="s">
        <v>418</v>
      </c>
      <c r="I4" s="288" t="s">
        <v>418</v>
      </c>
      <c r="J4" s="288" t="s">
        <v>418</v>
      </c>
      <c r="K4" s="288" t="s">
        <v>418</v>
      </c>
      <c r="L4" s="288" t="s">
        <v>418</v>
      </c>
      <c r="M4" s="293" t="s">
        <v>418</v>
      </c>
      <c r="N4" s="293" t="s">
        <v>418</v>
      </c>
      <c r="O4" s="293" t="s">
        <v>418</v>
      </c>
      <c r="P4" s="293" t="s">
        <v>418</v>
      </c>
      <c r="Q4" s="293" t="s">
        <v>418</v>
      </c>
      <c r="R4" s="293" t="s">
        <v>418</v>
      </c>
      <c r="S4" s="293" t="s">
        <v>418</v>
      </c>
      <c r="T4" s="260" t="s">
        <v>418</v>
      </c>
      <c r="U4" s="260" t="s">
        <v>418</v>
      </c>
      <c r="V4" s="260" t="s">
        <v>418</v>
      </c>
      <c r="W4" s="260" t="s">
        <v>418</v>
      </c>
      <c r="X4" s="260" t="s">
        <v>418</v>
      </c>
      <c r="Y4" s="260" t="s">
        <v>418</v>
      </c>
      <c r="Z4" s="260" t="s">
        <v>418</v>
      </c>
      <c r="AA4" s="261" t="s">
        <v>418</v>
      </c>
      <c r="AB4" s="261" t="s">
        <v>418</v>
      </c>
      <c r="AC4" s="261" t="s">
        <v>418</v>
      </c>
      <c r="AD4" s="261" t="s">
        <v>418</v>
      </c>
      <c r="AE4" s="261" t="s">
        <v>418</v>
      </c>
      <c r="AF4" s="261" t="s">
        <v>418</v>
      </c>
      <c r="AG4" s="261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88" t="s">
        <v>418</v>
      </c>
      <c r="G5" s="288" t="s">
        <v>418</v>
      </c>
      <c r="H5" s="288" t="s">
        <v>418</v>
      </c>
      <c r="I5" s="288" t="s">
        <v>418</v>
      </c>
      <c r="J5" s="288" t="s">
        <v>418</v>
      </c>
      <c r="K5" s="288" t="s">
        <v>418</v>
      </c>
      <c r="L5" s="288" t="s">
        <v>418</v>
      </c>
      <c r="M5" s="293" t="s">
        <v>418</v>
      </c>
      <c r="N5" s="293" t="s">
        <v>418</v>
      </c>
      <c r="O5" s="293" t="s">
        <v>418</v>
      </c>
      <c r="P5" s="293" t="s">
        <v>418</v>
      </c>
      <c r="Q5" s="293" t="s">
        <v>418</v>
      </c>
      <c r="R5" s="293" t="s">
        <v>418</v>
      </c>
      <c r="S5" s="293" t="s">
        <v>418</v>
      </c>
      <c r="T5" s="260" t="s">
        <v>418</v>
      </c>
      <c r="U5" s="260" t="s">
        <v>418</v>
      </c>
      <c r="V5" s="260" t="s">
        <v>418</v>
      </c>
      <c r="W5" s="260" t="s">
        <v>418</v>
      </c>
      <c r="X5" s="260" t="s">
        <v>418</v>
      </c>
      <c r="Y5" s="260" t="s">
        <v>418</v>
      </c>
      <c r="Z5" s="260" t="s">
        <v>418</v>
      </c>
      <c r="AA5" s="261" t="s">
        <v>418</v>
      </c>
      <c r="AB5" s="261" t="s">
        <v>418</v>
      </c>
      <c r="AC5" s="261" t="s">
        <v>418</v>
      </c>
      <c r="AD5" s="261" t="s">
        <v>418</v>
      </c>
      <c r="AE5" s="261" t="s">
        <v>418</v>
      </c>
      <c r="AF5" s="261" t="s">
        <v>418</v>
      </c>
      <c r="AG5" s="261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88" t="s">
        <v>418</v>
      </c>
      <c r="G6" s="288" t="s">
        <v>418</v>
      </c>
      <c r="H6" s="288" t="s">
        <v>418</v>
      </c>
      <c r="I6" s="288" t="s">
        <v>418</v>
      </c>
      <c r="J6" s="288" t="s">
        <v>418</v>
      </c>
      <c r="K6" s="288" t="s">
        <v>418</v>
      </c>
      <c r="L6" s="288" t="s">
        <v>418</v>
      </c>
      <c r="M6" s="293" t="s">
        <v>418</v>
      </c>
      <c r="N6" s="293" t="s">
        <v>418</v>
      </c>
      <c r="O6" s="293" t="s">
        <v>418</v>
      </c>
      <c r="P6" s="293" t="s">
        <v>418</v>
      </c>
      <c r="Q6" s="293" t="s">
        <v>418</v>
      </c>
      <c r="R6" s="293" t="s">
        <v>418</v>
      </c>
      <c r="S6" s="293" t="s">
        <v>418</v>
      </c>
      <c r="T6" s="260" t="s">
        <v>418</v>
      </c>
      <c r="U6" s="260" t="s">
        <v>418</v>
      </c>
      <c r="V6" s="260" t="s">
        <v>418</v>
      </c>
      <c r="W6" s="260" t="s">
        <v>418</v>
      </c>
      <c r="X6" s="260" t="s">
        <v>418</v>
      </c>
      <c r="Y6" s="260" t="s">
        <v>418</v>
      </c>
      <c r="Z6" s="260" t="s">
        <v>418</v>
      </c>
      <c r="AA6" s="261" t="s">
        <v>418</v>
      </c>
      <c r="AB6" s="261" t="s">
        <v>418</v>
      </c>
      <c r="AC6" s="261" t="s">
        <v>418</v>
      </c>
      <c r="AD6" s="261" t="s">
        <v>418</v>
      </c>
      <c r="AE6" s="261" t="s">
        <v>418</v>
      </c>
      <c r="AF6" s="261" t="s">
        <v>418</v>
      </c>
      <c r="AG6" s="261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88" t="s">
        <v>14</v>
      </c>
      <c r="G7" s="289" t="str">
        <f>IF('Area A'!$E$29&gt;0,$B$272,IF('Area A'!$D$31&gt;0,$B$272,IF('Area A'!$E$33&gt;0,'Item List'!$B$254,"None")))</f>
        <v>None</v>
      </c>
      <c r="H7" s="290" t="str">
        <f>$B$258</f>
        <v>INT-90°/650 rail</v>
      </c>
      <c r="I7" s="288" t="s">
        <v>418</v>
      </c>
      <c r="J7" s="288" t="s">
        <v>418</v>
      </c>
      <c r="K7" s="288" t="s">
        <v>418</v>
      </c>
      <c r="L7" s="288" t="s">
        <v>418</v>
      </c>
      <c r="M7" s="293" t="s">
        <v>14</v>
      </c>
      <c r="N7" s="294" t="str">
        <f>IF('Area B'!$E$29&gt;0,$B$272,IF('Area B'!$D$31&gt;0,$B$272,IF('Area B'!$E$33&gt;0,'Item List'!$B$254,"None")))</f>
        <v>None</v>
      </c>
      <c r="O7" s="295" t="s">
        <v>134</v>
      </c>
      <c r="P7" s="293" t="s">
        <v>418</v>
      </c>
      <c r="Q7" s="293" t="s">
        <v>418</v>
      </c>
      <c r="R7" s="293" t="s">
        <v>418</v>
      </c>
      <c r="S7" s="293" t="s">
        <v>418</v>
      </c>
      <c r="T7" s="260" t="s">
        <v>14</v>
      </c>
      <c r="U7" s="219" t="str">
        <f>IF('Area C'!$E$29&gt;0,$B$272,IF('Area C'!$D$31&gt;0,$B$272,IF('Area C'!$E$33&gt;0,'Item List'!$B$254,"None")))</f>
        <v>None</v>
      </c>
      <c r="V7" s="167" t="s">
        <v>134</v>
      </c>
      <c r="W7" s="260" t="s">
        <v>418</v>
      </c>
      <c r="X7" s="260" t="s">
        <v>418</v>
      </c>
      <c r="Y7" s="260" t="s">
        <v>418</v>
      </c>
      <c r="Z7" s="260" t="s">
        <v>418</v>
      </c>
      <c r="AA7" s="261" t="s">
        <v>14</v>
      </c>
      <c r="AB7" s="262" t="str">
        <f>IF('Area D'!$E$29&gt;0,$B$272,IF('Area D'!$D$31&gt;0,$B$272,IF('Area D'!$E$33&gt;0,'Item List'!$B$254,"None")))</f>
        <v>None</v>
      </c>
      <c r="AC7" s="215" t="s">
        <v>134</v>
      </c>
      <c r="AD7" s="261" t="s">
        <v>418</v>
      </c>
      <c r="AE7" s="261" t="s">
        <v>418</v>
      </c>
      <c r="AF7" s="261" t="s">
        <v>418</v>
      </c>
      <c r="AG7" s="261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88" t="s">
        <v>30</v>
      </c>
      <c r="G8" s="289" t="str">
        <f>IF('Area A'!$E$29&gt;0,$B$273,IF('Area A'!$D$31&gt;0,$B$272,IF('Area A'!$E$33&gt;0,'Item List'!$B$255,"None")))</f>
        <v>None</v>
      </c>
      <c r="H8" s="290" t="str">
        <f>$B$258</f>
        <v>INT-90°/650 rail</v>
      </c>
      <c r="I8" s="288" t="s">
        <v>418</v>
      </c>
      <c r="J8" s="288" t="s">
        <v>418</v>
      </c>
      <c r="K8" s="288" t="s">
        <v>418</v>
      </c>
      <c r="L8" s="288" t="s">
        <v>418</v>
      </c>
      <c r="M8" s="293" t="s">
        <v>30</v>
      </c>
      <c r="N8" s="294" t="str">
        <f>IF('Area B'!$E$29&gt;0,$B$273,IF('Area B'!$D$31&gt;0,$B$272,IF('Area B'!$E$33&gt;0,'Item List'!$B$255,"None")))</f>
        <v>None</v>
      </c>
      <c r="O8" s="295" t="s">
        <v>134</v>
      </c>
      <c r="P8" s="293" t="s">
        <v>418</v>
      </c>
      <c r="Q8" s="293" t="s">
        <v>418</v>
      </c>
      <c r="R8" s="293" t="s">
        <v>418</v>
      </c>
      <c r="S8" s="293" t="s">
        <v>418</v>
      </c>
      <c r="T8" s="260" t="s">
        <v>30</v>
      </c>
      <c r="U8" s="219" t="str">
        <f>IF('Area C'!$E$29&gt;0,$B$273,IF('Area C'!$D$31&gt;0,$B$272,IF('Area C'!$E$33&gt;0,'Item List'!$B$255,"None")))</f>
        <v>None</v>
      </c>
      <c r="V8" s="167" t="s">
        <v>134</v>
      </c>
      <c r="W8" s="260" t="s">
        <v>418</v>
      </c>
      <c r="X8" s="260" t="s">
        <v>418</v>
      </c>
      <c r="Y8" s="260" t="s">
        <v>418</v>
      </c>
      <c r="Z8" s="260" t="s">
        <v>418</v>
      </c>
      <c r="AA8" s="261" t="s">
        <v>30</v>
      </c>
      <c r="AB8" s="262" t="str">
        <f>IF('Area D'!$E$29&gt;0,$B$273,IF('Area D'!$D$31&gt;0,$B$272,IF('Area D'!$E$33&gt;0,'Item List'!$B$255,"None")))</f>
        <v>None</v>
      </c>
      <c r="AC8" s="215" t="s">
        <v>134</v>
      </c>
      <c r="AD8" s="261" t="s">
        <v>418</v>
      </c>
      <c r="AE8" s="261" t="s">
        <v>418</v>
      </c>
      <c r="AF8" s="261" t="s">
        <v>418</v>
      </c>
      <c r="AG8" s="261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88" t="s">
        <v>32</v>
      </c>
      <c r="G9" s="289" t="str">
        <f>IF('Area A'!$E$29&gt;0,$B$274,IF('Area A'!$D$31&gt;0,$B$272,IF('Area A'!$E$33&gt;0,'Item List'!$B$256,"None")))</f>
        <v>None</v>
      </c>
      <c r="H9" s="290" t="str">
        <f>$B$258</f>
        <v>INT-90°/650 rail</v>
      </c>
      <c r="I9" s="288" t="s">
        <v>418</v>
      </c>
      <c r="J9" s="288" t="s">
        <v>418</v>
      </c>
      <c r="K9" s="288" t="s">
        <v>418</v>
      </c>
      <c r="L9" s="288" t="s">
        <v>418</v>
      </c>
      <c r="M9" s="293" t="s">
        <v>32</v>
      </c>
      <c r="N9" s="294" t="str">
        <f>IF('Area B'!$E$29&gt;0,$B$274,IF('Area B'!$D$31&gt;0,$B$272,IF('Area B'!$E$33&gt;0,'Item List'!$B$256,"None")))</f>
        <v>None</v>
      </c>
      <c r="O9" s="295" t="s">
        <v>134</v>
      </c>
      <c r="P9" s="293" t="s">
        <v>418</v>
      </c>
      <c r="Q9" s="293" t="s">
        <v>418</v>
      </c>
      <c r="R9" s="293" t="s">
        <v>418</v>
      </c>
      <c r="S9" s="293" t="s">
        <v>418</v>
      </c>
      <c r="T9" s="260" t="s">
        <v>32</v>
      </c>
      <c r="U9" s="219" t="str">
        <f>IF('Area C'!$E$29&gt;0,$B$274,IF('Area C'!$D$31&gt;0,$B$272,IF('Area C'!$E$33&gt;0,'Item List'!$B$256,"None")))</f>
        <v>None</v>
      </c>
      <c r="V9" s="167" t="s">
        <v>134</v>
      </c>
      <c r="W9" s="260" t="s">
        <v>418</v>
      </c>
      <c r="X9" s="260" t="s">
        <v>418</v>
      </c>
      <c r="Y9" s="260" t="s">
        <v>418</v>
      </c>
      <c r="Z9" s="260" t="s">
        <v>418</v>
      </c>
      <c r="AA9" s="261" t="s">
        <v>32</v>
      </c>
      <c r="AB9" s="262" t="str">
        <f>IF('Area D'!$E$29&gt;0,$B$274,IF('Area D'!$D$31&gt;0,$B$272,IF('Area D'!$E$33&gt;0,'Item List'!$B$256,"None")))</f>
        <v>None</v>
      </c>
      <c r="AC9" s="215" t="s">
        <v>134</v>
      </c>
      <c r="AD9" s="261" t="s">
        <v>418</v>
      </c>
      <c r="AE9" s="261" t="s">
        <v>418</v>
      </c>
      <c r="AF9" s="261" t="s">
        <v>418</v>
      </c>
      <c r="AG9" s="261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88" t="s">
        <v>34</v>
      </c>
      <c r="G10" s="289" t="str">
        <f>IF('Area A'!$E$29&gt;0,$B$275,IF('Area A'!$D$31&gt;0,$B$272,IF('Area A'!$E$33&gt;0,'Item List'!$B$257,"None")))</f>
        <v>None</v>
      </c>
      <c r="H10" s="290" t="str">
        <f>$B$258</f>
        <v>INT-90°/650 rail</v>
      </c>
      <c r="I10" s="288" t="s">
        <v>418</v>
      </c>
      <c r="J10" s="288" t="s">
        <v>418</v>
      </c>
      <c r="K10" s="288" t="s">
        <v>418</v>
      </c>
      <c r="L10" s="288" t="s">
        <v>418</v>
      </c>
      <c r="M10" s="293" t="s">
        <v>34</v>
      </c>
      <c r="N10" s="294" t="str">
        <f>IF('Area B'!$E$29&gt;0,$B$275,IF('Area B'!$D$31&gt;0,$B$272,IF('Area B'!$E$33&gt;0,'Item List'!$B$257,"None")))</f>
        <v>None</v>
      </c>
      <c r="O10" s="295" t="s">
        <v>134</v>
      </c>
      <c r="P10" s="293" t="s">
        <v>418</v>
      </c>
      <c r="Q10" s="293" t="s">
        <v>418</v>
      </c>
      <c r="R10" s="293" t="s">
        <v>418</v>
      </c>
      <c r="S10" s="293" t="s">
        <v>418</v>
      </c>
      <c r="T10" s="260" t="s">
        <v>34</v>
      </c>
      <c r="U10" s="219" t="str">
        <f>IF('Area C'!$E$29&gt;0,$B$275,IF('Area C'!$D$31&gt;0,$B$272,IF('Area C'!$E$33&gt;0,'Item List'!$B$257,"None")))</f>
        <v>None</v>
      </c>
      <c r="V10" s="167" t="s">
        <v>134</v>
      </c>
      <c r="W10" s="260" t="s">
        <v>418</v>
      </c>
      <c r="X10" s="260" t="s">
        <v>418</v>
      </c>
      <c r="Y10" s="260" t="s">
        <v>418</v>
      </c>
      <c r="Z10" s="260" t="s">
        <v>418</v>
      </c>
      <c r="AA10" s="261" t="s">
        <v>34</v>
      </c>
      <c r="AB10" s="262" t="str">
        <f>IF('Area D'!$E$29&gt;0,$B$275,IF('Area D'!$D$31&gt;0,$B$272,IF('Area D'!$E$33&gt;0,'Item List'!$B$257,"None")))</f>
        <v>None</v>
      </c>
      <c r="AC10" s="215" t="s">
        <v>134</v>
      </c>
      <c r="AD10" s="261" t="s">
        <v>418</v>
      </c>
      <c r="AE10" s="261" t="s">
        <v>418</v>
      </c>
      <c r="AF10" s="261" t="s">
        <v>418</v>
      </c>
      <c r="AG10" s="261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88" t="str">
        <f>B196</f>
        <v>225 EP</v>
      </c>
      <c r="G11" s="288" t="s">
        <v>418</v>
      </c>
      <c r="H11" s="290" t="str">
        <f>B304</f>
        <v>Splice Series 225</v>
      </c>
      <c r="I11" s="288" t="s">
        <v>418</v>
      </c>
      <c r="J11" s="288" t="s">
        <v>418</v>
      </c>
      <c r="K11" s="288" t="s">
        <v>418</v>
      </c>
      <c r="L11" s="288" t="s">
        <v>418</v>
      </c>
      <c r="M11" s="293" t="s">
        <v>418</v>
      </c>
      <c r="N11" s="293" t="s">
        <v>418</v>
      </c>
      <c r="O11" s="295" t="s">
        <v>707</v>
      </c>
      <c r="P11" s="293" t="s">
        <v>418</v>
      </c>
      <c r="Q11" s="293" t="s">
        <v>418</v>
      </c>
      <c r="R11" s="293" t="s">
        <v>418</v>
      </c>
      <c r="S11" s="293" t="s">
        <v>418</v>
      </c>
      <c r="T11" s="260" t="s">
        <v>418</v>
      </c>
      <c r="U11" s="260" t="s">
        <v>418</v>
      </c>
      <c r="V11" s="167" t="s">
        <v>707</v>
      </c>
      <c r="W11" s="260" t="s">
        <v>418</v>
      </c>
      <c r="X11" s="260" t="s">
        <v>418</v>
      </c>
      <c r="Y11" s="260" t="s">
        <v>418</v>
      </c>
      <c r="Z11" s="260" t="s">
        <v>418</v>
      </c>
      <c r="AA11" s="261" t="s">
        <v>418</v>
      </c>
      <c r="AB11" s="261" t="s">
        <v>418</v>
      </c>
      <c r="AC11" s="215" t="s">
        <v>707</v>
      </c>
      <c r="AD11" s="261" t="s">
        <v>418</v>
      </c>
      <c r="AE11" s="261" t="s">
        <v>418</v>
      </c>
      <c r="AF11" s="261" t="s">
        <v>418</v>
      </c>
      <c r="AG11" s="261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88" t="str">
        <f>B198</f>
        <v>375 EP - Mil</v>
      </c>
      <c r="G12" s="289" t="str">
        <f>IF(('Area A'!$E$29+'Area A'!$E$30)&gt;0,'Item List'!$B$313,IF('Area A'!$J$31&gt;0,'Item List'!$B$312,IF(('Area A'!$J$33+'Area A'!$J$34)&gt;0,'Item List'!$B$280,"none")))</f>
        <v>none</v>
      </c>
      <c r="H12" s="290" t="str">
        <f>B290</f>
        <v>RCB1</v>
      </c>
      <c r="I12" s="290" t="str">
        <f>B266</f>
        <v>PC1- POW Blk</v>
      </c>
      <c r="J12" s="288" t="s">
        <v>418</v>
      </c>
      <c r="K12" s="288" t="s">
        <v>418</v>
      </c>
      <c r="L12" s="288" t="s">
        <v>418</v>
      </c>
      <c r="M12" s="293" t="s">
        <v>418</v>
      </c>
      <c r="N12" s="294" t="str">
        <f>IF(('Area B'!$E$29+'Area B'!$E$30)&gt;0,'Item List'!$B$313,IF('Area B'!$J$31&gt;0,'Item List'!$B$312,IF(('Area B'!$J$33+'Area B'!$J$34)&gt;0,'Item List'!$B$280,"none")))</f>
        <v>none</v>
      </c>
      <c r="O12" s="295" t="s">
        <v>324</v>
      </c>
      <c r="P12" s="293" t="s">
        <v>157</v>
      </c>
      <c r="Q12" s="293" t="s">
        <v>418</v>
      </c>
      <c r="R12" s="293" t="s">
        <v>418</v>
      </c>
      <c r="S12" s="293" t="s">
        <v>418</v>
      </c>
      <c r="T12" s="260" t="s">
        <v>418</v>
      </c>
      <c r="U12" s="219" t="str">
        <f>IF(('Area C'!$E$29+'Area C'!$E$30)&gt;0,'Item List'!$B$313,IF('Area C'!$J$31&gt;0,'Item List'!$B$312,IF(('Area C'!$J$33+'Area C'!$J$34)&gt;0,'Item List'!$B$280,"none")))</f>
        <v>none</v>
      </c>
      <c r="V12" s="167" t="s">
        <v>324</v>
      </c>
      <c r="W12" s="260" t="s">
        <v>157</v>
      </c>
      <c r="X12" s="260" t="s">
        <v>418</v>
      </c>
      <c r="Y12" s="260" t="s">
        <v>418</v>
      </c>
      <c r="Z12" s="260" t="s">
        <v>418</v>
      </c>
      <c r="AA12" s="261" t="s">
        <v>418</v>
      </c>
      <c r="AB12" s="262" t="str">
        <f>IF(('Area D'!$E$29+'Area D'!$E$30)&gt;0,'Item List'!$B$313,IF('Area D'!$J$31&gt;0,'Item List'!$B$312,IF(('Area D'!$J$33+'Area D'!$J$34)&gt;0,'Item List'!$B$280,"none")))</f>
        <v>none</v>
      </c>
      <c r="AC12" s="215" t="s">
        <v>324</v>
      </c>
      <c r="AD12" s="261" t="s">
        <v>157</v>
      </c>
      <c r="AE12" s="261" t="s">
        <v>418</v>
      </c>
      <c r="AF12" s="261" t="s">
        <v>418</v>
      </c>
      <c r="AG12" s="261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88" t="str">
        <f>B198</f>
        <v>375 EP - Mil</v>
      </c>
      <c r="G13" s="289" t="str">
        <f>IF(('Area A'!$E$29+'Area A'!$E$30)&gt;0,'Item List'!$B$313,IF('Area A'!$J$31&gt;0,'Item List'!$B$312,IF(('Area A'!$J$33+'Area A'!$J$34)&gt;0,'Item List'!$B$281,"none")))</f>
        <v>none</v>
      </c>
      <c r="H13" s="290" t="str">
        <f>B290</f>
        <v>RCB1</v>
      </c>
      <c r="I13" s="290" t="str">
        <f>B267</f>
        <v>PC1- POW Br</v>
      </c>
      <c r="J13" s="288" t="s">
        <v>418</v>
      </c>
      <c r="K13" s="288" t="s">
        <v>418</v>
      </c>
      <c r="L13" s="288" t="s">
        <v>418</v>
      </c>
      <c r="M13" s="293" t="s">
        <v>418</v>
      </c>
      <c r="N13" s="294" t="str">
        <f>IF(('Area B'!$E$29+'Area B'!$E$30)&gt;0,'Item List'!$B$313,IF('Area B'!$J$31&gt;0,'Item List'!$B$312,IF(('Area B'!$J$33+'Area B'!$J$34)&gt;0,'Item List'!$B$281,"none")))</f>
        <v>none</v>
      </c>
      <c r="O13" s="295" t="s">
        <v>324</v>
      </c>
      <c r="P13" s="293" t="s">
        <v>159</v>
      </c>
      <c r="Q13" s="293" t="s">
        <v>418</v>
      </c>
      <c r="R13" s="293" t="s">
        <v>418</v>
      </c>
      <c r="S13" s="293" t="s">
        <v>418</v>
      </c>
      <c r="T13" s="260" t="s">
        <v>418</v>
      </c>
      <c r="U13" s="219" t="str">
        <f>IF(('Area C'!$E$29+'Area C'!$E$30)&gt;0,'Item List'!$B$313,IF('Area C'!$J$31&gt;0,'Item List'!$B$312,IF(('Area C'!$J$33+'Area C'!$J$34)&gt;0,'Item List'!$B$281,"none")))</f>
        <v>none</v>
      </c>
      <c r="V13" s="167" t="s">
        <v>324</v>
      </c>
      <c r="W13" s="260" t="s">
        <v>159</v>
      </c>
      <c r="X13" s="260" t="s">
        <v>418</v>
      </c>
      <c r="Y13" s="260" t="s">
        <v>418</v>
      </c>
      <c r="Z13" s="260" t="s">
        <v>418</v>
      </c>
      <c r="AA13" s="261" t="s">
        <v>418</v>
      </c>
      <c r="AB13" s="262" t="str">
        <f>IF(('Area D'!$E$29+'Area D'!$E$30)&gt;0,'Item List'!$B$313,IF('Area D'!$J$31&gt;0,'Item List'!$B$312,IF(('Area D'!$J$33+'Area D'!$J$34)&gt;0,'Item List'!$B$281,"none")))</f>
        <v>none</v>
      </c>
      <c r="AC13" s="215" t="s">
        <v>324</v>
      </c>
      <c r="AD13" s="261" t="s">
        <v>159</v>
      </c>
      <c r="AE13" s="261" t="s">
        <v>418</v>
      </c>
      <c r="AF13" s="261" t="s">
        <v>418</v>
      </c>
      <c r="AG13" s="261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88" t="str">
        <f>B198</f>
        <v>375 EP - Mil</v>
      </c>
      <c r="G14" s="289" t="str">
        <f>IF(('Area A'!$E$29+'Area A'!$E$30)&gt;0,'Item List'!$B$313,IF('Area A'!$J$31&gt;0,'Item List'!$B$312,IF(('Area A'!$J$33+'Area A'!$J$34)&gt;0,'Item List'!$B$282,"none")))</f>
        <v>none</v>
      </c>
      <c r="H14" s="290" t="str">
        <f>B290</f>
        <v>RCB1</v>
      </c>
      <c r="I14" s="290" t="str">
        <f>B269</f>
        <v>PC1-Cl</v>
      </c>
      <c r="J14" s="288" t="s">
        <v>418</v>
      </c>
      <c r="K14" s="288" t="s">
        <v>418</v>
      </c>
      <c r="L14" s="288" t="s">
        <v>418</v>
      </c>
      <c r="M14" s="293" t="s">
        <v>418</v>
      </c>
      <c r="N14" s="294" t="str">
        <f>IF(('Area B'!$E$29+'Area B'!$E$30)&gt;0,'Item List'!$B$313,IF('Area B'!$J$31&gt;0,'Item List'!$B$312,IF(('Area B'!$J$33+'Area B'!$J$34)&gt;0,'Item List'!$B$282,"none")))</f>
        <v>none</v>
      </c>
      <c r="O14" s="295" t="s">
        <v>324</v>
      </c>
      <c r="P14" s="293" t="s">
        <v>411</v>
      </c>
      <c r="Q14" s="293" t="s">
        <v>418</v>
      </c>
      <c r="R14" s="293" t="s">
        <v>418</v>
      </c>
      <c r="S14" s="293" t="s">
        <v>418</v>
      </c>
      <c r="T14" s="260" t="s">
        <v>418</v>
      </c>
      <c r="U14" s="219" t="str">
        <f>IF(('Area C'!$E$29+'Area C'!$E$30)&gt;0,'Item List'!$B$313,IF('Area C'!$J$31&gt;0,'Item List'!$B$312,IF(('Area C'!$J$33+'Area C'!$J$34)&gt;0,'Item List'!$B$282,"none")))</f>
        <v>none</v>
      </c>
      <c r="V14" s="167" t="s">
        <v>324</v>
      </c>
      <c r="W14" s="260" t="s">
        <v>411</v>
      </c>
      <c r="X14" s="260" t="s">
        <v>418</v>
      </c>
      <c r="Y14" s="260" t="s">
        <v>418</v>
      </c>
      <c r="Z14" s="260" t="s">
        <v>418</v>
      </c>
      <c r="AA14" s="261" t="s">
        <v>418</v>
      </c>
      <c r="AB14" s="262" t="str">
        <f>IF(('Area D'!$E$29+'Area D'!$E$30)&gt;0,'Item List'!$B$313,IF('Area D'!$J$31&gt;0,'Item List'!$B$312,IF(('Area D'!$J$33+'Area D'!$J$34)&gt;0,'Item List'!$B$282,"none")))</f>
        <v>none</v>
      </c>
      <c r="AC14" s="215" t="s">
        <v>324</v>
      </c>
      <c r="AD14" s="261" t="s">
        <v>411</v>
      </c>
      <c r="AE14" s="261" t="s">
        <v>418</v>
      </c>
      <c r="AF14" s="261" t="s">
        <v>418</v>
      </c>
      <c r="AG14" s="261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88" t="str">
        <f>B198</f>
        <v>375 EP - Mil</v>
      </c>
      <c r="G15" s="289" t="str">
        <f>IF(('Area A'!$E$29+'Area A'!$E$30)&gt;0,'Item List'!$B$313,IF('Area A'!$J$31&gt;0,'Item List'!$B$312,IF(('Area A'!$J$33+'Area A'!$J$34)&gt;0,'Item List'!$B$283,"none")))</f>
        <v>none</v>
      </c>
      <c r="H15" s="288" t="str">
        <f>B290</f>
        <v>RCB1</v>
      </c>
      <c r="I15" s="290" t="str">
        <f>B268</f>
        <v>PC1- POW W</v>
      </c>
      <c r="J15" s="288" t="s">
        <v>418</v>
      </c>
      <c r="K15" s="288" t="s">
        <v>418</v>
      </c>
      <c r="L15" s="288" t="s">
        <v>418</v>
      </c>
      <c r="M15" s="293" t="s">
        <v>418</v>
      </c>
      <c r="N15" s="294" t="str">
        <f>IF(('Area B'!$E$29+'Area B'!$E$30)&gt;0,'Item List'!$B$313,IF('Area B'!$J$31&gt;0,'Item List'!$B$312,IF(('Area B'!$J$33+'Area B'!$J$34)&gt;0,'Item List'!$B$283,"none")))</f>
        <v>none</v>
      </c>
      <c r="O15" s="295" t="s">
        <v>324</v>
      </c>
      <c r="P15" s="293" t="s">
        <v>161</v>
      </c>
      <c r="Q15" s="293" t="s">
        <v>418</v>
      </c>
      <c r="R15" s="293" t="s">
        <v>418</v>
      </c>
      <c r="S15" s="293" t="s">
        <v>418</v>
      </c>
      <c r="T15" s="260" t="s">
        <v>418</v>
      </c>
      <c r="U15" s="219" t="str">
        <f>IF(('Area C'!$E$29+'Area C'!$E$30)&gt;0,'Item List'!$B$313,IF('Area C'!$J$31&gt;0,'Item List'!$B$312,IF(('Area C'!$J$33+'Area C'!$J$34)&gt;0,'Item List'!$B$283,"none")))</f>
        <v>none</v>
      </c>
      <c r="V15" s="167" t="s">
        <v>324</v>
      </c>
      <c r="W15" s="260" t="s">
        <v>161</v>
      </c>
      <c r="X15" s="260" t="s">
        <v>418</v>
      </c>
      <c r="Y15" s="260" t="s">
        <v>418</v>
      </c>
      <c r="Z15" s="260" t="s">
        <v>418</v>
      </c>
      <c r="AA15" s="261" t="s">
        <v>418</v>
      </c>
      <c r="AB15" s="262" t="str">
        <f>IF(('Area D'!$E$29+'Area D'!$E$30)&gt;0,'Item List'!$B$313,IF('Area D'!$J$31&gt;0,'Item List'!$B$312,IF(('Area D'!$J$33+'Area D'!$J$34)&gt;0,'Item List'!$B$283,"none")))</f>
        <v>none</v>
      </c>
      <c r="AC15" s="215" t="s">
        <v>324</v>
      </c>
      <c r="AD15" s="261" t="s">
        <v>161</v>
      </c>
      <c r="AE15" s="261" t="s">
        <v>418</v>
      </c>
      <c r="AF15" s="261" t="s">
        <v>418</v>
      </c>
      <c r="AG15" s="261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88" t="s">
        <v>418</v>
      </c>
      <c r="G16" s="289" t="str">
        <f>IF('Area A'!$E$29&gt;0,$B$272,IF('Area A'!$D$31&gt;0,$B$272,IF('Area A'!$E$33&gt;0,'Item List'!$B$254,"None")))</f>
        <v>None</v>
      </c>
      <c r="H16" s="288" t="s">
        <v>418</v>
      </c>
      <c r="I16" s="288" t="s">
        <v>418</v>
      </c>
      <c r="J16" s="288" t="s">
        <v>418</v>
      </c>
      <c r="K16" s="288" t="s">
        <v>418</v>
      </c>
      <c r="L16" s="288" t="s">
        <v>418</v>
      </c>
      <c r="M16" s="293" t="s">
        <v>418</v>
      </c>
      <c r="N16" s="294" t="str">
        <f>IF('Area B'!$E$29&gt;0,I272,IF('Area B'!$D$31&gt;0,$B$272,IF('Area B'!$E$33&gt;0,'Item List'!$B$254,"None")))</f>
        <v>None</v>
      </c>
      <c r="O16" s="293" t="s">
        <v>418</v>
      </c>
      <c r="P16" s="293" t="s">
        <v>418</v>
      </c>
      <c r="Q16" s="293" t="s">
        <v>418</v>
      </c>
      <c r="R16" s="293" t="s">
        <v>418</v>
      </c>
      <c r="S16" s="293" t="s">
        <v>418</v>
      </c>
      <c r="T16" s="260" t="s">
        <v>418</v>
      </c>
      <c r="U16" s="219" t="str">
        <f>IF('Area C'!$E$29&gt;0,P272,IF('Area C'!$D$31&gt;0,$B$272,IF('Area C'!$E$33&gt;0,'Item List'!$B$254,"None")))</f>
        <v>None</v>
      </c>
      <c r="V16" s="260" t="s">
        <v>418</v>
      </c>
      <c r="W16" s="260" t="s">
        <v>418</v>
      </c>
      <c r="X16" s="260" t="s">
        <v>418</v>
      </c>
      <c r="Y16" s="260" t="s">
        <v>418</v>
      </c>
      <c r="Z16" s="260" t="s">
        <v>418</v>
      </c>
      <c r="AA16" s="261" t="s">
        <v>418</v>
      </c>
      <c r="AB16" s="262" t="str">
        <f>IF('Area D'!$E$29&gt;0,W272,IF('Area D'!$D$31&gt;0,$B$272,IF('Area D'!$E$33&gt;0,'Item List'!$B$254,"None")))</f>
        <v>None</v>
      </c>
      <c r="AC16" s="261" t="s">
        <v>418</v>
      </c>
      <c r="AD16" s="261" t="s">
        <v>418</v>
      </c>
      <c r="AE16" s="261" t="s">
        <v>418</v>
      </c>
      <c r="AF16" s="261" t="s">
        <v>418</v>
      </c>
      <c r="AG16" s="261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88" t="s">
        <v>418</v>
      </c>
      <c r="G17" s="289" t="str">
        <f>IF('Area A'!$E$29&gt;0,$B$273,IF('Area A'!$D$31&gt;0,$B$272,IF('Area A'!$E$33&gt;0,'Item List'!$B$255,"none")))</f>
        <v>none</v>
      </c>
      <c r="H17" s="288" t="s">
        <v>418</v>
      </c>
      <c r="I17" s="288" t="s">
        <v>418</v>
      </c>
      <c r="J17" s="288" t="s">
        <v>418</v>
      </c>
      <c r="K17" s="288" t="s">
        <v>418</v>
      </c>
      <c r="L17" s="288" t="s">
        <v>418</v>
      </c>
      <c r="M17" s="293" t="s">
        <v>418</v>
      </c>
      <c r="N17" s="294" t="str">
        <f>IF('Area B'!$E$29&gt;0,I273,IF('Area B'!$D$31&gt;0,$B$272,IF('Area B'!$E$33&gt;0,'Item List'!$B$255,"none")))</f>
        <v>none</v>
      </c>
      <c r="O17" s="293" t="s">
        <v>418</v>
      </c>
      <c r="P17" s="293" t="s">
        <v>418</v>
      </c>
      <c r="Q17" s="293" t="s">
        <v>418</v>
      </c>
      <c r="R17" s="293" t="s">
        <v>418</v>
      </c>
      <c r="S17" s="293" t="s">
        <v>418</v>
      </c>
      <c r="T17" s="260" t="s">
        <v>418</v>
      </c>
      <c r="U17" s="219" t="str">
        <f>IF('Area C'!$E$29&gt;0,P273,IF('Area C'!$D$31&gt;0,$B$272,IF('Area C'!$E$33&gt;0,'Item List'!$B$255,"none")))</f>
        <v>none</v>
      </c>
      <c r="V17" s="260" t="s">
        <v>418</v>
      </c>
      <c r="W17" s="260" t="s">
        <v>418</v>
      </c>
      <c r="X17" s="260" t="s">
        <v>418</v>
      </c>
      <c r="Y17" s="260" t="s">
        <v>418</v>
      </c>
      <c r="Z17" s="260" t="s">
        <v>418</v>
      </c>
      <c r="AA17" s="261" t="s">
        <v>418</v>
      </c>
      <c r="AB17" s="262" t="str">
        <f>IF('Area D'!$E$29&gt;0,W273,IF('Area D'!$D$31&gt;0,$B$272,IF('Area D'!$E$33&gt;0,'Item List'!$B$255,"none")))</f>
        <v>none</v>
      </c>
      <c r="AC17" s="261" t="s">
        <v>418</v>
      </c>
      <c r="AD17" s="261" t="s">
        <v>418</v>
      </c>
      <c r="AE17" s="261" t="s">
        <v>418</v>
      </c>
      <c r="AF17" s="261" t="s">
        <v>418</v>
      </c>
      <c r="AG17" s="261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88" t="s">
        <v>418</v>
      </c>
      <c r="G18" s="289" t="str">
        <f>IF('Area A'!$E$29&gt;0,$B$274,IF('Area A'!$D$31&gt;0,$B$272,IF('Area A'!$E$33&gt;0,'Item List'!$B$256,"none")))</f>
        <v>none</v>
      </c>
      <c r="H18" s="288" t="s">
        <v>418</v>
      </c>
      <c r="I18" s="288" t="s">
        <v>418</v>
      </c>
      <c r="J18" s="288" t="s">
        <v>418</v>
      </c>
      <c r="K18" s="288" t="s">
        <v>418</v>
      </c>
      <c r="L18" s="288" t="s">
        <v>418</v>
      </c>
      <c r="M18" s="293" t="s">
        <v>418</v>
      </c>
      <c r="N18" s="294" t="str">
        <f>IF('Area B'!$E$29&gt;0,I274,IF('Area B'!$D$31&gt;0,$B$272,IF('Area B'!$E$33&gt;0,'Item List'!$B$256,"none")))</f>
        <v>none</v>
      </c>
      <c r="O18" s="293" t="s">
        <v>418</v>
      </c>
      <c r="P18" s="293" t="s">
        <v>418</v>
      </c>
      <c r="Q18" s="293" t="s">
        <v>418</v>
      </c>
      <c r="R18" s="293" t="s">
        <v>418</v>
      </c>
      <c r="S18" s="293" t="s">
        <v>418</v>
      </c>
      <c r="T18" s="260" t="s">
        <v>418</v>
      </c>
      <c r="U18" s="219" t="str">
        <f>IF('Area C'!$E$29&gt;0,P274,IF('Area C'!$D$31&gt;0,$B$272,IF('Area C'!$E$33&gt;0,'Item List'!$B$256,"none")))</f>
        <v>none</v>
      </c>
      <c r="V18" s="260" t="s">
        <v>418</v>
      </c>
      <c r="W18" s="260" t="s">
        <v>418</v>
      </c>
      <c r="X18" s="260" t="s">
        <v>418</v>
      </c>
      <c r="Y18" s="260" t="s">
        <v>418</v>
      </c>
      <c r="Z18" s="260" t="s">
        <v>418</v>
      </c>
      <c r="AA18" s="261" t="s">
        <v>418</v>
      </c>
      <c r="AB18" s="262" t="str">
        <f>IF('Area D'!$E$29&gt;0,W274,IF('Area D'!$D$31&gt;0,$B$272,IF('Area D'!$E$33&gt;0,'Item List'!$B$256,"none")))</f>
        <v>none</v>
      </c>
      <c r="AC18" s="261" t="s">
        <v>418</v>
      </c>
      <c r="AD18" s="261" t="s">
        <v>418</v>
      </c>
      <c r="AE18" s="261" t="s">
        <v>418</v>
      </c>
      <c r="AF18" s="261" t="s">
        <v>418</v>
      </c>
      <c r="AG18" s="261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88" t="s">
        <v>418</v>
      </c>
      <c r="G19" s="289" t="str">
        <f>IF('Area A'!$E$29&gt;0,$B$275,IF('Area A'!$D$31&gt;0,$B$272,IF('Area A'!$E$33&gt;0,'Item List'!$B$257,"None")))</f>
        <v>None</v>
      </c>
      <c r="H19" s="288" t="s">
        <v>418</v>
      </c>
      <c r="I19" s="288" t="s">
        <v>418</v>
      </c>
      <c r="J19" s="288" t="s">
        <v>418</v>
      </c>
      <c r="K19" s="288" t="s">
        <v>418</v>
      </c>
      <c r="L19" s="288" t="s">
        <v>418</v>
      </c>
      <c r="M19" s="293" t="s">
        <v>418</v>
      </c>
      <c r="N19" s="294" t="str">
        <f>IF('Area B'!$E$29&gt;0,I275,IF('Area B'!$D$31&gt;0,$B$272,IF('Area B'!$E$33&gt;0,'Item List'!$B$257,"None")))</f>
        <v>None</v>
      </c>
      <c r="O19" s="293" t="s">
        <v>418</v>
      </c>
      <c r="P19" s="293" t="s">
        <v>418</v>
      </c>
      <c r="Q19" s="293" t="s">
        <v>418</v>
      </c>
      <c r="R19" s="293" t="s">
        <v>418</v>
      </c>
      <c r="S19" s="293" t="s">
        <v>418</v>
      </c>
      <c r="T19" s="260" t="s">
        <v>418</v>
      </c>
      <c r="U19" s="219" t="str">
        <f>IF('Area C'!$E$29&gt;0,P275,IF('Area C'!$D$31&gt;0,$B$272,IF('Area C'!$E$33&gt;0,'Item List'!$B$257,"None")))</f>
        <v>None</v>
      </c>
      <c r="V19" s="260" t="s">
        <v>418</v>
      </c>
      <c r="W19" s="260" t="s">
        <v>418</v>
      </c>
      <c r="X19" s="260" t="s">
        <v>418</v>
      </c>
      <c r="Y19" s="260" t="s">
        <v>418</v>
      </c>
      <c r="Z19" s="260" t="s">
        <v>418</v>
      </c>
      <c r="AA19" s="261" t="s">
        <v>418</v>
      </c>
      <c r="AB19" s="262" t="str">
        <f>IF('Area D'!$E$29&gt;0,W275,IF('Area D'!$D$31&gt;0,$B$272,IF('Area D'!$E$33&gt;0,'Item List'!$B$257,"None")))</f>
        <v>None</v>
      </c>
      <c r="AC19" s="261" t="s">
        <v>418</v>
      </c>
      <c r="AD19" s="261" t="s">
        <v>418</v>
      </c>
      <c r="AE19" s="261" t="s">
        <v>418</v>
      </c>
      <c r="AF19" s="261" t="s">
        <v>418</v>
      </c>
      <c r="AG19" s="261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88" t="s">
        <v>860</v>
      </c>
      <c r="G20" s="288" t="s">
        <v>418</v>
      </c>
      <c r="H20" s="290" t="str">
        <f>B254</f>
        <v>FI- Blk</v>
      </c>
      <c r="I20" s="288" t="s">
        <v>124</v>
      </c>
      <c r="J20" s="288" t="s">
        <v>189</v>
      </c>
      <c r="K20" s="288" t="s">
        <v>418</v>
      </c>
      <c r="L20" s="288" t="s">
        <v>418</v>
      </c>
      <c r="M20" s="293" t="s">
        <v>860</v>
      </c>
      <c r="N20" s="293" t="s">
        <v>418</v>
      </c>
      <c r="O20" s="295" t="s">
        <v>113</v>
      </c>
      <c r="P20" s="293" t="s">
        <v>124</v>
      </c>
      <c r="Q20" s="293" t="s">
        <v>189</v>
      </c>
      <c r="R20" s="293" t="s">
        <v>418</v>
      </c>
      <c r="S20" s="293" t="s">
        <v>418</v>
      </c>
      <c r="T20" s="260" t="s">
        <v>860</v>
      </c>
      <c r="U20" s="260" t="s">
        <v>418</v>
      </c>
      <c r="V20" s="167" t="s">
        <v>113</v>
      </c>
      <c r="W20" s="260" t="s">
        <v>124</v>
      </c>
      <c r="X20" s="260" t="s">
        <v>189</v>
      </c>
      <c r="Y20" s="260" t="s">
        <v>418</v>
      </c>
      <c r="Z20" s="260" t="s">
        <v>418</v>
      </c>
      <c r="AA20" s="261" t="s">
        <v>860</v>
      </c>
      <c r="AB20" s="261" t="s">
        <v>418</v>
      </c>
      <c r="AC20" s="215" t="s">
        <v>113</v>
      </c>
      <c r="AD20" s="261" t="s">
        <v>124</v>
      </c>
      <c r="AE20" s="261" t="s">
        <v>189</v>
      </c>
      <c r="AF20" s="261" t="s">
        <v>418</v>
      </c>
      <c r="AG20" s="261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88" t="s">
        <v>860</v>
      </c>
      <c r="G21" s="288" t="s">
        <v>418</v>
      </c>
      <c r="H21" s="290" t="str">
        <f>B256</f>
        <v>FI- Cl</v>
      </c>
      <c r="I21" s="288" t="s">
        <v>418</v>
      </c>
      <c r="J21" s="288" t="s">
        <v>189</v>
      </c>
      <c r="K21" s="288" t="s">
        <v>418</v>
      </c>
      <c r="L21" s="288" t="s">
        <v>418</v>
      </c>
      <c r="M21" s="293" t="s">
        <v>860</v>
      </c>
      <c r="N21" s="293" t="s">
        <v>418</v>
      </c>
      <c r="O21" s="295" t="s">
        <v>117</v>
      </c>
      <c r="P21" s="293" t="s">
        <v>418</v>
      </c>
      <c r="Q21" s="293" t="s">
        <v>189</v>
      </c>
      <c r="R21" s="293" t="s">
        <v>418</v>
      </c>
      <c r="S21" s="293" t="s">
        <v>418</v>
      </c>
      <c r="T21" s="260" t="s">
        <v>860</v>
      </c>
      <c r="U21" s="260" t="s">
        <v>418</v>
      </c>
      <c r="V21" s="167" t="s">
        <v>117</v>
      </c>
      <c r="W21" s="260" t="s">
        <v>418</v>
      </c>
      <c r="X21" s="260" t="s">
        <v>189</v>
      </c>
      <c r="Y21" s="260" t="s">
        <v>418</v>
      </c>
      <c r="Z21" s="260" t="s">
        <v>418</v>
      </c>
      <c r="AA21" s="261" t="s">
        <v>860</v>
      </c>
      <c r="AB21" s="261" t="s">
        <v>418</v>
      </c>
      <c r="AC21" s="215" t="s">
        <v>117</v>
      </c>
      <c r="AD21" s="261" t="s">
        <v>418</v>
      </c>
      <c r="AE21" s="261" t="s">
        <v>189</v>
      </c>
      <c r="AF21" s="261" t="s">
        <v>418</v>
      </c>
      <c r="AG21" s="261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88" t="s">
        <v>418</v>
      </c>
      <c r="G22" s="288" t="s">
        <v>418</v>
      </c>
      <c r="H22" s="288" t="s">
        <v>418</v>
      </c>
      <c r="I22" s="288" t="s">
        <v>418</v>
      </c>
      <c r="J22" s="288" t="s">
        <v>418</v>
      </c>
      <c r="K22" s="288" t="s">
        <v>418</v>
      </c>
      <c r="L22" s="288" t="s">
        <v>418</v>
      </c>
      <c r="M22" s="293" t="s">
        <v>418</v>
      </c>
      <c r="N22" s="293" t="s">
        <v>418</v>
      </c>
      <c r="O22" s="293" t="s">
        <v>418</v>
      </c>
      <c r="P22" s="293" t="s">
        <v>418</v>
      </c>
      <c r="Q22" s="293" t="s">
        <v>418</v>
      </c>
      <c r="R22" s="293" t="s">
        <v>418</v>
      </c>
      <c r="S22" s="293" t="s">
        <v>418</v>
      </c>
      <c r="T22" s="260" t="s">
        <v>418</v>
      </c>
      <c r="U22" s="260" t="s">
        <v>418</v>
      </c>
      <c r="V22" s="260" t="s">
        <v>418</v>
      </c>
      <c r="W22" s="260" t="s">
        <v>418</v>
      </c>
      <c r="X22" s="260" t="s">
        <v>418</v>
      </c>
      <c r="Y22" s="260" t="s">
        <v>418</v>
      </c>
      <c r="Z22" s="260" t="s">
        <v>418</v>
      </c>
      <c r="AA22" s="261" t="s">
        <v>418</v>
      </c>
      <c r="AB22" s="261" t="s">
        <v>418</v>
      </c>
      <c r="AC22" s="261" t="s">
        <v>418</v>
      </c>
      <c r="AD22" s="261" t="s">
        <v>418</v>
      </c>
      <c r="AE22" s="261" t="s">
        <v>418</v>
      </c>
      <c r="AF22" s="261" t="s">
        <v>418</v>
      </c>
      <c r="AG22" s="261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88" t="s">
        <v>16</v>
      </c>
      <c r="G23" s="289" t="str">
        <f>IF('Area A'!$E$29&gt;0,$B$272,IF('Area A'!$D$31&gt;0,$B$272,IF('Area A'!$E$33&gt;0,'Item List'!$B$254,"None")))</f>
        <v>None</v>
      </c>
      <c r="H23" s="288" t="s">
        <v>418</v>
      </c>
      <c r="I23" s="288" t="s">
        <v>418</v>
      </c>
      <c r="J23" s="288" t="s">
        <v>418</v>
      </c>
      <c r="K23" s="288" t="s">
        <v>418</v>
      </c>
      <c r="L23" s="288" t="s">
        <v>418</v>
      </c>
      <c r="M23" s="293" t="s">
        <v>16</v>
      </c>
      <c r="N23" s="294" t="str">
        <f>IF('Area B'!$E$29&gt;0,$B$272,IF('Area B'!$D$31&gt;0,$B$272,IF('Area B'!$E$33&gt;0,'Item List'!$B$254,"None")))</f>
        <v>None</v>
      </c>
      <c r="O23" s="293" t="s">
        <v>418</v>
      </c>
      <c r="P23" s="293" t="s">
        <v>418</v>
      </c>
      <c r="Q23" s="293" t="s">
        <v>418</v>
      </c>
      <c r="R23" s="293" t="s">
        <v>418</v>
      </c>
      <c r="S23" s="293" t="s">
        <v>418</v>
      </c>
      <c r="T23" s="260" t="s">
        <v>16</v>
      </c>
      <c r="U23" s="219" t="str">
        <f>IF('Area C'!$E$29&gt;0,$B$272,IF('Area C'!$D$31&gt;0,$B$272,IF('Area C'!$E$33&gt;0,'Item List'!$B$254,"None")))</f>
        <v>None</v>
      </c>
      <c r="V23" s="260" t="s">
        <v>418</v>
      </c>
      <c r="W23" s="260" t="s">
        <v>418</v>
      </c>
      <c r="X23" s="260" t="s">
        <v>418</v>
      </c>
      <c r="Y23" s="260" t="s">
        <v>418</v>
      </c>
      <c r="Z23" s="260" t="s">
        <v>418</v>
      </c>
      <c r="AA23" s="261" t="s">
        <v>16</v>
      </c>
      <c r="AB23" s="262" t="str">
        <f>IF('Area D'!$E$29&gt;0,$B$272,IF('Area D'!$D$31&gt;0,$B$272,IF('Area D'!$E$33&gt;0,'Item List'!$B$254,"None")))</f>
        <v>None</v>
      </c>
      <c r="AC23" s="261" t="s">
        <v>418</v>
      </c>
      <c r="AD23" s="261" t="s">
        <v>418</v>
      </c>
      <c r="AE23" s="261" t="s">
        <v>418</v>
      </c>
      <c r="AF23" s="261" t="s">
        <v>418</v>
      </c>
      <c r="AG23" s="261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88" t="s">
        <v>58</v>
      </c>
      <c r="G24" s="289" t="str">
        <f>IF('Area A'!$E$29&gt;0,$B$273,IF('Area A'!$D$31&gt;0,$B$272,IF('Area A'!$E$33&gt;0,'Item List'!$B$255,"None")))</f>
        <v>None</v>
      </c>
      <c r="H24" s="288" t="s">
        <v>418</v>
      </c>
      <c r="I24" s="288" t="s">
        <v>418</v>
      </c>
      <c r="J24" s="288" t="s">
        <v>418</v>
      </c>
      <c r="K24" s="288" t="s">
        <v>418</v>
      </c>
      <c r="L24" s="288" t="s">
        <v>418</v>
      </c>
      <c r="M24" s="293" t="s">
        <v>58</v>
      </c>
      <c r="N24" s="294" t="str">
        <f>IF('Area B'!$E$29&gt;0,$B$273,IF('Area B'!$D$31&gt;0,$B$272,IF('Area B'!$E$33&gt;0,'Item List'!$B$255,"None")))</f>
        <v>None</v>
      </c>
      <c r="O24" s="293" t="s">
        <v>418</v>
      </c>
      <c r="P24" s="293" t="s">
        <v>418</v>
      </c>
      <c r="Q24" s="293" t="s">
        <v>418</v>
      </c>
      <c r="R24" s="293" t="s">
        <v>418</v>
      </c>
      <c r="S24" s="293" t="s">
        <v>418</v>
      </c>
      <c r="T24" s="260" t="s">
        <v>58</v>
      </c>
      <c r="U24" s="219" t="str">
        <f>IF('Area C'!$E$29&gt;0,$B$273,IF('Area C'!$D$31&gt;0,$B$272,IF('Area C'!$E$33&gt;0,'Item List'!$B$255,"None")))</f>
        <v>None</v>
      </c>
      <c r="V24" s="260" t="s">
        <v>418</v>
      </c>
      <c r="W24" s="260" t="s">
        <v>418</v>
      </c>
      <c r="X24" s="260" t="s">
        <v>418</v>
      </c>
      <c r="Y24" s="260" t="s">
        <v>418</v>
      </c>
      <c r="Z24" s="260" t="s">
        <v>418</v>
      </c>
      <c r="AA24" s="261" t="s">
        <v>58</v>
      </c>
      <c r="AB24" s="262" t="str">
        <f>IF('Area D'!$E$29&gt;0,$B$273,IF('Area D'!$D$31&gt;0,$B$272,IF('Area D'!$E$33&gt;0,'Item List'!$B$255,"None")))</f>
        <v>None</v>
      </c>
      <c r="AC24" s="261" t="s">
        <v>418</v>
      </c>
      <c r="AD24" s="261" t="s">
        <v>418</v>
      </c>
      <c r="AE24" s="261" t="s">
        <v>418</v>
      </c>
      <c r="AF24" s="261" t="s">
        <v>418</v>
      </c>
      <c r="AG24" s="261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88" t="s">
        <v>60</v>
      </c>
      <c r="G25" s="289" t="str">
        <f>IF('Area A'!$E$29&gt;0,$B$274,IF('Area A'!$D$31&gt;0,$B$272,IF('Area A'!$E$33&gt;0,'Item List'!$B$256,"None")))</f>
        <v>None</v>
      </c>
      <c r="H25" s="288" t="s">
        <v>418</v>
      </c>
      <c r="I25" s="288" t="s">
        <v>418</v>
      </c>
      <c r="J25" s="288" t="s">
        <v>418</v>
      </c>
      <c r="K25" s="288" t="s">
        <v>418</v>
      </c>
      <c r="L25" s="288" t="s">
        <v>418</v>
      </c>
      <c r="M25" s="293" t="s">
        <v>60</v>
      </c>
      <c r="N25" s="294" t="str">
        <f>IF('Area B'!$E$29&gt;0,$B$274,IF('Area B'!$D$31&gt;0,$B$272,IF('Area B'!$E$33&gt;0,'Item List'!$B$256,"None")))</f>
        <v>None</v>
      </c>
      <c r="O25" s="293" t="s">
        <v>418</v>
      </c>
      <c r="P25" s="293" t="s">
        <v>418</v>
      </c>
      <c r="Q25" s="293" t="s">
        <v>418</v>
      </c>
      <c r="R25" s="293" t="s">
        <v>418</v>
      </c>
      <c r="S25" s="293" t="s">
        <v>418</v>
      </c>
      <c r="T25" s="260" t="s">
        <v>60</v>
      </c>
      <c r="U25" s="219" t="str">
        <f>IF('Area C'!$E$29&gt;0,$B$274,IF('Area C'!$D$31&gt;0,$B$272,IF('Area C'!$E$33&gt;0,'Item List'!$B$256,"None")))</f>
        <v>None</v>
      </c>
      <c r="V25" s="260" t="s">
        <v>418</v>
      </c>
      <c r="W25" s="260" t="s">
        <v>418</v>
      </c>
      <c r="X25" s="260" t="s">
        <v>418</v>
      </c>
      <c r="Y25" s="260" t="s">
        <v>418</v>
      </c>
      <c r="Z25" s="260" t="s">
        <v>418</v>
      </c>
      <c r="AA25" s="261" t="s">
        <v>60</v>
      </c>
      <c r="AB25" s="262" t="str">
        <f>IF('Area D'!$E$29&gt;0,$B$274,IF('Area D'!$D$31&gt;0,$B$272,IF('Area D'!$E$33&gt;0,'Item List'!$B$256,"None")))</f>
        <v>None</v>
      </c>
      <c r="AC25" s="261" t="s">
        <v>418</v>
      </c>
      <c r="AD25" s="261" t="s">
        <v>418</v>
      </c>
      <c r="AE25" s="261" t="s">
        <v>418</v>
      </c>
      <c r="AF25" s="261" t="s">
        <v>418</v>
      </c>
      <c r="AG25" s="261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88" t="s">
        <v>62</v>
      </c>
      <c r="G26" s="289" t="str">
        <f>IF('Area A'!$E$29&gt;0,$B$275,IF('Area A'!$D$31&gt;0,$B$272,IF('Area A'!$E$33&gt;0,'Item List'!$B$257,"None")))</f>
        <v>None</v>
      </c>
      <c r="H26" s="288" t="s">
        <v>418</v>
      </c>
      <c r="I26" s="288" t="s">
        <v>418</v>
      </c>
      <c r="J26" s="288" t="s">
        <v>418</v>
      </c>
      <c r="K26" s="288" t="s">
        <v>418</v>
      </c>
      <c r="L26" s="288" t="s">
        <v>418</v>
      </c>
      <c r="M26" s="293" t="s">
        <v>62</v>
      </c>
      <c r="N26" s="294" t="str">
        <f>IF('Area B'!$E$29&gt;0,$B$275,IF('Area B'!$D$31&gt;0,$B$272,IF('Area B'!$E$33&gt;0,'Item List'!$B$257,"None")))</f>
        <v>None</v>
      </c>
      <c r="O26" s="293" t="s">
        <v>418</v>
      </c>
      <c r="P26" s="293" t="s">
        <v>418</v>
      </c>
      <c r="Q26" s="293" t="s">
        <v>418</v>
      </c>
      <c r="R26" s="293" t="s">
        <v>418</v>
      </c>
      <c r="S26" s="293" t="s">
        <v>418</v>
      </c>
      <c r="T26" s="260" t="s">
        <v>62</v>
      </c>
      <c r="U26" s="219" t="str">
        <f>IF('Area C'!$E$29&gt;0,$B$275,IF('Area C'!$D$31&gt;0,$B$272,IF('Area C'!$E$33&gt;0,'Item List'!$B$257,"None")))</f>
        <v>None</v>
      </c>
      <c r="V26" s="260" t="s">
        <v>418</v>
      </c>
      <c r="W26" s="260" t="s">
        <v>418</v>
      </c>
      <c r="X26" s="260" t="s">
        <v>418</v>
      </c>
      <c r="Y26" s="260" t="s">
        <v>418</v>
      </c>
      <c r="Z26" s="260" t="s">
        <v>418</v>
      </c>
      <c r="AA26" s="261" t="s">
        <v>62</v>
      </c>
      <c r="AB26" s="262" t="str">
        <f>IF('Area D'!$E$29&gt;0,$B$275,IF('Area D'!$D$31&gt;0,$B$272,IF('Area D'!$E$33&gt;0,'Item List'!$B$257,"None")))</f>
        <v>None</v>
      </c>
      <c r="AC26" s="261" t="s">
        <v>418</v>
      </c>
      <c r="AD26" s="261" t="s">
        <v>418</v>
      </c>
      <c r="AE26" s="261" t="s">
        <v>418</v>
      </c>
      <c r="AF26" s="261" t="s">
        <v>418</v>
      </c>
      <c r="AG26" s="261" t="s">
        <v>418</v>
      </c>
    </row>
    <row r="27" spans="1:40" s="242" customFormat="1" ht="17.25" customHeight="1" x14ac:dyDescent="0.4">
      <c r="A27" s="60" t="s">
        <v>0</v>
      </c>
      <c r="B27" s="112" t="s">
        <v>863</v>
      </c>
      <c r="C27" s="112" t="s">
        <v>866</v>
      </c>
      <c r="D27" s="12">
        <v>18</v>
      </c>
      <c r="E27" s="4">
        <v>285.12</v>
      </c>
      <c r="F27" s="288" t="s">
        <v>418</v>
      </c>
      <c r="G27" s="288" t="s">
        <v>418</v>
      </c>
      <c r="H27" s="288" t="s">
        <v>418</v>
      </c>
      <c r="I27" s="288" t="s">
        <v>418</v>
      </c>
      <c r="J27" s="288" t="s">
        <v>418</v>
      </c>
      <c r="K27" s="288" t="s">
        <v>418</v>
      </c>
      <c r="L27" s="288" t="s">
        <v>418</v>
      </c>
      <c r="M27" s="293" t="s">
        <v>418</v>
      </c>
      <c r="N27" s="293" t="s">
        <v>418</v>
      </c>
      <c r="O27" s="293" t="s">
        <v>418</v>
      </c>
      <c r="P27" s="293" t="s">
        <v>418</v>
      </c>
      <c r="Q27" s="293" t="s">
        <v>418</v>
      </c>
      <c r="R27" s="293" t="s">
        <v>418</v>
      </c>
      <c r="S27" s="293" t="s">
        <v>418</v>
      </c>
      <c r="T27" s="260" t="s">
        <v>418</v>
      </c>
      <c r="U27" s="260" t="s">
        <v>418</v>
      </c>
      <c r="V27" s="260" t="s">
        <v>418</v>
      </c>
      <c r="W27" s="260" t="s">
        <v>418</v>
      </c>
      <c r="X27" s="260" t="s">
        <v>418</v>
      </c>
      <c r="Y27" s="260" t="s">
        <v>418</v>
      </c>
      <c r="Z27" s="260" t="s">
        <v>418</v>
      </c>
      <c r="AA27" s="261" t="s">
        <v>418</v>
      </c>
      <c r="AB27" s="261" t="s">
        <v>418</v>
      </c>
      <c r="AC27" s="261" t="s">
        <v>418</v>
      </c>
      <c r="AD27" s="261" t="s">
        <v>418</v>
      </c>
      <c r="AE27" s="261" t="s">
        <v>418</v>
      </c>
      <c r="AF27" s="261" t="s">
        <v>418</v>
      </c>
      <c r="AG27" s="261" t="s">
        <v>418</v>
      </c>
      <c r="AH27" s="30"/>
      <c r="AI27" s="27"/>
      <c r="AJ27" s="28"/>
      <c r="AK27" s="213"/>
      <c r="AN27" s="22"/>
    </row>
    <row r="28" spans="1:40" s="242" customFormat="1" ht="17.25" customHeight="1" x14ac:dyDescent="0.4">
      <c r="A28" s="60" t="s">
        <v>0</v>
      </c>
      <c r="B28" s="112" t="s">
        <v>864</v>
      </c>
      <c r="C28" s="112" t="s">
        <v>865</v>
      </c>
      <c r="D28" s="12">
        <v>20</v>
      </c>
      <c r="E28" s="4">
        <v>175.4</v>
      </c>
      <c r="F28" s="288" t="s">
        <v>418</v>
      </c>
      <c r="G28" s="288" t="s">
        <v>418</v>
      </c>
      <c r="H28" s="288" t="s">
        <v>418</v>
      </c>
      <c r="I28" s="288" t="s">
        <v>418</v>
      </c>
      <c r="J28" s="288" t="s">
        <v>418</v>
      </c>
      <c r="K28" s="288" t="s">
        <v>418</v>
      </c>
      <c r="L28" s="288" t="s">
        <v>418</v>
      </c>
      <c r="M28" s="293" t="s">
        <v>418</v>
      </c>
      <c r="N28" s="293" t="s">
        <v>418</v>
      </c>
      <c r="O28" s="293" t="s">
        <v>418</v>
      </c>
      <c r="P28" s="293" t="s">
        <v>418</v>
      </c>
      <c r="Q28" s="293" t="s">
        <v>418</v>
      </c>
      <c r="R28" s="293" t="s">
        <v>418</v>
      </c>
      <c r="S28" s="293" t="s">
        <v>418</v>
      </c>
      <c r="T28" s="260" t="s">
        <v>418</v>
      </c>
      <c r="U28" s="260" t="s">
        <v>418</v>
      </c>
      <c r="V28" s="260" t="s">
        <v>418</v>
      </c>
      <c r="W28" s="260" t="s">
        <v>418</v>
      </c>
      <c r="X28" s="260" t="s">
        <v>418</v>
      </c>
      <c r="Y28" s="260" t="s">
        <v>418</v>
      </c>
      <c r="Z28" s="260" t="s">
        <v>418</v>
      </c>
      <c r="AA28" s="261" t="s">
        <v>418</v>
      </c>
      <c r="AB28" s="261" t="s">
        <v>418</v>
      </c>
      <c r="AC28" s="261" t="s">
        <v>418</v>
      </c>
      <c r="AD28" s="261" t="s">
        <v>418</v>
      </c>
      <c r="AE28" s="261" t="s">
        <v>418</v>
      </c>
      <c r="AF28" s="261" t="s">
        <v>418</v>
      </c>
      <c r="AG28" s="261" t="s">
        <v>418</v>
      </c>
      <c r="AH28" s="30"/>
      <c r="AI28" s="27"/>
      <c r="AJ28" s="28"/>
      <c r="AK28" s="213"/>
      <c r="AN28" s="22"/>
    </row>
    <row r="29" spans="1:40" x14ac:dyDescent="0.4">
      <c r="A29" s="7"/>
      <c r="B29" s="7"/>
      <c r="C29" s="7"/>
      <c r="D29" s="13"/>
      <c r="E29" s="8"/>
      <c r="F29" s="288" t="s">
        <v>418</v>
      </c>
      <c r="G29" s="288" t="s">
        <v>418</v>
      </c>
      <c r="H29" s="288" t="s">
        <v>418</v>
      </c>
      <c r="I29" s="288" t="s">
        <v>418</v>
      </c>
      <c r="J29" s="288" t="s">
        <v>418</v>
      </c>
      <c r="K29" s="288" t="s">
        <v>418</v>
      </c>
      <c r="L29" s="288" t="s">
        <v>418</v>
      </c>
      <c r="M29" s="293" t="s">
        <v>418</v>
      </c>
      <c r="N29" s="293" t="s">
        <v>418</v>
      </c>
      <c r="O29" s="293" t="s">
        <v>418</v>
      </c>
      <c r="P29" s="293" t="s">
        <v>418</v>
      </c>
      <c r="Q29" s="293" t="s">
        <v>418</v>
      </c>
      <c r="R29" s="293" t="s">
        <v>418</v>
      </c>
      <c r="S29" s="293" t="s">
        <v>418</v>
      </c>
      <c r="T29" s="260" t="s">
        <v>418</v>
      </c>
      <c r="U29" s="260" t="s">
        <v>418</v>
      </c>
      <c r="V29" s="260" t="s">
        <v>418</v>
      </c>
      <c r="W29" s="260" t="s">
        <v>418</v>
      </c>
      <c r="X29" s="260" t="s">
        <v>418</v>
      </c>
      <c r="Y29" s="260" t="s">
        <v>418</v>
      </c>
      <c r="Z29" s="260" t="s">
        <v>418</v>
      </c>
      <c r="AA29" s="261" t="s">
        <v>418</v>
      </c>
      <c r="AB29" s="261" t="s">
        <v>418</v>
      </c>
      <c r="AC29" s="261" t="s">
        <v>418</v>
      </c>
      <c r="AD29" s="261" t="s">
        <v>418</v>
      </c>
      <c r="AE29" s="261" t="s">
        <v>418</v>
      </c>
      <c r="AF29" s="261" t="s">
        <v>418</v>
      </c>
      <c r="AG29" s="261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88" t="s">
        <v>418</v>
      </c>
      <c r="G30" s="288" t="s">
        <v>418</v>
      </c>
      <c r="H30" s="288" t="s">
        <v>418</v>
      </c>
      <c r="I30" s="288" t="s">
        <v>418</v>
      </c>
      <c r="J30" s="288" t="s">
        <v>418</v>
      </c>
      <c r="K30" s="288" t="s">
        <v>418</v>
      </c>
      <c r="L30" s="288" t="s">
        <v>418</v>
      </c>
      <c r="M30" s="293" t="s">
        <v>418</v>
      </c>
      <c r="N30" s="293" t="s">
        <v>418</v>
      </c>
      <c r="O30" s="293" t="s">
        <v>418</v>
      </c>
      <c r="P30" s="293" t="s">
        <v>418</v>
      </c>
      <c r="Q30" s="293" t="s">
        <v>418</v>
      </c>
      <c r="R30" s="293" t="s">
        <v>418</v>
      </c>
      <c r="S30" s="293" t="s">
        <v>418</v>
      </c>
      <c r="T30" s="260" t="s">
        <v>418</v>
      </c>
      <c r="U30" s="260" t="s">
        <v>418</v>
      </c>
      <c r="V30" s="260" t="s">
        <v>418</v>
      </c>
      <c r="W30" s="260" t="s">
        <v>418</v>
      </c>
      <c r="X30" s="260" t="s">
        <v>418</v>
      </c>
      <c r="Y30" s="260" t="s">
        <v>418</v>
      </c>
      <c r="Z30" s="260" t="s">
        <v>418</v>
      </c>
      <c r="AA30" s="261" t="s">
        <v>418</v>
      </c>
      <c r="AB30" s="261" t="s">
        <v>418</v>
      </c>
      <c r="AC30" s="261" t="s">
        <v>418</v>
      </c>
      <c r="AD30" s="261" t="s">
        <v>418</v>
      </c>
      <c r="AE30" s="261" t="s">
        <v>418</v>
      </c>
      <c r="AF30" s="261" t="s">
        <v>418</v>
      </c>
      <c r="AG30" s="261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88" t="s">
        <v>418</v>
      </c>
      <c r="G31" s="289" t="str">
        <f>IF(('Area A'!$E$29+'Area A'!$E$30)&gt;0,'Item List'!$B$313,IF('Area A'!$J$31&gt;0,'Item List'!$B$311,IF(('Area A'!$J$33+'Area A'!$J$34)&gt;0,'Item List'!$B$280,"none")))</f>
        <v>none</v>
      </c>
      <c r="H31" s="290" t="str">
        <f>B290</f>
        <v>RCB1</v>
      </c>
      <c r="I31" s="288" t="s">
        <v>418</v>
      </c>
      <c r="J31" s="288" t="s">
        <v>418</v>
      </c>
      <c r="K31" s="288" t="s">
        <v>418</v>
      </c>
      <c r="L31" s="288" t="s">
        <v>418</v>
      </c>
      <c r="M31" s="293" t="s">
        <v>418</v>
      </c>
      <c r="N31" s="294" t="str">
        <f>IF(('Area B'!$E$29+'Area B'!$E$30)&gt;0,'Item List'!$B$313,IF('Area B'!$J$31&gt;0,'Item List'!$B$311,IF(('Area B'!$J$33+'Area B'!$J$34)&gt;0,'Item List'!$B$280,"none")))</f>
        <v>none</v>
      </c>
      <c r="O31" s="295" t="s">
        <v>324</v>
      </c>
      <c r="P31" s="293" t="s">
        <v>418</v>
      </c>
      <c r="Q31" s="293" t="s">
        <v>418</v>
      </c>
      <c r="R31" s="293" t="s">
        <v>418</v>
      </c>
      <c r="S31" s="293" t="s">
        <v>418</v>
      </c>
      <c r="T31" s="260" t="s">
        <v>418</v>
      </c>
      <c r="U31" s="219" t="str">
        <f>IF(('Area C'!$E$29+'Area C'!$E$30)&gt;0,'Item List'!$B$313,IF('Area C'!$J$31&gt;0,'Item List'!$B$311,IF(('Area C'!$J$33+'Area C'!$J$34)&gt;0,'Item List'!$B$280,"none")))</f>
        <v>none</v>
      </c>
      <c r="V31" s="167" t="s">
        <v>324</v>
      </c>
      <c r="W31" s="260" t="s">
        <v>418</v>
      </c>
      <c r="X31" s="260" t="s">
        <v>418</v>
      </c>
      <c r="Y31" s="260" t="s">
        <v>418</v>
      </c>
      <c r="Z31" s="260" t="s">
        <v>418</v>
      </c>
      <c r="AA31" s="261" t="s">
        <v>418</v>
      </c>
      <c r="AB31" s="262" t="str">
        <f>IF(('Area D'!$E$29+'Area D'!$E$30)&gt;0,'Item List'!$B$313,IF('Area D'!$J$31&gt;0,'Item List'!$B$311,IF(('Area D'!$J$33+'Area D'!$J$34)&gt;0,'Item List'!$B$280,"none")))</f>
        <v>none</v>
      </c>
      <c r="AC31" s="215" t="s">
        <v>324</v>
      </c>
      <c r="AD31" s="261" t="s">
        <v>418</v>
      </c>
      <c r="AE31" s="261" t="s">
        <v>418</v>
      </c>
      <c r="AF31" s="261" t="s">
        <v>418</v>
      </c>
      <c r="AG31" s="261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88" t="s">
        <v>418</v>
      </c>
      <c r="G32" s="289" t="str">
        <f>IF(('Area A'!$E$29+'Area A'!$E$30)&gt;0,'Item List'!$B$313,IF('Area A'!$J$31&gt;0,'Item List'!$B$311,IF(('Area A'!$J$33+'Area A'!$J$34)&gt;0,'Item List'!$B$281,"none")))</f>
        <v>none</v>
      </c>
      <c r="H32" s="290" t="str">
        <f>B290</f>
        <v>RCB1</v>
      </c>
      <c r="I32" s="288" t="s">
        <v>418</v>
      </c>
      <c r="J32" s="288" t="s">
        <v>418</v>
      </c>
      <c r="K32" s="288" t="s">
        <v>418</v>
      </c>
      <c r="L32" s="288" t="s">
        <v>418</v>
      </c>
      <c r="M32" s="293" t="s">
        <v>418</v>
      </c>
      <c r="N32" s="294" t="str">
        <f>IF(('Area B'!$E$29+'Area B'!$E$30)&gt;0,'Item List'!$B$313,IF('Area B'!$J$31&gt;0,'Item List'!$B$311,IF(('Area B'!$J$33+'Area B'!$J$34)&gt;0,'Item List'!$B$281,"none")))</f>
        <v>none</v>
      </c>
      <c r="O32" s="295" t="s">
        <v>324</v>
      </c>
      <c r="P32" s="293" t="s">
        <v>418</v>
      </c>
      <c r="Q32" s="293" t="s">
        <v>418</v>
      </c>
      <c r="R32" s="293" t="s">
        <v>418</v>
      </c>
      <c r="S32" s="293" t="s">
        <v>418</v>
      </c>
      <c r="T32" s="260" t="s">
        <v>418</v>
      </c>
      <c r="U32" s="219" t="str">
        <f>IF(('Area C'!$E$29+'Area C'!$E$30)&gt;0,'Item List'!$B$313,IF('Area C'!$J$31&gt;0,'Item List'!$B$311,IF(('Area C'!$J$33+'Area C'!$J$34)&gt;0,'Item List'!$B$281,"none")))</f>
        <v>none</v>
      </c>
      <c r="V32" s="167" t="s">
        <v>324</v>
      </c>
      <c r="W32" s="260" t="s">
        <v>418</v>
      </c>
      <c r="X32" s="260" t="s">
        <v>418</v>
      </c>
      <c r="Y32" s="260" t="s">
        <v>418</v>
      </c>
      <c r="Z32" s="260" t="s">
        <v>418</v>
      </c>
      <c r="AA32" s="261" t="s">
        <v>418</v>
      </c>
      <c r="AB32" s="262" t="str">
        <f>IF(('Area D'!$E$29+'Area D'!$E$30)&gt;0,'Item List'!$B$313,IF('Area D'!$J$31&gt;0,'Item List'!$B$311,IF(('Area D'!$J$33+'Area D'!$J$34)&gt;0,'Item List'!$B$281,"none")))</f>
        <v>none</v>
      </c>
      <c r="AC32" s="215" t="s">
        <v>324</v>
      </c>
      <c r="AD32" s="261" t="s">
        <v>418</v>
      </c>
      <c r="AE32" s="261" t="s">
        <v>418</v>
      </c>
      <c r="AF32" s="261" t="s">
        <v>418</v>
      </c>
      <c r="AG32" s="261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88" t="s">
        <v>418</v>
      </c>
      <c r="G33" s="289" t="str">
        <f>IF(('Area A'!$E$29+'Area A'!$E$30)&gt;0,'Item List'!$B$313,IF('Area A'!$J$31&gt;0,'Item List'!$B$311,IF(('Area A'!$J$33+'Area A'!$J$34)&gt;0,'Item List'!$B$282,"none")))</f>
        <v>none</v>
      </c>
      <c r="H33" s="290" t="str">
        <f>B290</f>
        <v>RCB1</v>
      </c>
      <c r="I33" s="288" t="s">
        <v>418</v>
      </c>
      <c r="J33" s="288" t="s">
        <v>418</v>
      </c>
      <c r="K33" s="288" t="s">
        <v>418</v>
      </c>
      <c r="L33" s="288" t="s">
        <v>418</v>
      </c>
      <c r="M33" s="293" t="s">
        <v>418</v>
      </c>
      <c r="N33" s="294" t="str">
        <f>IF(('Area B'!$E$29+'Area B'!$E$30)&gt;0,'Item List'!$B$313,IF('Area B'!$J$31&gt;0,'Item List'!$B$311,IF(('Area B'!$J$33+'Area B'!$J$34)&gt;0,'Item List'!$B$282,"none")))</f>
        <v>none</v>
      </c>
      <c r="O33" s="295" t="s">
        <v>324</v>
      </c>
      <c r="P33" s="293" t="s">
        <v>418</v>
      </c>
      <c r="Q33" s="293" t="s">
        <v>418</v>
      </c>
      <c r="R33" s="293" t="s">
        <v>418</v>
      </c>
      <c r="S33" s="293" t="s">
        <v>418</v>
      </c>
      <c r="T33" s="260" t="s">
        <v>418</v>
      </c>
      <c r="U33" s="219" t="str">
        <f>IF(('Area C'!$E$29+'Area C'!$E$30)&gt;0,'Item List'!$B$313,IF('Area C'!$J$31&gt;0,'Item List'!$B$311,IF(('Area C'!$J$33+'Area C'!$J$34)&gt;0,'Item List'!$B$282,"none")))</f>
        <v>none</v>
      </c>
      <c r="V33" s="167" t="s">
        <v>324</v>
      </c>
      <c r="W33" s="260" t="s">
        <v>418</v>
      </c>
      <c r="X33" s="260" t="s">
        <v>418</v>
      </c>
      <c r="Y33" s="260" t="s">
        <v>418</v>
      </c>
      <c r="Z33" s="260" t="s">
        <v>418</v>
      </c>
      <c r="AA33" s="261" t="s">
        <v>418</v>
      </c>
      <c r="AB33" s="262" t="str">
        <f>IF(('Area D'!$E$29+'Area D'!$E$30)&gt;0,'Item List'!$B$313,IF('Area D'!$J$31&gt;0,'Item List'!$B$311,IF(('Area D'!$J$33+'Area D'!$J$34)&gt;0,'Item List'!$B$282,"none")))</f>
        <v>none</v>
      </c>
      <c r="AC33" s="215" t="s">
        <v>324</v>
      </c>
      <c r="AD33" s="261" t="s">
        <v>418</v>
      </c>
      <c r="AE33" s="261" t="s">
        <v>418</v>
      </c>
      <c r="AF33" s="261" t="s">
        <v>418</v>
      </c>
      <c r="AG33" s="261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88" t="s">
        <v>418</v>
      </c>
      <c r="G34" s="289" t="str">
        <f>IF(('Area A'!$E$29+'Area A'!$E$30)&gt;0,'Item List'!$B$313,IF('Area A'!$J$31&gt;0,'Item List'!$B$311,IF(('Area A'!$J$33+'Area A'!$J$34)&gt;0,'Item List'!$B$283,"none")))</f>
        <v>none</v>
      </c>
      <c r="H34" s="290" t="str">
        <f>B290</f>
        <v>RCB1</v>
      </c>
      <c r="I34" s="288" t="s">
        <v>418</v>
      </c>
      <c r="J34" s="288" t="s">
        <v>418</v>
      </c>
      <c r="K34" s="288" t="s">
        <v>418</v>
      </c>
      <c r="L34" s="288" t="s">
        <v>418</v>
      </c>
      <c r="M34" s="293" t="s">
        <v>418</v>
      </c>
      <c r="N34" s="294" t="str">
        <f>IF(('Area B'!$E$29+'Area B'!$E$30)&gt;0,'Item List'!$B$313,IF('Area B'!$J$31&gt;0,'Item List'!$B$311,IF(('Area B'!$J$33+'Area B'!$J$34)&gt;0,'Item List'!$B$283,"none")))</f>
        <v>none</v>
      </c>
      <c r="O34" s="295" t="s">
        <v>324</v>
      </c>
      <c r="P34" s="293" t="s">
        <v>418</v>
      </c>
      <c r="Q34" s="293" t="s">
        <v>418</v>
      </c>
      <c r="R34" s="293" t="s">
        <v>418</v>
      </c>
      <c r="S34" s="293" t="s">
        <v>418</v>
      </c>
      <c r="T34" s="260" t="s">
        <v>418</v>
      </c>
      <c r="U34" s="219" t="str">
        <f>IF(('Area C'!$E$29+'Area C'!$E$30)&gt;0,'Item List'!$B$313,IF('Area C'!$J$31&gt;0,'Item List'!$B$311,IF(('Area C'!$J$33+'Area C'!$J$34)&gt;0,'Item List'!$B$283,"none")))</f>
        <v>none</v>
      </c>
      <c r="V34" s="167" t="s">
        <v>324</v>
      </c>
      <c r="W34" s="260" t="s">
        <v>418</v>
      </c>
      <c r="X34" s="260" t="s">
        <v>418</v>
      </c>
      <c r="Y34" s="260" t="s">
        <v>418</v>
      </c>
      <c r="Z34" s="260" t="s">
        <v>418</v>
      </c>
      <c r="AA34" s="261" t="s">
        <v>418</v>
      </c>
      <c r="AB34" s="262" t="str">
        <f>IF(('Area D'!$E$29+'Area D'!$E$30)&gt;0,'Item List'!$B$313,IF('Area D'!$J$31&gt;0,'Item List'!$B$311,IF(('Area D'!$J$33+'Area D'!$J$34)&gt;0,'Item List'!$B$283,"none")))</f>
        <v>none</v>
      </c>
      <c r="AC34" s="215" t="s">
        <v>324</v>
      </c>
      <c r="AD34" s="261" t="s">
        <v>418</v>
      </c>
      <c r="AE34" s="261" t="s">
        <v>418</v>
      </c>
      <c r="AF34" s="261" t="s">
        <v>418</v>
      </c>
      <c r="AG34" s="261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88" t="s">
        <v>418</v>
      </c>
      <c r="G35" s="289" t="str">
        <f>IF(('Area A'!$E$29+'Area A'!$E$30)&gt;0,"none",IF('Area A'!$J$31&gt;0,'Item List'!$B$311,IF(('Area A'!$J$33+'Area A'!$J$34)&gt;0,'Item List'!$B$284,"none")))</f>
        <v>none</v>
      </c>
      <c r="H35" s="290" t="str">
        <f>B292</f>
        <v>RCB2</v>
      </c>
      <c r="I35" s="288" t="s">
        <v>418</v>
      </c>
      <c r="J35" s="288" t="s">
        <v>418</v>
      </c>
      <c r="K35" s="288" t="s">
        <v>418</v>
      </c>
      <c r="L35" s="288" t="s">
        <v>418</v>
      </c>
      <c r="M35" s="293" t="s">
        <v>418</v>
      </c>
      <c r="N35" s="294" t="str">
        <f>IF(('Area B'!$E$29+'Area B'!$E$30)&gt;0,"none",IF('Area B'!$J$31&gt;0,'Item List'!$B$311,IF(('Area B'!$J$33+'Area B'!$J$34)&gt;0,'Item List'!$B$284,"none")))</f>
        <v>none</v>
      </c>
      <c r="O35" s="295" t="s">
        <v>328</v>
      </c>
      <c r="P35" s="293" t="s">
        <v>418</v>
      </c>
      <c r="Q35" s="293" t="s">
        <v>418</v>
      </c>
      <c r="R35" s="293" t="s">
        <v>418</v>
      </c>
      <c r="S35" s="293" t="s">
        <v>418</v>
      </c>
      <c r="T35" s="260" t="s">
        <v>418</v>
      </c>
      <c r="U35" s="219" t="str">
        <f>IF(('Area C'!$E$29+'Area C'!$E$30)&gt;0,"none",IF('Area C'!$J$31&gt;0,'Item List'!$B$311,IF(('Area C'!$J$33+'Area C'!$J$34)&gt;0,'Item List'!$B$284,"none")))</f>
        <v>none</v>
      </c>
      <c r="V35" s="167" t="s">
        <v>328</v>
      </c>
      <c r="W35" s="260" t="s">
        <v>418</v>
      </c>
      <c r="X35" s="260" t="s">
        <v>418</v>
      </c>
      <c r="Y35" s="260" t="s">
        <v>418</v>
      </c>
      <c r="Z35" s="260" t="s">
        <v>418</v>
      </c>
      <c r="AA35" s="261" t="s">
        <v>418</v>
      </c>
      <c r="AB35" s="262" t="str">
        <f>IF(('Area D'!$E$29+'Area D'!$E$30)&gt;0,"none",IF('Area D'!$J$31&gt;0,'Item List'!$B$311,IF(('Area D'!$J$33+'Area D'!$J$34)&gt;0,'Item List'!$B$284,"none")))</f>
        <v>none</v>
      </c>
      <c r="AC35" s="215" t="s">
        <v>328</v>
      </c>
      <c r="AD35" s="261" t="s">
        <v>418</v>
      </c>
      <c r="AE35" s="261" t="s">
        <v>418</v>
      </c>
      <c r="AF35" s="261" t="s">
        <v>418</v>
      </c>
      <c r="AG35" s="261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88" t="s">
        <v>418</v>
      </c>
      <c r="G36" s="289" t="str">
        <f>IF(('Area A'!$E$29+'Area A'!$E$30)&gt;0,"none",IF('Area A'!$J$31&gt;0,'Item List'!$B$311,IF(('Area A'!$J$33+'Area A'!$J$34)&gt;0,'Item List'!$B$285,"none")))</f>
        <v>none</v>
      </c>
      <c r="H36" s="290" t="str">
        <f>B292</f>
        <v>RCB2</v>
      </c>
      <c r="I36" s="288" t="s">
        <v>418</v>
      </c>
      <c r="J36" s="288" t="s">
        <v>418</v>
      </c>
      <c r="K36" s="288" t="s">
        <v>418</v>
      </c>
      <c r="L36" s="288" t="s">
        <v>418</v>
      </c>
      <c r="M36" s="293" t="s">
        <v>418</v>
      </c>
      <c r="N36" s="294" t="str">
        <f>IF(('Area B'!$E$29+'Area B'!$E$30)&gt;0,"none",IF('Area B'!$J$31&gt;0,'Item List'!$B$311,IF(('Area B'!$J$33+'Area B'!$J$34)&gt;0,'Item List'!$B$285,"none")))</f>
        <v>none</v>
      </c>
      <c r="O36" s="295" t="s">
        <v>328</v>
      </c>
      <c r="P36" s="293" t="s">
        <v>418</v>
      </c>
      <c r="Q36" s="293" t="s">
        <v>418</v>
      </c>
      <c r="R36" s="293" t="s">
        <v>418</v>
      </c>
      <c r="S36" s="293" t="s">
        <v>418</v>
      </c>
      <c r="T36" s="260" t="s">
        <v>418</v>
      </c>
      <c r="U36" s="219" t="str">
        <f>IF(('Area C'!$E$29+'Area C'!$E$30)&gt;0,"none",IF('Area C'!$J$31&gt;0,'Item List'!$B$311,IF(('Area C'!$J$33+'Area C'!$J$34)&gt;0,'Item List'!$B$285,"none")))</f>
        <v>none</v>
      </c>
      <c r="V36" s="167" t="s">
        <v>328</v>
      </c>
      <c r="W36" s="260" t="s">
        <v>418</v>
      </c>
      <c r="X36" s="260" t="s">
        <v>418</v>
      </c>
      <c r="Y36" s="260" t="s">
        <v>418</v>
      </c>
      <c r="Z36" s="260" t="s">
        <v>418</v>
      </c>
      <c r="AA36" s="261" t="s">
        <v>418</v>
      </c>
      <c r="AB36" s="262" t="str">
        <f>IF(('Area D'!$E$29+'Area D'!$E$30)&gt;0,"none",IF('Area D'!$J$31&gt;0,'Item List'!$B$311,IF(('Area D'!$J$33+'Area D'!$J$34)&gt;0,'Item List'!$B$285,"none")))</f>
        <v>none</v>
      </c>
      <c r="AC36" s="215" t="s">
        <v>328</v>
      </c>
      <c r="AD36" s="261" t="s">
        <v>418</v>
      </c>
      <c r="AE36" s="261" t="s">
        <v>418</v>
      </c>
      <c r="AF36" s="261" t="s">
        <v>418</v>
      </c>
      <c r="AG36" s="261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88" t="s">
        <v>418</v>
      </c>
      <c r="G37" s="289" t="str">
        <f>IF(('Area A'!$E$29+'Area A'!$E$30)&gt;0,"none",IF('Area A'!$J$31&gt;0,'Item List'!$B$311,IF(('Area A'!$J$33+'Area A'!$J$34)&gt;0,'Item List'!$B$286,"none")))</f>
        <v>none</v>
      </c>
      <c r="H37" s="290" t="str">
        <f>B292</f>
        <v>RCB2</v>
      </c>
      <c r="I37" s="288" t="s">
        <v>418</v>
      </c>
      <c r="J37" s="288" t="s">
        <v>418</v>
      </c>
      <c r="K37" s="288" t="s">
        <v>418</v>
      </c>
      <c r="L37" s="288" t="s">
        <v>418</v>
      </c>
      <c r="M37" s="293" t="s">
        <v>418</v>
      </c>
      <c r="N37" s="294" t="str">
        <f>IF(('Area B'!$E$29+'Area B'!$E$30)&gt;0,"none",IF('Area B'!$J$31&gt;0,'Item List'!$B$311,IF(('Area B'!$J$33+'Area B'!$J$34)&gt;0,'Item List'!$B$286,"none")))</f>
        <v>none</v>
      </c>
      <c r="O37" s="295" t="s">
        <v>328</v>
      </c>
      <c r="P37" s="293" t="s">
        <v>418</v>
      </c>
      <c r="Q37" s="293" t="s">
        <v>418</v>
      </c>
      <c r="R37" s="293" t="s">
        <v>418</v>
      </c>
      <c r="S37" s="293" t="s">
        <v>418</v>
      </c>
      <c r="T37" s="260" t="s">
        <v>418</v>
      </c>
      <c r="U37" s="219" t="str">
        <f>IF(('Area C'!$E$29+'Area C'!$E$30)&gt;0,"none",IF('Area C'!$J$31&gt;0,'Item List'!$B$311,IF(('Area C'!$J$33+'Area C'!$J$34)&gt;0,'Item List'!$B$286,"none")))</f>
        <v>none</v>
      </c>
      <c r="V37" s="167" t="s">
        <v>328</v>
      </c>
      <c r="W37" s="260" t="s">
        <v>418</v>
      </c>
      <c r="X37" s="260" t="s">
        <v>418</v>
      </c>
      <c r="Y37" s="260" t="s">
        <v>418</v>
      </c>
      <c r="Z37" s="260" t="s">
        <v>418</v>
      </c>
      <c r="AA37" s="261" t="s">
        <v>418</v>
      </c>
      <c r="AB37" s="262" t="str">
        <f>IF(('Area D'!$E$29+'Area D'!$E$30)&gt;0,"none",IF('Area D'!$J$31&gt;0,'Item List'!$B$311,IF(('Area D'!$J$33+'Area D'!$J$34)&gt;0,'Item List'!$B$286,"none")))</f>
        <v>none</v>
      </c>
      <c r="AC37" s="215" t="s">
        <v>328</v>
      </c>
      <c r="AD37" s="261" t="s">
        <v>418</v>
      </c>
      <c r="AE37" s="261" t="s">
        <v>418</v>
      </c>
      <c r="AF37" s="261" t="s">
        <v>418</v>
      </c>
      <c r="AG37" s="261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88" t="s">
        <v>418</v>
      </c>
      <c r="G38" s="289" t="str">
        <f>IF(('Area A'!$E$29+'Area A'!$E$30)&gt;0,"none",IF('Area A'!$J$31&gt;0,'Item List'!$B$311,IF(('Area A'!$J$33+'Area A'!$J$34)&gt;0,'Item List'!$B$287,"none")))</f>
        <v>none</v>
      </c>
      <c r="H38" s="290" t="str">
        <f>B292</f>
        <v>RCB2</v>
      </c>
      <c r="I38" s="288" t="s">
        <v>418</v>
      </c>
      <c r="J38" s="288" t="s">
        <v>418</v>
      </c>
      <c r="K38" s="288" t="s">
        <v>418</v>
      </c>
      <c r="L38" s="288" t="s">
        <v>418</v>
      </c>
      <c r="M38" s="293" t="s">
        <v>418</v>
      </c>
      <c r="N38" s="294" t="str">
        <f>IF(('Area B'!$E$29+'Area B'!$E$30)&gt;0,"none",IF('Area B'!$J$31&gt;0,'Item List'!$B$311,IF(('Area B'!$J$33+'Area B'!$J$34)&gt;0,'Item List'!$B$287,"none")))</f>
        <v>none</v>
      </c>
      <c r="O38" s="295" t="s">
        <v>328</v>
      </c>
      <c r="P38" s="293" t="s">
        <v>418</v>
      </c>
      <c r="Q38" s="293" t="s">
        <v>418</v>
      </c>
      <c r="R38" s="293" t="s">
        <v>418</v>
      </c>
      <c r="S38" s="293" t="s">
        <v>418</v>
      </c>
      <c r="T38" s="260" t="s">
        <v>418</v>
      </c>
      <c r="U38" s="219" t="str">
        <f>IF(('Area C'!$E$29+'Area C'!$E$30)&gt;0,"none",IF('Area C'!$J$31&gt;0,'Item List'!$B$311,IF(('Area C'!$J$33+'Area C'!$J$34)&gt;0,'Item List'!$B$287,"none")))</f>
        <v>none</v>
      </c>
      <c r="V38" s="167" t="s">
        <v>328</v>
      </c>
      <c r="W38" s="260" t="s">
        <v>418</v>
      </c>
      <c r="X38" s="260" t="s">
        <v>418</v>
      </c>
      <c r="Y38" s="260" t="s">
        <v>418</v>
      </c>
      <c r="Z38" s="260" t="s">
        <v>418</v>
      </c>
      <c r="AA38" s="261" t="s">
        <v>418</v>
      </c>
      <c r="AB38" s="262" t="str">
        <f>IF(('Area D'!$E$29+'Area D'!$E$30)&gt;0,"none",IF('Area D'!$J$31&gt;0,'Item List'!$B$311,IF(('Area D'!$J$33+'Area D'!$J$34)&gt;0,'Item List'!$B$287,"none")))</f>
        <v>none</v>
      </c>
      <c r="AC38" s="215" t="s">
        <v>328</v>
      </c>
      <c r="AD38" s="261" t="s">
        <v>418</v>
      </c>
      <c r="AE38" s="261" t="s">
        <v>418</v>
      </c>
      <c r="AF38" s="261" t="s">
        <v>418</v>
      </c>
      <c r="AG38" s="261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88" t="s">
        <v>418</v>
      </c>
      <c r="G39" s="289" t="str">
        <f>IF(('Area A'!$E$29+'Area A'!$E$30)&gt;0,"none",IF('Area A'!$J$31&gt;0,'Item List'!$B$311,IF(('Area A'!$J$33+'Area A'!$J$34)&gt;0,'Item List'!$B$284,"none")))</f>
        <v>none</v>
      </c>
      <c r="H39" s="290" t="s">
        <v>873</v>
      </c>
      <c r="I39" s="288" t="s">
        <v>418</v>
      </c>
      <c r="J39" s="288" t="s">
        <v>418</v>
      </c>
      <c r="K39" s="288" t="s">
        <v>418</v>
      </c>
      <c r="L39" s="288" t="s">
        <v>418</v>
      </c>
      <c r="M39" s="293" t="s">
        <v>418</v>
      </c>
      <c r="N39" s="294" t="str">
        <f>IF(('Area B'!$E$29+'Area B'!$E$30)&gt;0,"none",IF('Area B'!$J$31&gt;0,'Item List'!$B$311,IF(('Area B'!$J$33+'Area B'!$J$34)&gt;0,'Item List'!$B$284,"none")))</f>
        <v>none</v>
      </c>
      <c r="O39" s="295" t="s">
        <v>873</v>
      </c>
      <c r="P39" s="293" t="s">
        <v>418</v>
      </c>
      <c r="Q39" s="293" t="s">
        <v>418</v>
      </c>
      <c r="R39" s="293" t="s">
        <v>418</v>
      </c>
      <c r="S39" s="293" t="s">
        <v>418</v>
      </c>
      <c r="T39" s="260" t="s">
        <v>418</v>
      </c>
      <c r="U39" s="219" t="str">
        <f>IF(('Area C'!$E$29+'Area C'!$E$30)&gt;0,"none",IF('Area C'!$J$31&gt;0,'Item List'!$B$311,IF(('Area C'!$J$33+'Area C'!$J$34)&gt;0,'Item List'!$B$284,"none")))</f>
        <v>none</v>
      </c>
      <c r="V39" s="167" t="s">
        <v>873</v>
      </c>
      <c r="W39" s="260" t="s">
        <v>418</v>
      </c>
      <c r="X39" s="260" t="s">
        <v>418</v>
      </c>
      <c r="Y39" s="260" t="s">
        <v>418</v>
      </c>
      <c r="Z39" s="260" t="s">
        <v>418</v>
      </c>
      <c r="AA39" s="261" t="s">
        <v>418</v>
      </c>
      <c r="AB39" s="262" t="str">
        <f>IF(('Area D'!$E$29+'Area D'!$E$30)&gt;0,"none",IF('Area D'!$J$31&gt;0,'Item List'!$B$311,IF(('Area D'!$J$33+'Area D'!$J$34)&gt;0,'Item List'!$B$284,"none")))</f>
        <v>none</v>
      </c>
      <c r="AC39" s="215" t="s">
        <v>873</v>
      </c>
      <c r="AD39" s="261" t="s">
        <v>418</v>
      </c>
      <c r="AE39" s="261" t="s">
        <v>418</v>
      </c>
      <c r="AF39" s="261" t="s">
        <v>418</v>
      </c>
      <c r="AG39" s="261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88" t="s">
        <v>418</v>
      </c>
      <c r="G40" s="289" t="str">
        <f>IF(('Area A'!$E$29+'Area A'!$E$30)&gt;0,"none",IF('Area A'!$J$31&gt;0,'Item List'!$B$311,IF(('Area A'!$J$33+'Area A'!$J$34)&gt;0,'Item List'!$B$285,"none")))</f>
        <v>none</v>
      </c>
      <c r="H40" s="288" t="s">
        <v>873</v>
      </c>
      <c r="I40" s="288" t="s">
        <v>418</v>
      </c>
      <c r="J40" s="288" t="s">
        <v>418</v>
      </c>
      <c r="K40" s="288" t="s">
        <v>418</v>
      </c>
      <c r="L40" s="288" t="s">
        <v>418</v>
      </c>
      <c r="M40" s="293" t="s">
        <v>418</v>
      </c>
      <c r="N40" s="294" t="str">
        <f>IF(('Area B'!$E$29+'Area B'!$E$30)&gt;0,"none",IF('Area B'!$J$31&gt;0,'Item List'!$B$311,IF(('Area B'!$J$33+'Area B'!$J$34)&gt;0,'Item List'!$B$285,"none")))</f>
        <v>none</v>
      </c>
      <c r="O40" s="295" t="s">
        <v>873</v>
      </c>
      <c r="P40" s="293" t="s">
        <v>418</v>
      </c>
      <c r="Q40" s="293" t="s">
        <v>418</v>
      </c>
      <c r="R40" s="293" t="s">
        <v>418</v>
      </c>
      <c r="S40" s="293" t="s">
        <v>418</v>
      </c>
      <c r="T40" s="260" t="s">
        <v>418</v>
      </c>
      <c r="U40" s="219" t="str">
        <f>IF(('Area C'!$E$29+'Area C'!$E$30)&gt;0,"none",IF('Area C'!$J$31&gt;0,'Item List'!$B$311,IF(('Area C'!$J$33+'Area C'!$J$34)&gt;0,'Item List'!$B$285,"none")))</f>
        <v>none</v>
      </c>
      <c r="V40" s="167" t="s">
        <v>873</v>
      </c>
      <c r="W40" s="260" t="s">
        <v>418</v>
      </c>
      <c r="X40" s="260" t="s">
        <v>418</v>
      </c>
      <c r="Y40" s="260" t="s">
        <v>418</v>
      </c>
      <c r="Z40" s="260" t="s">
        <v>418</v>
      </c>
      <c r="AA40" s="261" t="s">
        <v>418</v>
      </c>
      <c r="AB40" s="262" t="str">
        <f>IF(('Area D'!$E$29+'Area D'!$E$30)&gt;0,"none",IF('Area D'!$J$31&gt;0,'Item List'!$B$311,IF(('Area D'!$J$33+'Area D'!$J$34)&gt;0,'Item List'!$B$285,"none")))</f>
        <v>none</v>
      </c>
      <c r="AC40" s="215" t="s">
        <v>873</v>
      </c>
      <c r="AD40" s="261" t="s">
        <v>418</v>
      </c>
      <c r="AE40" s="261" t="s">
        <v>418</v>
      </c>
      <c r="AF40" s="261" t="s">
        <v>418</v>
      </c>
      <c r="AG40" s="261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88" t="s">
        <v>418</v>
      </c>
      <c r="G41" s="289" t="str">
        <f>IF(('Area A'!$E$29+'Area A'!$E$30)&gt;0,"none",IF('Area A'!$J$31&gt;0,'Item List'!$B$311,IF(('Area A'!$J$33+'Area A'!$J$34)&gt;0,'Item List'!$B$286,"none")))</f>
        <v>none</v>
      </c>
      <c r="H41" s="288" t="s">
        <v>873</v>
      </c>
      <c r="I41" s="288" t="s">
        <v>418</v>
      </c>
      <c r="J41" s="288" t="s">
        <v>418</v>
      </c>
      <c r="K41" s="288" t="s">
        <v>418</v>
      </c>
      <c r="L41" s="288" t="s">
        <v>418</v>
      </c>
      <c r="M41" s="293" t="s">
        <v>418</v>
      </c>
      <c r="N41" s="294" t="str">
        <f>IF(('Area B'!$E$29+'Area B'!$E$30)&gt;0,"none",IF('Area B'!$J$31&gt;0,'Item List'!$B$311,IF(('Area B'!$J$33+'Area B'!$J$34)&gt;0,'Item List'!$B$286,"none")))</f>
        <v>none</v>
      </c>
      <c r="O41" s="295" t="s">
        <v>873</v>
      </c>
      <c r="P41" s="293" t="s">
        <v>418</v>
      </c>
      <c r="Q41" s="293" t="s">
        <v>418</v>
      </c>
      <c r="R41" s="293" t="s">
        <v>418</v>
      </c>
      <c r="S41" s="293" t="s">
        <v>418</v>
      </c>
      <c r="T41" s="260" t="s">
        <v>418</v>
      </c>
      <c r="U41" s="219" t="str">
        <f>IF(('Area C'!$E$29+'Area C'!$E$30)&gt;0,"none",IF('Area C'!$J$31&gt;0,'Item List'!$B$311,IF(('Area C'!$J$33+'Area C'!$J$34)&gt;0,'Item List'!$B$286,"none")))</f>
        <v>none</v>
      </c>
      <c r="V41" s="167" t="s">
        <v>873</v>
      </c>
      <c r="W41" s="260" t="s">
        <v>418</v>
      </c>
      <c r="X41" s="260" t="s">
        <v>418</v>
      </c>
      <c r="Y41" s="260" t="s">
        <v>418</v>
      </c>
      <c r="Z41" s="260" t="s">
        <v>418</v>
      </c>
      <c r="AA41" s="261" t="s">
        <v>418</v>
      </c>
      <c r="AB41" s="262" t="str">
        <f>IF(('Area D'!$E$29+'Area D'!$E$30)&gt;0,"none",IF('Area D'!$J$31&gt;0,'Item List'!$B$311,IF(('Area D'!$J$33+'Area D'!$J$34)&gt;0,'Item List'!$B$286,"none")))</f>
        <v>none</v>
      </c>
      <c r="AC41" s="215" t="s">
        <v>873</v>
      </c>
      <c r="AD41" s="261" t="s">
        <v>418</v>
      </c>
      <c r="AE41" s="261" t="s">
        <v>418</v>
      </c>
      <c r="AF41" s="261" t="s">
        <v>418</v>
      </c>
      <c r="AG41" s="261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88" t="s">
        <v>418</v>
      </c>
      <c r="G42" s="289" t="str">
        <f>IF(('Area A'!$E$29+'Area A'!$E$30)&gt;0,"none",IF('Area A'!$J$31&gt;0,'Item List'!$B$311,IF(('Area A'!$J$33+'Area A'!$J$34)&gt;0,'Item List'!$B$287,"none")))</f>
        <v>none</v>
      </c>
      <c r="H42" s="288" t="s">
        <v>873</v>
      </c>
      <c r="I42" s="288" t="s">
        <v>418</v>
      </c>
      <c r="J42" s="288" t="s">
        <v>418</v>
      </c>
      <c r="K42" s="288" t="s">
        <v>418</v>
      </c>
      <c r="L42" s="288" t="s">
        <v>418</v>
      </c>
      <c r="M42" s="293" t="s">
        <v>418</v>
      </c>
      <c r="N42" s="294" t="str">
        <f>IF(('Area B'!$E$29+'Area B'!$E$30)&gt;0,"none",IF('Area B'!$J$31&gt;0,'Item List'!$B$311,IF(('Area B'!$J$33+'Area B'!$J$34)&gt;0,'Item List'!$B$287,"none")))</f>
        <v>none</v>
      </c>
      <c r="O42" s="295" t="s">
        <v>873</v>
      </c>
      <c r="P42" s="293" t="s">
        <v>418</v>
      </c>
      <c r="Q42" s="293" t="s">
        <v>418</v>
      </c>
      <c r="R42" s="293" t="s">
        <v>418</v>
      </c>
      <c r="S42" s="293" t="s">
        <v>418</v>
      </c>
      <c r="T42" s="260" t="s">
        <v>418</v>
      </c>
      <c r="U42" s="219" t="str">
        <f>IF(('Area C'!$E$29+'Area C'!$E$30)&gt;0,"none",IF('Area C'!$J$31&gt;0,'Item List'!$B$311,IF(('Area C'!$J$33+'Area C'!$J$34)&gt;0,'Item List'!$B$287,"none")))</f>
        <v>none</v>
      </c>
      <c r="V42" s="167" t="s">
        <v>873</v>
      </c>
      <c r="W42" s="260" t="s">
        <v>418</v>
      </c>
      <c r="X42" s="260" t="s">
        <v>418</v>
      </c>
      <c r="Y42" s="260" t="s">
        <v>418</v>
      </c>
      <c r="Z42" s="260" t="s">
        <v>418</v>
      </c>
      <c r="AA42" s="261" t="s">
        <v>418</v>
      </c>
      <c r="AB42" s="262" t="str">
        <f>IF(('Area D'!$E$29+'Area D'!$E$30)&gt;0,"none",IF('Area D'!$J$31&gt;0,'Item List'!$B$311,IF(('Area D'!$J$33+'Area D'!$J$34)&gt;0,'Item List'!$B$287,"none")))</f>
        <v>none</v>
      </c>
      <c r="AC42" s="215" t="s">
        <v>873</v>
      </c>
      <c r="AD42" s="261" t="s">
        <v>418</v>
      </c>
      <c r="AE42" s="261" t="s">
        <v>418</v>
      </c>
      <c r="AF42" s="261" t="s">
        <v>418</v>
      </c>
      <c r="AG42" s="261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88" t="s">
        <v>18</v>
      </c>
      <c r="G43" s="289" t="str">
        <f>IF(('Area A'!$E$29+'Area A'!$E$30)&gt;0,"none",IF('Area A'!$J$31&gt;0,'Item List'!$B$311,IF(('Area A'!$J$33+'Area A'!$J$34)&gt;0,'Item List'!$B$284,"none")))</f>
        <v>none</v>
      </c>
      <c r="H43" s="288" t="s">
        <v>418</v>
      </c>
      <c r="I43" s="288" t="s">
        <v>418</v>
      </c>
      <c r="J43" s="288" t="s">
        <v>418</v>
      </c>
      <c r="K43" s="288" t="s">
        <v>418</v>
      </c>
      <c r="L43" s="288" t="s">
        <v>418</v>
      </c>
      <c r="M43" s="293" t="s">
        <v>18</v>
      </c>
      <c r="N43" s="294" t="str">
        <f>IF(('Area B'!$E$29+'Area B'!$E$30)&gt;0,"none",IF('Area B'!$J$31&gt;0,'Item List'!$B$311,IF(('Area B'!$J$33+'Area B'!$J$34)&gt;0,'Item List'!$B$284,"none")))</f>
        <v>none</v>
      </c>
      <c r="O43" s="293" t="s">
        <v>418</v>
      </c>
      <c r="P43" s="293" t="s">
        <v>418</v>
      </c>
      <c r="Q43" s="293" t="s">
        <v>418</v>
      </c>
      <c r="R43" s="293" t="s">
        <v>418</v>
      </c>
      <c r="S43" s="293" t="s">
        <v>418</v>
      </c>
      <c r="T43" s="260" t="s">
        <v>18</v>
      </c>
      <c r="U43" s="219" t="str">
        <f>IF(('Area C'!$E$29+'Area C'!$E$30)&gt;0,"none",IF('Area C'!$J$31&gt;0,'Item List'!$B$311,IF(('Area C'!$J$33+'Area C'!$J$34)&gt;0,'Item List'!$B$284,"none")))</f>
        <v>none</v>
      </c>
      <c r="V43" s="260" t="s">
        <v>418</v>
      </c>
      <c r="W43" s="260" t="s">
        <v>418</v>
      </c>
      <c r="X43" s="260" t="s">
        <v>418</v>
      </c>
      <c r="Y43" s="260" t="s">
        <v>418</v>
      </c>
      <c r="Z43" s="260" t="s">
        <v>418</v>
      </c>
      <c r="AA43" s="261" t="s">
        <v>18</v>
      </c>
      <c r="AB43" s="262" t="str">
        <f>IF(('Area D'!$E$29+'Area D'!$E$30)&gt;0,"none",IF('Area D'!$J$31&gt;0,'Item List'!$B$311,IF(('Area D'!$J$33+'Area D'!$J$34)&gt;0,'Item List'!$B$284,"none")))</f>
        <v>none</v>
      </c>
      <c r="AC43" s="261" t="s">
        <v>418</v>
      </c>
      <c r="AD43" s="261" t="s">
        <v>418</v>
      </c>
      <c r="AE43" s="261" t="s">
        <v>418</v>
      </c>
      <c r="AF43" s="261" t="s">
        <v>418</v>
      </c>
      <c r="AG43" s="261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88" t="s">
        <v>374</v>
      </c>
      <c r="G44" s="288" t="s">
        <v>418</v>
      </c>
      <c r="H44" s="290" t="str">
        <f>$B$307</f>
        <v>Holes Drilled - Base Shoe</v>
      </c>
      <c r="I44" s="290" t="s">
        <v>189</v>
      </c>
      <c r="J44" s="288" t="s">
        <v>418</v>
      </c>
      <c r="K44" s="288" t="s">
        <v>418</v>
      </c>
      <c r="L44" s="288" t="s">
        <v>418</v>
      </c>
      <c r="M44" s="293" t="s">
        <v>374</v>
      </c>
      <c r="N44" s="293" t="s">
        <v>418</v>
      </c>
      <c r="O44" s="295" t="str">
        <f>$B$307</f>
        <v>Holes Drilled - Base Shoe</v>
      </c>
      <c r="P44" s="295" t="s">
        <v>189</v>
      </c>
      <c r="Q44" s="293" t="s">
        <v>418</v>
      </c>
      <c r="R44" s="293" t="s">
        <v>418</v>
      </c>
      <c r="S44" s="293" t="s">
        <v>418</v>
      </c>
      <c r="T44" s="260" t="s">
        <v>374</v>
      </c>
      <c r="U44" s="260" t="s">
        <v>418</v>
      </c>
      <c r="V44" s="167" t="str">
        <f>$B$307</f>
        <v>Holes Drilled - Base Shoe</v>
      </c>
      <c r="W44" s="167" t="s">
        <v>189</v>
      </c>
      <c r="X44" s="260" t="s">
        <v>418</v>
      </c>
      <c r="Y44" s="260" t="s">
        <v>418</v>
      </c>
      <c r="Z44" s="260" t="s">
        <v>418</v>
      </c>
      <c r="AA44" s="261" t="s">
        <v>374</v>
      </c>
      <c r="AB44" s="261" t="s">
        <v>418</v>
      </c>
      <c r="AC44" s="215" t="str">
        <f>$B$307</f>
        <v>Holes Drilled - Base Shoe</v>
      </c>
      <c r="AD44" s="215" t="s">
        <v>189</v>
      </c>
      <c r="AE44" s="261" t="s">
        <v>418</v>
      </c>
      <c r="AF44" s="261" t="s">
        <v>418</v>
      </c>
      <c r="AG44" s="261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69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88" t="s">
        <v>418</v>
      </c>
      <c r="G45" s="288" t="s">
        <v>418</v>
      </c>
      <c r="H45" s="288" t="s">
        <v>418</v>
      </c>
      <c r="I45" s="288" t="s">
        <v>418</v>
      </c>
      <c r="J45" s="288" t="s">
        <v>418</v>
      </c>
      <c r="K45" s="288" t="s">
        <v>418</v>
      </c>
      <c r="L45" s="288" t="s">
        <v>418</v>
      </c>
      <c r="M45" s="293" t="s">
        <v>418</v>
      </c>
      <c r="N45" s="293" t="s">
        <v>418</v>
      </c>
      <c r="O45" s="293" t="s">
        <v>418</v>
      </c>
      <c r="P45" s="293" t="s">
        <v>418</v>
      </c>
      <c r="Q45" s="293" t="s">
        <v>418</v>
      </c>
      <c r="R45" s="293" t="s">
        <v>418</v>
      </c>
      <c r="S45" s="293" t="s">
        <v>418</v>
      </c>
      <c r="T45" s="260" t="s">
        <v>418</v>
      </c>
      <c r="U45" s="260" t="s">
        <v>418</v>
      </c>
      <c r="V45" s="260" t="s">
        <v>418</v>
      </c>
      <c r="W45" s="260" t="s">
        <v>418</v>
      </c>
      <c r="X45" s="260" t="s">
        <v>418</v>
      </c>
      <c r="Y45" s="260" t="s">
        <v>418</v>
      </c>
      <c r="Z45" s="260" t="s">
        <v>418</v>
      </c>
      <c r="AA45" s="261" t="s">
        <v>418</v>
      </c>
      <c r="AB45" s="261" t="s">
        <v>418</v>
      </c>
      <c r="AC45" s="261" t="s">
        <v>418</v>
      </c>
      <c r="AD45" s="261" t="s">
        <v>418</v>
      </c>
      <c r="AE45" s="261" t="s">
        <v>418</v>
      </c>
      <c r="AF45" s="261" t="s">
        <v>418</v>
      </c>
      <c r="AG45" s="261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88" t="s">
        <v>418</v>
      </c>
      <c r="G46" s="288" t="s">
        <v>418</v>
      </c>
      <c r="H46" s="288" t="s">
        <v>418</v>
      </c>
      <c r="I46" s="288" t="s">
        <v>418</v>
      </c>
      <c r="J46" s="288" t="s">
        <v>418</v>
      </c>
      <c r="K46" s="288" t="s">
        <v>418</v>
      </c>
      <c r="L46" s="288" t="s">
        <v>418</v>
      </c>
      <c r="M46" s="293" t="s">
        <v>418</v>
      </c>
      <c r="N46" s="293" t="s">
        <v>418</v>
      </c>
      <c r="O46" s="293" t="s">
        <v>418</v>
      </c>
      <c r="P46" s="293" t="s">
        <v>418</v>
      </c>
      <c r="Q46" s="293" t="s">
        <v>418</v>
      </c>
      <c r="R46" s="293" t="s">
        <v>418</v>
      </c>
      <c r="S46" s="293" t="s">
        <v>418</v>
      </c>
      <c r="T46" s="260" t="s">
        <v>418</v>
      </c>
      <c r="U46" s="260" t="s">
        <v>418</v>
      </c>
      <c r="V46" s="260" t="s">
        <v>418</v>
      </c>
      <c r="W46" s="260" t="s">
        <v>418</v>
      </c>
      <c r="X46" s="260" t="s">
        <v>418</v>
      </c>
      <c r="Y46" s="260" t="s">
        <v>418</v>
      </c>
      <c r="Z46" s="260" t="s">
        <v>418</v>
      </c>
      <c r="AA46" s="261" t="s">
        <v>418</v>
      </c>
      <c r="AB46" s="261" t="s">
        <v>418</v>
      </c>
      <c r="AC46" s="261" t="s">
        <v>418</v>
      </c>
      <c r="AD46" s="261" t="s">
        <v>418</v>
      </c>
      <c r="AE46" s="261" t="s">
        <v>418</v>
      </c>
      <c r="AF46" s="261" t="s">
        <v>418</v>
      </c>
      <c r="AG46" s="261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88" t="s">
        <v>418</v>
      </c>
      <c r="G47" s="288" t="s">
        <v>418</v>
      </c>
      <c r="H47" s="288" t="s">
        <v>418</v>
      </c>
      <c r="I47" s="288" t="s">
        <v>418</v>
      </c>
      <c r="J47" s="288" t="s">
        <v>418</v>
      </c>
      <c r="K47" s="288" t="s">
        <v>418</v>
      </c>
      <c r="L47" s="288" t="s">
        <v>418</v>
      </c>
      <c r="M47" s="293" t="s">
        <v>418</v>
      </c>
      <c r="N47" s="293" t="s">
        <v>418</v>
      </c>
      <c r="O47" s="293" t="s">
        <v>418</v>
      </c>
      <c r="P47" s="293" t="s">
        <v>418</v>
      </c>
      <c r="Q47" s="293" t="s">
        <v>418</v>
      </c>
      <c r="R47" s="293" t="s">
        <v>418</v>
      </c>
      <c r="S47" s="293" t="s">
        <v>418</v>
      </c>
      <c r="T47" s="260" t="s">
        <v>418</v>
      </c>
      <c r="U47" s="260" t="s">
        <v>418</v>
      </c>
      <c r="V47" s="260" t="s">
        <v>418</v>
      </c>
      <c r="W47" s="260" t="s">
        <v>418</v>
      </c>
      <c r="X47" s="260" t="s">
        <v>418</v>
      </c>
      <c r="Y47" s="260" t="s">
        <v>418</v>
      </c>
      <c r="Z47" s="260" t="s">
        <v>418</v>
      </c>
      <c r="AA47" s="261" t="s">
        <v>418</v>
      </c>
      <c r="AB47" s="261" t="s">
        <v>418</v>
      </c>
      <c r="AC47" s="261" t="s">
        <v>418</v>
      </c>
      <c r="AD47" s="261" t="s">
        <v>418</v>
      </c>
      <c r="AE47" s="261" t="s">
        <v>418</v>
      </c>
      <c r="AF47" s="261" t="s">
        <v>418</v>
      </c>
      <c r="AG47" s="261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88" t="s">
        <v>418</v>
      </c>
      <c r="G48" s="288" t="s">
        <v>418</v>
      </c>
      <c r="H48" s="288" t="s">
        <v>418</v>
      </c>
      <c r="I48" s="288" t="s">
        <v>418</v>
      </c>
      <c r="J48" s="288" t="s">
        <v>418</v>
      </c>
      <c r="K48" s="288" t="s">
        <v>418</v>
      </c>
      <c r="L48" s="288" t="s">
        <v>418</v>
      </c>
      <c r="M48" s="293" t="s">
        <v>418</v>
      </c>
      <c r="N48" s="293" t="s">
        <v>418</v>
      </c>
      <c r="O48" s="293" t="s">
        <v>418</v>
      </c>
      <c r="P48" s="293" t="s">
        <v>418</v>
      </c>
      <c r="Q48" s="293" t="s">
        <v>418</v>
      </c>
      <c r="R48" s="293" t="s">
        <v>418</v>
      </c>
      <c r="S48" s="293" t="s">
        <v>418</v>
      </c>
      <c r="T48" s="260" t="s">
        <v>418</v>
      </c>
      <c r="U48" s="260" t="s">
        <v>418</v>
      </c>
      <c r="V48" s="260" t="s">
        <v>418</v>
      </c>
      <c r="W48" s="260" t="s">
        <v>418</v>
      </c>
      <c r="X48" s="260" t="s">
        <v>418</v>
      </c>
      <c r="Y48" s="260" t="s">
        <v>418</v>
      </c>
      <c r="Z48" s="260" t="s">
        <v>418</v>
      </c>
      <c r="AA48" s="261" t="s">
        <v>418</v>
      </c>
      <c r="AB48" s="261" t="s">
        <v>418</v>
      </c>
      <c r="AC48" s="261" t="s">
        <v>418</v>
      </c>
      <c r="AD48" s="261" t="s">
        <v>418</v>
      </c>
      <c r="AE48" s="261" t="s">
        <v>418</v>
      </c>
      <c r="AF48" s="261" t="s">
        <v>418</v>
      </c>
      <c r="AG48" s="261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88" t="s">
        <v>418</v>
      </c>
      <c r="G49" s="288" t="s">
        <v>418</v>
      </c>
      <c r="H49" s="288" t="s">
        <v>418</v>
      </c>
      <c r="I49" s="288" t="s">
        <v>418</v>
      </c>
      <c r="J49" s="288" t="s">
        <v>418</v>
      </c>
      <c r="K49" s="288" t="s">
        <v>418</v>
      </c>
      <c r="L49" s="288" t="s">
        <v>418</v>
      </c>
      <c r="M49" s="293" t="s">
        <v>418</v>
      </c>
      <c r="N49" s="293" t="s">
        <v>418</v>
      </c>
      <c r="O49" s="293" t="s">
        <v>418</v>
      </c>
      <c r="P49" s="293" t="s">
        <v>418</v>
      </c>
      <c r="Q49" s="293" t="s">
        <v>418</v>
      </c>
      <c r="R49" s="293" t="s">
        <v>418</v>
      </c>
      <c r="S49" s="293" t="s">
        <v>418</v>
      </c>
      <c r="T49" s="260" t="s">
        <v>418</v>
      </c>
      <c r="U49" s="260" t="s">
        <v>418</v>
      </c>
      <c r="V49" s="260" t="s">
        <v>418</v>
      </c>
      <c r="W49" s="260" t="s">
        <v>418</v>
      </c>
      <c r="X49" s="260" t="s">
        <v>418</v>
      </c>
      <c r="Y49" s="260" t="s">
        <v>418</v>
      </c>
      <c r="Z49" s="260" t="s">
        <v>418</v>
      </c>
      <c r="AA49" s="261" t="s">
        <v>418</v>
      </c>
      <c r="AB49" s="261" t="s">
        <v>418</v>
      </c>
      <c r="AC49" s="261" t="s">
        <v>418</v>
      </c>
      <c r="AD49" s="261" t="s">
        <v>418</v>
      </c>
      <c r="AE49" s="261" t="s">
        <v>418</v>
      </c>
      <c r="AF49" s="261" t="s">
        <v>418</v>
      </c>
      <c r="AG49" s="261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88" t="s">
        <v>418</v>
      </c>
      <c r="G50" s="288" t="s">
        <v>418</v>
      </c>
      <c r="H50" s="288" t="s">
        <v>418</v>
      </c>
      <c r="I50" s="288" t="s">
        <v>418</v>
      </c>
      <c r="J50" s="288" t="s">
        <v>418</v>
      </c>
      <c r="K50" s="288" t="s">
        <v>418</v>
      </c>
      <c r="L50" s="288" t="s">
        <v>418</v>
      </c>
      <c r="M50" s="293" t="s">
        <v>418</v>
      </c>
      <c r="N50" s="293" t="s">
        <v>418</v>
      </c>
      <c r="O50" s="293" t="s">
        <v>418</v>
      </c>
      <c r="P50" s="293" t="s">
        <v>418</v>
      </c>
      <c r="Q50" s="293" t="s">
        <v>418</v>
      </c>
      <c r="R50" s="293" t="s">
        <v>418</v>
      </c>
      <c r="S50" s="293" t="s">
        <v>418</v>
      </c>
      <c r="T50" s="260" t="s">
        <v>418</v>
      </c>
      <c r="U50" s="260" t="s">
        <v>418</v>
      </c>
      <c r="V50" s="260" t="s">
        <v>418</v>
      </c>
      <c r="W50" s="260" t="s">
        <v>418</v>
      </c>
      <c r="X50" s="260" t="s">
        <v>418</v>
      </c>
      <c r="Y50" s="260" t="s">
        <v>418</v>
      </c>
      <c r="Z50" s="260" t="s">
        <v>418</v>
      </c>
      <c r="AA50" s="261" t="s">
        <v>418</v>
      </c>
      <c r="AB50" s="261" t="s">
        <v>418</v>
      </c>
      <c r="AC50" s="261" t="s">
        <v>418</v>
      </c>
      <c r="AD50" s="261" t="s">
        <v>418</v>
      </c>
      <c r="AE50" s="261" t="s">
        <v>418</v>
      </c>
      <c r="AF50" s="261" t="s">
        <v>418</v>
      </c>
      <c r="AG50" s="261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88" t="s">
        <v>418</v>
      </c>
      <c r="G51" s="288" t="s">
        <v>418</v>
      </c>
      <c r="H51" s="288" t="s">
        <v>418</v>
      </c>
      <c r="I51" s="288" t="s">
        <v>418</v>
      </c>
      <c r="J51" s="288" t="s">
        <v>418</v>
      </c>
      <c r="K51" s="288" t="s">
        <v>418</v>
      </c>
      <c r="L51" s="288" t="s">
        <v>418</v>
      </c>
      <c r="M51" s="293" t="s">
        <v>418</v>
      </c>
      <c r="N51" s="293" t="s">
        <v>418</v>
      </c>
      <c r="O51" s="293" t="s">
        <v>418</v>
      </c>
      <c r="P51" s="293" t="s">
        <v>418</v>
      </c>
      <c r="Q51" s="293" t="s">
        <v>418</v>
      </c>
      <c r="R51" s="293" t="s">
        <v>418</v>
      </c>
      <c r="S51" s="293" t="s">
        <v>418</v>
      </c>
      <c r="T51" s="260" t="s">
        <v>418</v>
      </c>
      <c r="U51" s="260" t="s">
        <v>418</v>
      </c>
      <c r="V51" s="260" t="s">
        <v>418</v>
      </c>
      <c r="W51" s="260" t="s">
        <v>418</v>
      </c>
      <c r="X51" s="260" t="s">
        <v>418</v>
      </c>
      <c r="Y51" s="260" t="s">
        <v>418</v>
      </c>
      <c r="Z51" s="260" t="s">
        <v>418</v>
      </c>
      <c r="AA51" s="261" t="s">
        <v>418</v>
      </c>
      <c r="AB51" s="261" t="s">
        <v>418</v>
      </c>
      <c r="AC51" s="261" t="s">
        <v>418</v>
      </c>
      <c r="AD51" s="261" t="s">
        <v>418</v>
      </c>
      <c r="AE51" s="261" t="s">
        <v>418</v>
      </c>
      <c r="AF51" s="261" t="s">
        <v>418</v>
      </c>
      <c r="AG51" s="261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88" t="s">
        <v>418</v>
      </c>
      <c r="G52" s="288" t="s">
        <v>418</v>
      </c>
      <c r="H52" s="288" t="s">
        <v>418</v>
      </c>
      <c r="I52" s="288" t="s">
        <v>418</v>
      </c>
      <c r="J52" s="288" t="s">
        <v>418</v>
      </c>
      <c r="K52" s="288" t="s">
        <v>418</v>
      </c>
      <c r="L52" s="288" t="s">
        <v>418</v>
      </c>
      <c r="M52" s="293" t="s">
        <v>418</v>
      </c>
      <c r="N52" s="293" t="s">
        <v>418</v>
      </c>
      <c r="O52" s="293" t="s">
        <v>418</v>
      </c>
      <c r="P52" s="293" t="s">
        <v>418</v>
      </c>
      <c r="Q52" s="293" t="s">
        <v>418</v>
      </c>
      <c r="R52" s="293" t="s">
        <v>418</v>
      </c>
      <c r="S52" s="293" t="s">
        <v>418</v>
      </c>
      <c r="T52" s="260" t="s">
        <v>418</v>
      </c>
      <c r="U52" s="260" t="s">
        <v>418</v>
      </c>
      <c r="V52" s="260" t="s">
        <v>418</v>
      </c>
      <c r="W52" s="260" t="s">
        <v>418</v>
      </c>
      <c r="X52" s="260" t="s">
        <v>418</v>
      </c>
      <c r="Y52" s="260" t="s">
        <v>418</v>
      </c>
      <c r="Z52" s="260" t="s">
        <v>418</v>
      </c>
      <c r="AA52" s="261" t="s">
        <v>418</v>
      </c>
      <c r="AB52" s="261" t="s">
        <v>418</v>
      </c>
      <c r="AC52" s="261" t="s">
        <v>418</v>
      </c>
      <c r="AD52" s="261" t="s">
        <v>418</v>
      </c>
      <c r="AE52" s="261" t="s">
        <v>418</v>
      </c>
      <c r="AF52" s="261" t="s">
        <v>418</v>
      </c>
      <c r="AG52" s="261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88" t="s">
        <v>418</v>
      </c>
      <c r="G53" s="288" t="s">
        <v>418</v>
      </c>
      <c r="H53" s="288" t="s">
        <v>418</v>
      </c>
      <c r="I53" s="288" t="s">
        <v>418</v>
      </c>
      <c r="J53" s="288" t="s">
        <v>418</v>
      </c>
      <c r="K53" s="288" t="s">
        <v>418</v>
      </c>
      <c r="L53" s="288" t="s">
        <v>418</v>
      </c>
      <c r="M53" s="293" t="s">
        <v>418</v>
      </c>
      <c r="N53" s="293" t="s">
        <v>418</v>
      </c>
      <c r="O53" s="293" t="s">
        <v>418</v>
      </c>
      <c r="P53" s="293" t="s">
        <v>418</v>
      </c>
      <c r="Q53" s="293" t="s">
        <v>418</v>
      </c>
      <c r="R53" s="293" t="s">
        <v>418</v>
      </c>
      <c r="S53" s="293" t="s">
        <v>418</v>
      </c>
      <c r="T53" s="260" t="s">
        <v>418</v>
      </c>
      <c r="U53" s="260" t="s">
        <v>418</v>
      </c>
      <c r="V53" s="260" t="s">
        <v>418</v>
      </c>
      <c r="W53" s="260" t="s">
        <v>418</v>
      </c>
      <c r="X53" s="260" t="s">
        <v>418</v>
      </c>
      <c r="Y53" s="260" t="s">
        <v>418</v>
      </c>
      <c r="Z53" s="260" t="s">
        <v>418</v>
      </c>
      <c r="AA53" s="261" t="s">
        <v>418</v>
      </c>
      <c r="AB53" s="261" t="s">
        <v>418</v>
      </c>
      <c r="AC53" s="261" t="s">
        <v>418</v>
      </c>
      <c r="AD53" s="261" t="s">
        <v>418</v>
      </c>
      <c r="AE53" s="261" t="s">
        <v>418</v>
      </c>
      <c r="AF53" s="261" t="s">
        <v>418</v>
      </c>
      <c r="AG53" s="261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88" t="s">
        <v>418</v>
      </c>
      <c r="G54" s="288" t="s">
        <v>418</v>
      </c>
      <c r="H54" s="288" t="s">
        <v>418</v>
      </c>
      <c r="I54" s="288" t="s">
        <v>418</v>
      </c>
      <c r="J54" s="288" t="s">
        <v>418</v>
      </c>
      <c r="K54" s="288" t="s">
        <v>418</v>
      </c>
      <c r="L54" s="288" t="s">
        <v>418</v>
      </c>
      <c r="M54" s="293" t="s">
        <v>418</v>
      </c>
      <c r="N54" s="293" t="s">
        <v>418</v>
      </c>
      <c r="O54" s="293" t="s">
        <v>418</v>
      </c>
      <c r="P54" s="293" t="s">
        <v>418</v>
      </c>
      <c r="Q54" s="293" t="s">
        <v>418</v>
      </c>
      <c r="R54" s="293" t="s">
        <v>418</v>
      </c>
      <c r="S54" s="293" t="s">
        <v>418</v>
      </c>
      <c r="T54" s="260" t="s">
        <v>418</v>
      </c>
      <c r="U54" s="260" t="s">
        <v>418</v>
      </c>
      <c r="V54" s="260" t="s">
        <v>418</v>
      </c>
      <c r="W54" s="260" t="s">
        <v>418</v>
      </c>
      <c r="X54" s="260" t="s">
        <v>418</v>
      </c>
      <c r="Y54" s="260" t="s">
        <v>418</v>
      </c>
      <c r="Z54" s="260" t="s">
        <v>418</v>
      </c>
      <c r="AA54" s="261" t="s">
        <v>418</v>
      </c>
      <c r="AB54" s="261" t="s">
        <v>418</v>
      </c>
      <c r="AC54" s="261" t="s">
        <v>418</v>
      </c>
      <c r="AD54" s="261" t="s">
        <v>418</v>
      </c>
      <c r="AE54" s="261" t="s">
        <v>418</v>
      </c>
      <c r="AF54" s="261" t="s">
        <v>418</v>
      </c>
      <c r="AG54" s="261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88" t="s">
        <v>418</v>
      </c>
      <c r="G55" s="288" t="s">
        <v>418</v>
      </c>
      <c r="H55" s="288" t="s">
        <v>418</v>
      </c>
      <c r="I55" s="288" t="s">
        <v>418</v>
      </c>
      <c r="J55" s="288" t="s">
        <v>418</v>
      </c>
      <c r="K55" s="288" t="s">
        <v>418</v>
      </c>
      <c r="L55" s="288" t="s">
        <v>418</v>
      </c>
      <c r="M55" s="293" t="s">
        <v>418</v>
      </c>
      <c r="N55" s="293" t="s">
        <v>418</v>
      </c>
      <c r="O55" s="293" t="s">
        <v>418</v>
      </c>
      <c r="P55" s="293" t="s">
        <v>418</v>
      </c>
      <c r="Q55" s="293" t="s">
        <v>418</v>
      </c>
      <c r="R55" s="293" t="s">
        <v>418</v>
      </c>
      <c r="S55" s="293" t="s">
        <v>418</v>
      </c>
      <c r="T55" s="260" t="s">
        <v>418</v>
      </c>
      <c r="U55" s="260" t="s">
        <v>418</v>
      </c>
      <c r="V55" s="260" t="s">
        <v>418</v>
      </c>
      <c r="W55" s="260" t="s">
        <v>418</v>
      </c>
      <c r="X55" s="260" t="s">
        <v>418</v>
      </c>
      <c r="Y55" s="260" t="s">
        <v>418</v>
      </c>
      <c r="Z55" s="260" t="s">
        <v>418</v>
      </c>
      <c r="AA55" s="261" t="s">
        <v>418</v>
      </c>
      <c r="AB55" s="261" t="s">
        <v>418</v>
      </c>
      <c r="AC55" s="261" t="s">
        <v>418</v>
      </c>
      <c r="AD55" s="261" t="s">
        <v>418</v>
      </c>
      <c r="AE55" s="261" t="s">
        <v>418</v>
      </c>
      <c r="AF55" s="261" t="s">
        <v>418</v>
      </c>
      <c r="AG55" s="261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88" t="s">
        <v>418</v>
      </c>
      <c r="G56" s="288" t="s">
        <v>418</v>
      </c>
      <c r="H56" s="288" t="s">
        <v>418</v>
      </c>
      <c r="I56" s="288" t="s">
        <v>418</v>
      </c>
      <c r="J56" s="288" t="s">
        <v>418</v>
      </c>
      <c r="K56" s="288" t="s">
        <v>418</v>
      </c>
      <c r="L56" s="288" t="s">
        <v>418</v>
      </c>
      <c r="M56" s="293" t="s">
        <v>418</v>
      </c>
      <c r="N56" s="293" t="s">
        <v>418</v>
      </c>
      <c r="O56" s="293" t="s">
        <v>418</v>
      </c>
      <c r="P56" s="293" t="s">
        <v>418</v>
      </c>
      <c r="Q56" s="293" t="s">
        <v>418</v>
      </c>
      <c r="R56" s="293" t="s">
        <v>418</v>
      </c>
      <c r="S56" s="293" t="s">
        <v>418</v>
      </c>
      <c r="T56" s="260" t="s">
        <v>418</v>
      </c>
      <c r="U56" s="260" t="s">
        <v>418</v>
      </c>
      <c r="V56" s="260" t="s">
        <v>418</v>
      </c>
      <c r="W56" s="260" t="s">
        <v>418</v>
      </c>
      <c r="X56" s="260" t="s">
        <v>418</v>
      </c>
      <c r="Y56" s="260" t="s">
        <v>418</v>
      </c>
      <c r="Z56" s="260" t="s">
        <v>418</v>
      </c>
      <c r="AA56" s="261" t="s">
        <v>418</v>
      </c>
      <c r="AB56" s="261" t="s">
        <v>418</v>
      </c>
      <c r="AC56" s="261" t="s">
        <v>418</v>
      </c>
      <c r="AD56" s="261" t="s">
        <v>418</v>
      </c>
      <c r="AE56" s="261" t="s">
        <v>418</v>
      </c>
      <c r="AF56" s="261" t="s">
        <v>418</v>
      </c>
      <c r="AG56" s="261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88" t="s">
        <v>418</v>
      </c>
      <c r="G57" s="288" t="s">
        <v>418</v>
      </c>
      <c r="H57" s="288" t="s">
        <v>418</v>
      </c>
      <c r="I57" s="288" t="s">
        <v>418</v>
      </c>
      <c r="J57" s="288" t="s">
        <v>418</v>
      </c>
      <c r="K57" s="288" t="s">
        <v>418</v>
      </c>
      <c r="L57" s="288" t="s">
        <v>418</v>
      </c>
      <c r="M57" s="293" t="s">
        <v>418</v>
      </c>
      <c r="N57" s="293" t="s">
        <v>418</v>
      </c>
      <c r="O57" s="293" t="s">
        <v>418</v>
      </c>
      <c r="P57" s="293" t="s">
        <v>418</v>
      </c>
      <c r="Q57" s="293" t="s">
        <v>418</v>
      </c>
      <c r="R57" s="293" t="s">
        <v>418</v>
      </c>
      <c r="S57" s="293" t="s">
        <v>418</v>
      </c>
      <c r="T57" s="260" t="s">
        <v>418</v>
      </c>
      <c r="U57" s="260" t="s">
        <v>418</v>
      </c>
      <c r="V57" s="260" t="s">
        <v>418</v>
      </c>
      <c r="W57" s="260" t="s">
        <v>418</v>
      </c>
      <c r="X57" s="260" t="s">
        <v>418</v>
      </c>
      <c r="Y57" s="260" t="s">
        <v>418</v>
      </c>
      <c r="Z57" s="260" t="s">
        <v>418</v>
      </c>
      <c r="AA57" s="261" t="s">
        <v>418</v>
      </c>
      <c r="AB57" s="261" t="s">
        <v>418</v>
      </c>
      <c r="AC57" s="261" t="s">
        <v>418</v>
      </c>
      <c r="AD57" s="261" t="s">
        <v>418</v>
      </c>
      <c r="AE57" s="261" t="s">
        <v>418</v>
      </c>
      <c r="AF57" s="261" t="s">
        <v>418</v>
      </c>
      <c r="AG57" s="261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88" t="s">
        <v>418</v>
      </c>
      <c r="G58" s="288" t="s">
        <v>418</v>
      </c>
      <c r="H58" s="288" t="s">
        <v>237</v>
      </c>
      <c r="I58" s="288" t="s">
        <v>418</v>
      </c>
      <c r="J58" s="288" t="s">
        <v>418</v>
      </c>
      <c r="K58" s="288" t="s">
        <v>418</v>
      </c>
      <c r="L58" s="288" t="s">
        <v>418</v>
      </c>
      <c r="M58" s="293" t="s">
        <v>418</v>
      </c>
      <c r="N58" s="293" t="s">
        <v>418</v>
      </c>
      <c r="O58" s="293" t="s">
        <v>237</v>
      </c>
      <c r="P58" s="293" t="s">
        <v>418</v>
      </c>
      <c r="Q58" s="293" t="s">
        <v>418</v>
      </c>
      <c r="R58" s="293" t="s">
        <v>418</v>
      </c>
      <c r="S58" s="293" t="s">
        <v>418</v>
      </c>
      <c r="T58" s="260" t="s">
        <v>418</v>
      </c>
      <c r="U58" s="260" t="s">
        <v>418</v>
      </c>
      <c r="V58" s="260" t="s">
        <v>237</v>
      </c>
      <c r="W58" s="260" t="s">
        <v>418</v>
      </c>
      <c r="X58" s="260" t="s">
        <v>418</v>
      </c>
      <c r="Y58" s="260" t="s">
        <v>418</v>
      </c>
      <c r="Z58" s="260" t="s">
        <v>418</v>
      </c>
      <c r="AA58" s="261" t="s">
        <v>418</v>
      </c>
      <c r="AB58" s="261" t="s">
        <v>418</v>
      </c>
      <c r="AC58" s="261" t="s">
        <v>237</v>
      </c>
      <c r="AD58" s="261" t="s">
        <v>418</v>
      </c>
      <c r="AE58" s="261" t="s">
        <v>418</v>
      </c>
      <c r="AF58" s="261" t="s">
        <v>418</v>
      </c>
      <c r="AG58" s="261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13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88" t="s">
        <v>418</v>
      </c>
      <c r="G59" s="288" t="s">
        <v>418</v>
      </c>
      <c r="H59" s="288" t="s">
        <v>239</v>
      </c>
      <c r="I59" s="288" t="s">
        <v>418</v>
      </c>
      <c r="J59" s="288" t="s">
        <v>418</v>
      </c>
      <c r="K59" s="288" t="s">
        <v>418</v>
      </c>
      <c r="L59" s="288" t="s">
        <v>418</v>
      </c>
      <c r="M59" s="293" t="s">
        <v>418</v>
      </c>
      <c r="N59" s="293" t="s">
        <v>418</v>
      </c>
      <c r="O59" s="293" t="s">
        <v>239</v>
      </c>
      <c r="P59" s="293" t="s">
        <v>418</v>
      </c>
      <c r="Q59" s="293" t="s">
        <v>418</v>
      </c>
      <c r="R59" s="293" t="s">
        <v>418</v>
      </c>
      <c r="S59" s="293" t="s">
        <v>418</v>
      </c>
      <c r="T59" s="260" t="s">
        <v>418</v>
      </c>
      <c r="U59" s="260" t="s">
        <v>418</v>
      </c>
      <c r="V59" s="260" t="s">
        <v>239</v>
      </c>
      <c r="W59" s="260" t="s">
        <v>418</v>
      </c>
      <c r="X59" s="260" t="s">
        <v>418</v>
      </c>
      <c r="Y59" s="260" t="s">
        <v>418</v>
      </c>
      <c r="Z59" s="260" t="s">
        <v>418</v>
      </c>
      <c r="AA59" s="261" t="s">
        <v>418</v>
      </c>
      <c r="AB59" s="261" t="s">
        <v>418</v>
      </c>
      <c r="AC59" s="261" t="s">
        <v>239</v>
      </c>
      <c r="AD59" s="261" t="s">
        <v>418</v>
      </c>
      <c r="AE59" s="261" t="s">
        <v>418</v>
      </c>
      <c r="AF59" s="261" t="s">
        <v>418</v>
      </c>
      <c r="AG59" s="261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13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88" t="s">
        <v>418</v>
      </c>
      <c r="G60" s="288" t="s">
        <v>418</v>
      </c>
      <c r="H60" s="288" t="s">
        <v>290</v>
      </c>
      <c r="I60" s="288" t="s">
        <v>418</v>
      </c>
      <c r="J60" s="288" t="s">
        <v>418</v>
      </c>
      <c r="K60" s="288" t="s">
        <v>418</v>
      </c>
      <c r="L60" s="288" t="s">
        <v>418</v>
      </c>
      <c r="M60" s="293" t="s">
        <v>418</v>
      </c>
      <c r="N60" s="293" t="s">
        <v>418</v>
      </c>
      <c r="O60" s="293" t="s">
        <v>290</v>
      </c>
      <c r="P60" s="293" t="s">
        <v>418</v>
      </c>
      <c r="Q60" s="293" t="s">
        <v>418</v>
      </c>
      <c r="R60" s="293" t="s">
        <v>418</v>
      </c>
      <c r="S60" s="293" t="s">
        <v>418</v>
      </c>
      <c r="T60" s="260" t="s">
        <v>418</v>
      </c>
      <c r="U60" s="260" t="s">
        <v>418</v>
      </c>
      <c r="V60" s="260" t="s">
        <v>290</v>
      </c>
      <c r="W60" s="260" t="s">
        <v>418</v>
      </c>
      <c r="X60" s="260" t="s">
        <v>418</v>
      </c>
      <c r="Y60" s="260" t="s">
        <v>418</v>
      </c>
      <c r="Z60" s="260" t="s">
        <v>418</v>
      </c>
      <c r="AA60" s="261" t="s">
        <v>418</v>
      </c>
      <c r="AB60" s="261" t="s">
        <v>418</v>
      </c>
      <c r="AC60" s="261" t="s">
        <v>290</v>
      </c>
      <c r="AD60" s="261" t="s">
        <v>418</v>
      </c>
      <c r="AE60" s="261" t="s">
        <v>418</v>
      </c>
      <c r="AF60" s="261" t="s">
        <v>418</v>
      </c>
      <c r="AG60" s="261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13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88" t="s">
        <v>418</v>
      </c>
      <c r="G61" s="288" t="s">
        <v>418</v>
      </c>
      <c r="H61" s="288" t="s">
        <v>241</v>
      </c>
      <c r="I61" s="288" t="s">
        <v>418</v>
      </c>
      <c r="J61" s="288" t="s">
        <v>418</v>
      </c>
      <c r="K61" s="288" t="s">
        <v>418</v>
      </c>
      <c r="L61" s="288" t="s">
        <v>418</v>
      </c>
      <c r="M61" s="293" t="s">
        <v>418</v>
      </c>
      <c r="N61" s="293" t="s">
        <v>418</v>
      </c>
      <c r="O61" s="293" t="s">
        <v>241</v>
      </c>
      <c r="P61" s="293" t="s">
        <v>418</v>
      </c>
      <c r="Q61" s="293" t="s">
        <v>418</v>
      </c>
      <c r="R61" s="293" t="s">
        <v>418</v>
      </c>
      <c r="S61" s="293" t="s">
        <v>418</v>
      </c>
      <c r="T61" s="260" t="s">
        <v>418</v>
      </c>
      <c r="U61" s="260" t="s">
        <v>418</v>
      </c>
      <c r="V61" s="260" t="s">
        <v>241</v>
      </c>
      <c r="W61" s="260" t="s">
        <v>418</v>
      </c>
      <c r="X61" s="260" t="s">
        <v>418</v>
      </c>
      <c r="Y61" s="260" t="s">
        <v>418</v>
      </c>
      <c r="Z61" s="260" t="s">
        <v>418</v>
      </c>
      <c r="AA61" s="261" t="s">
        <v>418</v>
      </c>
      <c r="AB61" s="261" t="s">
        <v>418</v>
      </c>
      <c r="AC61" s="261" t="s">
        <v>241</v>
      </c>
      <c r="AD61" s="261" t="s">
        <v>418</v>
      </c>
      <c r="AE61" s="261" t="s">
        <v>418</v>
      </c>
      <c r="AF61" s="261" t="s">
        <v>418</v>
      </c>
      <c r="AG61" s="261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13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88" t="s">
        <v>418</v>
      </c>
      <c r="G62" s="288" t="s">
        <v>418</v>
      </c>
      <c r="H62" s="288" t="s">
        <v>237</v>
      </c>
      <c r="I62" s="288" t="s">
        <v>418</v>
      </c>
      <c r="J62" s="288" t="s">
        <v>418</v>
      </c>
      <c r="K62" s="288" t="s">
        <v>418</v>
      </c>
      <c r="L62" s="288" t="s">
        <v>418</v>
      </c>
      <c r="M62" s="293" t="s">
        <v>418</v>
      </c>
      <c r="N62" s="293" t="s">
        <v>418</v>
      </c>
      <c r="O62" s="293" t="s">
        <v>237</v>
      </c>
      <c r="P62" s="293" t="s">
        <v>418</v>
      </c>
      <c r="Q62" s="293" t="s">
        <v>418</v>
      </c>
      <c r="R62" s="293" t="s">
        <v>418</v>
      </c>
      <c r="S62" s="293" t="s">
        <v>418</v>
      </c>
      <c r="T62" s="260" t="s">
        <v>418</v>
      </c>
      <c r="U62" s="260" t="s">
        <v>418</v>
      </c>
      <c r="V62" s="260" t="s">
        <v>237</v>
      </c>
      <c r="W62" s="260" t="s">
        <v>418</v>
      </c>
      <c r="X62" s="260" t="s">
        <v>418</v>
      </c>
      <c r="Y62" s="260" t="s">
        <v>418</v>
      </c>
      <c r="Z62" s="260" t="s">
        <v>418</v>
      </c>
      <c r="AA62" s="261" t="s">
        <v>418</v>
      </c>
      <c r="AB62" s="261" t="s">
        <v>418</v>
      </c>
      <c r="AC62" s="261" t="s">
        <v>237</v>
      </c>
      <c r="AD62" s="261" t="s">
        <v>418</v>
      </c>
      <c r="AE62" s="261" t="s">
        <v>418</v>
      </c>
      <c r="AF62" s="261" t="s">
        <v>418</v>
      </c>
      <c r="AG62" s="261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13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88" t="s">
        <v>418</v>
      </c>
      <c r="G63" s="288" t="s">
        <v>418</v>
      </c>
      <c r="H63" s="288" t="s">
        <v>239</v>
      </c>
      <c r="I63" s="288" t="s">
        <v>418</v>
      </c>
      <c r="J63" s="288" t="s">
        <v>418</v>
      </c>
      <c r="K63" s="288" t="s">
        <v>418</v>
      </c>
      <c r="L63" s="288" t="s">
        <v>418</v>
      </c>
      <c r="M63" s="293" t="s">
        <v>418</v>
      </c>
      <c r="N63" s="293" t="s">
        <v>418</v>
      </c>
      <c r="O63" s="293" t="s">
        <v>239</v>
      </c>
      <c r="P63" s="293" t="s">
        <v>418</v>
      </c>
      <c r="Q63" s="293" t="s">
        <v>418</v>
      </c>
      <c r="R63" s="293" t="s">
        <v>418</v>
      </c>
      <c r="S63" s="293" t="s">
        <v>418</v>
      </c>
      <c r="T63" s="260" t="s">
        <v>418</v>
      </c>
      <c r="U63" s="260" t="s">
        <v>418</v>
      </c>
      <c r="V63" s="260" t="s">
        <v>239</v>
      </c>
      <c r="W63" s="260" t="s">
        <v>418</v>
      </c>
      <c r="X63" s="260" t="s">
        <v>418</v>
      </c>
      <c r="Y63" s="260" t="s">
        <v>418</v>
      </c>
      <c r="Z63" s="260" t="s">
        <v>418</v>
      </c>
      <c r="AA63" s="261" t="s">
        <v>418</v>
      </c>
      <c r="AB63" s="261" t="s">
        <v>418</v>
      </c>
      <c r="AC63" s="261" t="s">
        <v>239</v>
      </c>
      <c r="AD63" s="261" t="s">
        <v>418</v>
      </c>
      <c r="AE63" s="261" t="s">
        <v>418</v>
      </c>
      <c r="AF63" s="261" t="s">
        <v>418</v>
      </c>
      <c r="AG63" s="261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13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88" t="s">
        <v>418</v>
      </c>
      <c r="G64" s="288" t="s">
        <v>418</v>
      </c>
      <c r="H64" s="288" t="s">
        <v>290</v>
      </c>
      <c r="I64" s="288" t="s">
        <v>418</v>
      </c>
      <c r="J64" s="288" t="s">
        <v>418</v>
      </c>
      <c r="K64" s="288" t="s">
        <v>418</v>
      </c>
      <c r="L64" s="288" t="s">
        <v>418</v>
      </c>
      <c r="M64" s="293" t="s">
        <v>418</v>
      </c>
      <c r="N64" s="293" t="s">
        <v>418</v>
      </c>
      <c r="O64" s="293" t="s">
        <v>290</v>
      </c>
      <c r="P64" s="293" t="s">
        <v>418</v>
      </c>
      <c r="Q64" s="293" t="s">
        <v>418</v>
      </c>
      <c r="R64" s="293" t="s">
        <v>418</v>
      </c>
      <c r="S64" s="293" t="s">
        <v>418</v>
      </c>
      <c r="T64" s="260" t="s">
        <v>418</v>
      </c>
      <c r="U64" s="260" t="s">
        <v>418</v>
      </c>
      <c r="V64" s="260" t="s">
        <v>290</v>
      </c>
      <c r="W64" s="260" t="s">
        <v>418</v>
      </c>
      <c r="X64" s="260" t="s">
        <v>418</v>
      </c>
      <c r="Y64" s="260" t="s">
        <v>418</v>
      </c>
      <c r="Z64" s="260" t="s">
        <v>418</v>
      </c>
      <c r="AA64" s="261" t="s">
        <v>418</v>
      </c>
      <c r="AB64" s="261" t="s">
        <v>418</v>
      </c>
      <c r="AC64" s="261" t="s">
        <v>290</v>
      </c>
      <c r="AD64" s="261" t="s">
        <v>418</v>
      </c>
      <c r="AE64" s="261" t="s">
        <v>418</v>
      </c>
      <c r="AF64" s="261" t="s">
        <v>418</v>
      </c>
      <c r="AG64" s="261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13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88" t="s">
        <v>418</v>
      </c>
      <c r="G65" s="288" t="s">
        <v>418</v>
      </c>
      <c r="H65" s="288" t="s">
        <v>241</v>
      </c>
      <c r="I65" s="288" t="s">
        <v>418</v>
      </c>
      <c r="J65" s="288" t="s">
        <v>418</v>
      </c>
      <c r="K65" s="288" t="s">
        <v>418</v>
      </c>
      <c r="L65" s="288" t="s">
        <v>418</v>
      </c>
      <c r="M65" s="293" t="s">
        <v>418</v>
      </c>
      <c r="N65" s="293" t="s">
        <v>418</v>
      </c>
      <c r="O65" s="293" t="s">
        <v>241</v>
      </c>
      <c r="P65" s="293" t="s">
        <v>418</v>
      </c>
      <c r="Q65" s="293" t="s">
        <v>418</v>
      </c>
      <c r="R65" s="293" t="s">
        <v>418</v>
      </c>
      <c r="S65" s="293" t="s">
        <v>418</v>
      </c>
      <c r="T65" s="260" t="s">
        <v>418</v>
      </c>
      <c r="U65" s="260" t="s">
        <v>418</v>
      </c>
      <c r="V65" s="260" t="s">
        <v>241</v>
      </c>
      <c r="W65" s="260" t="s">
        <v>418</v>
      </c>
      <c r="X65" s="260" t="s">
        <v>418</v>
      </c>
      <c r="Y65" s="260" t="s">
        <v>418</v>
      </c>
      <c r="Z65" s="260" t="s">
        <v>418</v>
      </c>
      <c r="AA65" s="261" t="s">
        <v>418</v>
      </c>
      <c r="AB65" s="261" t="s">
        <v>418</v>
      </c>
      <c r="AC65" s="261" t="s">
        <v>241</v>
      </c>
      <c r="AD65" s="261" t="s">
        <v>418</v>
      </c>
      <c r="AE65" s="261" t="s">
        <v>418</v>
      </c>
      <c r="AF65" s="261" t="s">
        <v>418</v>
      </c>
      <c r="AG65" s="261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13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88" t="s">
        <v>418</v>
      </c>
      <c r="G66" s="288" t="s">
        <v>48</v>
      </c>
      <c r="H66" s="288" t="s">
        <v>237</v>
      </c>
      <c r="I66" s="288" t="s">
        <v>146</v>
      </c>
      <c r="J66" s="288" t="s">
        <v>111</v>
      </c>
      <c r="K66" s="289" t="str">
        <f>IF('Project Materials'!$D$6='Project Materials'!$B$196,'Item List'!$B$165,"None")</f>
        <v>None</v>
      </c>
      <c r="L66" s="288" t="s">
        <v>418</v>
      </c>
      <c r="M66" s="293" t="s">
        <v>418</v>
      </c>
      <c r="N66" s="293" t="s">
        <v>48</v>
      </c>
      <c r="O66" s="293" t="s">
        <v>237</v>
      </c>
      <c r="P66" s="293" t="s">
        <v>146</v>
      </c>
      <c r="Q66" s="293" t="s">
        <v>111</v>
      </c>
      <c r="R66" s="294" t="str">
        <f>IF('Project Materials'!$H$6='Project Materials'!$B$196,'Item List'!$B$165,"None")</f>
        <v>None</v>
      </c>
      <c r="S66" s="293" t="s">
        <v>418</v>
      </c>
      <c r="T66" s="260" t="s">
        <v>418</v>
      </c>
      <c r="U66" s="260" t="s">
        <v>48</v>
      </c>
      <c r="V66" s="260" t="s">
        <v>237</v>
      </c>
      <c r="W66" s="260" t="s">
        <v>146</v>
      </c>
      <c r="X66" s="260" t="s">
        <v>111</v>
      </c>
      <c r="Y66" s="219" t="str">
        <f>IF('Project Materials'!$H$6='Project Materials'!$B$196,'Item List'!$B$165,"None")</f>
        <v>None</v>
      </c>
      <c r="Z66" s="260" t="s">
        <v>418</v>
      </c>
      <c r="AA66" s="261" t="s">
        <v>418</v>
      </c>
      <c r="AB66" s="261" t="s">
        <v>48</v>
      </c>
      <c r="AC66" s="261" t="s">
        <v>237</v>
      </c>
      <c r="AD66" s="261" t="s">
        <v>146</v>
      </c>
      <c r="AE66" s="261" t="s">
        <v>111</v>
      </c>
      <c r="AF66" s="262" t="str">
        <f>IF('Project Materials'!$H$6='Project Materials'!$B$196,'Item List'!$B$165,"None")</f>
        <v>None</v>
      </c>
      <c r="AG66" s="261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88" t="s">
        <v>418</v>
      </c>
      <c r="G67" s="288" t="s">
        <v>48</v>
      </c>
      <c r="H67" s="288" t="s">
        <v>239</v>
      </c>
      <c r="I67" s="288" t="s">
        <v>148</v>
      </c>
      <c r="J67" s="288" t="s">
        <v>111</v>
      </c>
      <c r="K67" s="289" t="str">
        <f>IF('Project Materials'!$D$6='Project Materials'!$B$196,'Item List'!$B$165,"None")</f>
        <v>None</v>
      </c>
      <c r="L67" s="288" t="s">
        <v>418</v>
      </c>
      <c r="M67" s="293" t="s">
        <v>418</v>
      </c>
      <c r="N67" s="293" t="s">
        <v>48</v>
      </c>
      <c r="O67" s="293" t="s">
        <v>239</v>
      </c>
      <c r="P67" s="293" t="s">
        <v>148</v>
      </c>
      <c r="Q67" s="293" t="s">
        <v>111</v>
      </c>
      <c r="R67" s="294" t="str">
        <f>IF('Project Materials'!$H$6='Project Materials'!$B$196,'Item List'!$B$165,"None")</f>
        <v>None</v>
      </c>
      <c r="S67" s="293" t="s">
        <v>418</v>
      </c>
      <c r="T67" s="260" t="s">
        <v>418</v>
      </c>
      <c r="U67" s="260" t="s">
        <v>48</v>
      </c>
      <c r="V67" s="260" t="s">
        <v>239</v>
      </c>
      <c r="W67" s="260" t="s">
        <v>148</v>
      </c>
      <c r="X67" s="260" t="s">
        <v>111</v>
      </c>
      <c r="Y67" s="219" t="str">
        <f>IF('Project Materials'!$H$6='Project Materials'!$B$196,'Item List'!$B$165,"None")</f>
        <v>None</v>
      </c>
      <c r="Z67" s="260" t="s">
        <v>418</v>
      </c>
      <c r="AA67" s="261" t="s">
        <v>418</v>
      </c>
      <c r="AB67" s="261" t="s">
        <v>48</v>
      </c>
      <c r="AC67" s="261" t="s">
        <v>239</v>
      </c>
      <c r="AD67" s="261" t="s">
        <v>148</v>
      </c>
      <c r="AE67" s="261" t="s">
        <v>111</v>
      </c>
      <c r="AF67" s="262" t="str">
        <f>IF('Project Materials'!$H$6='Project Materials'!$B$196,'Item List'!$B$165,"None")</f>
        <v>None</v>
      </c>
      <c r="AG67" s="261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88" t="s">
        <v>418</v>
      </c>
      <c r="G68" s="288" t="s">
        <v>48</v>
      </c>
      <c r="H68" s="288" t="s">
        <v>290</v>
      </c>
      <c r="I68" s="288" t="s">
        <v>150</v>
      </c>
      <c r="J68" s="288" t="s">
        <v>111</v>
      </c>
      <c r="K68" s="289" t="str">
        <f>IF('Project Materials'!$D$6='Project Materials'!$B$196,'Item List'!$B$165,"None")</f>
        <v>None</v>
      </c>
      <c r="L68" s="288" t="s">
        <v>418</v>
      </c>
      <c r="M68" s="293" t="s">
        <v>418</v>
      </c>
      <c r="N68" s="293" t="s">
        <v>48</v>
      </c>
      <c r="O68" s="293" t="s">
        <v>290</v>
      </c>
      <c r="P68" s="293" t="s">
        <v>150</v>
      </c>
      <c r="Q68" s="293" t="s">
        <v>111</v>
      </c>
      <c r="R68" s="294" t="str">
        <f>IF('Project Materials'!$H$6='Project Materials'!$B$196,'Item List'!$B$165,"None")</f>
        <v>None</v>
      </c>
      <c r="S68" s="293" t="s">
        <v>418</v>
      </c>
      <c r="T68" s="260" t="s">
        <v>418</v>
      </c>
      <c r="U68" s="260" t="s">
        <v>48</v>
      </c>
      <c r="V68" s="260" t="s">
        <v>290</v>
      </c>
      <c r="W68" s="260" t="s">
        <v>150</v>
      </c>
      <c r="X68" s="260" t="s">
        <v>111</v>
      </c>
      <c r="Y68" s="219" t="str">
        <f>IF('Project Materials'!$H$6='Project Materials'!$B$196,'Item List'!$B$165,"None")</f>
        <v>None</v>
      </c>
      <c r="Z68" s="260" t="s">
        <v>418</v>
      </c>
      <c r="AA68" s="261" t="s">
        <v>418</v>
      </c>
      <c r="AB68" s="261" t="s">
        <v>48</v>
      </c>
      <c r="AC68" s="261" t="s">
        <v>290</v>
      </c>
      <c r="AD68" s="261" t="s">
        <v>150</v>
      </c>
      <c r="AE68" s="261" t="s">
        <v>111</v>
      </c>
      <c r="AF68" s="262" t="str">
        <f>IF('Project Materials'!$H$6='Project Materials'!$B$196,'Item List'!$B$165,"None")</f>
        <v>None</v>
      </c>
      <c r="AG68" s="261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88" t="s">
        <v>418</v>
      </c>
      <c r="G69" s="288" t="s">
        <v>48</v>
      </c>
      <c r="H69" s="288" t="s">
        <v>241</v>
      </c>
      <c r="I69" s="288" t="s">
        <v>152</v>
      </c>
      <c r="J69" s="288" t="s">
        <v>111</v>
      </c>
      <c r="K69" s="289" t="str">
        <f>IF('Project Materials'!$D$6='Project Materials'!$B$196,'Item List'!$B$165,"None")</f>
        <v>None</v>
      </c>
      <c r="L69" s="288" t="s">
        <v>418</v>
      </c>
      <c r="M69" s="293" t="s">
        <v>418</v>
      </c>
      <c r="N69" s="293" t="s">
        <v>48</v>
      </c>
      <c r="O69" s="293" t="s">
        <v>241</v>
      </c>
      <c r="P69" s="293" t="s">
        <v>152</v>
      </c>
      <c r="Q69" s="293" t="s">
        <v>111</v>
      </c>
      <c r="R69" s="294" t="str">
        <f>IF('Project Materials'!$H$6='Project Materials'!$B$196,'Item List'!$B$165,"None")</f>
        <v>None</v>
      </c>
      <c r="S69" s="293" t="s">
        <v>418</v>
      </c>
      <c r="T69" s="260" t="s">
        <v>418</v>
      </c>
      <c r="U69" s="260" t="s">
        <v>48</v>
      </c>
      <c r="V69" s="260" t="s">
        <v>241</v>
      </c>
      <c r="W69" s="260" t="s">
        <v>152</v>
      </c>
      <c r="X69" s="260" t="s">
        <v>111</v>
      </c>
      <c r="Y69" s="219" t="str">
        <f>IF('Project Materials'!$H$6='Project Materials'!$B$196,'Item List'!$B$165,"None")</f>
        <v>None</v>
      </c>
      <c r="Z69" s="260" t="s">
        <v>418</v>
      </c>
      <c r="AA69" s="261" t="s">
        <v>418</v>
      </c>
      <c r="AB69" s="261" t="s">
        <v>48</v>
      </c>
      <c r="AC69" s="261" t="s">
        <v>241</v>
      </c>
      <c r="AD69" s="261" t="s">
        <v>152</v>
      </c>
      <c r="AE69" s="261" t="s">
        <v>111</v>
      </c>
      <c r="AF69" s="262" t="str">
        <f>IF('Project Materials'!$H$6='Project Materials'!$B$196,'Item List'!$B$165,"None")</f>
        <v>None</v>
      </c>
      <c r="AG69" s="261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88" t="s">
        <v>418</v>
      </c>
      <c r="G70" s="288" t="s">
        <v>48</v>
      </c>
      <c r="H70" s="288" t="s">
        <v>237</v>
      </c>
      <c r="I70" s="288" t="s">
        <v>146</v>
      </c>
      <c r="J70" s="288" t="s">
        <v>111</v>
      </c>
      <c r="K70" s="289" t="str">
        <f>IF('Project Materials'!$D$6='Project Materials'!$B$196,'Item List'!$B$165,"None")</f>
        <v>None</v>
      </c>
      <c r="L70" s="288" t="s">
        <v>418</v>
      </c>
      <c r="M70" s="293" t="s">
        <v>418</v>
      </c>
      <c r="N70" s="293" t="s">
        <v>48</v>
      </c>
      <c r="O70" s="293" t="s">
        <v>237</v>
      </c>
      <c r="P70" s="293" t="s">
        <v>146</v>
      </c>
      <c r="Q70" s="293" t="s">
        <v>111</v>
      </c>
      <c r="R70" s="294" t="str">
        <f>IF('Project Materials'!$H$6='Project Materials'!$B$196,'Item List'!$B$165,"None")</f>
        <v>None</v>
      </c>
      <c r="S70" s="293" t="s">
        <v>418</v>
      </c>
      <c r="T70" s="260" t="s">
        <v>418</v>
      </c>
      <c r="U70" s="260" t="s">
        <v>48</v>
      </c>
      <c r="V70" s="260" t="s">
        <v>237</v>
      </c>
      <c r="W70" s="260" t="s">
        <v>146</v>
      </c>
      <c r="X70" s="260" t="s">
        <v>111</v>
      </c>
      <c r="Y70" s="219" t="str">
        <f>IF('Project Materials'!$H$6='Project Materials'!$B$196,'Item List'!$B$165,"None")</f>
        <v>None</v>
      </c>
      <c r="Z70" s="260" t="s">
        <v>418</v>
      </c>
      <c r="AA70" s="261" t="s">
        <v>418</v>
      </c>
      <c r="AB70" s="261" t="s">
        <v>48</v>
      </c>
      <c r="AC70" s="261" t="s">
        <v>237</v>
      </c>
      <c r="AD70" s="261" t="s">
        <v>146</v>
      </c>
      <c r="AE70" s="261" t="s">
        <v>111</v>
      </c>
      <c r="AF70" s="262" t="str">
        <f>IF('Project Materials'!$H$6='Project Materials'!$B$196,'Item List'!$B$165,"None")</f>
        <v>None</v>
      </c>
      <c r="AG70" s="261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88" t="s">
        <v>418</v>
      </c>
      <c r="G71" s="288" t="s">
        <v>48</v>
      </c>
      <c r="H71" s="288" t="s">
        <v>239</v>
      </c>
      <c r="I71" s="288" t="s">
        <v>148</v>
      </c>
      <c r="J71" s="288" t="s">
        <v>111</v>
      </c>
      <c r="K71" s="289" t="str">
        <f>IF('Project Materials'!$D$6='Project Materials'!$B$196,'Item List'!$B$165,"None")</f>
        <v>None</v>
      </c>
      <c r="L71" s="288" t="s">
        <v>418</v>
      </c>
      <c r="M71" s="293" t="s">
        <v>418</v>
      </c>
      <c r="N71" s="293" t="s">
        <v>48</v>
      </c>
      <c r="O71" s="293" t="s">
        <v>239</v>
      </c>
      <c r="P71" s="293" t="s">
        <v>148</v>
      </c>
      <c r="Q71" s="293" t="s">
        <v>111</v>
      </c>
      <c r="R71" s="294" t="str">
        <f>IF('Project Materials'!$H$6='Project Materials'!$B$196,'Item List'!$B$165,"None")</f>
        <v>None</v>
      </c>
      <c r="S71" s="293" t="s">
        <v>418</v>
      </c>
      <c r="T71" s="260" t="s">
        <v>418</v>
      </c>
      <c r="U71" s="260" t="s">
        <v>48</v>
      </c>
      <c r="V71" s="260" t="s">
        <v>239</v>
      </c>
      <c r="W71" s="260" t="s">
        <v>148</v>
      </c>
      <c r="X71" s="260" t="s">
        <v>111</v>
      </c>
      <c r="Y71" s="219" t="str">
        <f>IF('Project Materials'!$H$6='Project Materials'!$B$196,'Item List'!$B$165,"None")</f>
        <v>None</v>
      </c>
      <c r="Z71" s="260" t="s">
        <v>418</v>
      </c>
      <c r="AA71" s="261" t="s">
        <v>418</v>
      </c>
      <c r="AB71" s="261" t="s">
        <v>48</v>
      </c>
      <c r="AC71" s="261" t="s">
        <v>239</v>
      </c>
      <c r="AD71" s="261" t="s">
        <v>148</v>
      </c>
      <c r="AE71" s="261" t="s">
        <v>111</v>
      </c>
      <c r="AF71" s="262" t="str">
        <f>IF('Project Materials'!$H$6='Project Materials'!$B$196,'Item List'!$B$165,"None")</f>
        <v>None</v>
      </c>
      <c r="AG71" s="261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88" t="s">
        <v>418</v>
      </c>
      <c r="G72" s="288" t="s">
        <v>48</v>
      </c>
      <c r="H72" s="288" t="s">
        <v>290</v>
      </c>
      <c r="I72" s="288" t="s">
        <v>150</v>
      </c>
      <c r="J72" s="288" t="s">
        <v>111</v>
      </c>
      <c r="K72" s="289" t="str">
        <f>IF('Project Materials'!$D$6='Project Materials'!$B$196,'Item List'!$B$165,"None")</f>
        <v>None</v>
      </c>
      <c r="L72" s="288" t="s">
        <v>418</v>
      </c>
      <c r="M72" s="293" t="s">
        <v>418</v>
      </c>
      <c r="N72" s="293" t="s">
        <v>48</v>
      </c>
      <c r="O72" s="293" t="s">
        <v>290</v>
      </c>
      <c r="P72" s="293" t="s">
        <v>150</v>
      </c>
      <c r="Q72" s="293" t="s">
        <v>111</v>
      </c>
      <c r="R72" s="294" t="str">
        <f>IF('Project Materials'!$H$6='Project Materials'!$B$196,'Item List'!$B$165,"None")</f>
        <v>None</v>
      </c>
      <c r="S72" s="293" t="s">
        <v>418</v>
      </c>
      <c r="T72" s="260" t="s">
        <v>418</v>
      </c>
      <c r="U72" s="260" t="s">
        <v>48</v>
      </c>
      <c r="V72" s="260" t="s">
        <v>290</v>
      </c>
      <c r="W72" s="260" t="s">
        <v>150</v>
      </c>
      <c r="X72" s="260" t="s">
        <v>111</v>
      </c>
      <c r="Y72" s="219" t="str">
        <f>IF('Project Materials'!$H$6='Project Materials'!$B$196,'Item List'!$B$165,"None")</f>
        <v>None</v>
      </c>
      <c r="Z72" s="260" t="s">
        <v>418</v>
      </c>
      <c r="AA72" s="261" t="s">
        <v>418</v>
      </c>
      <c r="AB72" s="261" t="s">
        <v>48</v>
      </c>
      <c r="AC72" s="261" t="s">
        <v>290</v>
      </c>
      <c r="AD72" s="261" t="s">
        <v>150</v>
      </c>
      <c r="AE72" s="261" t="s">
        <v>111</v>
      </c>
      <c r="AF72" s="262" t="str">
        <f>IF('Project Materials'!$H$6='Project Materials'!$B$196,'Item List'!$B$165,"None")</f>
        <v>None</v>
      </c>
      <c r="AG72" s="261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88" t="s">
        <v>418</v>
      </c>
      <c r="G73" s="288" t="s">
        <v>48</v>
      </c>
      <c r="H73" s="288" t="s">
        <v>241</v>
      </c>
      <c r="I73" s="288" t="s">
        <v>152</v>
      </c>
      <c r="J73" s="288" t="s">
        <v>111</v>
      </c>
      <c r="K73" s="289" t="str">
        <f>IF('Project Materials'!$D$6='Project Materials'!$B$196,'Item List'!$B$165,"None")</f>
        <v>None</v>
      </c>
      <c r="L73" s="288" t="s">
        <v>418</v>
      </c>
      <c r="M73" s="293" t="s">
        <v>418</v>
      </c>
      <c r="N73" s="293" t="s">
        <v>48</v>
      </c>
      <c r="O73" s="293" t="s">
        <v>241</v>
      </c>
      <c r="P73" s="293" t="s">
        <v>152</v>
      </c>
      <c r="Q73" s="293" t="s">
        <v>111</v>
      </c>
      <c r="R73" s="294" t="str">
        <f>IF('Project Materials'!$H$6='Project Materials'!$B$196,'Item List'!$B$165,"None")</f>
        <v>None</v>
      </c>
      <c r="S73" s="293" t="s">
        <v>418</v>
      </c>
      <c r="T73" s="260" t="s">
        <v>418</v>
      </c>
      <c r="U73" s="260" t="s">
        <v>48</v>
      </c>
      <c r="V73" s="260" t="s">
        <v>241</v>
      </c>
      <c r="W73" s="260" t="s">
        <v>152</v>
      </c>
      <c r="X73" s="260" t="s">
        <v>111</v>
      </c>
      <c r="Y73" s="219" t="str">
        <f>IF('Project Materials'!$H$6='Project Materials'!$B$196,'Item List'!$B$165,"None")</f>
        <v>None</v>
      </c>
      <c r="Z73" s="260" t="s">
        <v>418</v>
      </c>
      <c r="AA73" s="261" t="s">
        <v>418</v>
      </c>
      <c r="AB73" s="261" t="s">
        <v>48</v>
      </c>
      <c r="AC73" s="261" t="s">
        <v>241</v>
      </c>
      <c r="AD73" s="261" t="s">
        <v>152</v>
      </c>
      <c r="AE73" s="261" t="s">
        <v>111</v>
      </c>
      <c r="AF73" s="262" t="str">
        <f>IF('Project Materials'!$H$6='Project Materials'!$B$196,'Item List'!$B$165,"None")</f>
        <v>None</v>
      </c>
      <c r="AG73" s="261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88" t="s">
        <v>418</v>
      </c>
      <c r="G74" s="288" t="s">
        <v>48</v>
      </c>
      <c r="H74" s="288" t="s">
        <v>237</v>
      </c>
      <c r="I74" s="288" t="s">
        <v>146</v>
      </c>
      <c r="J74" s="288" t="s">
        <v>111</v>
      </c>
      <c r="K74" s="289" t="str">
        <f>IF('Project Materials'!$D$6='Project Materials'!$B$196,'Item List'!$B$165,"None")</f>
        <v>None</v>
      </c>
      <c r="L74" s="288" t="s">
        <v>418</v>
      </c>
      <c r="M74" s="293" t="s">
        <v>418</v>
      </c>
      <c r="N74" s="293" t="s">
        <v>48</v>
      </c>
      <c r="O74" s="293" t="s">
        <v>237</v>
      </c>
      <c r="P74" s="293" t="s">
        <v>146</v>
      </c>
      <c r="Q74" s="293" t="s">
        <v>111</v>
      </c>
      <c r="R74" s="294" t="str">
        <f>IF('Project Materials'!$H$6='Project Materials'!$B$196,'Item List'!$B$165,"None")</f>
        <v>None</v>
      </c>
      <c r="S74" s="293" t="s">
        <v>418</v>
      </c>
      <c r="T74" s="260" t="s">
        <v>418</v>
      </c>
      <c r="U74" s="260" t="s">
        <v>48</v>
      </c>
      <c r="V74" s="260" t="s">
        <v>237</v>
      </c>
      <c r="W74" s="260" t="s">
        <v>146</v>
      </c>
      <c r="X74" s="260" t="s">
        <v>111</v>
      </c>
      <c r="Y74" s="219" t="str">
        <f>IF('Project Materials'!$H$6='Project Materials'!$B$196,'Item List'!$B$165,"None")</f>
        <v>None</v>
      </c>
      <c r="Z74" s="260" t="s">
        <v>418</v>
      </c>
      <c r="AA74" s="261" t="s">
        <v>418</v>
      </c>
      <c r="AB74" s="261" t="s">
        <v>48</v>
      </c>
      <c r="AC74" s="261" t="s">
        <v>237</v>
      </c>
      <c r="AD74" s="261" t="s">
        <v>146</v>
      </c>
      <c r="AE74" s="261" t="s">
        <v>111</v>
      </c>
      <c r="AF74" s="262" t="str">
        <f>IF('Project Materials'!$H$6='Project Materials'!$B$196,'Item List'!$B$165,"None")</f>
        <v>None</v>
      </c>
      <c r="AG74" s="261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88" t="s">
        <v>418</v>
      </c>
      <c r="G75" s="288" t="s">
        <v>48</v>
      </c>
      <c r="H75" s="288" t="s">
        <v>239</v>
      </c>
      <c r="I75" s="288" t="s">
        <v>148</v>
      </c>
      <c r="J75" s="288" t="s">
        <v>111</v>
      </c>
      <c r="K75" s="289" t="str">
        <f>IF('Project Materials'!$D$6='Project Materials'!$B$196,'Item List'!$B$165,"None")</f>
        <v>None</v>
      </c>
      <c r="L75" s="288" t="s">
        <v>418</v>
      </c>
      <c r="M75" s="293" t="s">
        <v>418</v>
      </c>
      <c r="N75" s="293" t="s">
        <v>48</v>
      </c>
      <c r="O75" s="293" t="s">
        <v>239</v>
      </c>
      <c r="P75" s="293" t="s">
        <v>148</v>
      </c>
      <c r="Q75" s="293" t="s">
        <v>111</v>
      </c>
      <c r="R75" s="294" t="str">
        <f>IF('Project Materials'!$H$6='Project Materials'!$B$196,'Item List'!$B$165,"None")</f>
        <v>None</v>
      </c>
      <c r="S75" s="293" t="s">
        <v>418</v>
      </c>
      <c r="T75" s="260" t="s">
        <v>418</v>
      </c>
      <c r="U75" s="260" t="s">
        <v>48</v>
      </c>
      <c r="V75" s="260" t="s">
        <v>239</v>
      </c>
      <c r="W75" s="260" t="s">
        <v>148</v>
      </c>
      <c r="X75" s="260" t="s">
        <v>111</v>
      </c>
      <c r="Y75" s="219" t="str">
        <f>IF('Project Materials'!$H$6='Project Materials'!$B$196,'Item List'!$B$165,"None")</f>
        <v>None</v>
      </c>
      <c r="Z75" s="260" t="s">
        <v>418</v>
      </c>
      <c r="AA75" s="261" t="s">
        <v>418</v>
      </c>
      <c r="AB75" s="261" t="s">
        <v>48</v>
      </c>
      <c r="AC75" s="261" t="s">
        <v>239</v>
      </c>
      <c r="AD75" s="261" t="s">
        <v>148</v>
      </c>
      <c r="AE75" s="261" t="s">
        <v>111</v>
      </c>
      <c r="AF75" s="262" t="str">
        <f>IF('Project Materials'!$H$6='Project Materials'!$B$196,'Item List'!$B$165,"None")</f>
        <v>None</v>
      </c>
      <c r="AG75" s="261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88" t="s">
        <v>418</v>
      </c>
      <c r="G76" s="288" t="s">
        <v>48</v>
      </c>
      <c r="H76" s="288" t="s">
        <v>241</v>
      </c>
      <c r="I76" s="288" t="s">
        <v>152</v>
      </c>
      <c r="J76" s="288" t="s">
        <v>111</v>
      </c>
      <c r="K76" s="289" t="str">
        <f>IF('Project Materials'!$D$6='Project Materials'!$B$196,'Item List'!$B$165,"None")</f>
        <v>None</v>
      </c>
      <c r="L76" s="288" t="s">
        <v>418</v>
      </c>
      <c r="M76" s="293" t="s">
        <v>418</v>
      </c>
      <c r="N76" s="293" t="s">
        <v>48</v>
      </c>
      <c r="O76" s="293" t="s">
        <v>241</v>
      </c>
      <c r="P76" s="293" t="s">
        <v>152</v>
      </c>
      <c r="Q76" s="293" t="s">
        <v>111</v>
      </c>
      <c r="R76" s="294" t="str">
        <f>IF('Project Materials'!$H$6='Project Materials'!$B$196,'Item List'!$B$165,"None")</f>
        <v>None</v>
      </c>
      <c r="S76" s="293" t="s">
        <v>418</v>
      </c>
      <c r="T76" s="260" t="s">
        <v>418</v>
      </c>
      <c r="U76" s="260" t="s">
        <v>48</v>
      </c>
      <c r="V76" s="260" t="s">
        <v>241</v>
      </c>
      <c r="W76" s="260" t="s">
        <v>152</v>
      </c>
      <c r="X76" s="260" t="s">
        <v>111</v>
      </c>
      <c r="Y76" s="219" t="str">
        <f>IF('Project Materials'!$H$6='Project Materials'!$B$196,'Item List'!$B$165,"None")</f>
        <v>None</v>
      </c>
      <c r="Z76" s="260" t="s">
        <v>418</v>
      </c>
      <c r="AA76" s="261" t="s">
        <v>418</v>
      </c>
      <c r="AB76" s="261" t="s">
        <v>48</v>
      </c>
      <c r="AC76" s="261" t="s">
        <v>241</v>
      </c>
      <c r="AD76" s="261" t="s">
        <v>152</v>
      </c>
      <c r="AE76" s="261" t="s">
        <v>111</v>
      </c>
      <c r="AF76" s="262" t="str">
        <f>IF('Project Materials'!$H$6='Project Materials'!$B$196,'Item List'!$B$165,"None")</f>
        <v>None</v>
      </c>
      <c r="AG76" s="261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88" t="s">
        <v>418</v>
      </c>
      <c r="G77" s="288" t="s">
        <v>48</v>
      </c>
      <c r="H77" s="288" t="s">
        <v>237</v>
      </c>
      <c r="I77" s="288" t="s">
        <v>146</v>
      </c>
      <c r="J77" s="288" t="s">
        <v>111</v>
      </c>
      <c r="K77" s="289" t="str">
        <f>IF('Project Materials'!$D$6='Project Materials'!$B$196,'Item List'!$B$165,"None")</f>
        <v>None</v>
      </c>
      <c r="L77" s="288" t="s">
        <v>418</v>
      </c>
      <c r="M77" s="293" t="s">
        <v>418</v>
      </c>
      <c r="N77" s="293" t="s">
        <v>48</v>
      </c>
      <c r="O77" s="293" t="s">
        <v>237</v>
      </c>
      <c r="P77" s="293" t="s">
        <v>146</v>
      </c>
      <c r="Q77" s="293" t="s">
        <v>111</v>
      </c>
      <c r="R77" s="294" t="str">
        <f>IF('Project Materials'!$H$6='Project Materials'!$B$196,'Item List'!$B$165,"None")</f>
        <v>None</v>
      </c>
      <c r="S77" s="293" t="s">
        <v>418</v>
      </c>
      <c r="T77" s="260" t="s">
        <v>418</v>
      </c>
      <c r="U77" s="260" t="s">
        <v>48</v>
      </c>
      <c r="V77" s="260" t="s">
        <v>237</v>
      </c>
      <c r="W77" s="260" t="s">
        <v>146</v>
      </c>
      <c r="X77" s="260" t="s">
        <v>111</v>
      </c>
      <c r="Y77" s="219" t="str">
        <f>IF('Project Materials'!$H$6='Project Materials'!$B$196,'Item List'!$B$165,"None")</f>
        <v>None</v>
      </c>
      <c r="Z77" s="260" t="s">
        <v>418</v>
      </c>
      <c r="AA77" s="261" t="s">
        <v>418</v>
      </c>
      <c r="AB77" s="261" t="s">
        <v>48</v>
      </c>
      <c r="AC77" s="261" t="s">
        <v>237</v>
      </c>
      <c r="AD77" s="261" t="s">
        <v>146</v>
      </c>
      <c r="AE77" s="261" t="s">
        <v>111</v>
      </c>
      <c r="AF77" s="262" t="str">
        <f>IF('Project Materials'!$H$6='Project Materials'!$B$196,'Item List'!$B$165,"None")</f>
        <v>None</v>
      </c>
      <c r="AG77" s="261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88" t="s">
        <v>418</v>
      </c>
      <c r="G78" s="288" t="s">
        <v>48</v>
      </c>
      <c r="H78" s="288" t="s">
        <v>239</v>
      </c>
      <c r="I78" s="288" t="s">
        <v>148</v>
      </c>
      <c r="J78" s="288" t="s">
        <v>111</v>
      </c>
      <c r="K78" s="289" t="str">
        <f>IF('Project Materials'!$D$6='Project Materials'!$B$196,'Item List'!$B$165,"None")</f>
        <v>None</v>
      </c>
      <c r="L78" s="288" t="s">
        <v>418</v>
      </c>
      <c r="M78" s="293" t="s">
        <v>418</v>
      </c>
      <c r="N78" s="293" t="s">
        <v>48</v>
      </c>
      <c r="O78" s="293" t="s">
        <v>239</v>
      </c>
      <c r="P78" s="293" t="s">
        <v>148</v>
      </c>
      <c r="Q78" s="293" t="s">
        <v>111</v>
      </c>
      <c r="R78" s="294" t="str">
        <f>IF('Project Materials'!$H$6='Project Materials'!$B$196,'Item List'!$B$165,"None")</f>
        <v>None</v>
      </c>
      <c r="S78" s="293" t="s">
        <v>418</v>
      </c>
      <c r="T78" s="260" t="s">
        <v>418</v>
      </c>
      <c r="U78" s="260" t="s">
        <v>48</v>
      </c>
      <c r="V78" s="260" t="s">
        <v>239</v>
      </c>
      <c r="W78" s="260" t="s">
        <v>148</v>
      </c>
      <c r="X78" s="260" t="s">
        <v>111</v>
      </c>
      <c r="Y78" s="219" t="str">
        <f>IF('Project Materials'!$H$6='Project Materials'!$B$196,'Item List'!$B$165,"None")</f>
        <v>None</v>
      </c>
      <c r="Z78" s="260" t="s">
        <v>418</v>
      </c>
      <c r="AA78" s="261" t="s">
        <v>418</v>
      </c>
      <c r="AB78" s="261" t="s">
        <v>48</v>
      </c>
      <c r="AC78" s="261" t="s">
        <v>239</v>
      </c>
      <c r="AD78" s="261" t="s">
        <v>148</v>
      </c>
      <c r="AE78" s="261" t="s">
        <v>111</v>
      </c>
      <c r="AF78" s="262" t="str">
        <f>IF('Project Materials'!$H$6='Project Materials'!$B$196,'Item List'!$B$165,"None")</f>
        <v>None</v>
      </c>
      <c r="AG78" s="261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88" t="s">
        <v>418</v>
      </c>
      <c r="G79" s="288" t="s">
        <v>48</v>
      </c>
      <c r="H79" s="288" t="s">
        <v>290</v>
      </c>
      <c r="I79" s="288" t="s">
        <v>150</v>
      </c>
      <c r="J79" s="288" t="s">
        <v>111</v>
      </c>
      <c r="K79" s="289" t="str">
        <f>IF('Project Materials'!$D$6='Project Materials'!$B$196,'Item List'!$B$165,"None")</f>
        <v>None</v>
      </c>
      <c r="L79" s="288" t="s">
        <v>418</v>
      </c>
      <c r="M79" s="293" t="s">
        <v>418</v>
      </c>
      <c r="N79" s="293" t="s">
        <v>48</v>
      </c>
      <c r="O79" s="293" t="s">
        <v>290</v>
      </c>
      <c r="P79" s="293" t="s">
        <v>150</v>
      </c>
      <c r="Q79" s="293" t="s">
        <v>111</v>
      </c>
      <c r="R79" s="294" t="str">
        <f>IF('Project Materials'!$H$6='Project Materials'!$B$196,'Item List'!$B$165,"None")</f>
        <v>None</v>
      </c>
      <c r="S79" s="293" t="s">
        <v>418</v>
      </c>
      <c r="T79" s="260" t="s">
        <v>418</v>
      </c>
      <c r="U79" s="260" t="s">
        <v>48</v>
      </c>
      <c r="V79" s="260" t="s">
        <v>290</v>
      </c>
      <c r="W79" s="260" t="s">
        <v>150</v>
      </c>
      <c r="X79" s="260" t="s">
        <v>111</v>
      </c>
      <c r="Y79" s="219" t="str">
        <f>IF('Project Materials'!$H$6='Project Materials'!$B$196,'Item List'!$B$165,"None")</f>
        <v>None</v>
      </c>
      <c r="Z79" s="260" t="s">
        <v>418</v>
      </c>
      <c r="AA79" s="261" t="s">
        <v>418</v>
      </c>
      <c r="AB79" s="261" t="s">
        <v>48</v>
      </c>
      <c r="AC79" s="261" t="s">
        <v>290</v>
      </c>
      <c r="AD79" s="261" t="s">
        <v>150</v>
      </c>
      <c r="AE79" s="261" t="s">
        <v>111</v>
      </c>
      <c r="AF79" s="262" t="str">
        <f>IF('Project Materials'!$H$6='Project Materials'!$B$196,'Item List'!$B$165,"None")</f>
        <v>None</v>
      </c>
      <c r="AG79" s="261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88" t="s">
        <v>418</v>
      </c>
      <c r="G80" s="288" t="s">
        <v>48</v>
      </c>
      <c r="H80" s="288" t="s">
        <v>241</v>
      </c>
      <c r="I80" s="288" t="s">
        <v>152</v>
      </c>
      <c r="J80" s="288" t="s">
        <v>111</v>
      </c>
      <c r="K80" s="289" t="str">
        <f>IF('Project Materials'!$D$6='Project Materials'!$B$196,'Item List'!$B$165,"None")</f>
        <v>None</v>
      </c>
      <c r="L80" s="288" t="s">
        <v>418</v>
      </c>
      <c r="M80" s="293" t="s">
        <v>418</v>
      </c>
      <c r="N80" s="293" t="s">
        <v>48</v>
      </c>
      <c r="O80" s="293" t="s">
        <v>241</v>
      </c>
      <c r="P80" s="293" t="s">
        <v>152</v>
      </c>
      <c r="Q80" s="293" t="s">
        <v>111</v>
      </c>
      <c r="R80" s="294" t="str">
        <f>IF('Project Materials'!$H$6='Project Materials'!$B$196,'Item List'!$B$165,"None")</f>
        <v>None</v>
      </c>
      <c r="S80" s="293" t="s">
        <v>418</v>
      </c>
      <c r="T80" s="260" t="s">
        <v>418</v>
      </c>
      <c r="U80" s="260" t="s">
        <v>48</v>
      </c>
      <c r="V80" s="260" t="s">
        <v>241</v>
      </c>
      <c r="W80" s="260" t="s">
        <v>152</v>
      </c>
      <c r="X80" s="260" t="s">
        <v>111</v>
      </c>
      <c r="Y80" s="219" t="str">
        <f>IF('Project Materials'!$H$6='Project Materials'!$B$196,'Item List'!$B$165,"None")</f>
        <v>None</v>
      </c>
      <c r="Z80" s="260" t="s">
        <v>418</v>
      </c>
      <c r="AA80" s="261" t="s">
        <v>418</v>
      </c>
      <c r="AB80" s="261" t="s">
        <v>48</v>
      </c>
      <c r="AC80" s="261" t="s">
        <v>241</v>
      </c>
      <c r="AD80" s="261" t="s">
        <v>152</v>
      </c>
      <c r="AE80" s="261" t="s">
        <v>111</v>
      </c>
      <c r="AF80" s="262" t="str">
        <f>IF('Project Materials'!$H$6='Project Materials'!$B$196,'Item List'!$B$165,"None")</f>
        <v>None</v>
      </c>
      <c r="AG80" s="261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88" t="s">
        <v>418</v>
      </c>
      <c r="G81" s="288" t="s">
        <v>48</v>
      </c>
      <c r="H81" s="288" t="s">
        <v>237</v>
      </c>
      <c r="I81" s="288" t="s">
        <v>146</v>
      </c>
      <c r="J81" s="288" t="s">
        <v>111</v>
      </c>
      <c r="K81" s="289" t="str">
        <f>IF('Project Materials'!$D$6='Project Materials'!$B$196,'Item List'!$B$165,"None")</f>
        <v>None</v>
      </c>
      <c r="L81" s="288" t="s">
        <v>418</v>
      </c>
      <c r="M81" s="293" t="s">
        <v>418</v>
      </c>
      <c r="N81" s="293" t="s">
        <v>48</v>
      </c>
      <c r="O81" s="293" t="s">
        <v>237</v>
      </c>
      <c r="P81" s="293" t="s">
        <v>146</v>
      </c>
      <c r="Q81" s="293" t="s">
        <v>111</v>
      </c>
      <c r="R81" s="294" t="str">
        <f>IF('Project Materials'!$H$6='Project Materials'!$B$196,'Item List'!$B$165,"None")</f>
        <v>None</v>
      </c>
      <c r="S81" s="293" t="s">
        <v>418</v>
      </c>
      <c r="T81" s="260" t="s">
        <v>418</v>
      </c>
      <c r="U81" s="260" t="s">
        <v>48</v>
      </c>
      <c r="V81" s="260" t="s">
        <v>237</v>
      </c>
      <c r="W81" s="260" t="s">
        <v>146</v>
      </c>
      <c r="X81" s="260" t="s">
        <v>111</v>
      </c>
      <c r="Y81" s="219" t="str">
        <f>IF('Project Materials'!$H$6='Project Materials'!$B$196,'Item List'!$B$165,"None")</f>
        <v>None</v>
      </c>
      <c r="Z81" s="260" t="s">
        <v>418</v>
      </c>
      <c r="AA81" s="261" t="s">
        <v>418</v>
      </c>
      <c r="AB81" s="261" t="s">
        <v>48</v>
      </c>
      <c r="AC81" s="261" t="s">
        <v>237</v>
      </c>
      <c r="AD81" s="261" t="s">
        <v>146</v>
      </c>
      <c r="AE81" s="261" t="s">
        <v>111</v>
      </c>
      <c r="AF81" s="262" t="str">
        <f>IF('Project Materials'!$H$6='Project Materials'!$B$196,'Item List'!$B$165,"None")</f>
        <v>None</v>
      </c>
      <c r="AG81" s="261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88" t="s">
        <v>418</v>
      </c>
      <c r="G82" s="288" t="s">
        <v>48</v>
      </c>
      <c r="H82" s="288" t="s">
        <v>239</v>
      </c>
      <c r="I82" s="288" t="s">
        <v>148</v>
      </c>
      <c r="J82" s="288" t="s">
        <v>111</v>
      </c>
      <c r="K82" s="289" t="str">
        <f>IF('Project Materials'!$D$6='Project Materials'!$B$196,'Item List'!$B$165,"None")</f>
        <v>None</v>
      </c>
      <c r="L82" s="288" t="s">
        <v>418</v>
      </c>
      <c r="M82" s="293" t="s">
        <v>418</v>
      </c>
      <c r="N82" s="293" t="s">
        <v>48</v>
      </c>
      <c r="O82" s="293" t="s">
        <v>239</v>
      </c>
      <c r="P82" s="293" t="s">
        <v>148</v>
      </c>
      <c r="Q82" s="293" t="s">
        <v>111</v>
      </c>
      <c r="R82" s="294" t="str">
        <f>IF('Project Materials'!$H$6='Project Materials'!$B$196,'Item List'!$B$165,"None")</f>
        <v>None</v>
      </c>
      <c r="S82" s="293" t="s">
        <v>418</v>
      </c>
      <c r="T82" s="260" t="s">
        <v>418</v>
      </c>
      <c r="U82" s="260" t="s">
        <v>48</v>
      </c>
      <c r="V82" s="260" t="s">
        <v>239</v>
      </c>
      <c r="W82" s="260" t="s">
        <v>148</v>
      </c>
      <c r="X82" s="260" t="s">
        <v>111</v>
      </c>
      <c r="Y82" s="219" t="str">
        <f>IF('Project Materials'!$H$6='Project Materials'!$B$196,'Item List'!$B$165,"None")</f>
        <v>None</v>
      </c>
      <c r="Z82" s="260" t="s">
        <v>418</v>
      </c>
      <c r="AA82" s="261" t="s">
        <v>418</v>
      </c>
      <c r="AB82" s="261" t="s">
        <v>48</v>
      </c>
      <c r="AC82" s="261" t="s">
        <v>239</v>
      </c>
      <c r="AD82" s="261" t="s">
        <v>148</v>
      </c>
      <c r="AE82" s="261" t="s">
        <v>111</v>
      </c>
      <c r="AF82" s="262" t="str">
        <f>IF('Project Materials'!$H$6='Project Materials'!$B$196,'Item List'!$B$165,"None")</f>
        <v>None</v>
      </c>
      <c r="AG82" s="261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88" t="s">
        <v>418</v>
      </c>
      <c r="G83" s="288" t="s">
        <v>48</v>
      </c>
      <c r="H83" s="288" t="s">
        <v>290</v>
      </c>
      <c r="I83" s="288" t="s">
        <v>150</v>
      </c>
      <c r="J83" s="288" t="s">
        <v>111</v>
      </c>
      <c r="K83" s="289" t="str">
        <f>IF('Project Materials'!$D$6='Project Materials'!$B$196,'Item List'!$B$165,"None")</f>
        <v>None</v>
      </c>
      <c r="L83" s="288" t="s">
        <v>418</v>
      </c>
      <c r="M83" s="293" t="s">
        <v>418</v>
      </c>
      <c r="N83" s="293" t="s">
        <v>48</v>
      </c>
      <c r="O83" s="293" t="s">
        <v>290</v>
      </c>
      <c r="P83" s="293" t="s">
        <v>150</v>
      </c>
      <c r="Q83" s="293" t="s">
        <v>111</v>
      </c>
      <c r="R83" s="294" t="str">
        <f>IF('Project Materials'!$H$6='Project Materials'!$B$196,'Item List'!$B$165,"None")</f>
        <v>None</v>
      </c>
      <c r="S83" s="293" t="s">
        <v>418</v>
      </c>
      <c r="T83" s="260" t="s">
        <v>418</v>
      </c>
      <c r="U83" s="260" t="s">
        <v>48</v>
      </c>
      <c r="V83" s="260" t="s">
        <v>290</v>
      </c>
      <c r="W83" s="260" t="s">
        <v>150</v>
      </c>
      <c r="X83" s="260" t="s">
        <v>111</v>
      </c>
      <c r="Y83" s="219" t="str">
        <f>IF('Project Materials'!$H$6='Project Materials'!$B$196,'Item List'!$B$165,"None")</f>
        <v>None</v>
      </c>
      <c r="Z83" s="260" t="s">
        <v>418</v>
      </c>
      <c r="AA83" s="261" t="s">
        <v>418</v>
      </c>
      <c r="AB83" s="261" t="s">
        <v>48</v>
      </c>
      <c r="AC83" s="261" t="s">
        <v>290</v>
      </c>
      <c r="AD83" s="261" t="s">
        <v>150</v>
      </c>
      <c r="AE83" s="261" t="s">
        <v>111</v>
      </c>
      <c r="AF83" s="262" t="str">
        <f>IF('Project Materials'!$H$6='Project Materials'!$B$196,'Item List'!$B$165,"None")</f>
        <v>None</v>
      </c>
      <c r="AG83" s="261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88" t="s">
        <v>418</v>
      </c>
      <c r="G84" s="288" t="s">
        <v>48</v>
      </c>
      <c r="H84" s="288" t="s">
        <v>241</v>
      </c>
      <c r="I84" s="288" t="s">
        <v>152</v>
      </c>
      <c r="J84" s="288" t="s">
        <v>111</v>
      </c>
      <c r="K84" s="289" t="str">
        <f>IF('Project Materials'!$D$6='Project Materials'!$B$196,'Item List'!$B$165,"None")</f>
        <v>None</v>
      </c>
      <c r="L84" s="288" t="s">
        <v>418</v>
      </c>
      <c r="M84" s="293" t="s">
        <v>418</v>
      </c>
      <c r="N84" s="293" t="s">
        <v>48</v>
      </c>
      <c r="O84" s="293" t="s">
        <v>241</v>
      </c>
      <c r="P84" s="293" t="s">
        <v>152</v>
      </c>
      <c r="Q84" s="293" t="s">
        <v>111</v>
      </c>
      <c r="R84" s="294" t="str">
        <f>IF('Project Materials'!$H$6='Project Materials'!$B$196,'Item List'!$B$165,"None")</f>
        <v>None</v>
      </c>
      <c r="S84" s="293" t="s">
        <v>418</v>
      </c>
      <c r="T84" s="260" t="s">
        <v>418</v>
      </c>
      <c r="U84" s="260" t="s">
        <v>48</v>
      </c>
      <c r="V84" s="260" t="s">
        <v>241</v>
      </c>
      <c r="W84" s="260" t="s">
        <v>152</v>
      </c>
      <c r="X84" s="260" t="s">
        <v>111</v>
      </c>
      <c r="Y84" s="219" t="str">
        <f>IF('Project Materials'!$H$6='Project Materials'!$B$196,'Item List'!$B$165,"None")</f>
        <v>None</v>
      </c>
      <c r="Z84" s="260" t="s">
        <v>418</v>
      </c>
      <c r="AA84" s="261" t="s">
        <v>418</v>
      </c>
      <c r="AB84" s="261" t="s">
        <v>48</v>
      </c>
      <c r="AC84" s="261" t="s">
        <v>241</v>
      </c>
      <c r="AD84" s="261" t="s">
        <v>152</v>
      </c>
      <c r="AE84" s="261" t="s">
        <v>111</v>
      </c>
      <c r="AF84" s="262" t="str">
        <f>IF('Project Materials'!$H$6='Project Materials'!$B$196,'Item List'!$B$165,"None")</f>
        <v>None</v>
      </c>
      <c r="AG84" s="261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88" t="s">
        <v>418</v>
      </c>
      <c r="G85" s="288" t="s">
        <v>48</v>
      </c>
      <c r="H85" s="288" t="s">
        <v>237</v>
      </c>
      <c r="I85" s="288" t="s">
        <v>146</v>
      </c>
      <c r="J85" s="288" t="s">
        <v>111</v>
      </c>
      <c r="K85" s="289" t="str">
        <f>IF('Project Materials'!$D$6='Project Materials'!$B$196,'Item List'!$B$165,"None")</f>
        <v>None</v>
      </c>
      <c r="L85" s="288" t="s">
        <v>418</v>
      </c>
      <c r="M85" s="293" t="s">
        <v>418</v>
      </c>
      <c r="N85" s="293" t="s">
        <v>48</v>
      </c>
      <c r="O85" s="293" t="s">
        <v>237</v>
      </c>
      <c r="P85" s="293" t="s">
        <v>146</v>
      </c>
      <c r="Q85" s="293" t="s">
        <v>111</v>
      </c>
      <c r="R85" s="294" t="str">
        <f>IF('Project Materials'!$H$6='Project Materials'!$B$196,'Item List'!$B$165,"None")</f>
        <v>None</v>
      </c>
      <c r="S85" s="293" t="s">
        <v>418</v>
      </c>
      <c r="T85" s="260" t="s">
        <v>418</v>
      </c>
      <c r="U85" s="260" t="s">
        <v>48</v>
      </c>
      <c r="V85" s="260" t="s">
        <v>237</v>
      </c>
      <c r="W85" s="260" t="s">
        <v>146</v>
      </c>
      <c r="X85" s="260" t="s">
        <v>111</v>
      </c>
      <c r="Y85" s="219" t="str">
        <f>IF('Project Materials'!$H$6='Project Materials'!$B$196,'Item List'!$B$165,"None")</f>
        <v>None</v>
      </c>
      <c r="Z85" s="260" t="s">
        <v>418</v>
      </c>
      <c r="AA85" s="261" t="s">
        <v>418</v>
      </c>
      <c r="AB85" s="261" t="s">
        <v>48</v>
      </c>
      <c r="AC85" s="261" t="s">
        <v>237</v>
      </c>
      <c r="AD85" s="261" t="s">
        <v>146</v>
      </c>
      <c r="AE85" s="261" t="s">
        <v>111</v>
      </c>
      <c r="AF85" s="262" t="str">
        <f>IF('Project Materials'!$H$6='Project Materials'!$B$196,'Item List'!$B$165,"None")</f>
        <v>None</v>
      </c>
      <c r="AG85" s="261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88" t="s">
        <v>418</v>
      </c>
      <c r="G86" s="288" t="s">
        <v>48</v>
      </c>
      <c r="H86" s="288" t="s">
        <v>239</v>
      </c>
      <c r="I86" s="288" t="s">
        <v>148</v>
      </c>
      <c r="J86" s="288" t="s">
        <v>111</v>
      </c>
      <c r="K86" s="289" t="str">
        <f>IF('Project Materials'!$D$6='Project Materials'!$B$196,'Item List'!$B$165,"None")</f>
        <v>None</v>
      </c>
      <c r="L86" s="288" t="s">
        <v>418</v>
      </c>
      <c r="M86" s="293" t="s">
        <v>418</v>
      </c>
      <c r="N86" s="293" t="s">
        <v>48</v>
      </c>
      <c r="O86" s="293" t="s">
        <v>239</v>
      </c>
      <c r="P86" s="293" t="s">
        <v>148</v>
      </c>
      <c r="Q86" s="293" t="s">
        <v>111</v>
      </c>
      <c r="R86" s="294" t="str">
        <f>IF('Project Materials'!$H$6='Project Materials'!$B$196,'Item List'!$B$165,"None")</f>
        <v>None</v>
      </c>
      <c r="S86" s="293" t="s">
        <v>418</v>
      </c>
      <c r="T86" s="260" t="s">
        <v>418</v>
      </c>
      <c r="U86" s="260" t="s">
        <v>48</v>
      </c>
      <c r="V86" s="260" t="s">
        <v>239</v>
      </c>
      <c r="W86" s="260" t="s">
        <v>148</v>
      </c>
      <c r="X86" s="260" t="s">
        <v>111</v>
      </c>
      <c r="Y86" s="219" t="str">
        <f>IF('Project Materials'!$H$6='Project Materials'!$B$196,'Item List'!$B$165,"None")</f>
        <v>None</v>
      </c>
      <c r="Z86" s="260" t="s">
        <v>418</v>
      </c>
      <c r="AA86" s="261" t="s">
        <v>418</v>
      </c>
      <c r="AB86" s="261" t="s">
        <v>48</v>
      </c>
      <c r="AC86" s="261" t="s">
        <v>239</v>
      </c>
      <c r="AD86" s="261" t="s">
        <v>148</v>
      </c>
      <c r="AE86" s="261" t="s">
        <v>111</v>
      </c>
      <c r="AF86" s="262" t="str">
        <f>IF('Project Materials'!$H$6='Project Materials'!$B$196,'Item List'!$B$165,"None")</f>
        <v>None</v>
      </c>
      <c r="AG86" s="261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88" t="s">
        <v>418</v>
      </c>
      <c r="G87" s="288" t="s">
        <v>48</v>
      </c>
      <c r="H87" s="288" t="s">
        <v>290</v>
      </c>
      <c r="I87" s="288" t="s">
        <v>150</v>
      </c>
      <c r="J87" s="288" t="s">
        <v>111</v>
      </c>
      <c r="K87" s="289" t="str">
        <f>IF('Project Materials'!$D$6='Project Materials'!$B$196,'Item List'!$B$165,"None")</f>
        <v>None</v>
      </c>
      <c r="L87" s="288" t="s">
        <v>418</v>
      </c>
      <c r="M87" s="293" t="s">
        <v>418</v>
      </c>
      <c r="N87" s="293" t="s">
        <v>48</v>
      </c>
      <c r="O87" s="293" t="s">
        <v>290</v>
      </c>
      <c r="P87" s="293" t="s">
        <v>150</v>
      </c>
      <c r="Q87" s="293" t="s">
        <v>111</v>
      </c>
      <c r="R87" s="294" t="str">
        <f>IF('Project Materials'!$H$6='Project Materials'!$B$196,'Item List'!$B$165,"None")</f>
        <v>None</v>
      </c>
      <c r="S87" s="293" t="s">
        <v>418</v>
      </c>
      <c r="T87" s="260" t="s">
        <v>418</v>
      </c>
      <c r="U87" s="260" t="s">
        <v>48</v>
      </c>
      <c r="V87" s="260" t="s">
        <v>290</v>
      </c>
      <c r="W87" s="260" t="s">
        <v>150</v>
      </c>
      <c r="X87" s="260" t="s">
        <v>111</v>
      </c>
      <c r="Y87" s="219" t="str">
        <f>IF('Project Materials'!$H$6='Project Materials'!$B$196,'Item List'!$B$165,"None")</f>
        <v>None</v>
      </c>
      <c r="Z87" s="260" t="s">
        <v>418</v>
      </c>
      <c r="AA87" s="261" t="s">
        <v>418</v>
      </c>
      <c r="AB87" s="261" t="s">
        <v>48</v>
      </c>
      <c r="AC87" s="261" t="s">
        <v>290</v>
      </c>
      <c r="AD87" s="261" t="s">
        <v>150</v>
      </c>
      <c r="AE87" s="261" t="s">
        <v>111</v>
      </c>
      <c r="AF87" s="262" t="str">
        <f>IF('Project Materials'!$H$6='Project Materials'!$B$196,'Item List'!$B$165,"None")</f>
        <v>None</v>
      </c>
      <c r="AG87" s="261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88" t="s">
        <v>418</v>
      </c>
      <c r="G88" s="288" t="s">
        <v>48</v>
      </c>
      <c r="H88" s="288" t="s">
        <v>241</v>
      </c>
      <c r="I88" s="288" t="s">
        <v>152</v>
      </c>
      <c r="J88" s="288" t="s">
        <v>111</v>
      </c>
      <c r="K88" s="289" t="str">
        <f>IF('Project Materials'!$D$6='Project Materials'!$B$196,'Item List'!$B$165,"None")</f>
        <v>None</v>
      </c>
      <c r="L88" s="288" t="s">
        <v>418</v>
      </c>
      <c r="M88" s="293" t="s">
        <v>418</v>
      </c>
      <c r="N88" s="293" t="s">
        <v>48</v>
      </c>
      <c r="O88" s="293" t="s">
        <v>241</v>
      </c>
      <c r="P88" s="293" t="s">
        <v>152</v>
      </c>
      <c r="Q88" s="293" t="s">
        <v>111</v>
      </c>
      <c r="R88" s="294" t="str">
        <f>IF('Project Materials'!$H$6='Project Materials'!$B$196,'Item List'!$B$165,"None")</f>
        <v>None</v>
      </c>
      <c r="S88" s="293" t="s">
        <v>418</v>
      </c>
      <c r="T88" s="260" t="s">
        <v>418</v>
      </c>
      <c r="U88" s="260" t="s">
        <v>48</v>
      </c>
      <c r="V88" s="260" t="s">
        <v>241</v>
      </c>
      <c r="W88" s="260" t="s">
        <v>152</v>
      </c>
      <c r="X88" s="260" t="s">
        <v>111</v>
      </c>
      <c r="Y88" s="219" t="str">
        <f>IF('Project Materials'!$H$6='Project Materials'!$B$196,'Item List'!$B$165,"None")</f>
        <v>None</v>
      </c>
      <c r="Z88" s="260" t="s">
        <v>418</v>
      </c>
      <c r="AA88" s="261" t="s">
        <v>418</v>
      </c>
      <c r="AB88" s="261" t="s">
        <v>48</v>
      </c>
      <c r="AC88" s="261" t="s">
        <v>241</v>
      </c>
      <c r="AD88" s="261" t="s">
        <v>152</v>
      </c>
      <c r="AE88" s="261" t="s">
        <v>111</v>
      </c>
      <c r="AF88" s="262" t="str">
        <f>IF('Project Materials'!$H$6='Project Materials'!$B$196,'Item List'!$B$165,"None")</f>
        <v>None</v>
      </c>
      <c r="AG88" s="261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88" t="s">
        <v>418</v>
      </c>
      <c r="G89" s="288" t="s">
        <v>48</v>
      </c>
      <c r="H89" s="288" t="s">
        <v>237</v>
      </c>
      <c r="I89" s="288" t="s">
        <v>146</v>
      </c>
      <c r="J89" s="288" t="s">
        <v>111</v>
      </c>
      <c r="K89" s="289" t="str">
        <f>IF('Project Materials'!$D$6='Project Materials'!$B$196,'Item List'!$B$165,"None")</f>
        <v>None</v>
      </c>
      <c r="L89" s="288" t="s">
        <v>418</v>
      </c>
      <c r="M89" s="293" t="s">
        <v>418</v>
      </c>
      <c r="N89" s="293" t="s">
        <v>48</v>
      </c>
      <c r="O89" s="293" t="s">
        <v>237</v>
      </c>
      <c r="P89" s="293" t="s">
        <v>146</v>
      </c>
      <c r="Q89" s="293" t="s">
        <v>111</v>
      </c>
      <c r="R89" s="294" t="str">
        <f>IF('Project Materials'!$H$6='Project Materials'!$B$196,'Item List'!$B$165,"None")</f>
        <v>None</v>
      </c>
      <c r="S89" s="293" t="s">
        <v>418</v>
      </c>
      <c r="T89" s="260" t="s">
        <v>418</v>
      </c>
      <c r="U89" s="260" t="s">
        <v>48</v>
      </c>
      <c r="V89" s="260" t="s">
        <v>237</v>
      </c>
      <c r="W89" s="260" t="s">
        <v>146</v>
      </c>
      <c r="X89" s="260" t="s">
        <v>111</v>
      </c>
      <c r="Y89" s="219" t="str">
        <f>IF('Project Materials'!$H$6='Project Materials'!$B$196,'Item List'!$B$165,"None")</f>
        <v>None</v>
      </c>
      <c r="Z89" s="260" t="s">
        <v>418</v>
      </c>
      <c r="AA89" s="261" t="s">
        <v>418</v>
      </c>
      <c r="AB89" s="261" t="s">
        <v>48</v>
      </c>
      <c r="AC89" s="261" t="s">
        <v>237</v>
      </c>
      <c r="AD89" s="261" t="s">
        <v>146</v>
      </c>
      <c r="AE89" s="261" t="s">
        <v>111</v>
      </c>
      <c r="AF89" s="262" t="str">
        <f>IF('Project Materials'!$H$6='Project Materials'!$B$196,'Item List'!$B$165,"None")</f>
        <v>None</v>
      </c>
      <c r="AG89" s="261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88" t="s">
        <v>418</v>
      </c>
      <c r="G90" s="288" t="s">
        <v>48</v>
      </c>
      <c r="H90" s="288" t="s">
        <v>239</v>
      </c>
      <c r="I90" s="288" t="s">
        <v>148</v>
      </c>
      <c r="J90" s="288" t="s">
        <v>111</v>
      </c>
      <c r="K90" s="289" t="str">
        <f>IF('Project Materials'!$D$6='Project Materials'!$B$196,'Item List'!$B$165,"None")</f>
        <v>None</v>
      </c>
      <c r="L90" s="288" t="s">
        <v>418</v>
      </c>
      <c r="M90" s="293" t="s">
        <v>418</v>
      </c>
      <c r="N90" s="293" t="s">
        <v>48</v>
      </c>
      <c r="O90" s="293" t="s">
        <v>239</v>
      </c>
      <c r="P90" s="293" t="s">
        <v>148</v>
      </c>
      <c r="Q90" s="293" t="s">
        <v>111</v>
      </c>
      <c r="R90" s="294" t="str">
        <f>IF('Project Materials'!$H$6='Project Materials'!$B$196,'Item List'!$B$165,"None")</f>
        <v>None</v>
      </c>
      <c r="S90" s="293" t="s">
        <v>418</v>
      </c>
      <c r="T90" s="260" t="s">
        <v>418</v>
      </c>
      <c r="U90" s="260" t="s">
        <v>48</v>
      </c>
      <c r="V90" s="260" t="s">
        <v>239</v>
      </c>
      <c r="W90" s="260" t="s">
        <v>148</v>
      </c>
      <c r="X90" s="260" t="s">
        <v>111</v>
      </c>
      <c r="Y90" s="219" t="str">
        <f>IF('Project Materials'!$H$6='Project Materials'!$B$196,'Item List'!$B$165,"None")</f>
        <v>None</v>
      </c>
      <c r="Z90" s="260" t="s">
        <v>418</v>
      </c>
      <c r="AA90" s="261" t="s">
        <v>418</v>
      </c>
      <c r="AB90" s="261" t="s">
        <v>48</v>
      </c>
      <c r="AC90" s="261" t="s">
        <v>239</v>
      </c>
      <c r="AD90" s="261" t="s">
        <v>148</v>
      </c>
      <c r="AE90" s="261" t="s">
        <v>111</v>
      </c>
      <c r="AF90" s="262" t="str">
        <f>IF('Project Materials'!$H$6='Project Materials'!$B$196,'Item List'!$B$165,"None")</f>
        <v>None</v>
      </c>
      <c r="AG90" s="261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88" t="s">
        <v>418</v>
      </c>
      <c r="G91" s="288" t="s">
        <v>48</v>
      </c>
      <c r="H91" s="288" t="s">
        <v>290</v>
      </c>
      <c r="I91" s="288" t="s">
        <v>150</v>
      </c>
      <c r="J91" s="288" t="s">
        <v>111</v>
      </c>
      <c r="K91" s="289" t="str">
        <f>IF('Project Materials'!$D$6='Project Materials'!$B$196,'Item List'!$B$165,"None")</f>
        <v>None</v>
      </c>
      <c r="L91" s="288" t="s">
        <v>418</v>
      </c>
      <c r="M91" s="293" t="s">
        <v>418</v>
      </c>
      <c r="N91" s="293" t="s">
        <v>48</v>
      </c>
      <c r="O91" s="293" t="s">
        <v>290</v>
      </c>
      <c r="P91" s="293" t="s">
        <v>150</v>
      </c>
      <c r="Q91" s="293" t="s">
        <v>111</v>
      </c>
      <c r="R91" s="294" t="str">
        <f>IF('Project Materials'!$H$6='Project Materials'!$B$196,'Item List'!$B$165,"None")</f>
        <v>None</v>
      </c>
      <c r="S91" s="293" t="s">
        <v>418</v>
      </c>
      <c r="T91" s="260" t="s">
        <v>418</v>
      </c>
      <c r="U91" s="260" t="s">
        <v>48</v>
      </c>
      <c r="V91" s="260" t="s">
        <v>290</v>
      </c>
      <c r="W91" s="260" t="s">
        <v>150</v>
      </c>
      <c r="X91" s="260" t="s">
        <v>111</v>
      </c>
      <c r="Y91" s="219" t="str">
        <f>IF('Project Materials'!$H$6='Project Materials'!$B$196,'Item List'!$B$165,"None")</f>
        <v>None</v>
      </c>
      <c r="Z91" s="260" t="s">
        <v>418</v>
      </c>
      <c r="AA91" s="261" t="s">
        <v>418</v>
      </c>
      <c r="AB91" s="261" t="s">
        <v>48</v>
      </c>
      <c r="AC91" s="261" t="s">
        <v>290</v>
      </c>
      <c r="AD91" s="261" t="s">
        <v>150</v>
      </c>
      <c r="AE91" s="261" t="s">
        <v>111</v>
      </c>
      <c r="AF91" s="262" t="str">
        <f>IF('Project Materials'!$H$6='Project Materials'!$B$196,'Item List'!$B$165,"None")</f>
        <v>None</v>
      </c>
      <c r="AG91" s="261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88" t="s">
        <v>418</v>
      </c>
      <c r="G92" s="288" t="s">
        <v>48</v>
      </c>
      <c r="H92" s="288" t="s">
        <v>241</v>
      </c>
      <c r="I92" s="288" t="s">
        <v>152</v>
      </c>
      <c r="J92" s="288" t="s">
        <v>111</v>
      </c>
      <c r="K92" s="289" t="str">
        <f>IF('Project Materials'!$D$6='Project Materials'!$B$196,'Item List'!$B$165,"None")</f>
        <v>None</v>
      </c>
      <c r="L92" s="288" t="s">
        <v>418</v>
      </c>
      <c r="M92" s="293" t="s">
        <v>418</v>
      </c>
      <c r="N92" s="293" t="s">
        <v>48</v>
      </c>
      <c r="O92" s="293" t="s">
        <v>241</v>
      </c>
      <c r="P92" s="293" t="s">
        <v>152</v>
      </c>
      <c r="Q92" s="293" t="s">
        <v>111</v>
      </c>
      <c r="R92" s="294" t="str">
        <f>IF('Project Materials'!$H$6='Project Materials'!$B$196,'Item List'!$B$165,"None")</f>
        <v>None</v>
      </c>
      <c r="S92" s="293" t="s">
        <v>418</v>
      </c>
      <c r="T92" s="260" t="s">
        <v>418</v>
      </c>
      <c r="U92" s="260" t="s">
        <v>48</v>
      </c>
      <c r="V92" s="260" t="s">
        <v>241</v>
      </c>
      <c r="W92" s="260" t="s">
        <v>152</v>
      </c>
      <c r="X92" s="260" t="s">
        <v>111</v>
      </c>
      <c r="Y92" s="219" t="str">
        <f>IF('Project Materials'!$H$6='Project Materials'!$B$196,'Item List'!$B$165,"None")</f>
        <v>None</v>
      </c>
      <c r="Z92" s="260" t="s">
        <v>418</v>
      </c>
      <c r="AA92" s="261" t="s">
        <v>418</v>
      </c>
      <c r="AB92" s="261" t="s">
        <v>48</v>
      </c>
      <c r="AC92" s="261" t="s">
        <v>241</v>
      </c>
      <c r="AD92" s="261" t="s">
        <v>152</v>
      </c>
      <c r="AE92" s="261" t="s">
        <v>111</v>
      </c>
      <c r="AF92" s="262" t="str">
        <f>IF('Project Materials'!$H$6='Project Materials'!$B$196,'Item List'!$B$165,"None")</f>
        <v>None</v>
      </c>
      <c r="AG92" s="261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88" t="s">
        <v>418</v>
      </c>
      <c r="G93" s="288" t="s">
        <v>48</v>
      </c>
      <c r="H93" s="288" t="s">
        <v>237</v>
      </c>
      <c r="I93" s="288" t="s">
        <v>146</v>
      </c>
      <c r="J93" s="288" t="s">
        <v>111</v>
      </c>
      <c r="K93" s="289" t="str">
        <f>IF('Project Materials'!$D$6='Project Materials'!$B$196,'Item List'!$B$165,"None")</f>
        <v>None</v>
      </c>
      <c r="L93" s="288" t="s">
        <v>418</v>
      </c>
      <c r="M93" s="293" t="s">
        <v>418</v>
      </c>
      <c r="N93" s="293" t="s">
        <v>48</v>
      </c>
      <c r="O93" s="293" t="s">
        <v>237</v>
      </c>
      <c r="P93" s="293" t="s">
        <v>146</v>
      </c>
      <c r="Q93" s="293" t="s">
        <v>111</v>
      </c>
      <c r="R93" s="294" t="str">
        <f>IF('Project Materials'!$H$6='Project Materials'!$B$196,'Item List'!$B$165,"None")</f>
        <v>None</v>
      </c>
      <c r="S93" s="293" t="s">
        <v>418</v>
      </c>
      <c r="T93" s="260" t="s">
        <v>418</v>
      </c>
      <c r="U93" s="260" t="s">
        <v>48</v>
      </c>
      <c r="V93" s="260" t="s">
        <v>237</v>
      </c>
      <c r="W93" s="260" t="s">
        <v>146</v>
      </c>
      <c r="X93" s="260" t="s">
        <v>111</v>
      </c>
      <c r="Y93" s="219" t="str">
        <f>IF('Project Materials'!$H$6='Project Materials'!$B$196,'Item List'!$B$165,"None")</f>
        <v>None</v>
      </c>
      <c r="Z93" s="260" t="s">
        <v>418</v>
      </c>
      <c r="AA93" s="261" t="s">
        <v>418</v>
      </c>
      <c r="AB93" s="261" t="s">
        <v>48</v>
      </c>
      <c r="AC93" s="261" t="s">
        <v>237</v>
      </c>
      <c r="AD93" s="261" t="s">
        <v>146</v>
      </c>
      <c r="AE93" s="261" t="s">
        <v>111</v>
      </c>
      <c r="AF93" s="262" t="str">
        <f>IF('Project Materials'!$H$6='Project Materials'!$B$196,'Item List'!$B$165,"None")</f>
        <v>None</v>
      </c>
      <c r="AG93" s="261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88" t="s">
        <v>418</v>
      </c>
      <c r="G94" s="288" t="s">
        <v>48</v>
      </c>
      <c r="H94" s="288" t="s">
        <v>239</v>
      </c>
      <c r="I94" s="288" t="s">
        <v>148</v>
      </c>
      <c r="J94" s="288" t="s">
        <v>111</v>
      </c>
      <c r="K94" s="289" t="str">
        <f>IF('Project Materials'!$D$6='Project Materials'!$B$196,'Item List'!$B$165,"None")</f>
        <v>None</v>
      </c>
      <c r="L94" s="288" t="s">
        <v>418</v>
      </c>
      <c r="M94" s="293" t="s">
        <v>418</v>
      </c>
      <c r="N94" s="293" t="s">
        <v>48</v>
      </c>
      <c r="O94" s="293" t="s">
        <v>239</v>
      </c>
      <c r="P94" s="293" t="s">
        <v>148</v>
      </c>
      <c r="Q94" s="293" t="s">
        <v>111</v>
      </c>
      <c r="R94" s="294" t="str">
        <f>IF('Project Materials'!$H$6='Project Materials'!$B$196,'Item List'!$B$165,"None")</f>
        <v>None</v>
      </c>
      <c r="S94" s="293" t="s">
        <v>418</v>
      </c>
      <c r="T94" s="260" t="s">
        <v>418</v>
      </c>
      <c r="U94" s="260" t="s">
        <v>48</v>
      </c>
      <c r="V94" s="260" t="s">
        <v>239</v>
      </c>
      <c r="W94" s="260" t="s">
        <v>148</v>
      </c>
      <c r="X94" s="260" t="s">
        <v>111</v>
      </c>
      <c r="Y94" s="219" t="str">
        <f>IF('Project Materials'!$H$6='Project Materials'!$B$196,'Item List'!$B$165,"None")</f>
        <v>None</v>
      </c>
      <c r="Z94" s="260" t="s">
        <v>418</v>
      </c>
      <c r="AA94" s="261" t="s">
        <v>418</v>
      </c>
      <c r="AB94" s="261" t="s">
        <v>48</v>
      </c>
      <c r="AC94" s="261" t="s">
        <v>239</v>
      </c>
      <c r="AD94" s="261" t="s">
        <v>148</v>
      </c>
      <c r="AE94" s="261" t="s">
        <v>111</v>
      </c>
      <c r="AF94" s="262" t="str">
        <f>IF('Project Materials'!$H$6='Project Materials'!$B$196,'Item List'!$B$165,"None")</f>
        <v>None</v>
      </c>
      <c r="AG94" s="261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88" t="s">
        <v>418</v>
      </c>
      <c r="G95" s="288" t="s">
        <v>48</v>
      </c>
      <c r="H95" s="288" t="s">
        <v>290</v>
      </c>
      <c r="I95" s="288" t="s">
        <v>150</v>
      </c>
      <c r="J95" s="288" t="s">
        <v>111</v>
      </c>
      <c r="K95" s="289" t="str">
        <f>IF('Project Materials'!$D$6='Project Materials'!$B$196,'Item List'!$B$165,"None")</f>
        <v>None</v>
      </c>
      <c r="L95" s="288" t="s">
        <v>418</v>
      </c>
      <c r="M95" s="293" t="s">
        <v>418</v>
      </c>
      <c r="N95" s="293" t="s">
        <v>48</v>
      </c>
      <c r="O95" s="293" t="s">
        <v>290</v>
      </c>
      <c r="P95" s="293" t="s">
        <v>150</v>
      </c>
      <c r="Q95" s="293" t="s">
        <v>111</v>
      </c>
      <c r="R95" s="294" t="str">
        <f>IF('Project Materials'!$H$6='Project Materials'!$B$196,'Item List'!$B$165,"None")</f>
        <v>None</v>
      </c>
      <c r="S95" s="293" t="s">
        <v>418</v>
      </c>
      <c r="T95" s="260" t="s">
        <v>418</v>
      </c>
      <c r="U95" s="260" t="s">
        <v>48</v>
      </c>
      <c r="V95" s="260" t="s">
        <v>290</v>
      </c>
      <c r="W95" s="260" t="s">
        <v>150</v>
      </c>
      <c r="X95" s="260" t="s">
        <v>111</v>
      </c>
      <c r="Y95" s="219" t="str">
        <f>IF('Project Materials'!$H$6='Project Materials'!$B$196,'Item List'!$B$165,"None")</f>
        <v>None</v>
      </c>
      <c r="Z95" s="260" t="s">
        <v>418</v>
      </c>
      <c r="AA95" s="261" t="s">
        <v>418</v>
      </c>
      <c r="AB95" s="261" t="s">
        <v>48</v>
      </c>
      <c r="AC95" s="261" t="s">
        <v>290</v>
      </c>
      <c r="AD95" s="261" t="s">
        <v>150</v>
      </c>
      <c r="AE95" s="261" t="s">
        <v>111</v>
      </c>
      <c r="AF95" s="262" t="str">
        <f>IF('Project Materials'!$H$6='Project Materials'!$B$196,'Item List'!$B$165,"None")</f>
        <v>None</v>
      </c>
      <c r="AG95" s="261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88" t="s">
        <v>418</v>
      </c>
      <c r="G96" s="288" t="s">
        <v>48</v>
      </c>
      <c r="H96" s="288" t="s">
        <v>241</v>
      </c>
      <c r="I96" s="288" t="s">
        <v>152</v>
      </c>
      <c r="J96" s="288" t="s">
        <v>111</v>
      </c>
      <c r="K96" s="289" t="str">
        <f>IF('Project Materials'!$D$6='Project Materials'!$B$196,'Item List'!$B$165,"None")</f>
        <v>None</v>
      </c>
      <c r="L96" s="288" t="s">
        <v>418</v>
      </c>
      <c r="M96" s="293" t="s">
        <v>418</v>
      </c>
      <c r="N96" s="293" t="s">
        <v>48</v>
      </c>
      <c r="O96" s="293" t="s">
        <v>241</v>
      </c>
      <c r="P96" s="293" t="s">
        <v>152</v>
      </c>
      <c r="Q96" s="293" t="s">
        <v>111</v>
      </c>
      <c r="R96" s="294" t="str">
        <f>IF('Project Materials'!$H$6='Project Materials'!$B$196,'Item List'!$B$165,"None")</f>
        <v>None</v>
      </c>
      <c r="S96" s="293" t="s">
        <v>418</v>
      </c>
      <c r="T96" s="260" t="s">
        <v>418</v>
      </c>
      <c r="U96" s="260" t="s">
        <v>48</v>
      </c>
      <c r="V96" s="260" t="s">
        <v>241</v>
      </c>
      <c r="W96" s="260" t="s">
        <v>152</v>
      </c>
      <c r="X96" s="260" t="s">
        <v>111</v>
      </c>
      <c r="Y96" s="219" t="str">
        <f>IF('Project Materials'!$H$6='Project Materials'!$B$196,'Item List'!$B$165,"None")</f>
        <v>None</v>
      </c>
      <c r="Z96" s="260" t="s">
        <v>418</v>
      </c>
      <c r="AA96" s="261" t="s">
        <v>418</v>
      </c>
      <c r="AB96" s="261" t="s">
        <v>48</v>
      </c>
      <c r="AC96" s="261" t="s">
        <v>241</v>
      </c>
      <c r="AD96" s="261" t="s">
        <v>152</v>
      </c>
      <c r="AE96" s="261" t="s">
        <v>111</v>
      </c>
      <c r="AF96" s="262" t="str">
        <f>IF('Project Materials'!$H$6='Project Materials'!$B$196,'Item List'!$B$165,"None")</f>
        <v>None</v>
      </c>
      <c r="AG96" s="261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88" t="s">
        <v>418</v>
      </c>
      <c r="G97" s="288" t="s">
        <v>48</v>
      </c>
      <c r="H97" s="288" t="s">
        <v>237</v>
      </c>
      <c r="I97" s="288" t="s">
        <v>146</v>
      </c>
      <c r="J97" s="288" t="s">
        <v>111</v>
      </c>
      <c r="K97" s="289" t="str">
        <f>IF('Project Materials'!$D$6='Project Materials'!$B$196,'Item List'!$B$165,"None")</f>
        <v>None</v>
      </c>
      <c r="L97" s="288" t="s">
        <v>418</v>
      </c>
      <c r="M97" s="293" t="s">
        <v>418</v>
      </c>
      <c r="N97" s="293" t="s">
        <v>48</v>
      </c>
      <c r="O97" s="293" t="s">
        <v>237</v>
      </c>
      <c r="P97" s="293" t="s">
        <v>146</v>
      </c>
      <c r="Q97" s="293" t="s">
        <v>111</v>
      </c>
      <c r="R97" s="294" t="str">
        <f>IF('Project Materials'!$H$6='Project Materials'!$B$196,'Item List'!$B$165,"None")</f>
        <v>None</v>
      </c>
      <c r="S97" s="293" t="s">
        <v>418</v>
      </c>
      <c r="T97" s="260" t="s">
        <v>418</v>
      </c>
      <c r="U97" s="260" t="s">
        <v>48</v>
      </c>
      <c r="V97" s="260" t="s">
        <v>237</v>
      </c>
      <c r="W97" s="260" t="s">
        <v>146</v>
      </c>
      <c r="X97" s="260" t="s">
        <v>111</v>
      </c>
      <c r="Y97" s="219" t="str">
        <f>IF('Project Materials'!$H$6='Project Materials'!$B$196,'Item List'!$B$165,"None")</f>
        <v>None</v>
      </c>
      <c r="Z97" s="260" t="s">
        <v>418</v>
      </c>
      <c r="AA97" s="261" t="s">
        <v>418</v>
      </c>
      <c r="AB97" s="261" t="s">
        <v>48</v>
      </c>
      <c r="AC97" s="261" t="s">
        <v>237</v>
      </c>
      <c r="AD97" s="261" t="s">
        <v>146</v>
      </c>
      <c r="AE97" s="261" t="s">
        <v>111</v>
      </c>
      <c r="AF97" s="262" t="str">
        <f>IF('Project Materials'!$H$6='Project Materials'!$B$196,'Item List'!$B$165,"None")</f>
        <v>None</v>
      </c>
      <c r="AG97" s="261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88" t="s">
        <v>418</v>
      </c>
      <c r="G98" s="288" t="s">
        <v>48</v>
      </c>
      <c r="H98" s="288" t="s">
        <v>239</v>
      </c>
      <c r="I98" s="288" t="s">
        <v>148</v>
      </c>
      <c r="J98" s="288" t="s">
        <v>111</v>
      </c>
      <c r="K98" s="289" t="str">
        <f>IF('Project Materials'!$D$6='Project Materials'!$B$196,'Item List'!$B$165,"None")</f>
        <v>None</v>
      </c>
      <c r="L98" s="288" t="s">
        <v>418</v>
      </c>
      <c r="M98" s="293" t="s">
        <v>418</v>
      </c>
      <c r="N98" s="293" t="s">
        <v>48</v>
      </c>
      <c r="O98" s="293" t="s">
        <v>239</v>
      </c>
      <c r="P98" s="293" t="s">
        <v>148</v>
      </c>
      <c r="Q98" s="293" t="s">
        <v>111</v>
      </c>
      <c r="R98" s="294" t="str">
        <f>IF('Project Materials'!$H$6='Project Materials'!$B$196,'Item List'!$B$165,"None")</f>
        <v>None</v>
      </c>
      <c r="S98" s="293" t="s">
        <v>418</v>
      </c>
      <c r="T98" s="260" t="s">
        <v>418</v>
      </c>
      <c r="U98" s="260" t="s">
        <v>48</v>
      </c>
      <c r="V98" s="260" t="s">
        <v>239</v>
      </c>
      <c r="W98" s="260" t="s">
        <v>148</v>
      </c>
      <c r="X98" s="260" t="s">
        <v>111</v>
      </c>
      <c r="Y98" s="219" t="str">
        <f>IF('Project Materials'!$H$6='Project Materials'!$B$196,'Item List'!$B$165,"None")</f>
        <v>None</v>
      </c>
      <c r="Z98" s="260" t="s">
        <v>418</v>
      </c>
      <c r="AA98" s="261" t="s">
        <v>418</v>
      </c>
      <c r="AB98" s="261" t="s">
        <v>48</v>
      </c>
      <c r="AC98" s="261" t="s">
        <v>239</v>
      </c>
      <c r="AD98" s="261" t="s">
        <v>148</v>
      </c>
      <c r="AE98" s="261" t="s">
        <v>111</v>
      </c>
      <c r="AF98" s="262" t="str">
        <f>IF('Project Materials'!$H$6='Project Materials'!$B$196,'Item List'!$B$165,"None")</f>
        <v>None</v>
      </c>
      <c r="AG98" s="261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88" t="s">
        <v>418</v>
      </c>
      <c r="G99" s="288" t="s">
        <v>48</v>
      </c>
      <c r="H99" s="288" t="s">
        <v>290</v>
      </c>
      <c r="I99" s="288" t="s">
        <v>150</v>
      </c>
      <c r="J99" s="288" t="s">
        <v>111</v>
      </c>
      <c r="K99" s="289" t="str">
        <f>IF('Project Materials'!$D$6='Project Materials'!$B$196,'Item List'!$B$165,"None")</f>
        <v>None</v>
      </c>
      <c r="L99" s="288" t="s">
        <v>418</v>
      </c>
      <c r="M99" s="293" t="s">
        <v>418</v>
      </c>
      <c r="N99" s="293" t="s">
        <v>48</v>
      </c>
      <c r="O99" s="293" t="s">
        <v>290</v>
      </c>
      <c r="P99" s="293" t="s">
        <v>150</v>
      </c>
      <c r="Q99" s="293" t="s">
        <v>111</v>
      </c>
      <c r="R99" s="294" t="str">
        <f>IF('Project Materials'!$H$6='Project Materials'!$B$196,'Item List'!$B$165,"None")</f>
        <v>None</v>
      </c>
      <c r="S99" s="293" t="s">
        <v>418</v>
      </c>
      <c r="T99" s="260" t="s">
        <v>418</v>
      </c>
      <c r="U99" s="260" t="s">
        <v>48</v>
      </c>
      <c r="V99" s="260" t="s">
        <v>290</v>
      </c>
      <c r="W99" s="260" t="s">
        <v>150</v>
      </c>
      <c r="X99" s="260" t="s">
        <v>111</v>
      </c>
      <c r="Y99" s="219" t="str">
        <f>IF('Project Materials'!$H$6='Project Materials'!$B$196,'Item List'!$B$165,"None")</f>
        <v>None</v>
      </c>
      <c r="Z99" s="260" t="s">
        <v>418</v>
      </c>
      <c r="AA99" s="261" t="s">
        <v>418</v>
      </c>
      <c r="AB99" s="261" t="s">
        <v>48</v>
      </c>
      <c r="AC99" s="261" t="s">
        <v>290</v>
      </c>
      <c r="AD99" s="261" t="s">
        <v>150</v>
      </c>
      <c r="AE99" s="261" t="s">
        <v>111</v>
      </c>
      <c r="AF99" s="262" t="str">
        <f>IF('Project Materials'!$H$6='Project Materials'!$B$196,'Item List'!$B$165,"None")</f>
        <v>None</v>
      </c>
      <c r="AG99" s="261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88" t="s">
        <v>418</v>
      </c>
      <c r="G100" s="288" t="s">
        <v>48</v>
      </c>
      <c r="H100" s="288" t="s">
        <v>241</v>
      </c>
      <c r="I100" s="288" t="s">
        <v>152</v>
      </c>
      <c r="J100" s="288" t="s">
        <v>111</v>
      </c>
      <c r="K100" s="289" t="str">
        <f>IF('Project Materials'!$D$6='Project Materials'!$B$196,'Item List'!$B$165,"None")</f>
        <v>None</v>
      </c>
      <c r="L100" s="288" t="s">
        <v>418</v>
      </c>
      <c r="M100" s="293" t="s">
        <v>418</v>
      </c>
      <c r="N100" s="293" t="s">
        <v>48</v>
      </c>
      <c r="O100" s="293" t="s">
        <v>241</v>
      </c>
      <c r="P100" s="293" t="s">
        <v>152</v>
      </c>
      <c r="Q100" s="293" t="s">
        <v>111</v>
      </c>
      <c r="R100" s="294" t="str">
        <f>IF('Project Materials'!$H$6='Project Materials'!$B$196,'Item List'!$B$165,"None")</f>
        <v>None</v>
      </c>
      <c r="S100" s="293" t="s">
        <v>418</v>
      </c>
      <c r="T100" s="260" t="s">
        <v>418</v>
      </c>
      <c r="U100" s="260" t="s">
        <v>48</v>
      </c>
      <c r="V100" s="260" t="s">
        <v>241</v>
      </c>
      <c r="W100" s="260" t="s">
        <v>152</v>
      </c>
      <c r="X100" s="260" t="s">
        <v>111</v>
      </c>
      <c r="Y100" s="219" t="str">
        <f>IF('Project Materials'!$H$6='Project Materials'!$B$196,'Item List'!$B$165,"None")</f>
        <v>None</v>
      </c>
      <c r="Z100" s="260" t="s">
        <v>418</v>
      </c>
      <c r="AA100" s="261" t="s">
        <v>418</v>
      </c>
      <c r="AB100" s="261" t="s">
        <v>48</v>
      </c>
      <c r="AC100" s="261" t="s">
        <v>241</v>
      </c>
      <c r="AD100" s="261" t="s">
        <v>152</v>
      </c>
      <c r="AE100" s="261" t="s">
        <v>111</v>
      </c>
      <c r="AF100" s="262" t="str">
        <f>IF('Project Materials'!$H$6='Project Materials'!$B$196,'Item List'!$B$165,"None")</f>
        <v>None</v>
      </c>
      <c r="AG100" s="261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88" t="s">
        <v>418</v>
      </c>
      <c r="G101" s="288" t="s">
        <v>48</v>
      </c>
      <c r="H101" s="288" t="s">
        <v>237</v>
      </c>
      <c r="I101" s="288" t="s">
        <v>146</v>
      </c>
      <c r="J101" s="288" t="s">
        <v>111</v>
      </c>
      <c r="K101" s="289" t="str">
        <f>IF('Project Materials'!$D$6='Project Materials'!$B$196,'Item List'!$B$165,"None")</f>
        <v>None</v>
      </c>
      <c r="L101" s="288" t="s">
        <v>418</v>
      </c>
      <c r="M101" s="293" t="s">
        <v>418</v>
      </c>
      <c r="N101" s="293" t="s">
        <v>48</v>
      </c>
      <c r="O101" s="293" t="s">
        <v>237</v>
      </c>
      <c r="P101" s="293" t="s">
        <v>146</v>
      </c>
      <c r="Q101" s="293" t="s">
        <v>111</v>
      </c>
      <c r="R101" s="294" t="str">
        <f>IF('Project Materials'!$H$6='Project Materials'!$B$196,'Item List'!$B$165,"None")</f>
        <v>None</v>
      </c>
      <c r="S101" s="293" t="s">
        <v>418</v>
      </c>
      <c r="T101" s="260" t="s">
        <v>418</v>
      </c>
      <c r="U101" s="260" t="s">
        <v>48</v>
      </c>
      <c r="V101" s="260" t="s">
        <v>237</v>
      </c>
      <c r="W101" s="260" t="s">
        <v>146</v>
      </c>
      <c r="X101" s="260" t="s">
        <v>111</v>
      </c>
      <c r="Y101" s="219" t="str">
        <f>IF('Project Materials'!$H$6='Project Materials'!$B$196,'Item List'!$B$165,"None")</f>
        <v>None</v>
      </c>
      <c r="Z101" s="260" t="s">
        <v>418</v>
      </c>
      <c r="AA101" s="261" t="s">
        <v>418</v>
      </c>
      <c r="AB101" s="261" t="s">
        <v>48</v>
      </c>
      <c r="AC101" s="261" t="s">
        <v>237</v>
      </c>
      <c r="AD101" s="261" t="s">
        <v>146</v>
      </c>
      <c r="AE101" s="261" t="s">
        <v>111</v>
      </c>
      <c r="AF101" s="262" t="str">
        <f>IF('Project Materials'!$H$6='Project Materials'!$B$196,'Item List'!$B$165,"None")</f>
        <v>None</v>
      </c>
      <c r="AG101" s="261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88" t="s">
        <v>418</v>
      </c>
      <c r="G102" s="288" t="s">
        <v>48</v>
      </c>
      <c r="H102" s="288" t="s">
        <v>239</v>
      </c>
      <c r="I102" s="288" t="s">
        <v>148</v>
      </c>
      <c r="J102" s="288" t="s">
        <v>111</v>
      </c>
      <c r="K102" s="289" t="str">
        <f>IF('Project Materials'!$D$6='Project Materials'!$B$196,'Item List'!$B$165,"None")</f>
        <v>None</v>
      </c>
      <c r="L102" s="288" t="s">
        <v>418</v>
      </c>
      <c r="M102" s="293" t="s">
        <v>418</v>
      </c>
      <c r="N102" s="293" t="s">
        <v>48</v>
      </c>
      <c r="O102" s="293" t="s">
        <v>239</v>
      </c>
      <c r="P102" s="293" t="s">
        <v>148</v>
      </c>
      <c r="Q102" s="293" t="s">
        <v>111</v>
      </c>
      <c r="R102" s="294" t="str">
        <f>IF('Project Materials'!$H$6='Project Materials'!$B$196,'Item List'!$B$165,"None")</f>
        <v>None</v>
      </c>
      <c r="S102" s="293" t="s">
        <v>418</v>
      </c>
      <c r="T102" s="260" t="s">
        <v>418</v>
      </c>
      <c r="U102" s="260" t="s">
        <v>48</v>
      </c>
      <c r="V102" s="260" t="s">
        <v>239</v>
      </c>
      <c r="W102" s="260" t="s">
        <v>148</v>
      </c>
      <c r="X102" s="260" t="s">
        <v>111</v>
      </c>
      <c r="Y102" s="219" t="str">
        <f>IF('Project Materials'!$H$6='Project Materials'!$B$196,'Item List'!$B$165,"None")</f>
        <v>None</v>
      </c>
      <c r="Z102" s="260" t="s">
        <v>418</v>
      </c>
      <c r="AA102" s="261" t="s">
        <v>418</v>
      </c>
      <c r="AB102" s="261" t="s">
        <v>48</v>
      </c>
      <c r="AC102" s="261" t="s">
        <v>239</v>
      </c>
      <c r="AD102" s="261" t="s">
        <v>148</v>
      </c>
      <c r="AE102" s="261" t="s">
        <v>111</v>
      </c>
      <c r="AF102" s="262" t="str">
        <f>IF('Project Materials'!$H$6='Project Materials'!$B$196,'Item List'!$B$165,"None")</f>
        <v>None</v>
      </c>
      <c r="AG102" s="261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88" t="s">
        <v>418</v>
      </c>
      <c r="G103" s="288" t="s">
        <v>48</v>
      </c>
      <c r="H103" s="288" t="s">
        <v>290</v>
      </c>
      <c r="I103" s="288" t="s">
        <v>150</v>
      </c>
      <c r="J103" s="288" t="s">
        <v>111</v>
      </c>
      <c r="K103" s="289" t="str">
        <f>IF('Project Materials'!$D$6='Project Materials'!$B$196,'Item List'!$B$165,"None")</f>
        <v>None</v>
      </c>
      <c r="L103" s="288" t="s">
        <v>418</v>
      </c>
      <c r="M103" s="293" t="s">
        <v>418</v>
      </c>
      <c r="N103" s="293" t="s">
        <v>48</v>
      </c>
      <c r="O103" s="293" t="s">
        <v>290</v>
      </c>
      <c r="P103" s="293" t="s">
        <v>150</v>
      </c>
      <c r="Q103" s="293" t="s">
        <v>111</v>
      </c>
      <c r="R103" s="294" t="str">
        <f>IF('Project Materials'!$H$6='Project Materials'!$B$196,'Item List'!$B$165,"None")</f>
        <v>None</v>
      </c>
      <c r="S103" s="293" t="s">
        <v>418</v>
      </c>
      <c r="T103" s="260" t="s">
        <v>418</v>
      </c>
      <c r="U103" s="260" t="s">
        <v>48</v>
      </c>
      <c r="V103" s="260" t="s">
        <v>290</v>
      </c>
      <c r="W103" s="260" t="s">
        <v>150</v>
      </c>
      <c r="X103" s="260" t="s">
        <v>111</v>
      </c>
      <c r="Y103" s="219" t="str">
        <f>IF('Project Materials'!$H$6='Project Materials'!$B$196,'Item List'!$B$165,"None")</f>
        <v>None</v>
      </c>
      <c r="Z103" s="260" t="s">
        <v>418</v>
      </c>
      <c r="AA103" s="261" t="s">
        <v>418</v>
      </c>
      <c r="AB103" s="261" t="s">
        <v>48</v>
      </c>
      <c r="AC103" s="261" t="s">
        <v>290</v>
      </c>
      <c r="AD103" s="261" t="s">
        <v>150</v>
      </c>
      <c r="AE103" s="261" t="s">
        <v>111</v>
      </c>
      <c r="AF103" s="262" t="str">
        <f>IF('Project Materials'!$H$6='Project Materials'!$B$196,'Item List'!$B$165,"None")</f>
        <v>None</v>
      </c>
      <c r="AG103" s="261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88" t="s">
        <v>418</v>
      </c>
      <c r="G104" s="288" t="s">
        <v>48</v>
      </c>
      <c r="H104" s="288" t="s">
        <v>241</v>
      </c>
      <c r="I104" s="288" t="s">
        <v>152</v>
      </c>
      <c r="J104" s="288" t="s">
        <v>111</v>
      </c>
      <c r="K104" s="289" t="str">
        <f>IF('Project Materials'!$D$6='Project Materials'!$B$196,'Item List'!$B$165,"None")</f>
        <v>None</v>
      </c>
      <c r="L104" s="288" t="s">
        <v>418</v>
      </c>
      <c r="M104" s="293" t="s">
        <v>418</v>
      </c>
      <c r="N104" s="293" t="s">
        <v>48</v>
      </c>
      <c r="O104" s="293" t="s">
        <v>241</v>
      </c>
      <c r="P104" s="293" t="s">
        <v>152</v>
      </c>
      <c r="Q104" s="293" t="s">
        <v>111</v>
      </c>
      <c r="R104" s="294" t="str">
        <f>IF('Project Materials'!$H$6='Project Materials'!$B$196,'Item List'!$B$165,"None")</f>
        <v>None</v>
      </c>
      <c r="S104" s="293" t="s">
        <v>418</v>
      </c>
      <c r="T104" s="260" t="s">
        <v>418</v>
      </c>
      <c r="U104" s="260" t="s">
        <v>48</v>
      </c>
      <c r="V104" s="260" t="s">
        <v>241</v>
      </c>
      <c r="W104" s="260" t="s">
        <v>152</v>
      </c>
      <c r="X104" s="260" t="s">
        <v>111</v>
      </c>
      <c r="Y104" s="219" t="str">
        <f>IF('Project Materials'!$H$6='Project Materials'!$B$196,'Item List'!$B$165,"None")</f>
        <v>None</v>
      </c>
      <c r="Z104" s="260" t="s">
        <v>418</v>
      </c>
      <c r="AA104" s="261" t="s">
        <v>418</v>
      </c>
      <c r="AB104" s="261" t="s">
        <v>48</v>
      </c>
      <c r="AC104" s="261" t="s">
        <v>241</v>
      </c>
      <c r="AD104" s="261" t="s">
        <v>152</v>
      </c>
      <c r="AE104" s="261" t="s">
        <v>111</v>
      </c>
      <c r="AF104" s="262" t="str">
        <f>IF('Project Materials'!$H$6='Project Materials'!$B$196,'Item List'!$B$165,"None")</f>
        <v>None</v>
      </c>
      <c r="AG104" s="261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88" t="s">
        <v>418</v>
      </c>
      <c r="G105" s="288" t="s">
        <v>48</v>
      </c>
      <c r="H105" s="288" t="s">
        <v>237</v>
      </c>
      <c r="I105" s="288" t="s">
        <v>146</v>
      </c>
      <c r="J105" s="288" t="s">
        <v>111</v>
      </c>
      <c r="K105" s="289" t="str">
        <f>IF('Project Materials'!$D$6='Project Materials'!$B$196,'Item List'!$B$165,"None")</f>
        <v>None</v>
      </c>
      <c r="L105" s="288" t="s">
        <v>418</v>
      </c>
      <c r="M105" s="293" t="s">
        <v>418</v>
      </c>
      <c r="N105" s="293" t="s">
        <v>48</v>
      </c>
      <c r="O105" s="293" t="s">
        <v>237</v>
      </c>
      <c r="P105" s="293" t="s">
        <v>146</v>
      </c>
      <c r="Q105" s="293" t="s">
        <v>111</v>
      </c>
      <c r="R105" s="294" t="str">
        <f>IF('Project Materials'!$H$6='Project Materials'!$B$196,'Item List'!$B$165,"None")</f>
        <v>None</v>
      </c>
      <c r="S105" s="293" t="s">
        <v>418</v>
      </c>
      <c r="T105" s="260" t="s">
        <v>418</v>
      </c>
      <c r="U105" s="260" t="s">
        <v>48</v>
      </c>
      <c r="V105" s="260" t="s">
        <v>237</v>
      </c>
      <c r="W105" s="260" t="s">
        <v>146</v>
      </c>
      <c r="X105" s="260" t="s">
        <v>111</v>
      </c>
      <c r="Y105" s="219" t="str">
        <f>IF('Project Materials'!$H$6='Project Materials'!$B$196,'Item List'!$B$165,"None")</f>
        <v>None</v>
      </c>
      <c r="Z105" s="260" t="s">
        <v>418</v>
      </c>
      <c r="AA105" s="261" t="s">
        <v>418</v>
      </c>
      <c r="AB105" s="261" t="s">
        <v>48</v>
      </c>
      <c r="AC105" s="261" t="s">
        <v>237</v>
      </c>
      <c r="AD105" s="261" t="s">
        <v>146</v>
      </c>
      <c r="AE105" s="261" t="s">
        <v>111</v>
      </c>
      <c r="AF105" s="262" t="str">
        <f>IF('Project Materials'!$H$6='Project Materials'!$B$196,'Item List'!$B$165,"None")</f>
        <v>None</v>
      </c>
      <c r="AG105" s="261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88" t="s">
        <v>418</v>
      </c>
      <c r="G106" s="288" t="s">
        <v>48</v>
      </c>
      <c r="H106" s="288" t="s">
        <v>239</v>
      </c>
      <c r="I106" s="288" t="s">
        <v>148</v>
      </c>
      <c r="J106" s="288" t="s">
        <v>111</v>
      </c>
      <c r="K106" s="289" t="str">
        <f>IF('Project Materials'!$D$6='Project Materials'!$B$196,'Item List'!$B$165,"None")</f>
        <v>None</v>
      </c>
      <c r="L106" s="288" t="s">
        <v>418</v>
      </c>
      <c r="M106" s="293" t="s">
        <v>418</v>
      </c>
      <c r="N106" s="293" t="s">
        <v>48</v>
      </c>
      <c r="O106" s="293" t="s">
        <v>239</v>
      </c>
      <c r="P106" s="293" t="s">
        <v>148</v>
      </c>
      <c r="Q106" s="293" t="s">
        <v>111</v>
      </c>
      <c r="R106" s="294" t="str">
        <f>IF('Project Materials'!$H$6='Project Materials'!$B$196,'Item List'!$B$165,"None")</f>
        <v>None</v>
      </c>
      <c r="S106" s="293" t="s">
        <v>418</v>
      </c>
      <c r="T106" s="260" t="s">
        <v>418</v>
      </c>
      <c r="U106" s="260" t="s">
        <v>48</v>
      </c>
      <c r="V106" s="260" t="s">
        <v>239</v>
      </c>
      <c r="W106" s="260" t="s">
        <v>148</v>
      </c>
      <c r="X106" s="260" t="s">
        <v>111</v>
      </c>
      <c r="Y106" s="219" t="str">
        <f>IF('Project Materials'!$H$6='Project Materials'!$B$196,'Item List'!$B$165,"None")</f>
        <v>None</v>
      </c>
      <c r="Z106" s="260" t="s">
        <v>418</v>
      </c>
      <c r="AA106" s="261" t="s">
        <v>418</v>
      </c>
      <c r="AB106" s="261" t="s">
        <v>48</v>
      </c>
      <c r="AC106" s="261" t="s">
        <v>239</v>
      </c>
      <c r="AD106" s="261" t="s">
        <v>148</v>
      </c>
      <c r="AE106" s="261" t="s">
        <v>111</v>
      </c>
      <c r="AF106" s="262" t="str">
        <f>IF('Project Materials'!$H$6='Project Materials'!$B$196,'Item List'!$B$165,"None")</f>
        <v>None</v>
      </c>
      <c r="AG106" s="261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88" t="s">
        <v>418</v>
      </c>
      <c r="G107" s="288" t="s">
        <v>48</v>
      </c>
      <c r="H107" s="288" t="s">
        <v>290</v>
      </c>
      <c r="I107" s="288" t="s">
        <v>150</v>
      </c>
      <c r="J107" s="288" t="s">
        <v>111</v>
      </c>
      <c r="K107" s="289" t="str">
        <f>IF('Project Materials'!$D$6='Project Materials'!$B$196,'Item List'!$B$165,"None")</f>
        <v>None</v>
      </c>
      <c r="L107" s="288" t="s">
        <v>418</v>
      </c>
      <c r="M107" s="293" t="s">
        <v>418</v>
      </c>
      <c r="N107" s="293" t="s">
        <v>48</v>
      </c>
      <c r="O107" s="293" t="s">
        <v>290</v>
      </c>
      <c r="P107" s="293" t="s">
        <v>150</v>
      </c>
      <c r="Q107" s="293" t="s">
        <v>111</v>
      </c>
      <c r="R107" s="294" t="str">
        <f>IF('Project Materials'!$H$6='Project Materials'!$B$196,'Item List'!$B$165,"None")</f>
        <v>None</v>
      </c>
      <c r="S107" s="293" t="s">
        <v>418</v>
      </c>
      <c r="T107" s="260" t="s">
        <v>418</v>
      </c>
      <c r="U107" s="260" t="s">
        <v>48</v>
      </c>
      <c r="V107" s="260" t="s">
        <v>290</v>
      </c>
      <c r="W107" s="260" t="s">
        <v>150</v>
      </c>
      <c r="X107" s="260" t="s">
        <v>111</v>
      </c>
      <c r="Y107" s="219" t="str">
        <f>IF('Project Materials'!$H$6='Project Materials'!$B$196,'Item List'!$B$165,"None")</f>
        <v>None</v>
      </c>
      <c r="Z107" s="260" t="s">
        <v>418</v>
      </c>
      <c r="AA107" s="261" t="s">
        <v>418</v>
      </c>
      <c r="AB107" s="261" t="s">
        <v>48</v>
      </c>
      <c r="AC107" s="261" t="s">
        <v>290</v>
      </c>
      <c r="AD107" s="261" t="s">
        <v>150</v>
      </c>
      <c r="AE107" s="261" t="s">
        <v>111</v>
      </c>
      <c r="AF107" s="262" t="str">
        <f>IF('Project Materials'!$H$6='Project Materials'!$B$196,'Item List'!$B$165,"None")</f>
        <v>None</v>
      </c>
      <c r="AG107" s="261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88" t="s">
        <v>418</v>
      </c>
      <c r="G108" s="288" t="s">
        <v>48</v>
      </c>
      <c r="H108" s="288" t="s">
        <v>241</v>
      </c>
      <c r="I108" s="288" t="s">
        <v>152</v>
      </c>
      <c r="J108" s="288" t="s">
        <v>111</v>
      </c>
      <c r="K108" s="289" t="str">
        <f>IF('Project Materials'!$D$6='Project Materials'!$B$196,'Item List'!$B$165,"None")</f>
        <v>None</v>
      </c>
      <c r="L108" s="288" t="s">
        <v>418</v>
      </c>
      <c r="M108" s="293" t="s">
        <v>418</v>
      </c>
      <c r="N108" s="293" t="s">
        <v>48</v>
      </c>
      <c r="O108" s="293" t="s">
        <v>241</v>
      </c>
      <c r="P108" s="293" t="s">
        <v>152</v>
      </c>
      <c r="Q108" s="293" t="s">
        <v>111</v>
      </c>
      <c r="R108" s="294" t="str">
        <f>IF('Project Materials'!$H$6='Project Materials'!$B$196,'Item List'!$B$165,"None")</f>
        <v>None</v>
      </c>
      <c r="S108" s="293" t="s">
        <v>418</v>
      </c>
      <c r="T108" s="260" t="s">
        <v>418</v>
      </c>
      <c r="U108" s="260" t="s">
        <v>48</v>
      </c>
      <c r="V108" s="260" t="s">
        <v>241</v>
      </c>
      <c r="W108" s="260" t="s">
        <v>152</v>
      </c>
      <c r="X108" s="260" t="s">
        <v>111</v>
      </c>
      <c r="Y108" s="219" t="str">
        <f>IF('Project Materials'!$H$6='Project Materials'!$B$196,'Item List'!$B$165,"None")</f>
        <v>None</v>
      </c>
      <c r="Z108" s="260" t="s">
        <v>418</v>
      </c>
      <c r="AA108" s="261" t="s">
        <v>418</v>
      </c>
      <c r="AB108" s="261" t="s">
        <v>48</v>
      </c>
      <c r="AC108" s="261" t="s">
        <v>241</v>
      </c>
      <c r="AD108" s="261" t="s">
        <v>152</v>
      </c>
      <c r="AE108" s="261" t="s">
        <v>111</v>
      </c>
      <c r="AF108" s="262" t="str">
        <f>IF('Project Materials'!$H$6='Project Materials'!$B$196,'Item List'!$B$165,"None")</f>
        <v>None</v>
      </c>
      <c r="AG108" s="261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88" t="s">
        <v>418</v>
      </c>
      <c r="G109" s="288" t="s">
        <v>48</v>
      </c>
      <c r="H109" s="288" t="s">
        <v>237</v>
      </c>
      <c r="I109" s="288" t="s">
        <v>146</v>
      </c>
      <c r="J109" s="288" t="s">
        <v>111</v>
      </c>
      <c r="K109" s="289" t="str">
        <f>IF('Project Materials'!$D$6='Project Materials'!$B$196,'Item List'!$B$165,"None")</f>
        <v>None</v>
      </c>
      <c r="L109" s="288" t="s">
        <v>418</v>
      </c>
      <c r="M109" s="293" t="s">
        <v>418</v>
      </c>
      <c r="N109" s="293" t="s">
        <v>48</v>
      </c>
      <c r="O109" s="293" t="s">
        <v>237</v>
      </c>
      <c r="P109" s="293" t="s">
        <v>146</v>
      </c>
      <c r="Q109" s="293" t="s">
        <v>111</v>
      </c>
      <c r="R109" s="294" t="str">
        <f>IF('Project Materials'!$H$6='Project Materials'!$B$196,'Item List'!$B$165,"None")</f>
        <v>None</v>
      </c>
      <c r="S109" s="293" t="s">
        <v>418</v>
      </c>
      <c r="T109" s="260" t="s">
        <v>418</v>
      </c>
      <c r="U109" s="260" t="s">
        <v>48</v>
      </c>
      <c r="V109" s="260" t="s">
        <v>237</v>
      </c>
      <c r="W109" s="260" t="s">
        <v>146</v>
      </c>
      <c r="X109" s="260" t="s">
        <v>111</v>
      </c>
      <c r="Y109" s="219" t="str">
        <f>IF('Project Materials'!$H$6='Project Materials'!$B$196,'Item List'!$B$165,"None")</f>
        <v>None</v>
      </c>
      <c r="Z109" s="260" t="s">
        <v>418</v>
      </c>
      <c r="AA109" s="261" t="s">
        <v>418</v>
      </c>
      <c r="AB109" s="261" t="s">
        <v>48</v>
      </c>
      <c r="AC109" s="261" t="s">
        <v>237</v>
      </c>
      <c r="AD109" s="261" t="s">
        <v>146</v>
      </c>
      <c r="AE109" s="261" t="s">
        <v>111</v>
      </c>
      <c r="AF109" s="262" t="str">
        <f>IF('Project Materials'!$H$6='Project Materials'!$B$196,'Item List'!$B$165,"None")</f>
        <v>None</v>
      </c>
      <c r="AG109" s="261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88" t="s">
        <v>418</v>
      </c>
      <c r="G110" s="288" t="s">
        <v>48</v>
      </c>
      <c r="H110" s="288" t="s">
        <v>239</v>
      </c>
      <c r="I110" s="288" t="s">
        <v>148</v>
      </c>
      <c r="J110" s="288" t="s">
        <v>111</v>
      </c>
      <c r="K110" s="289" t="str">
        <f>IF('Project Materials'!$D$6='Project Materials'!$B$196,'Item List'!$B$165,"None")</f>
        <v>None</v>
      </c>
      <c r="L110" s="288" t="s">
        <v>418</v>
      </c>
      <c r="M110" s="293" t="s">
        <v>418</v>
      </c>
      <c r="N110" s="293" t="s">
        <v>48</v>
      </c>
      <c r="O110" s="293" t="s">
        <v>239</v>
      </c>
      <c r="P110" s="293" t="s">
        <v>148</v>
      </c>
      <c r="Q110" s="293" t="s">
        <v>111</v>
      </c>
      <c r="R110" s="294" t="str">
        <f>IF('Project Materials'!$H$6='Project Materials'!$B$196,'Item List'!$B$165,"None")</f>
        <v>None</v>
      </c>
      <c r="S110" s="293" t="s">
        <v>418</v>
      </c>
      <c r="T110" s="260" t="s">
        <v>418</v>
      </c>
      <c r="U110" s="260" t="s">
        <v>48</v>
      </c>
      <c r="V110" s="260" t="s">
        <v>239</v>
      </c>
      <c r="W110" s="260" t="s">
        <v>148</v>
      </c>
      <c r="X110" s="260" t="s">
        <v>111</v>
      </c>
      <c r="Y110" s="219" t="str">
        <f>IF('Project Materials'!$H$6='Project Materials'!$B$196,'Item List'!$B$165,"None")</f>
        <v>None</v>
      </c>
      <c r="Z110" s="260" t="s">
        <v>418</v>
      </c>
      <c r="AA110" s="261" t="s">
        <v>418</v>
      </c>
      <c r="AB110" s="261" t="s">
        <v>48</v>
      </c>
      <c r="AC110" s="261" t="s">
        <v>239</v>
      </c>
      <c r="AD110" s="261" t="s">
        <v>148</v>
      </c>
      <c r="AE110" s="261" t="s">
        <v>111</v>
      </c>
      <c r="AF110" s="262" t="str">
        <f>IF('Project Materials'!$H$6='Project Materials'!$B$196,'Item List'!$B$165,"None")</f>
        <v>None</v>
      </c>
      <c r="AG110" s="261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88" t="s">
        <v>418</v>
      </c>
      <c r="G111" s="288" t="s">
        <v>48</v>
      </c>
      <c r="H111" s="288" t="s">
        <v>290</v>
      </c>
      <c r="I111" s="288" t="s">
        <v>150</v>
      </c>
      <c r="J111" s="288" t="s">
        <v>111</v>
      </c>
      <c r="K111" s="289" t="str">
        <f>IF('Project Materials'!$D$6='Project Materials'!$B$196,'Item List'!$B$165,"None")</f>
        <v>None</v>
      </c>
      <c r="L111" s="288" t="s">
        <v>418</v>
      </c>
      <c r="M111" s="293" t="s">
        <v>418</v>
      </c>
      <c r="N111" s="293" t="s">
        <v>48</v>
      </c>
      <c r="O111" s="293" t="s">
        <v>290</v>
      </c>
      <c r="P111" s="293" t="s">
        <v>150</v>
      </c>
      <c r="Q111" s="293" t="s">
        <v>111</v>
      </c>
      <c r="R111" s="294" t="str">
        <f>IF('Project Materials'!$H$6='Project Materials'!$B$196,'Item List'!$B$165,"None")</f>
        <v>None</v>
      </c>
      <c r="S111" s="293" t="s">
        <v>418</v>
      </c>
      <c r="T111" s="260" t="s">
        <v>418</v>
      </c>
      <c r="U111" s="260" t="s">
        <v>48</v>
      </c>
      <c r="V111" s="260" t="s">
        <v>290</v>
      </c>
      <c r="W111" s="260" t="s">
        <v>150</v>
      </c>
      <c r="X111" s="260" t="s">
        <v>111</v>
      </c>
      <c r="Y111" s="219" t="str">
        <f>IF('Project Materials'!$H$6='Project Materials'!$B$196,'Item List'!$B$165,"None")</f>
        <v>None</v>
      </c>
      <c r="Z111" s="260" t="s">
        <v>418</v>
      </c>
      <c r="AA111" s="261" t="s">
        <v>418</v>
      </c>
      <c r="AB111" s="261" t="s">
        <v>48</v>
      </c>
      <c r="AC111" s="261" t="s">
        <v>290</v>
      </c>
      <c r="AD111" s="261" t="s">
        <v>150</v>
      </c>
      <c r="AE111" s="261" t="s">
        <v>111</v>
      </c>
      <c r="AF111" s="262" t="str">
        <f>IF('Project Materials'!$H$6='Project Materials'!$B$196,'Item List'!$B$165,"None")</f>
        <v>None</v>
      </c>
      <c r="AG111" s="261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88" t="s">
        <v>418</v>
      </c>
      <c r="G112" s="288" t="s">
        <v>48</v>
      </c>
      <c r="H112" s="288" t="s">
        <v>241</v>
      </c>
      <c r="I112" s="288" t="s">
        <v>152</v>
      </c>
      <c r="J112" s="288" t="s">
        <v>111</v>
      </c>
      <c r="K112" s="289" t="str">
        <f>IF('Project Materials'!$D$6='Project Materials'!$B$196,'Item List'!$B$165,"None")</f>
        <v>None</v>
      </c>
      <c r="L112" s="288" t="s">
        <v>418</v>
      </c>
      <c r="M112" s="293" t="s">
        <v>418</v>
      </c>
      <c r="N112" s="293" t="s">
        <v>48</v>
      </c>
      <c r="O112" s="293" t="s">
        <v>241</v>
      </c>
      <c r="P112" s="293" t="s">
        <v>152</v>
      </c>
      <c r="Q112" s="293" t="s">
        <v>111</v>
      </c>
      <c r="R112" s="294" t="str">
        <f>IF('Project Materials'!$H$6='Project Materials'!$B$196,'Item List'!$B$165,"None")</f>
        <v>None</v>
      </c>
      <c r="S112" s="293" t="s">
        <v>418</v>
      </c>
      <c r="T112" s="260" t="s">
        <v>418</v>
      </c>
      <c r="U112" s="260" t="s">
        <v>48</v>
      </c>
      <c r="V112" s="260" t="s">
        <v>241</v>
      </c>
      <c r="W112" s="260" t="s">
        <v>152</v>
      </c>
      <c r="X112" s="260" t="s">
        <v>111</v>
      </c>
      <c r="Y112" s="219" t="str">
        <f>IF('Project Materials'!$H$6='Project Materials'!$B$196,'Item List'!$B$165,"None")</f>
        <v>None</v>
      </c>
      <c r="Z112" s="260" t="s">
        <v>418</v>
      </c>
      <c r="AA112" s="261" t="s">
        <v>418</v>
      </c>
      <c r="AB112" s="261" t="s">
        <v>48</v>
      </c>
      <c r="AC112" s="261" t="s">
        <v>241</v>
      </c>
      <c r="AD112" s="261" t="s">
        <v>152</v>
      </c>
      <c r="AE112" s="261" t="s">
        <v>111</v>
      </c>
      <c r="AF112" s="262" t="str">
        <f>IF('Project Materials'!$H$6='Project Materials'!$B$196,'Item List'!$B$165,"None")</f>
        <v>None</v>
      </c>
      <c r="AG112" s="261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88" t="s">
        <v>418</v>
      </c>
      <c r="G113" s="288" t="s">
        <v>48</v>
      </c>
      <c r="H113" s="288" t="s">
        <v>237</v>
      </c>
      <c r="I113" s="288" t="s">
        <v>146</v>
      </c>
      <c r="J113" s="288" t="s">
        <v>111</v>
      </c>
      <c r="K113" s="289" t="str">
        <f>IF('Project Materials'!$D$6='Project Materials'!$B$196,'Item List'!$B$165,"None")</f>
        <v>None</v>
      </c>
      <c r="L113" s="288" t="s">
        <v>418</v>
      </c>
      <c r="M113" s="293" t="s">
        <v>418</v>
      </c>
      <c r="N113" s="293" t="s">
        <v>48</v>
      </c>
      <c r="O113" s="293" t="s">
        <v>237</v>
      </c>
      <c r="P113" s="293" t="s">
        <v>146</v>
      </c>
      <c r="Q113" s="293" t="s">
        <v>111</v>
      </c>
      <c r="R113" s="294" t="str">
        <f>IF('Project Materials'!$H$6='Project Materials'!$B$196,'Item List'!$B$165,"None")</f>
        <v>None</v>
      </c>
      <c r="S113" s="293" t="s">
        <v>418</v>
      </c>
      <c r="T113" s="260" t="s">
        <v>418</v>
      </c>
      <c r="U113" s="260" t="s">
        <v>48</v>
      </c>
      <c r="V113" s="260" t="s">
        <v>237</v>
      </c>
      <c r="W113" s="260" t="s">
        <v>146</v>
      </c>
      <c r="X113" s="260" t="s">
        <v>111</v>
      </c>
      <c r="Y113" s="219" t="str">
        <f>IF('Project Materials'!$H$6='Project Materials'!$B$196,'Item List'!$B$165,"None")</f>
        <v>None</v>
      </c>
      <c r="Z113" s="260" t="s">
        <v>418</v>
      </c>
      <c r="AA113" s="261" t="s">
        <v>418</v>
      </c>
      <c r="AB113" s="261" t="s">
        <v>48</v>
      </c>
      <c r="AC113" s="261" t="s">
        <v>237</v>
      </c>
      <c r="AD113" s="261" t="s">
        <v>146</v>
      </c>
      <c r="AE113" s="261" t="s">
        <v>111</v>
      </c>
      <c r="AF113" s="262" t="str">
        <f>IF('Project Materials'!$H$6='Project Materials'!$B$196,'Item List'!$B$165,"None")</f>
        <v>None</v>
      </c>
      <c r="AG113" s="261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88" t="s">
        <v>418</v>
      </c>
      <c r="G114" s="288" t="s">
        <v>48</v>
      </c>
      <c r="H114" s="288" t="s">
        <v>290</v>
      </c>
      <c r="I114" s="288" t="s">
        <v>150</v>
      </c>
      <c r="J114" s="288" t="s">
        <v>111</v>
      </c>
      <c r="K114" s="289" t="str">
        <f>IF('Project Materials'!$D$6='Project Materials'!$B$196,'Item List'!$B$165,"None")</f>
        <v>None</v>
      </c>
      <c r="L114" s="288" t="s">
        <v>418</v>
      </c>
      <c r="M114" s="293" t="s">
        <v>418</v>
      </c>
      <c r="N114" s="293" t="s">
        <v>48</v>
      </c>
      <c r="O114" s="293" t="s">
        <v>290</v>
      </c>
      <c r="P114" s="293" t="s">
        <v>150</v>
      </c>
      <c r="Q114" s="293" t="s">
        <v>111</v>
      </c>
      <c r="R114" s="294" t="str">
        <f>IF('Project Materials'!$H$6='Project Materials'!$B$196,'Item List'!$B$165,"None")</f>
        <v>None</v>
      </c>
      <c r="S114" s="293" t="s">
        <v>418</v>
      </c>
      <c r="T114" s="260" t="s">
        <v>418</v>
      </c>
      <c r="U114" s="260" t="s">
        <v>48</v>
      </c>
      <c r="V114" s="260" t="s">
        <v>290</v>
      </c>
      <c r="W114" s="260" t="s">
        <v>150</v>
      </c>
      <c r="X114" s="260" t="s">
        <v>111</v>
      </c>
      <c r="Y114" s="219" t="str">
        <f>IF('Project Materials'!$H$6='Project Materials'!$B$196,'Item List'!$B$165,"None")</f>
        <v>None</v>
      </c>
      <c r="Z114" s="260" t="s">
        <v>418</v>
      </c>
      <c r="AA114" s="261" t="s">
        <v>418</v>
      </c>
      <c r="AB114" s="261" t="s">
        <v>48</v>
      </c>
      <c r="AC114" s="261" t="s">
        <v>290</v>
      </c>
      <c r="AD114" s="261" t="s">
        <v>150</v>
      </c>
      <c r="AE114" s="261" t="s">
        <v>111</v>
      </c>
      <c r="AF114" s="262" t="str">
        <f>IF('Project Materials'!$H$6='Project Materials'!$B$196,'Item List'!$B$165,"None")</f>
        <v>None</v>
      </c>
      <c r="AG114" s="261" t="s">
        <v>418</v>
      </c>
      <c r="AL114" s="33"/>
      <c r="AM114" s="33"/>
    </row>
    <row r="115" spans="1:40" x14ac:dyDescent="0.4">
      <c r="A115" s="2"/>
      <c r="B115" s="2"/>
      <c r="C115" s="112"/>
      <c r="D115" s="12"/>
      <c r="E115" s="4"/>
      <c r="F115" s="288" t="s">
        <v>418</v>
      </c>
      <c r="G115" s="288" t="s">
        <v>418</v>
      </c>
      <c r="H115" s="288" t="s">
        <v>418</v>
      </c>
      <c r="I115" s="288" t="s">
        <v>418</v>
      </c>
      <c r="J115" s="288" t="s">
        <v>418</v>
      </c>
      <c r="K115" s="288" t="s">
        <v>418</v>
      </c>
      <c r="L115" s="288" t="s">
        <v>418</v>
      </c>
      <c r="M115" s="293" t="s">
        <v>418</v>
      </c>
      <c r="N115" s="293" t="s">
        <v>418</v>
      </c>
      <c r="O115" s="293" t="s">
        <v>418</v>
      </c>
      <c r="P115" s="293" t="s">
        <v>418</v>
      </c>
      <c r="Q115" s="293" t="s">
        <v>418</v>
      </c>
      <c r="R115" s="293" t="s">
        <v>418</v>
      </c>
      <c r="S115" s="293" t="s">
        <v>418</v>
      </c>
      <c r="T115" s="260" t="s">
        <v>418</v>
      </c>
      <c r="U115" s="260" t="s">
        <v>418</v>
      </c>
      <c r="V115" s="260" t="s">
        <v>418</v>
      </c>
      <c r="W115" s="260" t="s">
        <v>418</v>
      </c>
      <c r="X115" s="260" t="s">
        <v>418</v>
      </c>
      <c r="Y115" s="260" t="s">
        <v>418</v>
      </c>
      <c r="Z115" s="260" t="s">
        <v>418</v>
      </c>
      <c r="AA115" s="261" t="s">
        <v>418</v>
      </c>
      <c r="AB115" s="261" t="s">
        <v>418</v>
      </c>
      <c r="AC115" s="261" t="s">
        <v>418</v>
      </c>
      <c r="AD115" s="261" t="s">
        <v>418</v>
      </c>
      <c r="AE115" s="261" t="s">
        <v>418</v>
      </c>
      <c r="AF115" s="261" t="s">
        <v>418</v>
      </c>
      <c r="AG115" s="261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88" t="s">
        <v>418</v>
      </c>
      <c r="G116" s="288" t="s">
        <v>418</v>
      </c>
      <c r="H116" s="288" t="s">
        <v>418</v>
      </c>
      <c r="I116" s="288" t="s">
        <v>418</v>
      </c>
      <c r="J116" s="288" t="s">
        <v>418</v>
      </c>
      <c r="K116" s="288" t="s">
        <v>418</v>
      </c>
      <c r="L116" s="288" t="s">
        <v>418</v>
      </c>
      <c r="M116" s="293" t="s">
        <v>418</v>
      </c>
      <c r="N116" s="293" t="s">
        <v>418</v>
      </c>
      <c r="O116" s="293" t="s">
        <v>418</v>
      </c>
      <c r="P116" s="293" t="s">
        <v>418</v>
      </c>
      <c r="Q116" s="293" t="s">
        <v>418</v>
      </c>
      <c r="R116" s="293" t="s">
        <v>418</v>
      </c>
      <c r="S116" s="293" t="s">
        <v>418</v>
      </c>
      <c r="T116" s="260" t="s">
        <v>418</v>
      </c>
      <c r="U116" s="260" t="s">
        <v>418</v>
      </c>
      <c r="V116" s="260" t="s">
        <v>418</v>
      </c>
      <c r="W116" s="260" t="s">
        <v>418</v>
      </c>
      <c r="X116" s="260" t="s">
        <v>418</v>
      </c>
      <c r="Y116" s="260" t="s">
        <v>418</v>
      </c>
      <c r="Z116" s="260" t="s">
        <v>418</v>
      </c>
      <c r="AA116" s="261" t="s">
        <v>418</v>
      </c>
      <c r="AB116" s="261" t="s">
        <v>418</v>
      </c>
      <c r="AC116" s="261" t="s">
        <v>418</v>
      </c>
      <c r="AD116" s="261" t="s">
        <v>418</v>
      </c>
      <c r="AE116" s="261" t="s">
        <v>418</v>
      </c>
      <c r="AF116" s="261" t="s">
        <v>418</v>
      </c>
      <c r="AG116" s="261" t="s">
        <v>418</v>
      </c>
      <c r="AH116" s="174"/>
      <c r="AI116" s="169"/>
      <c r="AJ116" s="164"/>
      <c r="AK116" s="216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88" t="s">
        <v>418</v>
      </c>
      <c r="G117" s="288" t="s">
        <v>418</v>
      </c>
      <c r="H117" s="288" t="s">
        <v>418</v>
      </c>
      <c r="I117" s="288" t="s">
        <v>418</v>
      </c>
      <c r="J117" s="288" t="s">
        <v>418</v>
      </c>
      <c r="K117" s="288" t="s">
        <v>418</v>
      </c>
      <c r="L117" s="288" t="s">
        <v>418</v>
      </c>
      <c r="M117" s="293" t="s">
        <v>418</v>
      </c>
      <c r="N117" s="293" t="s">
        <v>418</v>
      </c>
      <c r="O117" s="293" t="s">
        <v>418</v>
      </c>
      <c r="P117" s="293" t="s">
        <v>418</v>
      </c>
      <c r="Q117" s="293" t="s">
        <v>418</v>
      </c>
      <c r="R117" s="293" t="s">
        <v>418</v>
      </c>
      <c r="S117" s="293" t="s">
        <v>418</v>
      </c>
      <c r="T117" s="260" t="s">
        <v>418</v>
      </c>
      <c r="U117" s="260" t="s">
        <v>418</v>
      </c>
      <c r="V117" s="260" t="s">
        <v>418</v>
      </c>
      <c r="W117" s="260" t="s">
        <v>418</v>
      </c>
      <c r="X117" s="260" t="s">
        <v>418</v>
      </c>
      <c r="Y117" s="260" t="s">
        <v>418</v>
      </c>
      <c r="Z117" s="260" t="s">
        <v>418</v>
      </c>
      <c r="AA117" s="261" t="s">
        <v>418</v>
      </c>
      <c r="AB117" s="261" t="s">
        <v>418</v>
      </c>
      <c r="AC117" s="261" t="s">
        <v>418</v>
      </c>
      <c r="AD117" s="261" t="s">
        <v>418</v>
      </c>
      <c r="AE117" s="261" t="s">
        <v>418</v>
      </c>
      <c r="AF117" s="261" t="s">
        <v>418</v>
      </c>
      <c r="AG117" s="261" t="s">
        <v>418</v>
      </c>
      <c r="AH117" s="174"/>
      <c r="AI117" s="169"/>
      <c r="AJ117" s="164"/>
      <c r="AK117" s="216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88" t="s">
        <v>418</v>
      </c>
      <c r="G118" s="288" t="s">
        <v>418</v>
      </c>
      <c r="H118" s="290" t="str">
        <f>$B$295</f>
        <v>SP41- Blk</v>
      </c>
      <c r="I118" s="289" t="str">
        <f>IF('Area A'!$B$6='Item List'!$B$35,'Item List'!$B$299,'Item List'!$B$295)</f>
        <v>SP41- Blk</v>
      </c>
      <c r="J118" s="288" t="s">
        <v>418</v>
      </c>
      <c r="K118" s="288" t="s">
        <v>418</v>
      </c>
      <c r="L118" s="288" t="s">
        <v>418</v>
      </c>
      <c r="M118" s="293" t="s">
        <v>418</v>
      </c>
      <c r="N118" s="293" t="s">
        <v>418</v>
      </c>
      <c r="O118" s="295" t="str">
        <f>$B$295</f>
        <v>SP41- Blk</v>
      </c>
      <c r="P118" s="294" t="str">
        <f>IF('Area B'!$B$6='Item List'!$B$35,'Item List'!$B$299,'Item List'!$B$295)</f>
        <v>SP41- Blk</v>
      </c>
      <c r="Q118" s="293" t="s">
        <v>418</v>
      </c>
      <c r="R118" s="293" t="s">
        <v>418</v>
      </c>
      <c r="S118" s="293" t="s">
        <v>418</v>
      </c>
      <c r="T118" s="260" t="s">
        <v>418</v>
      </c>
      <c r="U118" s="260" t="s">
        <v>418</v>
      </c>
      <c r="V118" s="167" t="str">
        <f>$B$295</f>
        <v>SP41- Blk</v>
      </c>
      <c r="W118" s="219" t="str">
        <f>IF('Area C'!$B$6='Item List'!$B$35,'Item List'!$B$299,'Item List'!$B$295)</f>
        <v>SP42- Blk</v>
      </c>
      <c r="X118" s="260" t="s">
        <v>418</v>
      </c>
      <c r="Y118" s="260" t="s">
        <v>418</v>
      </c>
      <c r="Z118" s="260" t="s">
        <v>418</v>
      </c>
      <c r="AA118" s="261" t="s">
        <v>418</v>
      </c>
      <c r="AB118" s="261" t="s">
        <v>418</v>
      </c>
      <c r="AC118" s="215" t="str">
        <f>$B$295</f>
        <v>SP41- Blk</v>
      </c>
      <c r="AD118" s="262" t="str">
        <f>IF('Area D'!$B$6='Item List'!$B$35,'Item List'!$B$299,'Item List'!$B$295)</f>
        <v>SP42- Blk</v>
      </c>
      <c r="AE118" s="261" t="s">
        <v>418</v>
      </c>
      <c r="AF118" s="261" t="s">
        <v>418</v>
      </c>
      <c r="AG118" s="261" t="s">
        <v>418</v>
      </c>
      <c r="AH118" s="174"/>
      <c r="AI118" s="169"/>
      <c r="AJ118" s="164"/>
      <c r="AK118" s="216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88" t="s">
        <v>418</v>
      </c>
      <c r="G119" s="288" t="s">
        <v>418</v>
      </c>
      <c r="H119" s="290" t="str">
        <f>$B$296</f>
        <v>SP41- Br</v>
      </c>
      <c r="I119" s="289" t="str">
        <f>IF('Area A'!$B$6='Item List'!$B$36,'Item List'!$B$300,'Item List'!$B$296)</f>
        <v>SP41- Br</v>
      </c>
      <c r="J119" s="288" t="s">
        <v>418</v>
      </c>
      <c r="K119" s="288" t="s">
        <v>418</v>
      </c>
      <c r="L119" s="288" t="s">
        <v>418</v>
      </c>
      <c r="M119" s="293" t="s">
        <v>418</v>
      </c>
      <c r="N119" s="293" t="s">
        <v>418</v>
      </c>
      <c r="O119" s="295" t="str">
        <f>$B$296</f>
        <v>SP41- Br</v>
      </c>
      <c r="P119" s="294" t="str">
        <f>IF('Area B'!$B$6='Item List'!$B$36,'Item List'!$B$300,'Item List'!$B$296)</f>
        <v>SP41- Br</v>
      </c>
      <c r="Q119" s="293" t="s">
        <v>418</v>
      </c>
      <c r="R119" s="293" t="s">
        <v>418</v>
      </c>
      <c r="S119" s="293" t="s">
        <v>418</v>
      </c>
      <c r="T119" s="260" t="s">
        <v>418</v>
      </c>
      <c r="U119" s="260" t="s">
        <v>418</v>
      </c>
      <c r="V119" s="167" t="str">
        <f>$B$296</f>
        <v>SP41- Br</v>
      </c>
      <c r="W119" s="219" t="str">
        <f>IF('Area C'!$B$6='Item List'!$B$36,'Item List'!$B$300,'Item List'!$B$296)</f>
        <v>SP41- Br</v>
      </c>
      <c r="X119" s="260" t="s">
        <v>418</v>
      </c>
      <c r="Y119" s="260" t="s">
        <v>418</v>
      </c>
      <c r="Z119" s="260" t="s">
        <v>418</v>
      </c>
      <c r="AA119" s="261" t="s">
        <v>418</v>
      </c>
      <c r="AB119" s="261" t="s">
        <v>418</v>
      </c>
      <c r="AC119" s="215" t="str">
        <f>$B$296</f>
        <v>SP41- Br</v>
      </c>
      <c r="AD119" s="262" t="str">
        <f>IF('Area D'!$B$6='Item List'!$B$36,'Item List'!$B$300,'Item List'!$B$296)</f>
        <v>SP41- Br</v>
      </c>
      <c r="AE119" s="261" t="s">
        <v>418</v>
      </c>
      <c r="AF119" s="261" t="s">
        <v>418</v>
      </c>
      <c r="AG119" s="261" t="s">
        <v>418</v>
      </c>
      <c r="AH119" s="174"/>
      <c r="AI119" s="169"/>
      <c r="AJ119" s="164"/>
      <c r="AK119" s="216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88" t="s">
        <v>418</v>
      </c>
      <c r="G120" s="288" t="s">
        <v>418</v>
      </c>
      <c r="H120" s="290" t="str">
        <f>$B$297</f>
        <v>SP41- Cl</v>
      </c>
      <c r="I120" s="289" t="str">
        <f>IF('Area A'!$B$6='Item List'!$B$37,'Item List'!$B$301,'Item List'!$B$297)</f>
        <v>SP41- Cl</v>
      </c>
      <c r="J120" s="288" t="s">
        <v>418</v>
      </c>
      <c r="K120" s="288" t="s">
        <v>418</v>
      </c>
      <c r="L120" s="288" t="s">
        <v>418</v>
      </c>
      <c r="M120" s="293" t="s">
        <v>418</v>
      </c>
      <c r="N120" s="293" t="s">
        <v>418</v>
      </c>
      <c r="O120" s="295" t="str">
        <f>$B$297</f>
        <v>SP41- Cl</v>
      </c>
      <c r="P120" s="294" t="str">
        <f>IF('Area B'!$B$6='Item List'!$B$37,'Item List'!$B$301,'Item List'!$B$297)</f>
        <v>SP41- Cl</v>
      </c>
      <c r="Q120" s="293" t="s">
        <v>418</v>
      </c>
      <c r="R120" s="293" t="s">
        <v>418</v>
      </c>
      <c r="S120" s="293" t="s">
        <v>418</v>
      </c>
      <c r="T120" s="260" t="s">
        <v>418</v>
      </c>
      <c r="U120" s="260" t="s">
        <v>418</v>
      </c>
      <c r="V120" s="167" t="str">
        <f>$B$297</f>
        <v>SP41- Cl</v>
      </c>
      <c r="W120" s="219" t="str">
        <f>IF('Area C'!$B$6='Item List'!$B$37,'Item List'!$B$301,'Item List'!$B$297)</f>
        <v>SP41- Cl</v>
      </c>
      <c r="X120" s="260" t="s">
        <v>418</v>
      </c>
      <c r="Y120" s="260" t="s">
        <v>418</v>
      </c>
      <c r="Z120" s="260" t="s">
        <v>418</v>
      </c>
      <c r="AA120" s="261" t="s">
        <v>418</v>
      </c>
      <c r="AB120" s="261" t="s">
        <v>418</v>
      </c>
      <c r="AC120" s="215" t="str">
        <f>$B$297</f>
        <v>SP41- Cl</v>
      </c>
      <c r="AD120" s="262" t="str">
        <f>IF('Area D'!$B$6='Item List'!$B$37,'Item List'!$B$301,'Item List'!$B$297)</f>
        <v>SP41- Cl</v>
      </c>
      <c r="AE120" s="261" t="s">
        <v>418</v>
      </c>
      <c r="AF120" s="261" t="s">
        <v>418</v>
      </c>
      <c r="AG120" s="261" t="s">
        <v>418</v>
      </c>
      <c r="AH120" s="174"/>
      <c r="AI120" s="169"/>
      <c r="AJ120" s="164"/>
      <c r="AK120" s="216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88" t="s">
        <v>418</v>
      </c>
      <c r="G121" s="288" t="s">
        <v>418</v>
      </c>
      <c r="H121" s="290" t="str">
        <f>$B$298</f>
        <v>SP41- W</v>
      </c>
      <c r="I121" s="289" t="str">
        <f>IF('Area A'!$B$6='Item List'!$B$38,'Item List'!$B$302,'Item List'!$B$298)</f>
        <v>SP41- W</v>
      </c>
      <c r="J121" s="288" t="s">
        <v>418</v>
      </c>
      <c r="K121" s="288" t="s">
        <v>418</v>
      </c>
      <c r="L121" s="288" t="s">
        <v>418</v>
      </c>
      <c r="M121" s="293" t="s">
        <v>418</v>
      </c>
      <c r="N121" s="293" t="s">
        <v>418</v>
      </c>
      <c r="O121" s="295" t="str">
        <f>$B$298</f>
        <v>SP41- W</v>
      </c>
      <c r="P121" s="294" t="str">
        <f>IF('Area B'!$B$6='Item List'!$B$38,'Item List'!$B$302,'Item List'!$B$298)</f>
        <v>SP41- W</v>
      </c>
      <c r="Q121" s="293" t="s">
        <v>418</v>
      </c>
      <c r="R121" s="293" t="s">
        <v>418</v>
      </c>
      <c r="S121" s="293" t="s">
        <v>418</v>
      </c>
      <c r="T121" s="260" t="s">
        <v>418</v>
      </c>
      <c r="U121" s="260" t="s">
        <v>418</v>
      </c>
      <c r="V121" s="167" t="str">
        <f>$B$298</f>
        <v>SP41- W</v>
      </c>
      <c r="W121" s="219" t="str">
        <f>IF('Area C'!$B$6='Item List'!$B$38,'Item List'!$B$302,'Item List'!$B$298)</f>
        <v>SP41- W</v>
      </c>
      <c r="X121" s="260" t="s">
        <v>418</v>
      </c>
      <c r="Y121" s="260" t="s">
        <v>418</v>
      </c>
      <c r="Z121" s="260" t="s">
        <v>418</v>
      </c>
      <c r="AA121" s="261" t="s">
        <v>418</v>
      </c>
      <c r="AB121" s="261" t="s">
        <v>418</v>
      </c>
      <c r="AC121" s="215" t="str">
        <f>$B$298</f>
        <v>SP41- W</v>
      </c>
      <c r="AD121" s="262" t="str">
        <f>IF('Area D'!$B$6='Item List'!$B$38,'Item List'!$B$302,'Item List'!$B$298)</f>
        <v>SP41- W</v>
      </c>
      <c r="AE121" s="261" t="s">
        <v>418</v>
      </c>
      <c r="AF121" s="261" t="s">
        <v>418</v>
      </c>
      <c r="AG121" s="261" t="s">
        <v>418</v>
      </c>
      <c r="AH121" s="174"/>
      <c r="AI121" s="169"/>
      <c r="AJ121" s="164"/>
      <c r="AK121" s="216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88" t="s">
        <v>418</v>
      </c>
      <c r="G122" s="288" t="s">
        <v>418</v>
      </c>
      <c r="H122" s="290" t="str">
        <f>$B$295</f>
        <v>SP41- Blk</v>
      </c>
      <c r="I122" s="289" t="str">
        <f>IF('Area A'!$B$6='Item List'!$B$35,'Item List'!$B$299,'Item List'!$B$295)</f>
        <v>SP41- Blk</v>
      </c>
      <c r="J122" s="288" t="s">
        <v>418</v>
      </c>
      <c r="K122" s="288" t="s">
        <v>418</v>
      </c>
      <c r="L122" s="288" t="s">
        <v>418</v>
      </c>
      <c r="M122" s="293" t="s">
        <v>418</v>
      </c>
      <c r="N122" s="293" t="s">
        <v>418</v>
      </c>
      <c r="O122" s="295" t="str">
        <f>$B$295</f>
        <v>SP41- Blk</v>
      </c>
      <c r="P122" s="294" t="str">
        <f>IF('Area B'!$B$6='Item List'!$B$35,'Item List'!$B$299,'Item List'!$B$295)</f>
        <v>SP41- Blk</v>
      </c>
      <c r="Q122" s="293" t="s">
        <v>418</v>
      </c>
      <c r="R122" s="293" t="s">
        <v>418</v>
      </c>
      <c r="S122" s="293" t="s">
        <v>418</v>
      </c>
      <c r="T122" s="260" t="s">
        <v>418</v>
      </c>
      <c r="U122" s="260" t="s">
        <v>418</v>
      </c>
      <c r="V122" s="167" t="str">
        <f>$B$295</f>
        <v>SP41- Blk</v>
      </c>
      <c r="W122" s="219" t="str">
        <f>IF('Area C'!$B$6='Item List'!$B$35,'Item List'!$B$299,'Item List'!$B$295)</f>
        <v>SP42- Blk</v>
      </c>
      <c r="X122" s="260" t="s">
        <v>418</v>
      </c>
      <c r="Y122" s="260" t="s">
        <v>418</v>
      </c>
      <c r="Z122" s="260" t="s">
        <v>418</v>
      </c>
      <c r="AA122" s="261" t="s">
        <v>418</v>
      </c>
      <c r="AB122" s="261" t="s">
        <v>418</v>
      </c>
      <c r="AC122" s="215" t="str">
        <f>$B$295</f>
        <v>SP41- Blk</v>
      </c>
      <c r="AD122" s="262" t="str">
        <f>IF('Area D'!$B$6='Item List'!$B$35,'Item List'!$B$299,'Item List'!$B$295)</f>
        <v>SP42- Blk</v>
      </c>
      <c r="AE122" s="261" t="s">
        <v>418</v>
      </c>
      <c r="AF122" s="261" t="s">
        <v>418</v>
      </c>
      <c r="AG122" s="261" t="s">
        <v>418</v>
      </c>
      <c r="AH122" s="174"/>
      <c r="AI122" s="169"/>
      <c r="AJ122" s="164"/>
      <c r="AK122" s="216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88" t="s">
        <v>418</v>
      </c>
      <c r="G123" s="288" t="s">
        <v>418</v>
      </c>
      <c r="H123" s="290" t="str">
        <f>$B$296</f>
        <v>SP41- Br</v>
      </c>
      <c r="I123" s="289" t="str">
        <f>IF('Area A'!$B$6='Item List'!$B$36,'Item List'!$B$300,'Item List'!$B$296)</f>
        <v>SP41- Br</v>
      </c>
      <c r="J123" s="288" t="s">
        <v>418</v>
      </c>
      <c r="K123" s="288" t="s">
        <v>418</v>
      </c>
      <c r="L123" s="288" t="s">
        <v>418</v>
      </c>
      <c r="M123" s="293" t="s">
        <v>418</v>
      </c>
      <c r="N123" s="293" t="s">
        <v>418</v>
      </c>
      <c r="O123" s="295" t="str">
        <f>$B$296</f>
        <v>SP41- Br</v>
      </c>
      <c r="P123" s="294" t="str">
        <f>IF('Area B'!$B$6='Item List'!$B$36,'Item List'!$B$300,'Item List'!$B$296)</f>
        <v>SP41- Br</v>
      </c>
      <c r="Q123" s="293" t="s">
        <v>418</v>
      </c>
      <c r="R123" s="293" t="s">
        <v>418</v>
      </c>
      <c r="S123" s="293" t="s">
        <v>418</v>
      </c>
      <c r="T123" s="260" t="s">
        <v>418</v>
      </c>
      <c r="U123" s="260" t="s">
        <v>418</v>
      </c>
      <c r="V123" s="167" t="str">
        <f>$B$296</f>
        <v>SP41- Br</v>
      </c>
      <c r="W123" s="219" t="str">
        <f>IF('Area C'!$B$6='Item List'!$B$36,'Item List'!$B$300,'Item List'!$B$296)</f>
        <v>SP41- Br</v>
      </c>
      <c r="X123" s="260" t="s">
        <v>418</v>
      </c>
      <c r="Y123" s="260" t="s">
        <v>418</v>
      </c>
      <c r="Z123" s="260" t="s">
        <v>418</v>
      </c>
      <c r="AA123" s="261" t="s">
        <v>418</v>
      </c>
      <c r="AB123" s="261" t="s">
        <v>418</v>
      </c>
      <c r="AC123" s="215" t="str">
        <f>$B$296</f>
        <v>SP41- Br</v>
      </c>
      <c r="AD123" s="262" t="str">
        <f>IF('Area D'!$B$6='Item List'!$B$36,'Item List'!$B$300,'Item List'!$B$296)</f>
        <v>SP41- Br</v>
      </c>
      <c r="AE123" s="261" t="s">
        <v>418</v>
      </c>
      <c r="AF123" s="261" t="s">
        <v>418</v>
      </c>
      <c r="AG123" s="261" t="s">
        <v>418</v>
      </c>
      <c r="AH123" s="174"/>
      <c r="AI123" s="169"/>
      <c r="AJ123" s="164"/>
      <c r="AK123" s="216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88" t="s">
        <v>418</v>
      </c>
      <c r="G124" s="288" t="s">
        <v>418</v>
      </c>
      <c r="H124" s="290" t="str">
        <f>$B$297</f>
        <v>SP41- Cl</v>
      </c>
      <c r="I124" s="289" t="str">
        <f>IF('Area A'!$B$6='Item List'!$B$37,'Item List'!$B$301,'Item List'!$B$297)</f>
        <v>SP41- Cl</v>
      </c>
      <c r="J124" s="288" t="s">
        <v>418</v>
      </c>
      <c r="K124" s="288" t="s">
        <v>418</v>
      </c>
      <c r="L124" s="288" t="s">
        <v>418</v>
      </c>
      <c r="M124" s="293" t="s">
        <v>418</v>
      </c>
      <c r="N124" s="293" t="s">
        <v>418</v>
      </c>
      <c r="O124" s="295" t="str">
        <f>$B$297</f>
        <v>SP41- Cl</v>
      </c>
      <c r="P124" s="294" t="str">
        <f>IF('Area B'!$B$6='Item List'!$B$37,'Item List'!$B$301,'Item List'!$B$297)</f>
        <v>SP41- Cl</v>
      </c>
      <c r="Q124" s="293" t="s">
        <v>418</v>
      </c>
      <c r="R124" s="293" t="s">
        <v>418</v>
      </c>
      <c r="S124" s="293" t="s">
        <v>418</v>
      </c>
      <c r="T124" s="260" t="s">
        <v>418</v>
      </c>
      <c r="U124" s="260" t="s">
        <v>418</v>
      </c>
      <c r="V124" s="167" t="str">
        <f>$B$297</f>
        <v>SP41- Cl</v>
      </c>
      <c r="W124" s="219" t="str">
        <f>IF('Area C'!$B$6='Item List'!$B$37,'Item List'!$B$301,'Item List'!$B$297)</f>
        <v>SP41- Cl</v>
      </c>
      <c r="X124" s="260" t="s">
        <v>418</v>
      </c>
      <c r="Y124" s="260" t="s">
        <v>418</v>
      </c>
      <c r="Z124" s="260" t="s">
        <v>418</v>
      </c>
      <c r="AA124" s="261" t="s">
        <v>418</v>
      </c>
      <c r="AB124" s="261" t="s">
        <v>418</v>
      </c>
      <c r="AC124" s="215" t="str">
        <f>$B$297</f>
        <v>SP41- Cl</v>
      </c>
      <c r="AD124" s="262" t="str">
        <f>IF('Area D'!$B$6='Item List'!$B$37,'Item List'!$B$301,'Item List'!$B$297)</f>
        <v>SP41- Cl</v>
      </c>
      <c r="AE124" s="261" t="s">
        <v>418</v>
      </c>
      <c r="AF124" s="261" t="s">
        <v>418</v>
      </c>
      <c r="AG124" s="261" t="s">
        <v>418</v>
      </c>
      <c r="AH124" s="174"/>
      <c r="AI124" s="169"/>
      <c r="AJ124" s="164"/>
      <c r="AK124" s="216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88" t="s">
        <v>418</v>
      </c>
      <c r="G125" s="288" t="s">
        <v>418</v>
      </c>
      <c r="H125" s="290" t="str">
        <f>$B$298</f>
        <v>SP41- W</v>
      </c>
      <c r="I125" s="289" t="str">
        <f>IF('Area A'!$B$6='Item List'!$B$38,'Item List'!$B$302,'Item List'!$B$298)</f>
        <v>SP41- W</v>
      </c>
      <c r="J125" s="288" t="s">
        <v>418</v>
      </c>
      <c r="K125" s="288" t="s">
        <v>418</v>
      </c>
      <c r="L125" s="288" t="s">
        <v>418</v>
      </c>
      <c r="M125" s="293" t="s">
        <v>418</v>
      </c>
      <c r="N125" s="293" t="s">
        <v>418</v>
      </c>
      <c r="O125" s="295" t="str">
        <f>$B$298</f>
        <v>SP41- W</v>
      </c>
      <c r="P125" s="294" t="str">
        <f>IF('Area B'!$B$6='Item List'!$B$38,'Item List'!$B$302,'Item List'!$B$298)</f>
        <v>SP41- W</v>
      </c>
      <c r="Q125" s="293" t="s">
        <v>418</v>
      </c>
      <c r="R125" s="293" t="s">
        <v>418</v>
      </c>
      <c r="S125" s="293" t="s">
        <v>418</v>
      </c>
      <c r="T125" s="260" t="s">
        <v>418</v>
      </c>
      <c r="U125" s="260" t="s">
        <v>418</v>
      </c>
      <c r="V125" s="167" t="str">
        <f>$B$298</f>
        <v>SP41- W</v>
      </c>
      <c r="W125" s="219" t="str">
        <f>IF('Area C'!$B$6='Item List'!$B$38,'Item List'!$B$302,'Item List'!$B$298)</f>
        <v>SP41- W</v>
      </c>
      <c r="X125" s="260" t="s">
        <v>418</v>
      </c>
      <c r="Y125" s="260" t="s">
        <v>418</v>
      </c>
      <c r="Z125" s="260" t="s">
        <v>418</v>
      </c>
      <c r="AA125" s="261" t="s">
        <v>418</v>
      </c>
      <c r="AB125" s="261" t="s">
        <v>418</v>
      </c>
      <c r="AC125" s="215" t="str">
        <f>$B$298</f>
        <v>SP41- W</v>
      </c>
      <c r="AD125" s="262" t="str">
        <f>IF('Area D'!$B$6='Item List'!$B$38,'Item List'!$B$302,'Item List'!$B$298)</f>
        <v>SP41- W</v>
      </c>
      <c r="AE125" s="261" t="s">
        <v>418</v>
      </c>
      <c r="AF125" s="261" t="s">
        <v>418</v>
      </c>
      <c r="AG125" s="261" t="s">
        <v>418</v>
      </c>
      <c r="AH125" s="174"/>
      <c r="AI125" s="169"/>
      <c r="AJ125" s="164"/>
      <c r="AK125" s="216"/>
      <c r="AL125" s="25"/>
      <c r="AM125" s="25"/>
    </row>
    <row r="126" spans="1:40" s="284" customFormat="1" x14ac:dyDescent="0.4">
      <c r="A126" s="60" t="s">
        <v>8</v>
      </c>
      <c r="B126" s="112" t="s">
        <v>418</v>
      </c>
      <c r="C126" s="112" t="s">
        <v>418</v>
      </c>
      <c r="D126" s="12"/>
      <c r="E126" s="4">
        <v>0</v>
      </c>
      <c r="F126" s="288" t="s">
        <v>418</v>
      </c>
      <c r="G126" s="288" t="s">
        <v>418</v>
      </c>
      <c r="H126" s="288" t="s">
        <v>418</v>
      </c>
      <c r="I126" s="288" t="s">
        <v>418</v>
      </c>
      <c r="J126" s="288" t="s">
        <v>418</v>
      </c>
      <c r="K126" s="288" t="s">
        <v>418</v>
      </c>
      <c r="L126" s="288" t="s">
        <v>418</v>
      </c>
      <c r="M126" s="293" t="s">
        <v>418</v>
      </c>
      <c r="N126" s="293" t="s">
        <v>418</v>
      </c>
      <c r="O126" s="293" t="s">
        <v>418</v>
      </c>
      <c r="P126" s="293" t="s">
        <v>418</v>
      </c>
      <c r="Q126" s="293" t="s">
        <v>418</v>
      </c>
      <c r="R126" s="293" t="s">
        <v>418</v>
      </c>
      <c r="S126" s="293" t="s">
        <v>418</v>
      </c>
      <c r="T126" s="260" t="s">
        <v>418</v>
      </c>
      <c r="U126" s="260" t="s">
        <v>418</v>
      </c>
      <c r="V126" s="260" t="s">
        <v>418</v>
      </c>
      <c r="W126" s="260" t="s">
        <v>418</v>
      </c>
      <c r="X126" s="260" t="s">
        <v>418</v>
      </c>
      <c r="Y126" s="260" t="s">
        <v>418</v>
      </c>
      <c r="Z126" s="260" t="s">
        <v>418</v>
      </c>
      <c r="AA126" s="261" t="s">
        <v>418</v>
      </c>
      <c r="AB126" s="261" t="s">
        <v>418</v>
      </c>
      <c r="AC126" s="261" t="s">
        <v>418</v>
      </c>
      <c r="AD126" s="261" t="s">
        <v>418</v>
      </c>
      <c r="AE126" s="261" t="s">
        <v>418</v>
      </c>
      <c r="AF126" s="261" t="s">
        <v>418</v>
      </c>
      <c r="AG126" s="261" t="s">
        <v>418</v>
      </c>
      <c r="AH126" s="174"/>
      <c r="AI126" s="169"/>
      <c r="AJ126" s="164"/>
      <c r="AK126" s="216"/>
      <c r="AL126" s="25"/>
      <c r="AM126" s="25"/>
      <c r="AN126" s="22"/>
    </row>
    <row r="127" spans="1:40" s="284" customFormat="1" x14ac:dyDescent="0.4">
      <c r="A127" s="60" t="s">
        <v>8</v>
      </c>
      <c r="B127" s="112" t="s">
        <v>886</v>
      </c>
      <c r="C127" s="112" t="s">
        <v>884</v>
      </c>
      <c r="D127" s="12">
        <v>21.58333333333</v>
      </c>
      <c r="E127" s="4">
        <v>9.7718000000000007</v>
      </c>
      <c r="F127" s="288" t="s">
        <v>418</v>
      </c>
      <c r="G127" s="288" t="s">
        <v>418</v>
      </c>
      <c r="H127" s="288" t="s">
        <v>418</v>
      </c>
      <c r="I127" s="288" t="s">
        <v>418</v>
      </c>
      <c r="J127" s="288" t="s">
        <v>418</v>
      </c>
      <c r="K127" s="288" t="s">
        <v>418</v>
      </c>
      <c r="L127" s="288" t="s">
        <v>418</v>
      </c>
      <c r="M127" s="293" t="s">
        <v>418</v>
      </c>
      <c r="N127" s="293" t="s">
        <v>418</v>
      </c>
      <c r="O127" s="293" t="s">
        <v>418</v>
      </c>
      <c r="P127" s="294"/>
      <c r="Q127" s="293" t="s">
        <v>418</v>
      </c>
      <c r="R127" s="293" t="s">
        <v>418</v>
      </c>
      <c r="S127" s="293" t="s">
        <v>418</v>
      </c>
      <c r="T127" s="260" t="s">
        <v>418</v>
      </c>
      <c r="U127" s="260" t="s">
        <v>418</v>
      </c>
      <c r="V127" s="260" t="s">
        <v>418</v>
      </c>
      <c r="W127" s="219"/>
      <c r="X127" s="260" t="s">
        <v>418</v>
      </c>
      <c r="Y127" s="260" t="s">
        <v>418</v>
      </c>
      <c r="Z127" s="260" t="s">
        <v>418</v>
      </c>
      <c r="AA127" s="261" t="s">
        <v>418</v>
      </c>
      <c r="AB127" s="261" t="s">
        <v>418</v>
      </c>
      <c r="AC127" s="261" t="s">
        <v>418</v>
      </c>
      <c r="AD127" s="262"/>
      <c r="AE127" s="261" t="s">
        <v>418</v>
      </c>
      <c r="AF127" s="261" t="s">
        <v>418</v>
      </c>
      <c r="AG127" s="261" t="s">
        <v>418</v>
      </c>
      <c r="AH127" s="174"/>
      <c r="AI127" s="169"/>
      <c r="AJ127" s="164"/>
      <c r="AK127" s="216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88" t="s">
        <v>418</v>
      </c>
      <c r="G128" s="288" t="s">
        <v>418</v>
      </c>
      <c r="H128" s="288" t="s">
        <v>418</v>
      </c>
      <c r="I128" s="288" t="s">
        <v>418</v>
      </c>
      <c r="J128" s="288" t="s">
        <v>418</v>
      </c>
      <c r="K128" s="288" t="s">
        <v>418</v>
      </c>
      <c r="L128" s="288" t="s">
        <v>418</v>
      </c>
      <c r="M128" s="293" t="s">
        <v>418</v>
      </c>
      <c r="N128" s="293" t="s">
        <v>418</v>
      </c>
      <c r="O128" s="293" t="s">
        <v>418</v>
      </c>
      <c r="P128" s="293" t="s">
        <v>418</v>
      </c>
      <c r="Q128" s="293" t="s">
        <v>418</v>
      </c>
      <c r="R128" s="293" t="s">
        <v>418</v>
      </c>
      <c r="S128" s="293" t="s">
        <v>418</v>
      </c>
      <c r="T128" s="260" t="s">
        <v>418</v>
      </c>
      <c r="U128" s="260" t="s">
        <v>418</v>
      </c>
      <c r="V128" s="260" t="s">
        <v>418</v>
      </c>
      <c r="W128" s="260" t="s">
        <v>418</v>
      </c>
      <c r="X128" s="260" t="s">
        <v>418</v>
      </c>
      <c r="Y128" s="260" t="s">
        <v>418</v>
      </c>
      <c r="Z128" s="260" t="s">
        <v>418</v>
      </c>
      <c r="AA128" s="261" t="s">
        <v>418</v>
      </c>
      <c r="AB128" s="261" t="s">
        <v>418</v>
      </c>
      <c r="AC128" s="261" t="s">
        <v>418</v>
      </c>
      <c r="AD128" s="261" t="s">
        <v>418</v>
      </c>
      <c r="AE128" s="261" t="s">
        <v>418</v>
      </c>
      <c r="AF128" s="261" t="s">
        <v>418</v>
      </c>
      <c r="AG128" s="261" t="s">
        <v>418</v>
      </c>
      <c r="AH128" s="174"/>
      <c r="AI128" s="169"/>
      <c r="AJ128" s="164"/>
      <c r="AK128" s="216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88" t="s">
        <v>418</v>
      </c>
      <c r="G129" s="288" t="s">
        <v>418</v>
      </c>
      <c r="H129" s="288" t="s">
        <v>418</v>
      </c>
      <c r="I129" s="288" t="s">
        <v>418</v>
      </c>
      <c r="J129" s="288" t="s">
        <v>418</v>
      </c>
      <c r="K129" s="288" t="s">
        <v>418</v>
      </c>
      <c r="L129" s="288" t="s">
        <v>418</v>
      </c>
      <c r="M129" s="293" t="s">
        <v>418</v>
      </c>
      <c r="N129" s="293" t="s">
        <v>418</v>
      </c>
      <c r="O129" s="293" t="s">
        <v>418</v>
      </c>
      <c r="P129" s="293" t="s">
        <v>418</v>
      </c>
      <c r="Q129" s="293" t="s">
        <v>418</v>
      </c>
      <c r="R129" s="293" t="s">
        <v>418</v>
      </c>
      <c r="S129" s="293" t="s">
        <v>418</v>
      </c>
      <c r="T129" s="260" t="s">
        <v>418</v>
      </c>
      <c r="U129" s="260" t="s">
        <v>418</v>
      </c>
      <c r="V129" s="260" t="s">
        <v>418</v>
      </c>
      <c r="W129" s="260" t="s">
        <v>418</v>
      </c>
      <c r="X129" s="260" t="s">
        <v>418</v>
      </c>
      <c r="Y129" s="260" t="s">
        <v>418</v>
      </c>
      <c r="Z129" s="260" t="s">
        <v>418</v>
      </c>
      <c r="AA129" s="261" t="s">
        <v>418</v>
      </c>
      <c r="AB129" s="261" t="s">
        <v>418</v>
      </c>
      <c r="AC129" s="261" t="s">
        <v>418</v>
      </c>
      <c r="AD129" s="261" t="s">
        <v>418</v>
      </c>
      <c r="AE129" s="261" t="s">
        <v>418</v>
      </c>
      <c r="AF129" s="261" t="s">
        <v>418</v>
      </c>
      <c r="AG129" s="261" t="s">
        <v>418</v>
      </c>
      <c r="AH129" s="174"/>
      <c r="AI129" s="169"/>
      <c r="AJ129" s="164"/>
      <c r="AK129" s="216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88" t="s">
        <v>418</v>
      </c>
      <c r="G130" s="288" t="s">
        <v>418</v>
      </c>
      <c r="H130" s="288" t="s">
        <v>418</v>
      </c>
      <c r="I130" s="288" t="s">
        <v>418</v>
      </c>
      <c r="J130" s="288" t="s">
        <v>418</v>
      </c>
      <c r="K130" s="288" t="s">
        <v>418</v>
      </c>
      <c r="L130" s="288" t="s">
        <v>418</v>
      </c>
      <c r="M130" s="293" t="s">
        <v>418</v>
      </c>
      <c r="N130" s="293" t="s">
        <v>418</v>
      </c>
      <c r="O130" s="293" t="s">
        <v>418</v>
      </c>
      <c r="P130" s="293" t="s">
        <v>418</v>
      </c>
      <c r="Q130" s="293" t="s">
        <v>418</v>
      </c>
      <c r="R130" s="293" t="s">
        <v>418</v>
      </c>
      <c r="S130" s="293" t="s">
        <v>418</v>
      </c>
      <c r="T130" s="260" t="s">
        <v>418</v>
      </c>
      <c r="U130" s="260" t="s">
        <v>418</v>
      </c>
      <c r="V130" s="260" t="s">
        <v>418</v>
      </c>
      <c r="W130" s="260" t="s">
        <v>418</v>
      </c>
      <c r="X130" s="260" t="s">
        <v>418</v>
      </c>
      <c r="Y130" s="260" t="s">
        <v>418</v>
      </c>
      <c r="Z130" s="260" t="s">
        <v>418</v>
      </c>
      <c r="AA130" s="261" t="s">
        <v>418</v>
      </c>
      <c r="AB130" s="261" t="s">
        <v>418</v>
      </c>
      <c r="AC130" s="261" t="s">
        <v>418</v>
      </c>
      <c r="AD130" s="261" t="s">
        <v>418</v>
      </c>
      <c r="AE130" s="261" t="s">
        <v>418</v>
      </c>
      <c r="AF130" s="261" t="s">
        <v>418</v>
      </c>
      <c r="AG130" s="261" t="s">
        <v>418</v>
      </c>
      <c r="AH130" s="174"/>
      <c r="AI130" s="169"/>
      <c r="AJ130" s="164"/>
      <c r="AK130" s="216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88" t="s">
        <v>418</v>
      </c>
      <c r="G131" s="288" t="s">
        <v>418</v>
      </c>
      <c r="H131" s="288" t="s">
        <v>418</v>
      </c>
      <c r="I131" s="288" t="s">
        <v>418</v>
      </c>
      <c r="J131" s="288" t="s">
        <v>418</v>
      </c>
      <c r="K131" s="288" t="s">
        <v>418</v>
      </c>
      <c r="L131" s="288" t="s">
        <v>418</v>
      </c>
      <c r="M131" s="293" t="s">
        <v>418</v>
      </c>
      <c r="N131" s="293" t="s">
        <v>418</v>
      </c>
      <c r="O131" s="293" t="s">
        <v>418</v>
      </c>
      <c r="P131" s="293" t="s">
        <v>418</v>
      </c>
      <c r="Q131" s="293" t="s">
        <v>418</v>
      </c>
      <c r="R131" s="293" t="s">
        <v>418</v>
      </c>
      <c r="S131" s="293" t="s">
        <v>418</v>
      </c>
      <c r="T131" s="260" t="s">
        <v>418</v>
      </c>
      <c r="U131" s="260" t="s">
        <v>418</v>
      </c>
      <c r="V131" s="260" t="s">
        <v>418</v>
      </c>
      <c r="W131" s="260" t="s">
        <v>418</v>
      </c>
      <c r="X131" s="260" t="s">
        <v>418</v>
      </c>
      <c r="Y131" s="260" t="s">
        <v>418</v>
      </c>
      <c r="Z131" s="260" t="s">
        <v>418</v>
      </c>
      <c r="AA131" s="261" t="s">
        <v>418</v>
      </c>
      <c r="AB131" s="261" t="s">
        <v>418</v>
      </c>
      <c r="AC131" s="261" t="s">
        <v>418</v>
      </c>
      <c r="AD131" s="261" t="s">
        <v>418</v>
      </c>
      <c r="AE131" s="261" t="s">
        <v>418</v>
      </c>
      <c r="AF131" s="261" t="s">
        <v>418</v>
      </c>
      <c r="AG131" s="261" t="s">
        <v>418</v>
      </c>
      <c r="AH131" s="174"/>
      <c r="AI131" s="169"/>
      <c r="AJ131" s="164"/>
      <c r="AK131" s="216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88" t="s">
        <v>418</v>
      </c>
      <c r="G132" s="288" t="s">
        <v>418</v>
      </c>
      <c r="H132" s="288" t="s">
        <v>418</v>
      </c>
      <c r="I132" s="288" t="s">
        <v>418</v>
      </c>
      <c r="J132" s="288" t="s">
        <v>418</v>
      </c>
      <c r="K132" s="288" t="s">
        <v>418</v>
      </c>
      <c r="L132" s="288" t="s">
        <v>418</v>
      </c>
      <c r="M132" s="293" t="s">
        <v>418</v>
      </c>
      <c r="N132" s="293" t="s">
        <v>418</v>
      </c>
      <c r="O132" s="293" t="s">
        <v>418</v>
      </c>
      <c r="P132" s="293" t="s">
        <v>418</v>
      </c>
      <c r="Q132" s="293" t="s">
        <v>418</v>
      </c>
      <c r="R132" s="293" t="s">
        <v>418</v>
      </c>
      <c r="S132" s="293" t="s">
        <v>418</v>
      </c>
      <c r="T132" s="260" t="s">
        <v>418</v>
      </c>
      <c r="U132" s="260" t="s">
        <v>418</v>
      </c>
      <c r="V132" s="260" t="s">
        <v>418</v>
      </c>
      <c r="W132" s="260" t="s">
        <v>418</v>
      </c>
      <c r="X132" s="260" t="s">
        <v>418</v>
      </c>
      <c r="Y132" s="260" t="s">
        <v>418</v>
      </c>
      <c r="Z132" s="260" t="s">
        <v>418</v>
      </c>
      <c r="AA132" s="261" t="s">
        <v>418</v>
      </c>
      <c r="AB132" s="261" t="s">
        <v>418</v>
      </c>
      <c r="AC132" s="261" t="s">
        <v>418</v>
      </c>
      <c r="AD132" s="261" t="s">
        <v>418</v>
      </c>
      <c r="AE132" s="261" t="s">
        <v>418</v>
      </c>
      <c r="AF132" s="261" t="s">
        <v>418</v>
      </c>
      <c r="AG132" s="261" t="s">
        <v>418</v>
      </c>
      <c r="AH132" s="174"/>
      <c r="AI132" s="169"/>
      <c r="AJ132" s="164"/>
      <c r="AK132" s="216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88" t="s">
        <v>418</v>
      </c>
      <c r="G133" s="288" t="s">
        <v>418</v>
      </c>
      <c r="H133" s="288" t="s">
        <v>418</v>
      </c>
      <c r="I133" s="288" t="s">
        <v>418</v>
      </c>
      <c r="J133" s="288" t="s">
        <v>418</v>
      </c>
      <c r="K133" s="288" t="s">
        <v>418</v>
      </c>
      <c r="L133" s="288" t="s">
        <v>418</v>
      </c>
      <c r="M133" s="293" t="s">
        <v>418</v>
      </c>
      <c r="N133" s="293" t="s">
        <v>418</v>
      </c>
      <c r="O133" s="293" t="s">
        <v>418</v>
      </c>
      <c r="P133" s="293" t="s">
        <v>418</v>
      </c>
      <c r="Q133" s="293" t="s">
        <v>418</v>
      </c>
      <c r="R133" s="293" t="s">
        <v>418</v>
      </c>
      <c r="S133" s="293" t="s">
        <v>418</v>
      </c>
      <c r="T133" s="260" t="s">
        <v>418</v>
      </c>
      <c r="U133" s="260" t="s">
        <v>418</v>
      </c>
      <c r="V133" s="260" t="s">
        <v>418</v>
      </c>
      <c r="W133" s="260" t="s">
        <v>418</v>
      </c>
      <c r="X133" s="260" t="s">
        <v>418</v>
      </c>
      <c r="Y133" s="260" t="s">
        <v>418</v>
      </c>
      <c r="Z133" s="260" t="s">
        <v>418</v>
      </c>
      <c r="AA133" s="261" t="s">
        <v>418</v>
      </c>
      <c r="AB133" s="261" t="s">
        <v>418</v>
      </c>
      <c r="AC133" s="261" t="s">
        <v>418</v>
      </c>
      <c r="AD133" s="261" t="s">
        <v>418</v>
      </c>
      <c r="AE133" s="261" t="s">
        <v>418</v>
      </c>
      <c r="AF133" s="261" t="s">
        <v>418</v>
      </c>
      <c r="AG133" s="261" t="s">
        <v>418</v>
      </c>
      <c r="AH133" s="174"/>
      <c r="AI133" s="169"/>
      <c r="AJ133" s="164"/>
      <c r="AK133" s="216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88" t="s">
        <v>418</v>
      </c>
      <c r="G134" s="288" t="s">
        <v>418</v>
      </c>
      <c r="H134" s="288" t="s">
        <v>418</v>
      </c>
      <c r="I134" s="288" t="s">
        <v>418</v>
      </c>
      <c r="J134" s="288" t="s">
        <v>418</v>
      </c>
      <c r="K134" s="288" t="s">
        <v>418</v>
      </c>
      <c r="L134" s="288" t="s">
        <v>418</v>
      </c>
      <c r="M134" s="293" t="s">
        <v>418</v>
      </c>
      <c r="N134" s="293" t="s">
        <v>418</v>
      </c>
      <c r="O134" s="293" t="s">
        <v>418</v>
      </c>
      <c r="P134" s="293" t="s">
        <v>418</v>
      </c>
      <c r="Q134" s="293" t="s">
        <v>418</v>
      </c>
      <c r="R134" s="293" t="s">
        <v>418</v>
      </c>
      <c r="S134" s="293" t="s">
        <v>418</v>
      </c>
      <c r="T134" s="260" t="s">
        <v>418</v>
      </c>
      <c r="U134" s="260" t="s">
        <v>418</v>
      </c>
      <c r="V134" s="260" t="s">
        <v>418</v>
      </c>
      <c r="W134" s="260" t="s">
        <v>418</v>
      </c>
      <c r="X134" s="260" t="s">
        <v>418</v>
      </c>
      <c r="Y134" s="260" t="s">
        <v>418</v>
      </c>
      <c r="Z134" s="260" t="s">
        <v>418</v>
      </c>
      <c r="AA134" s="261" t="s">
        <v>418</v>
      </c>
      <c r="AB134" s="261" t="s">
        <v>418</v>
      </c>
      <c r="AC134" s="261" t="s">
        <v>418</v>
      </c>
      <c r="AD134" s="261" t="s">
        <v>418</v>
      </c>
      <c r="AE134" s="261" t="s">
        <v>418</v>
      </c>
      <c r="AF134" s="261" t="s">
        <v>418</v>
      </c>
      <c r="AG134" s="261" t="s">
        <v>418</v>
      </c>
      <c r="AH134" s="174"/>
      <c r="AI134" s="169"/>
      <c r="AJ134" s="164"/>
      <c r="AK134" s="216"/>
      <c r="AL134" s="25"/>
      <c r="AM134" s="25"/>
    </row>
    <row r="135" spans="1:40" s="103" customFormat="1" x14ac:dyDescent="0.4">
      <c r="A135" s="60" t="s">
        <v>8</v>
      </c>
      <c r="B135" s="106" t="s">
        <v>664</v>
      </c>
      <c r="C135" s="106" t="s">
        <v>665</v>
      </c>
      <c r="D135" s="12"/>
      <c r="E135" s="4">
        <v>12.12</v>
      </c>
      <c r="F135" s="288" t="s">
        <v>418</v>
      </c>
      <c r="G135" s="288" t="s">
        <v>418</v>
      </c>
      <c r="H135" s="288" t="s">
        <v>418</v>
      </c>
      <c r="I135" s="288" t="s">
        <v>418</v>
      </c>
      <c r="J135" s="288" t="s">
        <v>418</v>
      </c>
      <c r="K135" s="288" t="s">
        <v>418</v>
      </c>
      <c r="L135" s="288" t="s">
        <v>418</v>
      </c>
      <c r="M135" s="293" t="s">
        <v>418</v>
      </c>
      <c r="N135" s="293" t="s">
        <v>418</v>
      </c>
      <c r="O135" s="293" t="s">
        <v>418</v>
      </c>
      <c r="P135" s="293" t="s">
        <v>418</v>
      </c>
      <c r="Q135" s="293" t="s">
        <v>418</v>
      </c>
      <c r="R135" s="293" t="s">
        <v>418</v>
      </c>
      <c r="S135" s="293" t="s">
        <v>418</v>
      </c>
      <c r="T135" s="260" t="s">
        <v>418</v>
      </c>
      <c r="U135" s="260" t="s">
        <v>418</v>
      </c>
      <c r="V135" s="260" t="s">
        <v>418</v>
      </c>
      <c r="W135" s="260" t="s">
        <v>418</v>
      </c>
      <c r="X135" s="260" t="s">
        <v>418</v>
      </c>
      <c r="Y135" s="260" t="s">
        <v>418</v>
      </c>
      <c r="Z135" s="260" t="s">
        <v>418</v>
      </c>
      <c r="AA135" s="261" t="s">
        <v>418</v>
      </c>
      <c r="AB135" s="261" t="s">
        <v>418</v>
      </c>
      <c r="AC135" s="261" t="s">
        <v>418</v>
      </c>
      <c r="AD135" s="261" t="s">
        <v>418</v>
      </c>
      <c r="AE135" s="261" t="s">
        <v>418</v>
      </c>
      <c r="AF135" s="261" t="s">
        <v>418</v>
      </c>
      <c r="AG135" s="261" t="s">
        <v>418</v>
      </c>
      <c r="AH135" s="174"/>
      <c r="AI135" s="169"/>
      <c r="AJ135" s="164"/>
      <c r="AK135" s="216"/>
      <c r="AL135" s="25"/>
      <c r="AM135" s="25"/>
      <c r="AN135" s="22"/>
    </row>
    <row r="136" spans="1:40" s="104" customFormat="1" x14ac:dyDescent="0.4">
      <c r="A136" s="60" t="s">
        <v>8</v>
      </c>
      <c r="B136" s="106" t="s">
        <v>666</v>
      </c>
      <c r="C136" s="106" t="s">
        <v>667</v>
      </c>
      <c r="D136" s="12"/>
      <c r="E136" s="4">
        <v>10.62</v>
      </c>
      <c r="F136" s="288" t="s">
        <v>418</v>
      </c>
      <c r="G136" s="288" t="s">
        <v>418</v>
      </c>
      <c r="H136" s="288" t="s">
        <v>418</v>
      </c>
      <c r="I136" s="288" t="s">
        <v>418</v>
      </c>
      <c r="J136" s="288" t="s">
        <v>418</v>
      </c>
      <c r="K136" s="288" t="s">
        <v>418</v>
      </c>
      <c r="L136" s="288" t="s">
        <v>418</v>
      </c>
      <c r="M136" s="293" t="s">
        <v>418</v>
      </c>
      <c r="N136" s="293" t="s">
        <v>418</v>
      </c>
      <c r="O136" s="293" t="s">
        <v>418</v>
      </c>
      <c r="P136" s="293" t="s">
        <v>418</v>
      </c>
      <c r="Q136" s="293" t="s">
        <v>418</v>
      </c>
      <c r="R136" s="293" t="s">
        <v>418</v>
      </c>
      <c r="S136" s="293" t="s">
        <v>418</v>
      </c>
      <c r="T136" s="260" t="s">
        <v>418</v>
      </c>
      <c r="U136" s="260" t="s">
        <v>418</v>
      </c>
      <c r="V136" s="260" t="s">
        <v>418</v>
      </c>
      <c r="W136" s="260" t="s">
        <v>418</v>
      </c>
      <c r="X136" s="260" t="s">
        <v>418</v>
      </c>
      <c r="Y136" s="260" t="s">
        <v>418</v>
      </c>
      <c r="Z136" s="260" t="s">
        <v>418</v>
      </c>
      <c r="AA136" s="261" t="s">
        <v>418</v>
      </c>
      <c r="AB136" s="261" t="s">
        <v>418</v>
      </c>
      <c r="AC136" s="261" t="s">
        <v>418</v>
      </c>
      <c r="AD136" s="261" t="s">
        <v>418</v>
      </c>
      <c r="AE136" s="261" t="s">
        <v>418</v>
      </c>
      <c r="AF136" s="261" t="s">
        <v>418</v>
      </c>
      <c r="AG136" s="261" t="s">
        <v>418</v>
      </c>
      <c r="AH136" s="174"/>
      <c r="AI136" s="169"/>
      <c r="AJ136" s="164"/>
      <c r="AK136" s="216"/>
      <c r="AL136" s="25"/>
      <c r="AM136" s="25"/>
      <c r="AN136" s="22"/>
    </row>
    <row r="137" spans="1:40" s="104" customFormat="1" x14ac:dyDescent="0.4">
      <c r="A137" s="60" t="s">
        <v>8</v>
      </c>
      <c r="B137" s="106" t="s">
        <v>668</v>
      </c>
      <c r="C137" s="106" t="s">
        <v>669</v>
      </c>
      <c r="D137" s="12"/>
      <c r="E137" s="4">
        <v>11.12</v>
      </c>
      <c r="F137" s="288" t="s">
        <v>418</v>
      </c>
      <c r="G137" s="288" t="s">
        <v>418</v>
      </c>
      <c r="H137" s="288" t="s">
        <v>418</v>
      </c>
      <c r="I137" s="288" t="s">
        <v>418</v>
      </c>
      <c r="J137" s="288" t="s">
        <v>418</v>
      </c>
      <c r="K137" s="288" t="s">
        <v>418</v>
      </c>
      <c r="L137" s="288" t="s">
        <v>418</v>
      </c>
      <c r="M137" s="293" t="s">
        <v>418</v>
      </c>
      <c r="N137" s="293" t="s">
        <v>418</v>
      </c>
      <c r="O137" s="293" t="s">
        <v>418</v>
      </c>
      <c r="P137" s="293" t="s">
        <v>418</v>
      </c>
      <c r="Q137" s="293" t="s">
        <v>418</v>
      </c>
      <c r="R137" s="293" t="s">
        <v>418</v>
      </c>
      <c r="S137" s="293" t="s">
        <v>418</v>
      </c>
      <c r="T137" s="260" t="s">
        <v>418</v>
      </c>
      <c r="U137" s="260" t="s">
        <v>418</v>
      </c>
      <c r="V137" s="260" t="s">
        <v>418</v>
      </c>
      <c r="W137" s="260" t="s">
        <v>418</v>
      </c>
      <c r="X137" s="260" t="s">
        <v>418</v>
      </c>
      <c r="Y137" s="260" t="s">
        <v>418</v>
      </c>
      <c r="Z137" s="260" t="s">
        <v>418</v>
      </c>
      <c r="AA137" s="261" t="s">
        <v>418</v>
      </c>
      <c r="AB137" s="261" t="s">
        <v>418</v>
      </c>
      <c r="AC137" s="261" t="s">
        <v>418</v>
      </c>
      <c r="AD137" s="261" t="s">
        <v>418</v>
      </c>
      <c r="AE137" s="261" t="s">
        <v>418</v>
      </c>
      <c r="AF137" s="261" t="s">
        <v>418</v>
      </c>
      <c r="AG137" s="261" t="s">
        <v>418</v>
      </c>
      <c r="AH137" s="174"/>
      <c r="AI137" s="169"/>
      <c r="AJ137" s="164"/>
      <c r="AK137" s="216"/>
      <c r="AL137" s="25"/>
      <c r="AM137" s="25"/>
      <c r="AN137" s="22"/>
    </row>
    <row r="138" spans="1:40" s="104" customFormat="1" x14ac:dyDescent="0.4">
      <c r="A138" s="60" t="s">
        <v>8</v>
      </c>
      <c r="B138" s="106" t="s">
        <v>670</v>
      </c>
      <c r="C138" s="106" t="s">
        <v>671</v>
      </c>
      <c r="D138" s="12"/>
      <c r="E138" s="4">
        <v>13.63</v>
      </c>
      <c r="F138" s="288" t="s">
        <v>418</v>
      </c>
      <c r="G138" s="288" t="s">
        <v>418</v>
      </c>
      <c r="H138" s="288" t="s">
        <v>418</v>
      </c>
      <c r="I138" s="288" t="s">
        <v>418</v>
      </c>
      <c r="J138" s="288" t="s">
        <v>418</v>
      </c>
      <c r="K138" s="288" t="s">
        <v>418</v>
      </c>
      <c r="L138" s="288" t="s">
        <v>418</v>
      </c>
      <c r="M138" s="293" t="s">
        <v>418</v>
      </c>
      <c r="N138" s="293" t="s">
        <v>418</v>
      </c>
      <c r="O138" s="293" t="s">
        <v>418</v>
      </c>
      <c r="P138" s="293" t="s">
        <v>418</v>
      </c>
      <c r="Q138" s="293" t="s">
        <v>418</v>
      </c>
      <c r="R138" s="293" t="s">
        <v>418</v>
      </c>
      <c r="S138" s="293" t="s">
        <v>418</v>
      </c>
      <c r="T138" s="260" t="s">
        <v>418</v>
      </c>
      <c r="U138" s="260" t="s">
        <v>418</v>
      </c>
      <c r="V138" s="260" t="s">
        <v>418</v>
      </c>
      <c r="W138" s="260" t="s">
        <v>418</v>
      </c>
      <c r="X138" s="260" t="s">
        <v>418</v>
      </c>
      <c r="Y138" s="260" t="s">
        <v>418</v>
      </c>
      <c r="Z138" s="260" t="s">
        <v>418</v>
      </c>
      <c r="AA138" s="261" t="s">
        <v>418</v>
      </c>
      <c r="AB138" s="261" t="s">
        <v>418</v>
      </c>
      <c r="AC138" s="261" t="s">
        <v>418</v>
      </c>
      <c r="AD138" s="261" t="s">
        <v>418</v>
      </c>
      <c r="AE138" s="261" t="s">
        <v>418</v>
      </c>
      <c r="AF138" s="261" t="s">
        <v>418</v>
      </c>
      <c r="AG138" s="261" t="s">
        <v>418</v>
      </c>
      <c r="AH138" s="174"/>
      <c r="AI138" s="169"/>
      <c r="AJ138" s="164"/>
      <c r="AK138" s="216"/>
      <c r="AL138" s="25"/>
      <c r="AM138" s="25"/>
      <c r="AN138" s="22"/>
    </row>
    <row r="139" spans="1:40" s="111" customFormat="1" x14ac:dyDescent="0.4">
      <c r="A139" s="60" t="s">
        <v>8</v>
      </c>
      <c r="B139" s="112" t="s">
        <v>696</v>
      </c>
      <c r="C139" s="112" t="s">
        <v>697</v>
      </c>
      <c r="D139" s="12"/>
      <c r="E139" s="4">
        <v>20.51</v>
      </c>
      <c r="F139" s="288" t="s">
        <v>418</v>
      </c>
      <c r="G139" s="288" t="s">
        <v>418</v>
      </c>
      <c r="H139" s="288" t="s">
        <v>418</v>
      </c>
      <c r="I139" s="288" t="s">
        <v>418</v>
      </c>
      <c r="J139" s="288" t="s">
        <v>418</v>
      </c>
      <c r="K139" s="288" t="s">
        <v>418</v>
      </c>
      <c r="L139" s="288" t="s">
        <v>418</v>
      </c>
      <c r="M139" s="293" t="s">
        <v>418</v>
      </c>
      <c r="N139" s="293" t="s">
        <v>418</v>
      </c>
      <c r="O139" s="293" t="s">
        <v>418</v>
      </c>
      <c r="P139" s="293" t="s">
        <v>418</v>
      </c>
      <c r="Q139" s="293" t="s">
        <v>418</v>
      </c>
      <c r="R139" s="293" t="s">
        <v>418</v>
      </c>
      <c r="S139" s="293" t="s">
        <v>418</v>
      </c>
      <c r="T139" s="260" t="s">
        <v>418</v>
      </c>
      <c r="U139" s="260" t="s">
        <v>418</v>
      </c>
      <c r="V139" s="260" t="s">
        <v>418</v>
      </c>
      <c r="W139" s="260" t="s">
        <v>418</v>
      </c>
      <c r="X139" s="260" t="s">
        <v>418</v>
      </c>
      <c r="Y139" s="260" t="s">
        <v>418</v>
      </c>
      <c r="Z139" s="260" t="s">
        <v>418</v>
      </c>
      <c r="AA139" s="261" t="s">
        <v>418</v>
      </c>
      <c r="AB139" s="261" t="s">
        <v>418</v>
      </c>
      <c r="AC139" s="261" t="s">
        <v>418</v>
      </c>
      <c r="AD139" s="261" t="s">
        <v>418</v>
      </c>
      <c r="AE139" s="261" t="s">
        <v>418</v>
      </c>
      <c r="AF139" s="261" t="s">
        <v>418</v>
      </c>
      <c r="AG139" s="261" t="s">
        <v>418</v>
      </c>
      <c r="AH139" s="174"/>
      <c r="AI139" s="169"/>
      <c r="AJ139" s="164"/>
      <c r="AK139" s="216"/>
      <c r="AL139" s="25"/>
      <c r="AM139" s="25"/>
      <c r="AN139" s="22"/>
    </row>
    <row r="140" spans="1:40" s="105" customFormat="1" x14ac:dyDescent="0.4">
      <c r="A140" s="60" t="s">
        <v>8</v>
      </c>
      <c r="B140" s="106" t="s">
        <v>418</v>
      </c>
      <c r="C140" s="106" t="s">
        <v>418</v>
      </c>
      <c r="D140" s="12"/>
      <c r="E140" s="4">
        <v>0</v>
      </c>
      <c r="F140" s="288" t="s">
        <v>418</v>
      </c>
      <c r="G140" s="288" t="s">
        <v>418</v>
      </c>
      <c r="H140" s="288" t="s">
        <v>418</v>
      </c>
      <c r="I140" s="288" t="s">
        <v>418</v>
      </c>
      <c r="J140" s="288" t="s">
        <v>418</v>
      </c>
      <c r="K140" s="288" t="s">
        <v>418</v>
      </c>
      <c r="L140" s="288" t="s">
        <v>418</v>
      </c>
      <c r="M140" s="293" t="s">
        <v>418</v>
      </c>
      <c r="N140" s="293" t="s">
        <v>418</v>
      </c>
      <c r="O140" s="293" t="s">
        <v>418</v>
      </c>
      <c r="P140" s="293" t="s">
        <v>418</v>
      </c>
      <c r="Q140" s="293" t="s">
        <v>418</v>
      </c>
      <c r="R140" s="293" t="s">
        <v>418</v>
      </c>
      <c r="S140" s="293" t="s">
        <v>418</v>
      </c>
      <c r="T140" s="260" t="s">
        <v>418</v>
      </c>
      <c r="U140" s="260" t="s">
        <v>418</v>
      </c>
      <c r="V140" s="260" t="s">
        <v>418</v>
      </c>
      <c r="W140" s="260" t="s">
        <v>418</v>
      </c>
      <c r="X140" s="260" t="s">
        <v>418</v>
      </c>
      <c r="Y140" s="260" t="s">
        <v>418</v>
      </c>
      <c r="Z140" s="260" t="s">
        <v>418</v>
      </c>
      <c r="AA140" s="261" t="s">
        <v>418</v>
      </c>
      <c r="AB140" s="261" t="s">
        <v>418</v>
      </c>
      <c r="AC140" s="261" t="s">
        <v>418</v>
      </c>
      <c r="AD140" s="261" t="s">
        <v>418</v>
      </c>
      <c r="AE140" s="261" t="s">
        <v>418</v>
      </c>
      <c r="AF140" s="261" t="s">
        <v>418</v>
      </c>
      <c r="AG140" s="261" t="s">
        <v>418</v>
      </c>
      <c r="AH140" s="174"/>
      <c r="AI140" s="169"/>
      <c r="AJ140" s="164"/>
      <c r="AK140" s="216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88" t="s">
        <v>418</v>
      </c>
      <c r="G141" s="288" t="s">
        <v>418</v>
      </c>
      <c r="H141" s="288" t="s">
        <v>418</v>
      </c>
      <c r="I141" s="288" t="s">
        <v>418</v>
      </c>
      <c r="J141" s="288" t="s">
        <v>418</v>
      </c>
      <c r="K141" s="288" t="s">
        <v>418</v>
      </c>
      <c r="L141" s="288" t="s">
        <v>418</v>
      </c>
      <c r="M141" s="293" t="s">
        <v>418</v>
      </c>
      <c r="N141" s="293" t="s">
        <v>418</v>
      </c>
      <c r="O141" s="293" t="s">
        <v>418</v>
      </c>
      <c r="P141" s="293" t="s">
        <v>418</v>
      </c>
      <c r="Q141" s="293" t="s">
        <v>418</v>
      </c>
      <c r="R141" s="293" t="s">
        <v>418</v>
      </c>
      <c r="S141" s="293" t="s">
        <v>418</v>
      </c>
      <c r="T141" s="260" t="s">
        <v>418</v>
      </c>
      <c r="U141" s="260" t="s">
        <v>418</v>
      </c>
      <c r="V141" s="260" t="s">
        <v>418</v>
      </c>
      <c r="W141" s="260" t="s">
        <v>418</v>
      </c>
      <c r="X141" s="260" t="s">
        <v>418</v>
      </c>
      <c r="Y141" s="260" t="s">
        <v>418</v>
      </c>
      <c r="Z141" s="260" t="s">
        <v>418</v>
      </c>
      <c r="AA141" s="261" t="s">
        <v>418</v>
      </c>
      <c r="AB141" s="261" t="s">
        <v>418</v>
      </c>
      <c r="AC141" s="261" t="s">
        <v>418</v>
      </c>
      <c r="AD141" s="261" t="s">
        <v>418</v>
      </c>
      <c r="AE141" s="261" t="s">
        <v>418</v>
      </c>
      <c r="AF141" s="261" t="s">
        <v>418</v>
      </c>
      <c r="AG141" s="261" t="s">
        <v>418</v>
      </c>
      <c r="AH141" s="174"/>
      <c r="AI141" s="169"/>
      <c r="AJ141" s="164"/>
      <c r="AK141" s="216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88" t="s">
        <v>418</v>
      </c>
      <c r="G142" s="288" t="s">
        <v>418</v>
      </c>
      <c r="H142" s="288" t="s">
        <v>418</v>
      </c>
      <c r="I142" s="288" t="s">
        <v>418</v>
      </c>
      <c r="J142" s="288" t="s">
        <v>418</v>
      </c>
      <c r="K142" s="288" t="s">
        <v>418</v>
      </c>
      <c r="L142" s="288" t="s">
        <v>418</v>
      </c>
      <c r="M142" s="293" t="s">
        <v>418</v>
      </c>
      <c r="N142" s="293" t="s">
        <v>418</v>
      </c>
      <c r="O142" s="293" t="s">
        <v>418</v>
      </c>
      <c r="P142" s="293" t="s">
        <v>418</v>
      </c>
      <c r="Q142" s="293" t="s">
        <v>418</v>
      </c>
      <c r="R142" s="293" t="s">
        <v>418</v>
      </c>
      <c r="S142" s="293" t="s">
        <v>418</v>
      </c>
      <c r="T142" s="260" t="s">
        <v>418</v>
      </c>
      <c r="U142" s="260" t="s">
        <v>418</v>
      </c>
      <c r="V142" s="260" t="s">
        <v>418</v>
      </c>
      <c r="W142" s="260" t="s">
        <v>418</v>
      </c>
      <c r="X142" s="260" t="s">
        <v>418</v>
      </c>
      <c r="Y142" s="260" t="s">
        <v>418</v>
      </c>
      <c r="Z142" s="260" t="s">
        <v>418</v>
      </c>
      <c r="AA142" s="261" t="s">
        <v>418</v>
      </c>
      <c r="AB142" s="261" t="s">
        <v>418</v>
      </c>
      <c r="AC142" s="261" t="s">
        <v>418</v>
      </c>
      <c r="AD142" s="261" t="s">
        <v>418</v>
      </c>
      <c r="AE142" s="261" t="s">
        <v>418</v>
      </c>
      <c r="AF142" s="261" t="s">
        <v>418</v>
      </c>
      <c r="AG142" s="261" t="s">
        <v>418</v>
      </c>
      <c r="AH142" s="174"/>
      <c r="AI142" s="169"/>
      <c r="AJ142" s="164"/>
      <c r="AK142" s="216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88" t="s">
        <v>418</v>
      </c>
      <c r="G143" s="288" t="s">
        <v>418</v>
      </c>
      <c r="H143" s="288" t="s">
        <v>418</v>
      </c>
      <c r="I143" s="288" t="s">
        <v>418</v>
      </c>
      <c r="J143" s="288" t="s">
        <v>418</v>
      </c>
      <c r="K143" s="288" t="s">
        <v>418</v>
      </c>
      <c r="L143" s="288" t="s">
        <v>418</v>
      </c>
      <c r="M143" s="293" t="s">
        <v>418</v>
      </c>
      <c r="N143" s="293" t="s">
        <v>418</v>
      </c>
      <c r="O143" s="293" t="s">
        <v>418</v>
      </c>
      <c r="P143" s="293" t="s">
        <v>418</v>
      </c>
      <c r="Q143" s="293" t="s">
        <v>418</v>
      </c>
      <c r="R143" s="293" t="s">
        <v>418</v>
      </c>
      <c r="S143" s="293" t="s">
        <v>418</v>
      </c>
      <c r="T143" s="260" t="s">
        <v>418</v>
      </c>
      <c r="U143" s="260" t="s">
        <v>418</v>
      </c>
      <c r="V143" s="260" t="s">
        <v>418</v>
      </c>
      <c r="W143" s="260" t="s">
        <v>418</v>
      </c>
      <c r="X143" s="260" t="s">
        <v>418</v>
      </c>
      <c r="Y143" s="260" t="s">
        <v>418</v>
      </c>
      <c r="Z143" s="260" t="s">
        <v>418</v>
      </c>
      <c r="AA143" s="261" t="s">
        <v>418</v>
      </c>
      <c r="AB143" s="261" t="s">
        <v>418</v>
      </c>
      <c r="AC143" s="261" t="s">
        <v>418</v>
      </c>
      <c r="AD143" s="261" t="s">
        <v>418</v>
      </c>
      <c r="AE143" s="261" t="s">
        <v>418</v>
      </c>
      <c r="AF143" s="261" t="s">
        <v>418</v>
      </c>
      <c r="AG143" s="261" t="s">
        <v>418</v>
      </c>
      <c r="AH143" s="174"/>
      <c r="AI143" s="169"/>
      <c r="AJ143" s="164"/>
      <c r="AK143" s="216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88" t="s">
        <v>418</v>
      </c>
      <c r="G144" s="288" t="s">
        <v>418</v>
      </c>
      <c r="H144" s="288" t="s">
        <v>418</v>
      </c>
      <c r="I144" s="288" t="s">
        <v>418</v>
      </c>
      <c r="J144" s="288" t="s">
        <v>418</v>
      </c>
      <c r="K144" s="288" t="s">
        <v>418</v>
      </c>
      <c r="L144" s="288" t="s">
        <v>418</v>
      </c>
      <c r="M144" s="293" t="s">
        <v>418</v>
      </c>
      <c r="N144" s="293" t="s">
        <v>418</v>
      </c>
      <c r="O144" s="293" t="s">
        <v>418</v>
      </c>
      <c r="P144" s="293" t="s">
        <v>418</v>
      </c>
      <c r="Q144" s="293" t="s">
        <v>418</v>
      </c>
      <c r="R144" s="293" t="s">
        <v>418</v>
      </c>
      <c r="S144" s="293" t="s">
        <v>418</v>
      </c>
      <c r="T144" s="260" t="s">
        <v>418</v>
      </c>
      <c r="U144" s="260" t="s">
        <v>418</v>
      </c>
      <c r="V144" s="260" t="s">
        <v>418</v>
      </c>
      <c r="W144" s="260" t="s">
        <v>418</v>
      </c>
      <c r="X144" s="260" t="s">
        <v>418</v>
      </c>
      <c r="Y144" s="260" t="s">
        <v>418</v>
      </c>
      <c r="Z144" s="260" t="s">
        <v>418</v>
      </c>
      <c r="AA144" s="261" t="s">
        <v>418</v>
      </c>
      <c r="AB144" s="261" t="s">
        <v>418</v>
      </c>
      <c r="AC144" s="261" t="s">
        <v>418</v>
      </c>
      <c r="AD144" s="261" t="s">
        <v>418</v>
      </c>
      <c r="AE144" s="261" t="s">
        <v>418</v>
      </c>
      <c r="AF144" s="261" t="s">
        <v>418</v>
      </c>
      <c r="AG144" s="261" t="s">
        <v>418</v>
      </c>
      <c r="AH144" s="174"/>
      <c r="AI144" s="169"/>
      <c r="AJ144" s="164"/>
      <c r="AK144" s="216"/>
      <c r="AL144" s="25"/>
      <c r="AM144" s="25"/>
    </row>
    <row r="145" spans="1:40" s="103" customFormat="1" x14ac:dyDescent="0.4">
      <c r="A145" s="60" t="s">
        <v>8</v>
      </c>
      <c r="B145" s="106" t="s">
        <v>672</v>
      </c>
      <c r="C145" s="106" t="s">
        <v>673</v>
      </c>
      <c r="D145" s="12"/>
      <c r="E145" s="4">
        <v>0.36</v>
      </c>
      <c r="F145" s="288" t="s">
        <v>418</v>
      </c>
      <c r="G145" s="288" t="s">
        <v>418</v>
      </c>
      <c r="H145" s="288" t="s">
        <v>418</v>
      </c>
      <c r="I145" s="288" t="s">
        <v>418</v>
      </c>
      <c r="J145" s="288" t="s">
        <v>418</v>
      </c>
      <c r="K145" s="288" t="s">
        <v>418</v>
      </c>
      <c r="L145" s="288" t="s">
        <v>418</v>
      </c>
      <c r="M145" s="293" t="s">
        <v>418</v>
      </c>
      <c r="N145" s="293" t="s">
        <v>418</v>
      </c>
      <c r="O145" s="293" t="s">
        <v>418</v>
      </c>
      <c r="P145" s="293" t="s">
        <v>418</v>
      </c>
      <c r="Q145" s="293" t="s">
        <v>418</v>
      </c>
      <c r="R145" s="293" t="s">
        <v>418</v>
      </c>
      <c r="S145" s="293" t="s">
        <v>418</v>
      </c>
      <c r="T145" s="260" t="s">
        <v>418</v>
      </c>
      <c r="U145" s="260" t="s">
        <v>418</v>
      </c>
      <c r="V145" s="260" t="s">
        <v>418</v>
      </c>
      <c r="W145" s="260" t="s">
        <v>418</v>
      </c>
      <c r="X145" s="260" t="s">
        <v>418</v>
      </c>
      <c r="Y145" s="260" t="s">
        <v>418</v>
      </c>
      <c r="Z145" s="260" t="s">
        <v>418</v>
      </c>
      <c r="AA145" s="261" t="s">
        <v>418</v>
      </c>
      <c r="AB145" s="261" t="s">
        <v>418</v>
      </c>
      <c r="AC145" s="261" t="s">
        <v>418</v>
      </c>
      <c r="AD145" s="261" t="s">
        <v>418</v>
      </c>
      <c r="AE145" s="261" t="s">
        <v>418</v>
      </c>
      <c r="AF145" s="261" t="s">
        <v>418</v>
      </c>
      <c r="AG145" s="261" t="s">
        <v>418</v>
      </c>
      <c r="AH145" s="174"/>
      <c r="AI145" s="169"/>
      <c r="AJ145" s="164"/>
      <c r="AK145" s="216"/>
      <c r="AL145" s="25"/>
      <c r="AM145" s="25"/>
      <c r="AN145" s="22"/>
    </row>
    <row r="146" spans="1:40" s="103" customFormat="1" x14ac:dyDescent="0.4">
      <c r="A146" s="60" t="s">
        <v>8</v>
      </c>
      <c r="B146" s="106" t="s">
        <v>674</v>
      </c>
      <c r="C146" s="106" t="s">
        <v>675</v>
      </c>
      <c r="D146" s="12"/>
      <c r="E146" s="4">
        <v>0.35</v>
      </c>
      <c r="F146" s="288" t="s">
        <v>418</v>
      </c>
      <c r="G146" s="288" t="s">
        <v>418</v>
      </c>
      <c r="H146" s="288" t="s">
        <v>418</v>
      </c>
      <c r="I146" s="288" t="s">
        <v>418</v>
      </c>
      <c r="J146" s="288" t="s">
        <v>418</v>
      </c>
      <c r="K146" s="288" t="s">
        <v>418</v>
      </c>
      <c r="L146" s="288" t="s">
        <v>418</v>
      </c>
      <c r="M146" s="293" t="s">
        <v>418</v>
      </c>
      <c r="N146" s="293" t="s">
        <v>418</v>
      </c>
      <c r="O146" s="293" t="s">
        <v>418</v>
      </c>
      <c r="P146" s="293" t="s">
        <v>418</v>
      </c>
      <c r="Q146" s="293" t="s">
        <v>418</v>
      </c>
      <c r="R146" s="293" t="s">
        <v>418</v>
      </c>
      <c r="S146" s="293" t="s">
        <v>418</v>
      </c>
      <c r="T146" s="260" t="s">
        <v>418</v>
      </c>
      <c r="U146" s="260" t="s">
        <v>418</v>
      </c>
      <c r="V146" s="260" t="s">
        <v>418</v>
      </c>
      <c r="W146" s="260" t="s">
        <v>418</v>
      </c>
      <c r="X146" s="260" t="s">
        <v>418</v>
      </c>
      <c r="Y146" s="260" t="s">
        <v>418</v>
      </c>
      <c r="Z146" s="260" t="s">
        <v>418</v>
      </c>
      <c r="AA146" s="261" t="s">
        <v>418</v>
      </c>
      <c r="AB146" s="261" t="s">
        <v>418</v>
      </c>
      <c r="AC146" s="261" t="s">
        <v>418</v>
      </c>
      <c r="AD146" s="261" t="s">
        <v>418</v>
      </c>
      <c r="AE146" s="261" t="s">
        <v>418</v>
      </c>
      <c r="AF146" s="261" t="s">
        <v>418</v>
      </c>
      <c r="AG146" s="261" t="s">
        <v>418</v>
      </c>
      <c r="AH146" s="174"/>
      <c r="AI146" s="169"/>
      <c r="AJ146" s="164"/>
      <c r="AK146" s="216"/>
      <c r="AL146" s="25"/>
      <c r="AM146" s="25"/>
      <c r="AN146" s="22"/>
    </row>
    <row r="147" spans="1:40" s="103" customFormat="1" x14ac:dyDescent="0.4">
      <c r="A147" s="60" t="s">
        <v>8</v>
      </c>
      <c r="B147" s="106" t="s">
        <v>676</v>
      </c>
      <c r="C147" s="106" t="s">
        <v>677</v>
      </c>
      <c r="D147" s="12"/>
      <c r="E147" s="4">
        <v>0.34</v>
      </c>
      <c r="F147" s="288" t="s">
        <v>418</v>
      </c>
      <c r="G147" s="288" t="s">
        <v>418</v>
      </c>
      <c r="H147" s="288" t="s">
        <v>418</v>
      </c>
      <c r="I147" s="288" t="s">
        <v>418</v>
      </c>
      <c r="J147" s="288" t="s">
        <v>418</v>
      </c>
      <c r="K147" s="288" t="s">
        <v>418</v>
      </c>
      <c r="L147" s="288" t="s">
        <v>418</v>
      </c>
      <c r="M147" s="293" t="s">
        <v>418</v>
      </c>
      <c r="N147" s="293" t="s">
        <v>418</v>
      </c>
      <c r="O147" s="293" t="s">
        <v>418</v>
      </c>
      <c r="P147" s="293" t="s">
        <v>418</v>
      </c>
      <c r="Q147" s="293" t="s">
        <v>418</v>
      </c>
      <c r="R147" s="293" t="s">
        <v>418</v>
      </c>
      <c r="S147" s="293" t="s">
        <v>418</v>
      </c>
      <c r="T147" s="260" t="s">
        <v>418</v>
      </c>
      <c r="U147" s="260" t="s">
        <v>418</v>
      </c>
      <c r="V147" s="260" t="s">
        <v>418</v>
      </c>
      <c r="W147" s="260" t="s">
        <v>418</v>
      </c>
      <c r="X147" s="260" t="s">
        <v>418</v>
      </c>
      <c r="Y147" s="260" t="s">
        <v>418</v>
      </c>
      <c r="Z147" s="260" t="s">
        <v>418</v>
      </c>
      <c r="AA147" s="261" t="s">
        <v>418</v>
      </c>
      <c r="AB147" s="261" t="s">
        <v>418</v>
      </c>
      <c r="AC147" s="261" t="s">
        <v>418</v>
      </c>
      <c r="AD147" s="261" t="s">
        <v>418</v>
      </c>
      <c r="AE147" s="261" t="s">
        <v>418</v>
      </c>
      <c r="AF147" s="261" t="s">
        <v>418</v>
      </c>
      <c r="AG147" s="261" t="s">
        <v>418</v>
      </c>
      <c r="AH147" s="174"/>
      <c r="AI147" s="169"/>
      <c r="AJ147" s="164"/>
      <c r="AK147" s="216"/>
      <c r="AL147" s="25"/>
      <c r="AM147" s="25"/>
      <c r="AN147" s="22"/>
    </row>
    <row r="148" spans="1:40" s="103" customFormat="1" x14ac:dyDescent="0.4">
      <c r="A148" s="60" t="s">
        <v>8</v>
      </c>
      <c r="B148" s="106" t="s">
        <v>678</v>
      </c>
      <c r="C148" s="106" t="s">
        <v>679</v>
      </c>
      <c r="D148" s="12"/>
      <c r="E148" s="4">
        <v>0.36</v>
      </c>
      <c r="F148" s="288" t="s">
        <v>418</v>
      </c>
      <c r="G148" s="288" t="s">
        <v>418</v>
      </c>
      <c r="H148" s="288" t="s">
        <v>418</v>
      </c>
      <c r="I148" s="288" t="s">
        <v>418</v>
      </c>
      <c r="J148" s="288" t="s">
        <v>418</v>
      </c>
      <c r="K148" s="288" t="s">
        <v>418</v>
      </c>
      <c r="L148" s="288" t="s">
        <v>418</v>
      </c>
      <c r="M148" s="293" t="s">
        <v>418</v>
      </c>
      <c r="N148" s="293" t="s">
        <v>418</v>
      </c>
      <c r="O148" s="293" t="s">
        <v>418</v>
      </c>
      <c r="P148" s="293" t="s">
        <v>418</v>
      </c>
      <c r="Q148" s="293" t="s">
        <v>418</v>
      </c>
      <c r="R148" s="293" t="s">
        <v>418</v>
      </c>
      <c r="S148" s="293" t="s">
        <v>418</v>
      </c>
      <c r="T148" s="260" t="s">
        <v>418</v>
      </c>
      <c r="U148" s="260" t="s">
        <v>418</v>
      </c>
      <c r="V148" s="260" t="s">
        <v>418</v>
      </c>
      <c r="W148" s="260" t="s">
        <v>418</v>
      </c>
      <c r="X148" s="260" t="s">
        <v>418</v>
      </c>
      <c r="Y148" s="260" t="s">
        <v>418</v>
      </c>
      <c r="Z148" s="260" t="s">
        <v>418</v>
      </c>
      <c r="AA148" s="261" t="s">
        <v>418</v>
      </c>
      <c r="AB148" s="261" t="s">
        <v>418</v>
      </c>
      <c r="AC148" s="261" t="s">
        <v>418</v>
      </c>
      <c r="AD148" s="261" t="s">
        <v>418</v>
      </c>
      <c r="AE148" s="261" t="s">
        <v>418</v>
      </c>
      <c r="AF148" s="261" t="s">
        <v>418</v>
      </c>
      <c r="AG148" s="261" t="s">
        <v>418</v>
      </c>
      <c r="AH148" s="174"/>
      <c r="AI148" s="169"/>
      <c r="AJ148" s="164"/>
      <c r="AK148" s="216"/>
      <c r="AL148" s="25"/>
      <c r="AM148" s="25"/>
      <c r="AN148" s="22"/>
    </row>
    <row r="149" spans="1:40" s="111" customFormat="1" x14ac:dyDescent="0.4">
      <c r="A149" s="60" t="s">
        <v>8</v>
      </c>
      <c r="B149" s="112" t="s">
        <v>698</v>
      </c>
      <c r="C149" s="112" t="s">
        <v>699</v>
      </c>
      <c r="D149" s="12"/>
      <c r="E149" s="4">
        <v>0.55000000000000004</v>
      </c>
      <c r="F149" s="288" t="s">
        <v>418</v>
      </c>
      <c r="G149" s="288" t="s">
        <v>418</v>
      </c>
      <c r="H149" s="288" t="s">
        <v>418</v>
      </c>
      <c r="I149" s="288" t="s">
        <v>418</v>
      </c>
      <c r="J149" s="288" t="s">
        <v>418</v>
      </c>
      <c r="K149" s="288" t="s">
        <v>418</v>
      </c>
      <c r="L149" s="288" t="s">
        <v>418</v>
      </c>
      <c r="M149" s="293" t="s">
        <v>418</v>
      </c>
      <c r="N149" s="293" t="s">
        <v>418</v>
      </c>
      <c r="O149" s="293" t="s">
        <v>418</v>
      </c>
      <c r="P149" s="293" t="s">
        <v>418</v>
      </c>
      <c r="Q149" s="293" t="s">
        <v>418</v>
      </c>
      <c r="R149" s="293" t="s">
        <v>418</v>
      </c>
      <c r="S149" s="293" t="s">
        <v>418</v>
      </c>
      <c r="T149" s="260" t="s">
        <v>418</v>
      </c>
      <c r="U149" s="260" t="s">
        <v>418</v>
      </c>
      <c r="V149" s="260" t="s">
        <v>418</v>
      </c>
      <c r="W149" s="260" t="s">
        <v>418</v>
      </c>
      <c r="X149" s="260" t="s">
        <v>418</v>
      </c>
      <c r="Y149" s="260" t="s">
        <v>418</v>
      </c>
      <c r="Z149" s="260" t="s">
        <v>418</v>
      </c>
      <c r="AA149" s="261" t="s">
        <v>418</v>
      </c>
      <c r="AB149" s="261" t="s">
        <v>418</v>
      </c>
      <c r="AC149" s="261" t="s">
        <v>418</v>
      </c>
      <c r="AD149" s="261" t="s">
        <v>418</v>
      </c>
      <c r="AE149" s="261" t="s">
        <v>418</v>
      </c>
      <c r="AF149" s="261" t="s">
        <v>418</v>
      </c>
      <c r="AG149" s="261" t="s">
        <v>418</v>
      </c>
      <c r="AH149" s="174"/>
      <c r="AI149" s="169"/>
      <c r="AJ149" s="164"/>
      <c r="AK149" s="216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88" t="s">
        <v>418</v>
      </c>
      <c r="G150" s="288" t="s">
        <v>418</v>
      </c>
      <c r="H150" s="288" t="s">
        <v>418</v>
      </c>
      <c r="I150" s="288" t="s">
        <v>418</v>
      </c>
      <c r="J150" s="288" t="s">
        <v>418</v>
      </c>
      <c r="K150" s="288" t="s">
        <v>418</v>
      </c>
      <c r="L150" s="288" t="s">
        <v>418</v>
      </c>
      <c r="M150" s="293" t="s">
        <v>418</v>
      </c>
      <c r="N150" s="293" t="s">
        <v>418</v>
      </c>
      <c r="O150" s="293" t="s">
        <v>418</v>
      </c>
      <c r="P150" s="293" t="s">
        <v>418</v>
      </c>
      <c r="Q150" s="293" t="s">
        <v>418</v>
      </c>
      <c r="R150" s="293" t="s">
        <v>418</v>
      </c>
      <c r="S150" s="293" t="s">
        <v>418</v>
      </c>
      <c r="T150" s="260" t="s">
        <v>418</v>
      </c>
      <c r="U150" s="260" t="s">
        <v>418</v>
      </c>
      <c r="V150" s="260" t="s">
        <v>418</v>
      </c>
      <c r="W150" s="260" t="s">
        <v>418</v>
      </c>
      <c r="X150" s="260" t="s">
        <v>418</v>
      </c>
      <c r="Y150" s="260" t="s">
        <v>418</v>
      </c>
      <c r="Z150" s="260" t="s">
        <v>418</v>
      </c>
      <c r="AA150" s="261" t="s">
        <v>418</v>
      </c>
      <c r="AB150" s="261" t="s">
        <v>418</v>
      </c>
      <c r="AC150" s="261" t="s">
        <v>418</v>
      </c>
      <c r="AD150" s="261" t="s">
        <v>418</v>
      </c>
      <c r="AE150" s="261" t="s">
        <v>418</v>
      </c>
      <c r="AF150" s="261" t="s">
        <v>418</v>
      </c>
      <c r="AG150" s="261" t="s">
        <v>418</v>
      </c>
      <c r="AH150" s="174"/>
      <c r="AI150" s="169"/>
      <c r="AJ150" s="164"/>
      <c r="AK150" s="216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88" t="s">
        <v>418</v>
      </c>
      <c r="G151" s="288" t="s">
        <v>418</v>
      </c>
      <c r="H151" s="288" t="s">
        <v>693</v>
      </c>
      <c r="I151" s="288" t="s">
        <v>215</v>
      </c>
      <c r="J151" s="288" t="s">
        <v>227</v>
      </c>
      <c r="K151" s="288" t="s">
        <v>418</v>
      </c>
      <c r="L151" s="288" t="s">
        <v>418</v>
      </c>
      <c r="M151" s="293" t="s">
        <v>418</v>
      </c>
      <c r="N151" s="293" t="s">
        <v>418</v>
      </c>
      <c r="O151" s="293" t="s">
        <v>693</v>
      </c>
      <c r="P151" s="293" t="s">
        <v>215</v>
      </c>
      <c r="Q151" s="293" t="s">
        <v>227</v>
      </c>
      <c r="R151" s="293" t="s">
        <v>418</v>
      </c>
      <c r="S151" s="293" t="s">
        <v>418</v>
      </c>
      <c r="T151" s="260" t="s">
        <v>418</v>
      </c>
      <c r="U151" s="260" t="s">
        <v>418</v>
      </c>
      <c r="V151" s="260" t="s">
        <v>693</v>
      </c>
      <c r="W151" s="260" t="s">
        <v>215</v>
      </c>
      <c r="X151" s="260" t="s">
        <v>227</v>
      </c>
      <c r="Y151" s="260" t="s">
        <v>418</v>
      </c>
      <c r="Z151" s="260" t="s">
        <v>418</v>
      </c>
      <c r="AA151" s="261" t="s">
        <v>418</v>
      </c>
      <c r="AB151" s="261" t="s">
        <v>418</v>
      </c>
      <c r="AC151" s="261" t="s">
        <v>693</v>
      </c>
      <c r="AD151" s="261" t="s">
        <v>215</v>
      </c>
      <c r="AE151" s="261" t="s">
        <v>227</v>
      </c>
      <c r="AF151" s="261" t="s">
        <v>418</v>
      </c>
      <c r="AG151" s="261" t="s">
        <v>418</v>
      </c>
      <c r="AH151" s="174"/>
      <c r="AI151" s="169"/>
      <c r="AJ151" s="164"/>
      <c r="AK151" s="216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88" t="s">
        <v>418</v>
      </c>
      <c r="G152" s="288" t="s">
        <v>418</v>
      </c>
      <c r="H152" s="288" t="s">
        <v>693</v>
      </c>
      <c r="I152" s="288" t="s">
        <v>215</v>
      </c>
      <c r="J152" s="288" t="s">
        <v>227</v>
      </c>
      <c r="K152" s="288" t="s">
        <v>418</v>
      </c>
      <c r="L152" s="288" t="s">
        <v>418</v>
      </c>
      <c r="M152" s="293" t="s">
        <v>418</v>
      </c>
      <c r="N152" s="293" t="s">
        <v>418</v>
      </c>
      <c r="O152" s="293" t="s">
        <v>693</v>
      </c>
      <c r="P152" s="293" t="s">
        <v>215</v>
      </c>
      <c r="Q152" s="293" t="s">
        <v>227</v>
      </c>
      <c r="R152" s="293" t="s">
        <v>418</v>
      </c>
      <c r="S152" s="293" t="s">
        <v>418</v>
      </c>
      <c r="T152" s="260" t="s">
        <v>418</v>
      </c>
      <c r="U152" s="260" t="s">
        <v>418</v>
      </c>
      <c r="V152" s="260" t="s">
        <v>693</v>
      </c>
      <c r="W152" s="260" t="s">
        <v>215</v>
      </c>
      <c r="X152" s="260" t="s">
        <v>227</v>
      </c>
      <c r="Y152" s="260" t="s">
        <v>418</v>
      </c>
      <c r="Z152" s="260" t="s">
        <v>418</v>
      </c>
      <c r="AA152" s="261" t="s">
        <v>418</v>
      </c>
      <c r="AB152" s="261" t="s">
        <v>418</v>
      </c>
      <c r="AC152" s="261" t="s">
        <v>693</v>
      </c>
      <c r="AD152" s="261" t="s">
        <v>215</v>
      </c>
      <c r="AE152" s="261" t="s">
        <v>227</v>
      </c>
      <c r="AF152" s="261" t="s">
        <v>418</v>
      </c>
      <c r="AG152" s="261" t="s">
        <v>418</v>
      </c>
      <c r="AH152" s="174"/>
      <c r="AI152" s="169"/>
      <c r="AJ152" s="164"/>
      <c r="AK152" s="216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88" t="s">
        <v>418</v>
      </c>
      <c r="G153" s="288" t="s">
        <v>418</v>
      </c>
      <c r="H153" s="288" t="s">
        <v>693</v>
      </c>
      <c r="I153" s="288" t="s">
        <v>215</v>
      </c>
      <c r="J153" s="288" t="s">
        <v>227</v>
      </c>
      <c r="K153" s="288" t="s">
        <v>418</v>
      </c>
      <c r="L153" s="288" t="s">
        <v>418</v>
      </c>
      <c r="M153" s="293" t="s">
        <v>418</v>
      </c>
      <c r="N153" s="293" t="s">
        <v>418</v>
      </c>
      <c r="O153" s="293" t="s">
        <v>693</v>
      </c>
      <c r="P153" s="293" t="s">
        <v>215</v>
      </c>
      <c r="Q153" s="293" t="s">
        <v>227</v>
      </c>
      <c r="R153" s="293" t="s">
        <v>418</v>
      </c>
      <c r="S153" s="293" t="s">
        <v>418</v>
      </c>
      <c r="T153" s="260" t="s">
        <v>418</v>
      </c>
      <c r="U153" s="260" t="s">
        <v>418</v>
      </c>
      <c r="V153" s="260" t="s">
        <v>693</v>
      </c>
      <c r="W153" s="260" t="s">
        <v>215</v>
      </c>
      <c r="X153" s="260" t="s">
        <v>227</v>
      </c>
      <c r="Y153" s="260" t="s">
        <v>418</v>
      </c>
      <c r="Z153" s="260" t="s">
        <v>418</v>
      </c>
      <c r="AA153" s="261" t="s">
        <v>418</v>
      </c>
      <c r="AB153" s="261" t="s">
        <v>418</v>
      </c>
      <c r="AC153" s="261" t="s">
        <v>693</v>
      </c>
      <c r="AD153" s="261" t="s">
        <v>215</v>
      </c>
      <c r="AE153" s="261" t="s">
        <v>227</v>
      </c>
      <c r="AF153" s="261" t="s">
        <v>418</v>
      </c>
      <c r="AG153" s="261" t="s">
        <v>418</v>
      </c>
      <c r="AH153" s="174"/>
      <c r="AI153" s="169"/>
      <c r="AJ153" s="164"/>
      <c r="AK153" s="216"/>
      <c r="AL153" s="25"/>
      <c r="AM153" s="25"/>
    </row>
    <row r="154" spans="1:40" x14ac:dyDescent="0.4">
      <c r="A154" s="2"/>
      <c r="B154" s="2"/>
      <c r="C154" s="2"/>
      <c r="D154" s="12"/>
      <c r="E154" s="4"/>
      <c r="F154" s="288" t="s">
        <v>418</v>
      </c>
      <c r="G154" s="288" t="s">
        <v>418</v>
      </c>
      <c r="H154" s="288" t="s">
        <v>418</v>
      </c>
      <c r="I154" s="288" t="s">
        <v>418</v>
      </c>
      <c r="J154" s="288" t="s">
        <v>418</v>
      </c>
      <c r="K154" s="288" t="s">
        <v>418</v>
      </c>
      <c r="L154" s="288" t="s">
        <v>418</v>
      </c>
      <c r="M154" s="293" t="s">
        <v>418</v>
      </c>
      <c r="N154" s="293" t="s">
        <v>418</v>
      </c>
      <c r="O154" s="293" t="s">
        <v>418</v>
      </c>
      <c r="P154" s="293" t="s">
        <v>418</v>
      </c>
      <c r="Q154" s="293" t="s">
        <v>418</v>
      </c>
      <c r="R154" s="293" t="s">
        <v>418</v>
      </c>
      <c r="S154" s="293" t="s">
        <v>418</v>
      </c>
      <c r="T154" s="260" t="s">
        <v>418</v>
      </c>
      <c r="U154" s="260" t="s">
        <v>418</v>
      </c>
      <c r="V154" s="260" t="s">
        <v>418</v>
      </c>
      <c r="W154" s="260" t="s">
        <v>418</v>
      </c>
      <c r="X154" s="260" t="s">
        <v>418</v>
      </c>
      <c r="Y154" s="260" t="s">
        <v>418</v>
      </c>
      <c r="Z154" s="260" t="s">
        <v>418</v>
      </c>
      <c r="AA154" s="261" t="s">
        <v>418</v>
      </c>
      <c r="AB154" s="261" t="s">
        <v>418</v>
      </c>
      <c r="AC154" s="261" t="s">
        <v>418</v>
      </c>
      <c r="AD154" s="261" t="s">
        <v>418</v>
      </c>
      <c r="AE154" s="261" t="s">
        <v>418</v>
      </c>
      <c r="AF154" s="261" t="s">
        <v>418</v>
      </c>
      <c r="AG154" s="261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88" t="s">
        <v>418</v>
      </c>
      <c r="G155" s="288" t="s">
        <v>418</v>
      </c>
      <c r="H155" s="288" t="s">
        <v>418</v>
      </c>
      <c r="I155" s="288" t="s">
        <v>418</v>
      </c>
      <c r="J155" s="288" t="s">
        <v>418</v>
      </c>
      <c r="K155" s="288" t="s">
        <v>418</v>
      </c>
      <c r="L155" s="288" t="s">
        <v>418</v>
      </c>
      <c r="M155" s="293" t="s">
        <v>418</v>
      </c>
      <c r="N155" s="293" t="s">
        <v>418</v>
      </c>
      <c r="O155" s="293" t="s">
        <v>418</v>
      </c>
      <c r="P155" s="293" t="s">
        <v>418</v>
      </c>
      <c r="Q155" s="293" t="s">
        <v>418</v>
      </c>
      <c r="R155" s="293" t="s">
        <v>418</v>
      </c>
      <c r="S155" s="293" t="s">
        <v>418</v>
      </c>
      <c r="T155" s="260" t="s">
        <v>418</v>
      </c>
      <c r="U155" s="260" t="s">
        <v>418</v>
      </c>
      <c r="V155" s="260" t="s">
        <v>418</v>
      </c>
      <c r="W155" s="260" t="s">
        <v>418</v>
      </c>
      <c r="X155" s="260" t="s">
        <v>418</v>
      </c>
      <c r="Y155" s="260" t="s">
        <v>418</v>
      </c>
      <c r="Z155" s="260" t="s">
        <v>418</v>
      </c>
      <c r="AA155" s="261" t="s">
        <v>418</v>
      </c>
      <c r="AB155" s="261" t="s">
        <v>418</v>
      </c>
      <c r="AC155" s="261" t="s">
        <v>418</v>
      </c>
      <c r="AD155" s="261" t="s">
        <v>418</v>
      </c>
      <c r="AE155" s="261" t="s">
        <v>418</v>
      </c>
      <c r="AF155" s="261" t="s">
        <v>418</v>
      </c>
      <c r="AG155" s="261" t="s">
        <v>418</v>
      </c>
      <c r="AH155" s="30">
        <v>0</v>
      </c>
      <c r="AI155" s="27">
        <v>0</v>
      </c>
      <c r="AJ155" s="28">
        <v>0</v>
      </c>
      <c r="AK155" s="269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88" t="s">
        <v>418</v>
      </c>
      <c r="G156" s="288" t="s">
        <v>418</v>
      </c>
      <c r="H156" s="288" t="s">
        <v>418</v>
      </c>
      <c r="I156" s="288" t="s">
        <v>418</v>
      </c>
      <c r="J156" s="288" t="s">
        <v>418</v>
      </c>
      <c r="K156" s="288" t="s">
        <v>418</v>
      </c>
      <c r="L156" s="288" t="s">
        <v>418</v>
      </c>
      <c r="M156" s="293" t="s">
        <v>418</v>
      </c>
      <c r="N156" s="293" t="s">
        <v>418</v>
      </c>
      <c r="O156" s="293" t="s">
        <v>418</v>
      </c>
      <c r="P156" s="293" t="s">
        <v>418</v>
      </c>
      <c r="Q156" s="293" t="s">
        <v>418</v>
      </c>
      <c r="R156" s="293" t="s">
        <v>418</v>
      </c>
      <c r="S156" s="293" t="s">
        <v>418</v>
      </c>
      <c r="T156" s="260" t="s">
        <v>418</v>
      </c>
      <c r="U156" s="260" t="s">
        <v>418</v>
      </c>
      <c r="V156" s="260" t="s">
        <v>418</v>
      </c>
      <c r="W156" s="260" t="s">
        <v>418</v>
      </c>
      <c r="X156" s="260" t="s">
        <v>418</v>
      </c>
      <c r="Y156" s="260" t="s">
        <v>418</v>
      </c>
      <c r="Z156" s="260" t="s">
        <v>418</v>
      </c>
      <c r="AA156" s="261" t="s">
        <v>418</v>
      </c>
      <c r="AB156" s="261" t="s">
        <v>418</v>
      </c>
      <c r="AC156" s="261" t="s">
        <v>418</v>
      </c>
      <c r="AD156" s="261" t="s">
        <v>418</v>
      </c>
      <c r="AE156" s="261" t="s">
        <v>418</v>
      </c>
      <c r="AF156" s="261" t="s">
        <v>418</v>
      </c>
      <c r="AG156" s="261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69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88" t="s">
        <v>418</v>
      </c>
      <c r="G157" s="288" t="s">
        <v>418</v>
      </c>
      <c r="H157" s="288" t="s">
        <v>418</v>
      </c>
      <c r="I157" s="288" t="s">
        <v>418</v>
      </c>
      <c r="J157" s="288" t="s">
        <v>418</v>
      </c>
      <c r="K157" s="288" t="s">
        <v>418</v>
      </c>
      <c r="L157" s="288" t="s">
        <v>418</v>
      </c>
      <c r="M157" s="293" t="s">
        <v>418</v>
      </c>
      <c r="N157" s="293" t="s">
        <v>418</v>
      </c>
      <c r="O157" s="293" t="s">
        <v>418</v>
      </c>
      <c r="P157" s="293" t="s">
        <v>418</v>
      </c>
      <c r="Q157" s="293" t="s">
        <v>418</v>
      </c>
      <c r="R157" s="293" t="s">
        <v>418</v>
      </c>
      <c r="S157" s="293" t="s">
        <v>418</v>
      </c>
      <c r="T157" s="260" t="s">
        <v>418</v>
      </c>
      <c r="U157" s="260" t="s">
        <v>418</v>
      </c>
      <c r="V157" s="260" t="s">
        <v>418</v>
      </c>
      <c r="W157" s="260" t="s">
        <v>418</v>
      </c>
      <c r="X157" s="260" t="s">
        <v>418</v>
      </c>
      <c r="Y157" s="260" t="s">
        <v>418</v>
      </c>
      <c r="Z157" s="260" t="s">
        <v>418</v>
      </c>
      <c r="AA157" s="261" t="s">
        <v>418</v>
      </c>
      <c r="AB157" s="261" t="s">
        <v>418</v>
      </c>
      <c r="AC157" s="261" t="s">
        <v>418</v>
      </c>
      <c r="AD157" s="261" t="s">
        <v>418</v>
      </c>
      <c r="AE157" s="261" t="s">
        <v>418</v>
      </c>
      <c r="AF157" s="261" t="s">
        <v>418</v>
      </c>
      <c r="AG157" s="261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69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88" t="s">
        <v>418</v>
      </c>
      <c r="G158" s="288" t="s">
        <v>418</v>
      </c>
      <c r="H158" s="288" t="s">
        <v>418</v>
      </c>
      <c r="I158" s="288" t="s">
        <v>418</v>
      </c>
      <c r="J158" s="288" t="s">
        <v>418</v>
      </c>
      <c r="K158" s="288" t="s">
        <v>418</v>
      </c>
      <c r="L158" s="288" t="s">
        <v>418</v>
      </c>
      <c r="M158" s="293" t="s">
        <v>418</v>
      </c>
      <c r="N158" s="293" t="s">
        <v>418</v>
      </c>
      <c r="O158" s="293" t="s">
        <v>418</v>
      </c>
      <c r="P158" s="293" t="s">
        <v>418</v>
      </c>
      <c r="Q158" s="293" t="s">
        <v>418</v>
      </c>
      <c r="R158" s="293" t="s">
        <v>418</v>
      </c>
      <c r="S158" s="293" t="s">
        <v>418</v>
      </c>
      <c r="T158" s="260" t="s">
        <v>418</v>
      </c>
      <c r="U158" s="260" t="s">
        <v>418</v>
      </c>
      <c r="V158" s="260" t="s">
        <v>418</v>
      </c>
      <c r="W158" s="260" t="s">
        <v>418</v>
      </c>
      <c r="X158" s="260" t="s">
        <v>418</v>
      </c>
      <c r="Y158" s="260" t="s">
        <v>418</v>
      </c>
      <c r="Z158" s="260" t="s">
        <v>418</v>
      </c>
      <c r="AA158" s="261" t="s">
        <v>418</v>
      </c>
      <c r="AB158" s="261" t="s">
        <v>418</v>
      </c>
      <c r="AC158" s="261" t="s">
        <v>418</v>
      </c>
      <c r="AD158" s="261" t="s">
        <v>418</v>
      </c>
      <c r="AE158" s="261" t="s">
        <v>418</v>
      </c>
      <c r="AF158" s="261" t="s">
        <v>418</v>
      </c>
      <c r="AG158" s="261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69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88" t="s">
        <v>418</v>
      </c>
      <c r="G159" s="288" t="s">
        <v>418</v>
      </c>
      <c r="H159" s="288" t="s">
        <v>418</v>
      </c>
      <c r="I159" s="288" t="s">
        <v>418</v>
      </c>
      <c r="J159" s="288" t="s">
        <v>418</v>
      </c>
      <c r="K159" s="288" t="s">
        <v>418</v>
      </c>
      <c r="L159" s="288" t="s">
        <v>418</v>
      </c>
      <c r="M159" s="293" t="s">
        <v>418</v>
      </c>
      <c r="N159" s="293" t="s">
        <v>418</v>
      </c>
      <c r="O159" s="293" t="s">
        <v>418</v>
      </c>
      <c r="P159" s="293" t="s">
        <v>418</v>
      </c>
      <c r="Q159" s="293" t="s">
        <v>418</v>
      </c>
      <c r="R159" s="293" t="s">
        <v>418</v>
      </c>
      <c r="S159" s="293" t="s">
        <v>418</v>
      </c>
      <c r="T159" s="260" t="s">
        <v>418</v>
      </c>
      <c r="U159" s="260" t="s">
        <v>418</v>
      </c>
      <c r="V159" s="260" t="s">
        <v>418</v>
      </c>
      <c r="W159" s="260" t="s">
        <v>418</v>
      </c>
      <c r="X159" s="260" t="s">
        <v>418</v>
      </c>
      <c r="Y159" s="260" t="s">
        <v>418</v>
      </c>
      <c r="Z159" s="260" t="s">
        <v>418</v>
      </c>
      <c r="AA159" s="261" t="s">
        <v>418</v>
      </c>
      <c r="AB159" s="261" t="s">
        <v>418</v>
      </c>
      <c r="AC159" s="261" t="s">
        <v>418</v>
      </c>
      <c r="AD159" s="261" t="s">
        <v>418</v>
      </c>
      <c r="AE159" s="261" t="s">
        <v>418</v>
      </c>
      <c r="AF159" s="261" t="s">
        <v>418</v>
      </c>
      <c r="AG159" s="261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69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88" t="s">
        <v>418</v>
      </c>
      <c r="G160" s="288" t="s">
        <v>418</v>
      </c>
      <c r="H160" s="288" t="s">
        <v>418</v>
      </c>
      <c r="I160" s="288" t="s">
        <v>418</v>
      </c>
      <c r="J160" s="288" t="s">
        <v>418</v>
      </c>
      <c r="K160" s="288" t="s">
        <v>418</v>
      </c>
      <c r="L160" s="288" t="s">
        <v>418</v>
      </c>
      <c r="M160" s="293" t="s">
        <v>418</v>
      </c>
      <c r="N160" s="293" t="s">
        <v>418</v>
      </c>
      <c r="O160" s="293" t="s">
        <v>418</v>
      </c>
      <c r="P160" s="293" t="s">
        <v>418</v>
      </c>
      <c r="Q160" s="293" t="s">
        <v>418</v>
      </c>
      <c r="R160" s="293" t="s">
        <v>418</v>
      </c>
      <c r="S160" s="293" t="s">
        <v>418</v>
      </c>
      <c r="T160" s="260" t="s">
        <v>418</v>
      </c>
      <c r="U160" s="260" t="s">
        <v>418</v>
      </c>
      <c r="V160" s="260" t="s">
        <v>418</v>
      </c>
      <c r="W160" s="260" t="s">
        <v>418</v>
      </c>
      <c r="X160" s="260" t="s">
        <v>418</v>
      </c>
      <c r="Y160" s="260" t="s">
        <v>418</v>
      </c>
      <c r="Z160" s="260" t="s">
        <v>418</v>
      </c>
      <c r="AA160" s="261" t="s">
        <v>418</v>
      </c>
      <c r="AB160" s="261" t="s">
        <v>418</v>
      </c>
      <c r="AC160" s="261" t="s">
        <v>418</v>
      </c>
      <c r="AD160" s="261" t="s">
        <v>418</v>
      </c>
      <c r="AE160" s="261" t="s">
        <v>418</v>
      </c>
      <c r="AF160" s="261" t="s">
        <v>418</v>
      </c>
      <c r="AG160" s="261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69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88" t="s">
        <v>418</v>
      </c>
      <c r="G161" s="288" t="s">
        <v>418</v>
      </c>
      <c r="H161" s="288" t="s">
        <v>418</v>
      </c>
      <c r="I161" s="288" t="s">
        <v>418</v>
      </c>
      <c r="J161" s="288" t="s">
        <v>418</v>
      </c>
      <c r="K161" s="288" t="s">
        <v>418</v>
      </c>
      <c r="L161" s="288" t="s">
        <v>418</v>
      </c>
      <c r="M161" s="293" t="s">
        <v>418</v>
      </c>
      <c r="N161" s="293" t="s">
        <v>418</v>
      </c>
      <c r="O161" s="293" t="s">
        <v>418</v>
      </c>
      <c r="P161" s="293" t="s">
        <v>418</v>
      </c>
      <c r="Q161" s="293" t="s">
        <v>418</v>
      </c>
      <c r="R161" s="293" t="s">
        <v>418</v>
      </c>
      <c r="S161" s="293" t="s">
        <v>418</v>
      </c>
      <c r="T161" s="260" t="s">
        <v>418</v>
      </c>
      <c r="U161" s="260" t="s">
        <v>418</v>
      </c>
      <c r="V161" s="260" t="s">
        <v>418</v>
      </c>
      <c r="W161" s="260" t="s">
        <v>418</v>
      </c>
      <c r="X161" s="260" t="s">
        <v>418</v>
      </c>
      <c r="Y161" s="260" t="s">
        <v>418</v>
      </c>
      <c r="Z161" s="260" t="s">
        <v>418</v>
      </c>
      <c r="AA161" s="261" t="s">
        <v>418</v>
      </c>
      <c r="AB161" s="261" t="s">
        <v>418</v>
      </c>
      <c r="AC161" s="261" t="s">
        <v>418</v>
      </c>
      <c r="AD161" s="261" t="s">
        <v>418</v>
      </c>
      <c r="AE161" s="261" t="s">
        <v>418</v>
      </c>
      <c r="AF161" s="261" t="s">
        <v>418</v>
      </c>
      <c r="AG161" s="261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69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88" t="s">
        <v>418</v>
      </c>
      <c r="G162" s="288" t="s">
        <v>418</v>
      </c>
      <c r="H162" s="288" t="s">
        <v>418</v>
      </c>
      <c r="I162" s="288" t="s">
        <v>418</v>
      </c>
      <c r="J162" s="288" t="s">
        <v>418</v>
      </c>
      <c r="K162" s="288" t="s">
        <v>418</v>
      </c>
      <c r="L162" s="288" t="s">
        <v>418</v>
      </c>
      <c r="M162" s="293" t="s">
        <v>418</v>
      </c>
      <c r="N162" s="293" t="s">
        <v>418</v>
      </c>
      <c r="O162" s="293" t="s">
        <v>418</v>
      </c>
      <c r="P162" s="293" t="s">
        <v>418</v>
      </c>
      <c r="Q162" s="293" t="s">
        <v>418</v>
      </c>
      <c r="R162" s="293" t="s">
        <v>418</v>
      </c>
      <c r="S162" s="293" t="s">
        <v>418</v>
      </c>
      <c r="T162" s="260" t="s">
        <v>418</v>
      </c>
      <c r="U162" s="260" t="s">
        <v>418</v>
      </c>
      <c r="V162" s="260" t="s">
        <v>418</v>
      </c>
      <c r="W162" s="260" t="s">
        <v>418</v>
      </c>
      <c r="X162" s="260" t="s">
        <v>418</v>
      </c>
      <c r="Y162" s="260" t="s">
        <v>418</v>
      </c>
      <c r="Z162" s="260" t="s">
        <v>418</v>
      </c>
      <c r="AA162" s="261" t="s">
        <v>418</v>
      </c>
      <c r="AB162" s="261" t="s">
        <v>418</v>
      </c>
      <c r="AC162" s="261" t="s">
        <v>418</v>
      </c>
      <c r="AD162" s="261" t="s">
        <v>418</v>
      </c>
      <c r="AE162" s="261" t="s">
        <v>418</v>
      </c>
      <c r="AF162" s="261" t="s">
        <v>418</v>
      </c>
      <c r="AG162" s="261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69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88" t="s">
        <v>418</v>
      </c>
      <c r="G163" s="288" t="s">
        <v>418</v>
      </c>
      <c r="H163" s="288" t="s">
        <v>418</v>
      </c>
      <c r="I163" s="288" t="s">
        <v>418</v>
      </c>
      <c r="J163" s="288" t="s">
        <v>418</v>
      </c>
      <c r="K163" s="288" t="s">
        <v>418</v>
      </c>
      <c r="L163" s="288" t="s">
        <v>418</v>
      </c>
      <c r="M163" s="293" t="s">
        <v>418</v>
      </c>
      <c r="N163" s="293" t="s">
        <v>418</v>
      </c>
      <c r="O163" s="293" t="s">
        <v>418</v>
      </c>
      <c r="P163" s="293" t="s">
        <v>418</v>
      </c>
      <c r="Q163" s="293" t="s">
        <v>418</v>
      </c>
      <c r="R163" s="293" t="s">
        <v>418</v>
      </c>
      <c r="S163" s="293" t="s">
        <v>418</v>
      </c>
      <c r="T163" s="260" t="s">
        <v>418</v>
      </c>
      <c r="U163" s="260" t="s">
        <v>418</v>
      </c>
      <c r="V163" s="260" t="s">
        <v>418</v>
      </c>
      <c r="W163" s="260" t="s">
        <v>418</v>
      </c>
      <c r="X163" s="260" t="s">
        <v>418</v>
      </c>
      <c r="Y163" s="260" t="s">
        <v>418</v>
      </c>
      <c r="Z163" s="260" t="s">
        <v>418</v>
      </c>
      <c r="AA163" s="261" t="s">
        <v>418</v>
      </c>
      <c r="AB163" s="261" t="s">
        <v>418</v>
      </c>
      <c r="AC163" s="261" t="s">
        <v>418</v>
      </c>
      <c r="AD163" s="261" t="s">
        <v>418</v>
      </c>
      <c r="AE163" s="261" t="s">
        <v>418</v>
      </c>
      <c r="AF163" s="261" t="s">
        <v>418</v>
      </c>
      <c r="AG163" s="261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69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88" t="s">
        <v>418</v>
      </c>
      <c r="G164" s="288" t="s">
        <v>418</v>
      </c>
      <c r="H164" s="288" t="s">
        <v>418</v>
      </c>
      <c r="I164" s="288" t="s">
        <v>418</v>
      </c>
      <c r="J164" s="288" t="s">
        <v>418</v>
      </c>
      <c r="K164" s="288" t="s">
        <v>418</v>
      </c>
      <c r="L164" s="288" t="s">
        <v>418</v>
      </c>
      <c r="M164" s="293" t="s">
        <v>418</v>
      </c>
      <c r="N164" s="293" t="s">
        <v>418</v>
      </c>
      <c r="O164" s="293" t="s">
        <v>418</v>
      </c>
      <c r="P164" s="293" t="s">
        <v>418</v>
      </c>
      <c r="Q164" s="293" t="s">
        <v>418</v>
      </c>
      <c r="R164" s="293" t="s">
        <v>418</v>
      </c>
      <c r="S164" s="293" t="s">
        <v>418</v>
      </c>
      <c r="T164" s="260" t="s">
        <v>418</v>
      </c>
      <c r="U164" s="260" t="s">
        <v>418</v>
      </c>
      <c r="V164" s="260" t="s">
        <v>418</v>
      </c>
      <c r="W164" s="260" t="s">
        <v>418</v>
      </c>
      <c r="X164" s="260" t="s">
        <v>418</v>
      </c>
      <c r="Y164" s="260" t="s">
        <v>418</v>
      </c>
      <c r="Z164" s="260" t="s">
        <v>418</v>
      </c>
      <c r="AA164" s="261" t="s">
        <v>418</v>
      </c>
      <c r="AB164" s="261" t="s">
        <v>418</v>
      </c>
      <c r="AC164" s="261" t="s">
        <v>418</v>
      </c>
      <c r="AD164" s="261" t="s">
        <v>418</v>
      </c>
      <c r="AE164" s="261" t="s">
        <v>418</v>
      </c>
      <c r="AF164" s="261" t="s">
        <v>418</v>
      </c>
      <c r="AG164" s="261" t="s">
        <v>418</v>
      </c>
      <c r="AH164" s="174"/>
      <c r="AI164" s="169"/>
      <c r="AJ164" s="164"/>
      <c r="AK164" s="270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88" t="s">
        <v>418</v>
      </c>
      <c r="G165" s="288" t="s">
        <v>418</v>
      </c>
      <c r="H165" s="288" t="s">
        <v>418</v>
      </c>
      <c r="I165" s="288" t="s">
        <v>418</v>
      </c>
      <c r="J165" s="288" t="s">
        <v>418</v>
      </c>
      <c r="K165" s="288" t="s">
        <v>418</v>
      </c>
      <c r="L165" s="288" t="s">
        <v>418</v>
      </c>
      <c r="M165" s="293" t="s">
        <v>418</v>
      </c>
      <c r="N165" s="293" t="s">
        <v>418</v>
      </c>
      <c r="O165" s="293" t="s">
        <v>418</v>
      </c>
      <c r="P165" s="293" t="s">
        <v>418</v>
      </c>
      <c r="Q165" s="293" t="s">
        <v>418</v>
      </c>
      <c r="R165" s="293" t="s">
        <v>418</v>
      </c>
      <c r="S165" s="293" t="s">
        <v>418</v>
      </c>
      <c r="T165" s="260" t="s">
        <v>418</v>
      </c>
      <c r="U165" s="260" t="s">
        <v>418</v>
      </c>
      <c r="V165" s="260" t="s">
        <v>418</v>
      </c>
      <c r="W165" s="260" t="s">
        <v>418</v>
      </c>
      <c r="X165" s="260" t="s">
        <v>418</v>
      </c>
      <c r="Y165" s="260" t="s">
        <v>418</v>
      </c>
      <c r="Z165" s="260" t="s">
        <v>418</v>
      </c>
      <c r="AA165" s="261" t="s">
        <v>418</v>
      </c>
      <c r="AB165" s="261" t="s">
        <v>418</v>
      </c>
      <c r="AC165" s="261" t="s">
        <v>418</v>
      </c>
      <c r="AD165" s="261" t="s">
        <v>418</v>
      </c>
      <c r="AE165" s="261" t="s">
        <v>418</v>
      </c>
      <c r="AF165" s="261" t="s">
        <v>418</v>
      </c>
      <c r="AG165" s="261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69">
        <f>'Project Materials'!$Q$28</f>
        <v>0</v>
      </c>
      <c r="AM165" s="111">
        <v>1</v>
      </c>
    </row>
    <row r="166" spans="1:40" s="105" customFormat="1" x14ac:dyDescent="0.4">
      <c r="A166" s="60" t="s">
        <v>6</v>
      </c>
      <c r="B166" s="107" t="s">
        <v>680</v>
      </c>
      <c r="C166" s="107" t="s">
        <v>681</v>
      </c>
      <c r="D166" s="12"/>
      <c r="E166" s="4">
        <v>11.25</v>
      </c>
      <c r="F166" s="288" t="s">
        <v>418</v>
      </c>
      <c r="G166" s="288" t="s">
        <v>418</v>
      </c>
      <c r="H166" s="288" t="s">
        <v>418</v>
      </c>
      <c r="I166" s="288" t="s">
        <v>418</v>
      </c>
      <c r="J166" s="288" t="s">
        <v>418</v>
      </c>
      <c r="K166" s="288" t="s">
        <v>418</v>
      </c>
      <c r="L166" s="288" t="s">
        <v>418</v>
      </c>
      <c r="M166" s="293" t="s">
        <v>418</v>
      </c>
      <c r="N166" s="293" t="s">
        <v>418</v>
      </c>
      <c r="O166" s="293" t="s">
        <v>418</v>
      </c>
      <c r="P166" s="293" t="s">
        <v>418</v>
      </c>
      <c r="Q166" s="293" t="s">
        <v>418</v>
      </c>
      <c r="R166" s="293" t="s">
        <v>418</v>
      </c>
      <c r="S166" s="293" t="s">
        <v>418</v>
      </c>
      <c r="T166" s="260" t="s">
        <v>418</v>
      </c>
      <c r="U166" s="260" t="s">
        <v>418</v>
      </c>
      <c r="V166" s="260" t="s">
        <v>418</v>
      </c>
      <c r="W166" s="260" t="s">
        <v>418</v>
      </c>
      <c r="X166" s="260" t="s">
        <v>418</v>
      </c>
      <c r="Y166" s="260" t="s">
        <v>418</v>
      </c>
      <c r="Z166" s="260" t="s">
        <v>418</v>
      </c>
      <c r="AA166" s="261" t="s">
        <v>418</v>
      </c>
      <c r="AB166" s="261" t="s">
        <v>418</v>
      </c>
      <c r="AC166" s="261" t="s">
        <v>418</v>
      </c>
      <c r="AD166" s="261" t="s">
        <v>418</v>
      </c>
      <c r="AE166" s="261" t="s">
        <v>418</v>
      </c>
      <c r="AF166" s="261" t="s">
        <v>418</v>
      </c>
      <c r="AG166" s="261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69">
        <f>'Project Materials'!$Q$28</f>
        <v>0</v>
      </c>
      <c r="AL166" s="111"/>
      <c r="AM166" s="111"/>
      <c r="AN166" s="22"/>
    </row>
    <row r="167" spans="1:40" s="105" customFormat="1" x14ac:dyDescent="0.4">
      <c r="A167" s="60" t="s">
        <v>6</v>
      </c>
      <c r="B167" s="107" t="s">
        <v>682</v>
      </c>
      <c r="C167" s="107" t="s">
        <v>683</v>
      </c>
      <c r="D167" s="12"/>
      <c r="E167" s="4">
        <v>11.25</v>
      </c>
      <c r="F167" s="288" t="s">
        <v>418</v>
      </c>
      <c r="G167" s="288" t="s">
        <v>418</v>
      </c>
      <c r="H167" s="288" t="s">
        <v>418</v>
      </c>
      <c r="I167" s="288" t="s">
        <v>418</v>
      </c>
      <c r="J167" s="288" t="s">
        <v>418</v>
      </c>
      <c r="K167" s="288" t="s">
        <v>418</v>
      </c>
      <c r="L167" s="288" t="s">
        <v>418</v>
      </c>
      <c r="M167" s="293" t="s">
        <v>418</v>
      </c>
      <c r="N167" s="293" t="s">
        <v>418</v>
      </c>
      <c r="O167" s="293" t="s">
        <v>418</v>
      </c>
      <c r="P167" s="293" t="s">
        <v>418</v>
      </c>
      <c r="Q167" s="293" t="s">
        <v>418</v>
      </c>
      <c r="R167" s="293" t="s">
        <v>418</v>
      </c>
      <c r="S167" s="293" t="s">
        <v>418</v>
      </c>
      <c r="T167" s="260" t="s">
        <v>418</v>
      </c>
      <c r="U167" s="260" t="s">
        <v>418</v>
      </c>
      <c r="V167" s="260" t="s">
        <v>418</v>
      </c>
      <c r="W167" s="260" t="s">
        <v>418</v>
      </c>
      <c r="X167" s="260" t="s">
        <v>418</v>
      </c>
      <c r="Y167" s="260" t="s">
        <v>418</v>
      </c>
      <c r="Z167" s="260" t="s">
        <v>418</v>
      </c>
      <c r="AA167" s="261" t="s">
        <v>418</v>
      </c>
      <c r="AB167" s="261" t="s">
        <v>418</v>
      </c>
      <c r="AC167" s="261" t="s">
        <v>418</v>
      </c>
      <c r="AD167" s="261" t="s">
        <v>418</v>
      </c>
      <c r="AE167" s="261" t="s">
        <v>418</v>
      </c>
      <c r="AF167" s="261" t="s">
        <v>418</v>
      </c>
      <c r="AG167" s="261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69">
        <f>'Project Materials'!$Q$28</f>
        <v>0</v>
      </c>
      <c r="AL167" s="111"/>
      <c r="AM167" s="111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88" t="s">
        <v>418</v>
      </c>
      <c r="G168" s="288" t="s">
        <v>418</v>
      </c>
      <c r="H168" s="290" t="str">
        <f>$B$237</f>
        <v>T Bolts 1/2 x 1 1/2- Halfen</v>
      </c>
      <c r="I168" s="288" t="s">
        <v>812</v>
      </c>
      <c r="J168" s="290" t="str">
        <f>$B$217</f>
        <v>3/8 x 4" SS Hex Cap Bolt</v>
      </c>
      <c r="K168" s="290" t="str">
        <f>$B$205</f>
        <v>Bottom Cap for PEU-Mill Finish</v>
      </c>
      <c r="L168" s="288" t="s">
        <v>418</v>
      </c>
      <c r="M168" s="293" t="s">
        <v>418</v>
      </c>
      <c r="N168" s="293" t="s">
        <v>418</v>
      </c>
      <c r="O168" s="295" t="str">
        <f>$B$237</f>
        <v>T Bolts 1/2 x 1 1/2- Halfen</v>
      </c>
      <c r="P168" s="293" t="s">
        <v>812</v>
      </c>
      <c r="Q168" s="295" t="str">
        <f>$B$217</f>
        <v>3/8 x 4" SS Hex Cap Bolt</v>
      </c>
      <c r="R168" s="295" t="str">
        <f>$B$205</f>
        <v>Bottom Cap for PEU-Mill Finish</v>
      </c>
      <c r="S168" s="293" t="s">
        <v>418</v>
      </c>
      <c r="T168" s="260" t="s">
        <v>418</v>
      </c>
      <c r="U168" s="260" t="s">
        <v>418</v>
      </c>
      <c r="V168" s="167" t="str">
        <f>$B$237</f>
        <v>T Bolts 1/2 x 1 1/2- Halfen</v>
      </c>
      <c r="W168" s="260" t="s">
        <v>812</v>
      </c>
      <c r="X168" s="167" t="str">
        <f>$B$217</f>
        <v>3/8 x 4" SS Hex Cap Bolt</v>
      </c>
      <c r="Y168" s="167" t="str">
        <f>$B$205</f>
        <v>Bottom Cap for PEU-Mill Finish</v>
      </c>
      <c r="Z168" s="260" t="s">
        <v>418</v>
      </c>
      <c r="AA168" s="261" t="s">
        <v>418</v>
      </c>
      <c r="AB168" s="261" t="s">
        <v>418</v>
      </c>
      <c r="AC168" s="215" t="str">
        <f>$B$237</f>
        <v>T Bolts 1/2 x 1 1/2- Halfen</v>
      </c>
      <c r="AD168" s="261" t="s">
        <v>812</v>
      </c>
      <c r="AE168" s="215" t="str">
        <f>$B$217</f>
        <v>3/8 x 4" SS Hex Cap Bolt</v>
      </c>
      <c r="AF168" s="215" t="str">
        <f>$B$205</f>
        <v>Bottom Cap for PEU-Mill Finish</v>
      </c>
      <c r="AG168" s="261" t="s">
        <v>418</v>
      </c>
      <c r="AH168" s="30">
        <f>(('Project Materials'!$J$25+'Project Materials'!$K$25)*2)*'Project Materials'!$P$25</f>
        <v>0</v>
      </c>
      <c r="AI168" s="27">
        <f>(('Project Materials'!$J$26+'Project Materials'!$K$26)*2)*'Project Materials'!$P$26</f>
        <v>0</v>
      </c>
      <c r="AJ168" s="28">
        <f>(('Project Materials'!$J$27+'Project Materials'!$K$27)*2)*'Project Materials'!$P$27</f>
        <v>0</v>
      </c>
      <c r="AK168" s="269">
        <f>(('Project Materials'!$J$28+'Project Materials'!$K$28)*2)*'Project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88" t="s">
        <v>418</v>
      </c>
      <c r="G169" s="288" t="s">
        <v>418</v>
      </c>
      <c r="H169" s="290" t="str">
        <f>$B$237</f>
        <v>T Bolts 1/2 x 1 1/2- Halfen</v>
      </c>
      <c r="I169" s="288" t="s">
        <v>812</v>
      </c>
      <c r="J169" s="290" t="str">
        <f>$B$217</f>
        <v>3/8 x 4" SS Hex Cap Bolt</v>
      </c>
      <c r="K169" s="290" t="str">
        <f>$B$205</f>
        <v>Bottom Cap for PEU-Mill Finish</v>
      </c>
      <c r="L169" s="288" t="s">
        <v>418</v>
      </c>
      <c r="M169" s="293" t="s">
        <v>418</v>
      </c>
      <c r="N169" s="293" t="s">
        <v>418</v>
      </c>
      <c r="O169" s="295" t="str">
        <f>$B$237</f>
        <v>T Bolts 1/2 x 1 1/2- Halfen</v>
      </c>
      <c r="P169" s="293" t="s">
        <v>812</v>
      </c>
      <c r="Q169" s="295" t="str">
        <f>$B$217</f>
        <v>3/8 x 4" SS Hex Cap Bolt</v>
      </c>
      <c r="R169" s="295" t="str">
        <f>$B$205</f>
        <v>Bottom Cap for PEU-Mill Finish</v>
      </c>
      <c r="S169" s="293" t="s">
        <v>418</v>
      </c>
      <c r="T169" s="260" t="s">
        <v>418</v>
      </c>
      <c r="U169" s="260" t="s">
        <v>418</v>
      </c>
      <c r="V169" s="167" t="str">
        <f>$B$237</f>
        <v>T Bolts 1/2 x 1 1/2- Halfen</v>
      </c>
      <c r="W169" s="260" t="s">
        <v>812</v>
      </c>
      <c r="X169" s="167" t="str">
        <f>$B$217</f>
        <v>3/8 x 4" SS Hex Cap Bolt</v>
      </c>
      <c r="Y169" s="167" t="str">
        <f>$B$205</f>
        <v>Bottom Cap for PEU-Mill Finish</v>
      </c>
      <c r="Z169" s="260" t="s">
        <v>418</v>
      </c>
      <c r="AA169" s="261" t="s">
        <v>418</v>
      </c>
      <c r="AB169" s="261" t="s">
        <v>418</v>
      </c>
      <c r="AC169" s="215" t="str">
        <f>$B$237</f>
        <v>T Bolts 1/2 x 1 1/2- Halfen</v>
      </c>
      <c r="AD169" s="261" t="s">
        <v>812</v>
      </c>
      <c r="AE169" s="215" t="str">
        <f>$B$217</f>
        <v>3/8 x 4" SS Hex Cap Bolt</v>
      </c>
      <c r="AF169" s="215" t="str">
        <f>$B$205</f>
        <v>Bottom Cap for PEU-Mill Finish</v>
      </c>
      <c r="AG169" s="261" t="s">
        <v>418</v>
      </c>
      <c r="AH169" s="30">
        <f>(('Project Materials'!$J$25+'Project Materials'!$K$25)*2)*'Project Materials'!$P$25</f>
        <v>0</v>
      </c>
      <c r="AI169" s="27">
        <f>(('Project Materials'!$J$26+'Project Materials'!$K$26)*2)*'Project Materials'!$P$26</f>
        <v>0</v>
      </c>
      <c r="AJ169" s="28">
        <f>(('Project Materials'!$J$27+'Project Materials'!$K$27)*2)*'Project Materials'!$P$27</f>
        <v>0</v>
      </c>
      <c r="AK169" s="269">
        <f>(('Project Materials'!$J$28+'Project Materials'!$K$28)*2)*'Project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88" t="s">
        <v>418</v>
      </c>
      <c r="G170" s="288" t="s">
        <v>418</v>
      </c>
      <c r="H170" s="290" t="str">
        <f>$B$237</f>
        <v>T Bolts 1/2 x 1 1/2- Halfen</v>
      </c>
      <c r="I170" s="288" t="s">
        <v>812</v>
      </c>
      <c r="J170" s="290" t="str">
        <f>$B$217</f>
        <v>3/8 x 4" SS Hex Cap Bolt</v>
      </c>
      <c r="K170" s="290" t="str">
        <f>$B$205</f>
        <v>Bottom Cap for PEU-Mill Finish</v>
      </c>
      <c r="L170" s="288" t="s">
        <v>418</v>
      </c>
      <c r="M170" s="293" t="s">
        <v>418</v>
      </c>
      <c r="N170" s="293" t="s">
        <v>418</v>
      </c>
      <c r="O170" s="295" t="str">
        <f>$B$237</f>
        <v>T Bolts 1/2 x 1 1/2- Halfen</v>
      </c>
      <c r="P170" s="293" t="s">
        <v>812</v>
      </c>
      <c r="Q170" s="295" t="str">
        <f>$B$217</f>
        <v>3/8 x 4" SS Hex Cap Bolt</v>
      </c>
      <c r="R170" s="295" t="str">
        <f>$B$205</f>
        <v>Bottom Cap for PEU-Mill Finish</v>
      </c>
      <c r="S170" s="293" t="s">
        <v>418</v>
      </c>
      <c r="T170" s="260" t="s">
        <v>418</v>
      </c>
      <c r="U170" s="260" t="s">
        <v>418</v>
      </c>
      <c r="V170" s="167" t="str">
        <f>$B$237</f>
        <v>T Bolts 1/2 x 1 1/2- Halfen</v>
      </c>
      <c r="W170" s="260" t="s">
        <v>812</v>
      </c>
      <c r="X170" s="167" t="str">
        <f>$B$217</f>
        <v>3/8 x 4" SS Hex Cap Bolt</v>
      </c>
      <c r="Y170" s="167" t="str">
        <f>$B$205</f>
        <v>Bottom Cap for PEU-Mill Finish</v>
      </c>
      <c r="Z170" s="260" t="s">
        <v>418</v>
      </c>
      <c r="AA170" s="261" t="s">
        <v>418</v>
      </c>
      <c r="AB170" s="261" t="s">
        <v>418</v>
      </c>
      <c r="AC170" s="215" t="str">
        <f>$B$237</f>
        <v>T Bolts 1/2 x 1 1/2- Halfen</v>
      </c>
      <c r="AD170" s="261" t="s">
        <v>812</v>
      </c>
      <c r="AE170" s="215" t="str">
        <f>$B$217</f>
        <v>3/8 x 4" SS Hex Cap Bolt</v>
      </c>
      <c r="AF170" s="215" t="str">
        <f>$B$205</f>
        <v>Bottom Cap for PEU-Mill Finish</v>
      </c>
      <c r="AG170" s="261" t="s">
        <v>418</v>
      </c>
      <c r="AH170" s="30">
        <f>(('Project Materials'!$J$25+'Project Materials'!$K$25)*2)*'Project Materials'!$P$25</f>
        <v>0</v>
      </c>
      <c r="AI170" s="27">
        <f>(('Project Materials'!$J$26+'Project Materials'!$K$26)*2)*'Project Materials'!$P$26</f>
        <v>0</v>
      </c>
      <c r="AJ170" s="28">
        <f>(('Project Materials'!$J$27+'Project Materials'!$K$27)*2)*'Project Materials'!$P$27</f>
        <v>0</v>
      </c>
      <c r="AK170" s="269">
        <f>(('Project Materials'!$J$28+'Project Materials'!$K$28)*2)*'Project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88" t="s">
        <v>418</v>
      </c>
      <c r="G171" s="288" t="s">
        <v>418</v>
      </c>
      <c r="H171" s="290" t="str">
        <f>$B$237</f>
        <v>T Bolts 1/2 x 1 1/2- Halfen</v>
      </c>
      <c r="I171" s="288" t="s">
        <v>812</v>
      </c>
      <c r="J171" s="290" t="str">
        <f>$B$217</f>
        <v>3/8 x 4" SS Hex Cap Bolt</v>
      </c>
      <c r="K171" s="290" t="str">
        <f>$B$205</f>
        <v>Bottom Cap for PEU-Mill Finish</v>
      </c>
      <c r="L171" s="288" t="s">
        <v>418</v>
      </c>
      <c r="M171" s="293" t="s">
        <v>418</v>
      </c>
      <c r="N171" s="293" t="s">
        <v>418</v>
      </c>
      <c r="O171" s="295" t="str">
        <f>$B$237</f>
        <v>T Bolts 1/2 x 1 1/2- Halfen</v>
      </c>
      <c r="P171" s="293" t="s">
        <v>812</v>
      </c>
      <c r="Q171" s="295" t="str">
        <f>$B$217</f>
        <v>3/8 x 4" SS Hex Cap Bolt</v>
      </c>
      <c r="R171" s="295" t="str">
        <f>$B$205</f>
        <v>Bottom Cap for PEU-Mill Finish</v>
      </c>
      <c r="S171" s="293" t="s">
        <v>418</v>
      </c>
      <c r="T171" s="260" t="s">
        <v>418</v>
      </c>
      <c r="U171" s="260" t="s">
        <v>418</v>
      </c>
      <c r="V171" s="167" t="str">
        <f>$B$237</f>
        <v>T Bolts 1/2 x 1 1/2- Halfen</v>
      </c>
      <c r="W171" s="260" t="s">
        <v>812</v>
      </c>
      <c r="X171" s="167" t="str">
        <f>$B$217</f>
        <v>3/8 x 4" SS Hex Cap Bolt</v>
      </c>
      <c r="Y171" s="167" t="str">
        <f>$B$205</f>
        <v>Bottom Cap for PEU-Mill Finish</v>
      </c>
      <c r="Z171" s="260" t="s">
        <v>418</v>
      </c>
      <c r="AA171" s="261" t="s">
        <v>418</v>
      </c>
      <c r="AB171" s="261" t="s">
        <v>418</v>
      </c>
      <c r="AC171" s="215" t="str">
        <f>$B$237</f>
        <v>T Bolts 1/2 x 1 1/2- Halfen</v>
      </c>
      <c r="AD171" s="261" t="s">
        <v>812</v>
      </c>
      <c r="AE171" s="215" t="str">
        <f>$B$217</f>
        <v>3/8 x 4" SS Hex Cap Bolt</v>
      </c>
      <c r="AF171" s="215" t="str">
        <f>$B$205</f>
        <v>Bottom Cap for PEU-Mill Finish</v>
      </c>
      <c r="AG171" s="261" t="s">
        <v>418</v>
      </c>
      <c r="AH171" s="30">
        <f>(('Project Materials'!$J$25+'Project Materials'!$K$25)*2)*'Project Materials'!$P$25</f>
        <v>0</v>
      </c>
      <c r="AI171" s="27">
        <f>(('Project Materials'!$J$26+'Project Materials'!$K$26)*2)*'Project Materials'!$P$26</f>
        <v>0</v>
      </c>
      <c r="AJ171" s="28">
        <f>(('Project Materials'!$J$27+'Project Materials'!$K$27)*2)*'Project Materials'!$P$27</f>
        <v>0</v>
      </c>
      <c r="AK171" s="269">
        <f>(('Project Materials'!$J$28+'Project Materials'!$K$28)*2)*'Project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88" t="s">
        <v>418</v>
      </c>
      <c r="G172" s="288" t="s">
        <v>418</v>
      </c>
      <c r="H172" s="290" t="str">
        <f>$B$237</f>
        <v>T Bolts 1/2 x 1 1/2- Halfen</v>
      </c>
      <c r="I172" s="288" t="s">
        <v>812</v>
      </c>
      <c r="J172" s="290" t="str">
        <f>$B$217</f>
        <v>3/8 x 4" SS Hex Cap Bolt</v>
      </c>
      <c r="K172" s="290" t="str">
        <f>$B$205</f>
        <v>Bottom Cap for PEU-Mill Finish</v>
      </c>
      <c r="L172" s="288" t="s">
        <v>418</v>
      </c>
      <c r="M172" s="293" t="s">
        <v>418</v>
      </c>
      <c r="N172" s="293" t="s">
        <v>418</v>
      </c>
      <c r="O172" s="295" t="str">
        <f>$B$237</f>
        <v>T Bolts 1/2 x 1 1/2- Halfen</v>
      </c>
      <c r="P172" s="293" t="s">
        <v>812</v>
      </c>
      <c r="Q172" s="295" t="str">
        <f>$B$217</f>
        <v>3/8 x 4" SS Hex Cap Bolt</v>
      </c>
      <c r="R172" s="295" t="str">
        <f>$B$205</f>
        <v>Bottom Cap for PEU-Mill Finish</v>
      </c>
      <c r="S172" s="293" t="s">
        <v>418</v>
      </c>
      <c r="T172" s="260" t="s">
        <v>418</v>
      </c>
      <c r="U172" s="260" t="s">
        <v>418</v>
      </c>
      <c r="V172" s="167" t="str">
        <f>$B$237</f>
        <v>T Bolts 1/2 x 1 1/2- Halfen</v>
      </c>
      <c r="W172" s="260" t="s">
        <v>812</v>
      </c>
      <c r="X172" s="167" t="str">
        <f>$B$217</f>
        <v>3/8 x 4" SS Hex Cap Bolt</v>
      </c>
      <c r="Y172" s="167" t="str">
        <f>$B$205</f>
        <v>Bottom Cap for PEU-Mill Finish</v>
      </c>
      <c r="Z172" s="260" t="s">
        <v>418</v>
      </c>
      <c r="AA172" s="261" t="s">
        <v>418</v>
      </c>
      <c r="AB172" s="261" t="s">
        <v>418</v>
      </c>
      <c r="AC172" s="215" t="str">
        <f>$B$237</f>
        <v>T Bolts 1/2 x 1 1/2- Halfen</v>
      </c>
      <c r="AD172" s="261" t="s">
        <v>812</v>
      </c>
      <c r="AE172" s="215" t="str">
        <f>$B$217</f>
        <v>3/8 x 4" SS Hex Cap Bolt</v>
      </c>
      <c r="AF172" s="215" t="str">
        <f>$B$205</f>
        <v>Bottom Cap for PEU-Mill Finish</v>
      </c>
      <c r="AG172" s="261" t="s">
        <v>418</v>
      </c>
      <c r="AH172" s="30">
        <f>(('Project Materials'!$M$25)*2)*'Project Materials'!$P$25</f>
        <v>0</v>
      </c>
      <c r="AI172" s="27">
        <f>(('Project Materials'!$M$26)*2)*'Project Materials'!$P$26</f>
        <v>0</v>
      </c>
      <c r="AJ172" s="28">
        <f>(('Project Materials'!$M$27)*2)*'Project Materials'!$P$27</f>
        <v>0</v>
      </c>
      <c r="AK172" s="269">
        <f>(('Project Materials'!$M$28)*2)*'Project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88" t="s">
        <v>418</v>
      </c>
      <c r="G173" s="290" t="str">
        <f t="shared" ref="G173:G184" si="0">$B$220</f>
        <v>3/8" x 5" SS Lag Screw</v>
      </c>
      <c r="H173" s="288" t="s">
        <v>418</v>
      </c>
      <c r="I173" s="288" t="s">
        <v>418</v>
      </c>
      <c r="J173" s="288" t="s">
        <v>418</v>
      </c>
      <c r="K173" s="288" t="s">
        <v>418</v>
      </c>
      <c r="L173" s="288" t="s">
        <v>418</v>
      </c>
      <c r="M173" s="293" t="s">
        <v>418</v>
      </c>
      <c r="N173" s="295" t="str">
        <f t="shared" ref="N173:N184" si="1">$B$220</f>
        <v>3/8" x 5" SS Lag Screw</v>
      </c>
      <c r="O173" s="293" t="s">
        <v>418</v>
      </c>
      <c r="P173" s="293" t="s">
        <v>418</v>
      </c>
      <c r="Q173" s="293" t="s">
        <v>418</v>
      </c>
      <c r="R173" s="293" t="s">
        <v>418</v>
      </c>
      <c r="S173" s="293" t="s">
        <v>418</v>
      </c>
      <c r="T173" s="260" t="s">
        <v>418</v>
      </c>
      <c r="U173" s="167" t="str">
        <f t="shared" ref="U173:U184" si="2">$B$220</f>
        <v>3/8" x 5" SS Lag Screw</v>
      </c>
      <c r="V173" s="260" t="s">
        <v>418</v>
      </c>
      <c r="W173" s="260" t="s">
        <v>418</v>
      </c>
      <c r="X173" s="260" t="s">
        <v>418</v>
      </c>
      <c r="Y173" s="260" t="s">
        <v>418</v>
      </c>
      <c r="Z173" s="260" t="s">
        <v>418</v>
      </c>
      <c r="AA173" s="261" t="s">
        <v>418</v>
      </c>
      <c r="AB173" s="215" t="str">
        <f t="shared" ref="AB173:AB184" si="3">$B$220</f>
        <v>3/8" x 5" SS Lag Screw</v>
      </c>
      <c r="AC173" s="261" t="s">
        <v>418</v>
      </c>
      <c r="AD173" s="261" t="s">
        <v>418</v>
      </c>
      <c r="AE173" s="261" t="s">
        <v>418</v>
      </c>
      <c r="AF173" s="261" t="s">
        <v>418</v>
      </c>
      <c r="AG173" s="261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69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88" t="s">
        <v>418</v>
      </c>
      <c r="G174" s="290" t="str">
        <f t="shared" si="0"/>
        <v>3/8" x 5" SS Lag Screw</v>
      </c>
      <c r="H174" s="288" t="s">
        <v>418</v>
      </c>
      <c r="I174" s="288" t="s">
        <v>418</v>
      </c>
      <c r="J174" s="288" t="s">
        <v>418</v>
      </c>
      <c r="K174" s="288" t="s">
        <v>418</v>
      </c>
      <c r="L174" s="288" t="s">
        <v>418</v>
      </c>
      <c r="M174" s="293" t="s">
        <v>418</v>
      </c>
      <c r="N174" s="295" t="str">
        <f t="shared" si="1"/>
        <v>3/8" x 5" SS Lag Screw</v>
      </c>
      <c r="O174" s="293" t="s">
        <v>418</v>
      </c>
      <c r="P174" s="293" t="s">
        <v>418</v>
      </c>
      <c r="Q174" s="293" t="s">
        <v>418</v>
      </c>
      <c r="R174" s="293" t="s">
        <v>418</v>
      </c>
      <c r="S174" s="293" t="s">
        <v>418</v>
      </c>
      <c r="T174" s="260" t="s">
        <v>418</v>
      </c>
      <c r="U174" s="167" t="str">
        <f t="shared" si="2"/>
        <v>3/8" x 5" SS Lag Screw</v>
      </c>
      <c r="V174" s="260" t="s">
        <v>418</v>
      </c>
      <c r="W174" s="260" t="s">
        <v>418</v>
      </c>
      <c r="X174" s="260" t="s">
        <v>418</v>
      </c>
      <c r="Y174" s="260" t="s">
        <v>418</v>
      </c>
      <c r="Z174" s="260" t="s">
        <v>418</v>
      </c>
      <c r="AA174" s="261" t="s">
        <v>418</v>
      </c>
      <c r="AB174" s="215" t="str">
        <f t="shared" si="3"/>
        <v>3/8" x 5" SS Lag Screw</v>
      </c>
      <c r="AC174" s="261" t="s">
        <v>418</v>
      </c>
      <c r="AD174" s="261" t="s">
        <v>418</v>
      </c>
      <c r="AE174" s="261" t="s">
        <v>418</v>
      </c>
      <c r="AF174" s="261" t="s">
        <v>418</v>
      </c>
      <c r="AG174" s="261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69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88" t="s">
        <v>418</v>
      </c>
      <c r="G175" s="290" t="str">
        <f t="shared" si="0"/>
        <v>3/8" x 5" SS Lag Screw</v>
      </c>
      <c r="H175" s="288" t="s">
        <v>418</v>
      </c>
      <c r="I175" s="288" t="s">
        <v>418</v>
      </c>
      <c r="J175" s="288" t="s">
        <v>418</v>
      </c>
      <c r="K175" s="288" t="s">
        <v>418</v>
      </c>
      <c r="L175" s="288" t="s">
        <v>418</v>
      </c>
      <c r="M175" s="293" t="s">
        <v>418</v>
      </c>
      <c r="N175" s="295" t="str">
        <f t="shared" si="1"/>
        <v>3/8" x 5" SS Lag Screw</v>
      </c>
      <c r="O175" s="293" t="s">
        <v>418</v>
      </c>
      <c r="P175" s="293" t="s">
        <v>418</v>
      </c>
      <c r="Q175" s="293" t="s">
        <v>418</v>
      </c>
      <c r="R175" s="293" t="s">
        <v>418</v>
      </c>
      <c r="S175" s="293" t="s">
        <v>418</v>
      </c>
      <c r="T175" s="260" t="s">
        <v>418</v>
      </c>
      <c r="U175" s="167" t="str">
        <f t="shared" si="2"/>
        <v>3/8" x 5" SS Lag Screw</v>
      </c>
      <c r="V175" s="260" t="s">
        <v>418</v>
      </c>
      <c r="W175" s="260" t="s">
        <v>418</v>
      </c>
      <c r="X175" s="260" t="s">
        <v>418</v>
      </c>
      <c r="Y175" s="260" t="s">
        <v>418</v>
      </c>
      <c r="Z175" s="260" t="s">
        <v>418</v>
      </c>
      <c r="AA175" s="261" t="s">
        <v>418</v>
      </c>
      <c r="AB175" s="215" t="str">
        <f t="shared" si="3"/>
        <v>3/8" x 5" SS Lag Screw</v>
      </c>
      <c r="AC175" s="261" t="s">
        <v>418</v>
      </c>
      <c r="AD175" s="261" t="s">
        <v>418</v>
      </c>
      <c r="AE175" s="261" t="s">
        <v>418</v>
      </c>
      <c r="AF175" s="261" t="s">
        <v>418</v>
      </c>
      <c r="AG175" s="261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69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88" t="s">
        <v>418</v>
      </c>
      <c r="G176" s="290" t="str">
        <f t="shared" si="0"/>
        <v>3/8" x 5" SS Lag Screw</v>
      </c>
      <c r="H176" s="288" t="s">
        <v>418</v>
      </c>
      <c r="I176" s="288" t="s">
        <v>418</v>
      </c>
      <c r="J176" s="288" t="s">
        <v>418</v>
      </c>
      <c r="K176" s="288" t="s">
        <v>418</v>
      </c>
      <c r="L176" s="288" t="s">
        <v>418</v>
      </c>
      <c r="M176" s="293" t="s">
        <v>418</v>
      </c>
      <c r="N176" s="295" t="str">
        <f t="shared" si="1"/>
        <v>3/8" x 5" SS Lag Screw</v>
      </c>
      <c r="O176" s="293" t="s">
        <v>418</v>
      </c>
      <c r="P176" s="293" t="s">
        <v>418</v>
      </c>
      <c r="Q176" s="293" t="s">
        <v>418</v>
      </c>
      <c r="R176" s="293" t="s">
        <v>418</v>
      </c>
      <c r="S176" s="293" t="s">
        <v>418</v>
      </c>
      <c r="T176" s="260" t="s">
        <v>418</v>
      </c>
      <c r="U176" s="167" t="str">
        <f t="shared" si="2"/>
        <v>3/8" x 5" SS Lag Screw</v>
      </c>
      <c r="V176" s="260" t="s">
        <v>418</v>
      </c>
      <c r="W176" s="260" t="s">
        <v>418</v>
      </c>
      <c r="X176" s="260" t="s">
        <v>418</v>
      </c>
      <c r="Y176" s="260" t="s">
        <v>418</v>
      </c>
      <c r="Z176" s="260" t="s">
        <v>418</v>
      </c>
      <c r="AA176" s="261" t="s">
        <v>418</v>
      </c>
      <c r="AB176" s="215" t="str">
        <f t="shared" si="3"/>
        <v>3/8" x 5" SS Lag Screw</v>
      </c>
      <c r="AC176" s="261" t="s">
        <v>418</v>
      </c>
      <c r="AD176" s="261" t="s">
        <v>418</v>
      </c>
      <c r="AE176" s="261" t="s">
        <v>418</v>
      </c>
      <c r="AF176" s="261" t="s">
        <v>418</v>
      </c>
      <c r="AG176" s="261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69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88" t="s">
        <v>418</v>
      </c>
      <c r="G177" s="290" t="str">
        <f t="shared" si="0"/>
        <v>3/8" x 5" SS Lag Screw</v>
      </c>
      <c r="H177" s="288" t="s">
        <v>418</v>
      </c>
      <c r="I177" s="288" t="s">
        <v>418</v>
      </c>
      <c r="J177" s="288" t="s">
        <v>418</v>
      </c>
      <c r="K177" s="288" t="s">
        <v>418</v>
      </c>
      <c r="L177" s="288" t="s">
        <v>418</v>
      </c>
      <c r="M177" s="293" t="s">
        <v>418</v>
      </c>
      <c r="N177" s="295" t="str">
        <f t="shared" si="1"/>
        <v>3/8" x 5" SS Lag Screw</v>
      </c>
      <c r="O177" s="293" t="s">
        <v>418</v>
      </c>
      <c r="P177" s="293" t="s">
        <v>418</v>
      </c>
      <c r="Q177" s="293" t="s">
        <v>418</v>
      </c>
      <c r="R177" s="293" t="s">
        <v>418</v>
      </c>
      <c r="S177" s="293" t="s">
        <v>418</v>
      </c>
      <c r="T177" s="260" t="s">
        <v>418</v>
      </c>
      <c r="U177" s="167" t="str">
        <f t="shared" si="2"/>
        <v>3/8" x 5" SS Lag Screw</v>
      </c>
      <c r="V177" s="260" t="s">
        <v>418</v>
      </c>
      <c r="W177" s="260" t="s">
        <v>418</v>
      </c>
      <c r="X177" s="260" t="s">
        <v>418</v>
      </c>
      <c r="Y177" s="260" t="s">
        <v>418</v>
      </c>
      <c r="Z177" s="260" t="s">
        <v>418</v>
      </c>
      <c r="AA177" s="261" t="s">
        <v>418</v>
      </c>
      <c r="AB177" s="215" t="str">
        <f t="shared" si="3"/>
        <v>3/8" x 5" SS Lag Screw</v>
      </c>
      <c r="AC177" s="261" t="s">
        <v>418</v>
      </c>
      <c r="AD177" s="261" t="s">
        <v>418</v>
      </c>
      <c r="AE177" s="261" t="s">
        <v>418</v>
      </c>
      <c r="AF177" s="261" t="s">
        <v>418</v>
      </c>
      <c r="AG177" s="261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69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88" t="s">
        <v>418</v>
      </c>
      <c r="G178" s="290" t="str">
        <f t="shared" si="0"/>
        <v>3/8" x 5" SS Lag Screw</v>
      </c>
      <c r="H178" s="288" t="s">
        <v>418</v>
      </c>
      <c r="I178" s="288" t="s">
        <v>418</v>
      </c>
      <c r="J178" s="288" t="s">
        <v>418</v>
      </c>
      <c r="K178" s="288" t="s">
        <v>418</v>
      </c>
      <c r="L178" s="288" t="s">
        <v>418</v>
      </c>
      <c r="M178" s="293" t="s">
        <v>418</v>
      </c>
      <c r="N178" s="295" t="str">
        <f t="shared" si="1"/>
        <v>3/8" x 5" SS Lag Screw</v>
      </c>
      <c r="O178" s="293" t="s">
        <v>418</v>
      </c>
      <c r="P178" s="293" t="s">
        <v>418</v>
      </c>
      <c r="Q178" s="293" t="s">
        <v>418</v>
      </c>
      <c r="R178" s="293" t="s">
        <v>418</v>
      </c>
      <c r="S178" s="293" t="s">
        <v>418</v>
      </c>
      <c r="T178" s="260" t="s">
        <v>418</v>
      </c>
      <c r="U178" s="167" t="str">
        <f t="shared" si="2"/>
        <v>3/8" x 5" SS Lag Screw</v>
      </c>
      <c r="V178" s="260" t="s">
        <v>418</v>
      </c>
      <c r="W178" s="260" t="s">
        <v>418</v>
      </c>
      <c r="X178" s="260" t="s">
        <v>418</v>
      </c>
      <c r="Y178" s="260" t="s">
        <v>418</v>
      </c>
      <c r="Z178" s="260" t="s">
        <v>418</v>
      </c>
      <c r="AA178" s="261" t="s">
        <v>418</v>
      </c>
      <c r="AB178" s="215" t="str">
        <f t="shared" si="3"/>
        <v>3/8" x 5" SS Lag Screw</v>
      </c>
      <c r="AC178" s="261" t="s">
        <v>418</v>
      </c>
      <c r="AD178" s="261" t="s">
        <v>418</v>
      </c>
      <c r="AE178" s="261" t="s">
        <v>418</v>
      </c>
      <c r="AF178" s="261" t="s">
        <v>418</v>
      </c>
      <c r="AG178" s="261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69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88" t="s">
        <v>418</v>
      </c>
      <c r="G179" s="290" t="str">
        <f t="shared" si="0"/>
        <v>3/8" x 5" SS Lag Screw</v>
      </c>
      <c r="H179" s="288" t="s">
        <v>418</v>
      </c>
      <c r="I179" s="288" t="s">
        <v>418</v>
      </c>
      <c r="J179" s="288" t="s">
        <v>418</v>
      </c>
      <c r="K179" s="288" t="s">
        <v>418</v>
      </c>
      <c r="L179" s="288" t="s">
        <v>418</v>
      </c>
      <c r="M179" s="293" t="s">
        <v>418</v>
      </c>
      <c r="N179" s="295" t="str">
        <f t="shared" si="1"/>
        <v>3/8" x 5" SS Lag Screw</v>
      </c>
      <c r="O179" s="293" t="s">
        <v>418</v>
      </c>
      <c r="P179" s="293" t="s">
        <v>418</v>
      </c>
      <c r="Q179" s="293" t="s">
        <v>418</v>
      </c>
      <c r="R179" s="293" t="s">
        <v>418</v>
      </c>
      <c r="S179" s="293" t="s">
        <v>418</v>
      </c>
      <c r="T179" s="260" t="s">
        <v>418</v>
      </c>
      <c r="U179" s="167" t="str">
        <f t="shared" si="2"/>
        <v>3/8" x 5" SS Lag Screw</v>
      </c>
      <c r="V179" s="260" t="s">
        <v>418</v>
      </c>
      <c r="W179" s="260" t="s">
        <v>418</v>
      </c>
      <c r="X179" s="260" t="s">
        <v>418</v>
      </c>
      <c r="Y179" s="260" t="s">
        <v>418</v>
      </c>
      <c r="Z179" s="260" t="s">
        <v>418</v>
      </c>
      <c r="AA179" s="261" t="s">
        <v>418</v>
      </c>
      <c r="AB179" s="215" t="str">
        <f t="shared" si="3"/>
        <v>3/8" x 5" SS Lag Screw</v>
      </c>
      <c r="AC179" s="261" t="s">
        <v>418</v>
      </c>
      <c r="AD179" s="261" t="s">
        <v>418</v>
      </c>
      <c r="AE179" s="261" t="s">
        <v>418</v>
      </c>
      <c r="AF179" s="261" t="s">
        <v>418</v>
      </c>
      <c r="AG179" s="261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69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88" t="s">
        <v>418</v>
      </c>
      <c r="G180" s="290" t="str">
        <f t="shared" si="0"/>
        <v>3/8" x 5" SS Lag Screw</v>
      </c>
      <c r="H180" s="288" t="s">
        <v>418</v>
      </c>
      <c r="I180" s="288" t="s">
        <v>418</v>
      </c>
      <c r="J180" s="288" t="s">
        <v>418</v>
      </c>
      <c r="K180" s="288" t="s">
        <v>418</v>
      </c>
      <c r="L180" s="288" t="s">
        <v>418</v>
      </c>
      <c r="M180" s="293" t="s">
        <v>418</v>
      </c>
      <c r="N180" s="295" t="str">
        <f t="shared" si="1"/>
        <v>3/8" x 5" SS Lag Screw</v>
      </c>
      <c r="O180" s="293" t="s">
        <v>418</v>
      </c>
      <c r="P180" s="293" t="s">
        <v>418</v>
      </c>
      <c r="Q180" s="293" t="s">
        <v>418</v>
      </c>
      <c r="R180" s="293" t="s">
        <v>418</v>
      </c>
      <c r="S180" s="293" t="s">
        <v>418</v>
      </c>
      <c r="T180" s="260" t="s">
        <v>418</v>
      </c>
      <c r="U180" s="167" t="str">
        <f t="shared" si="2"/>
        <v>3/8" x 5" SS Lag Screw</v>
      </c>
      <c r="V180" s="260" t="s">
        <v>418</v>
      </c>
      <c r="W180" s="260" t="s">
        <v>418</v>
      </c>
      <c r="X180" s="260" t="s">
        <v>418</v>
      </c>
      <c r="Y180" s="260" t="s">
        <v>418</v>
      </c>
      <c r="Z180" s="260" t="s">
        <v>418</v>
      </c>
      <c r="AA180" s="261" t="s">
        <v>418</v>
      </c>
      <c r="AB180" s="215" t="str">
        <f t="shared" si="3"/>
        <v>3/8" x 5" SS Lag Screw</v>
      </c>
      <c r="AC180" s="261" t="s">
        <v>418</v>
      </c>
      <c r="AD180" s="261" t="s">
        <v>418</v>
      </c>
      <c r="AE180" s="261" t="s">
        <v>418</v>
      </c>
      <c r="AF180" s="261" t="s">
        <v>418</v>
      </c>
      <c r="AG180" s="261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69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88" t="s">
        <v>418</v>
      </c>
      <c r="G181" s="290" t="str">
        <f t="shared" si="0"/>
        <v>3/8" x 5" SS Lag Screw</v>
      </c>
      <c r="H181" s="288" t="s">
        <v>418</v>
      </c>
      <c r="I181" s="288" t="s">
        <v>418</v>
      </c>
      <c r="J181" s="288" t="s">
        <v>418</v>
      </c>
      <c r="K181" s="288" t="s">
        <v>418</v>
      </c>
      <c r="L181" s="288" t="s">
        <v>418</v>
      </c>
      <c r="M181" s="293" t="s">
        <v>418</v>
      </c>
      <c r="N181" s="295" t="str">
        <f t="shared" si="1"/>
        <v>3/8" x 5" SS Lag Screw</v>
      </c>
      <c r="O181" s="293" t="s">
        <v>418</v>
      </c>
      <c r="P181" s="293" t="s">
        <v>418</v>
      </c>
      <c r="Q181" s="293" t="s">
        <v>418</v>
      </c>
      <c r="R181" s="293" t="s">
        <v>418</v>
      </c>
      <c r="S181" s="293" t="s">
        <v>418</v>
      </c>
      <c r="T181" s="260" t="s">
        <v>418</v>
      </c>
      <c r="U181" s="167" t="str">
        <f t="shared" si="2"/>
        <v>3/8" x 5" SS Lag Screw</v>
      </c>
      <c r="V181" s="260" t="s">
        <v>418</v>
      </c>
      <c r="W181" s="260" t="s">
        <v>418</v>
      </c>
      <c r="X181" s="260" t="s">
        <v>418</v>
      </c>
      <c r="Y181" s="260" t="s">
        <v>418</v>
      </c>
      <c r="Z181" s="260" t="s">
        <v>418</v>
      </c>
      <c r="AA181" s="261" t="s">
        <v>418</v>
      </c>
      <c r="AB181" s="215" t="str">
        <f t="shared" si="3"/>
        <v>3/8" x 5" SS Lag Screw</v>
      </c>
      <c r="AC181" s="261" t="s">
        <v>418</v>
      </c>
      <c r="AD181" s="261" t="s">
        <v>418</v>
      </c>
      <c r="AE181" s="261" t="s">
        <v>418</v>
      </c>
      <c r="AF181" s="261" t="s">
        <v>418</v>
      </c>
      <c r="AG181" s="261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69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88" t="s">
        <v>418</v>
      </c>
      <c r="G182" s="290" t="str">
        <f t="shared" si="0"/>
        <v>3/8" x 5" SS Lag Screw</v>
      </c>
      <c r="H182" s="288" t="s">
        <v>418</v>
      </c>
      <c r="I182" s="288" t="s">
        <v>418</v>
      </c>
      <c r="J182" s="288" t="s">
        <v>418</v>
      </c>
      <c r="K182" s="288" t="s">
        <v>418</v>
      </c>
      <c r="L182" s="288" t="s">
        <v>418</v>
      </c>
      <c r="M182" s="293" t="s">
        <v>418</v>
      </c>
      <c r="N182" s="295" t="str">
        <f t="shared" si="1"/>
        <v>3/8" x 5" SS Lag Screw</v>
      </c>
      <c r="O182" s="293" t="s">
        <v>418</v>
      </c>
      <c r="P182" s="293" t="s">
        <v>418</v>
      </c>
      <c r="Q182" s="293" t="s">
        <v>418</v>
      </c>
      <c r="R182" s="293" t="s">
        <v>418</v>
      </c>
      <c r="S182" s="293" t="s">
        <v>418</v>
      </c>
      <c r="T182" s="260" t="s">
        <v>418</v>
      </c>
      <c r="U182" s="167" t="str">
        <f t="shared" si="2"/>
        <v>3/8" x 5" SS Lag Screw</v>
      </c>
      <c r="V182" s="260" t="s">
        <v>418</v>
      </c>
      <c r="W182" s="260" t="s">
        <v>418</v>
      </c>
      <c r="X182" s="260" t="s">
        <v>418</v>
      </c>
      <c r="Y182" s="260" t="s">
        <v>418</v>
      </c>
      <c r="Z182" s="260" t="s">
        <v>418</v>
      </c>
      <c r="AA182" s="261" t="s">
        <v>418</v>
      </c>
      <c r="AB182" s="215" t="str">
        <f t="shared" si="3"/>
        <v>3/8" x 5" SS Lag Screw</v>
      </c>
      <c r="AC182" s="261" t="s">
        <v>418</v>
      </c>
      <c r="AD182" s="261" t="s">
        <v>418</v>
      </c>
      <c r="AE182" s="261" t="s">
        <v>418</v>
      </c>
      <c r="AF182" s="261" t="s">
        <v>418</v>
      </c>
      <c r="AG182" s="261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69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88" t="s">
        <v>418</v>
      </c>
      <c r="G183" s="290" t="str">
        <f t="shared" si="0"/>
        <v>3/8" x 5" SS Lag Screw</v>
      </c>
      <c r="H183" s="288" t="s">
        <v>418</v>
      </c>
      <c r="I183" s="288" t="s">
        <v>418</v>
      </c>
      <c r="J183" s="288" t="s">
        <v>418</v>
      </c>
      <c r="K183" s="288" t="s">
        <v>418</v>
      </c>
      <c r="L183" s="288" t="s">
        <v>418</v>
      </c>
      <c r="M183" s="293" t="s">
        <v>418</v>
      </c>
      <c r="N183" s="295" t="str">
        <f t="shared" si="1"/>
        <v>3/8" x 5" SS Lag Screw</v>
      </c>
      <c r="O183" s="293" t="s">
        <v>418</v>
      </c>
      <c r="P183" s="293" t="s">
        <v>418</v>
      </c>
      <c r="Q183" s="293" t="s">
        <v>418</v>
      </c>
      <c r="R183" s="293" t="s">
        <v>418</v>
      </c>
      <c r="S183" s="293" t="s">
        <v>418</v>
      </c>
      <c r="T183" s="260" t="s">
        <v>418</v>
      </c>
      <c r="U183" s="167" t="str">
        <f t="shared" si="2"/>
        <v>3/8" x 5" SS Lag Screw</v>
      </c>
      <c r="V183" s="260" t="s">
        <v>418</v>
      </c>
      <c r="W183" s="260" t="s">
        <v>418</v>
      </c>
      <c r="X183" s="260" t="s">
        <v>418</v>
      </c>
      <c r="Y183" s="260" t="s">
        <v>418</v>
      </c>
      <c r="Z183" s="260" t="s">
        <v>418</v>
      </c>
      <c r="AA183" s="261" t="s">
        <v>418</v>
      </c>
      <c r="AB183" s="215" t="str">
        <f t="shared" si="3"/>
        <v>3/8" x 5" SS Lag Screw</v>
      </c>
      <c r="AC183" s="261" t="s">
        <v>418</v>
      </c>
      <c r="AD183" s="261" t="s">
        <v>418</v>
      </c>
      <c r="AE183" s="261" t="s">
        <v>418</v>
      </c>
      <c r="AF183" s="261" t="s">
        <v>418</v>
      </c>
      <c r="AG183" s="261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69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88" t="s">
        <v>418</v>
      </c>
      <c r="G184" s="290" t="str">
        <f t="shared" si="0"/>
        <v>3/8" x 5" SS Lag Screw</v>
      </c>
      <c r="H184" s="288" t="s">
        <v>418</v>
      </c>
      <c r="I184" s="288" t="s">
        <v>418</v>
      </c>
      <c r="J184" s="288" t="s">
        <v>418</v>
      </c>
      <c r="K184" s="288" t="s">
        <v>418</v>
      </c>
      <c r="L184" s="288" t="s">
        <v>418</v>
      </c>
      <c r="M184" s="293" t="s">
        <v>418</v>
      </c>
      <c r="N184" s="295" t="str">
        <f t="shared" si="1"/>
        <v>3/8" x 5" SS Lag Screw</v>
      </c>
      <c r="O184" s="293" t="s">
        <v>418</v>
      </c>
      <c r="P184" s="293" t="s">
        <v>418</v>
      </c>
      <c r="Q184" s="293" t="s">
        <v>418</v>
      </c>
      <c r="R184" s="293" t="s">
        <v>418</v>
      </c>
      <c r="S184" s="293" t="s">
        <v>418</v>
      </c>
      <c r="T184" s="260" t="s">
        <v>418</v>
      </c>
      <c r="U184" s="167" t="str">
        <f t="shared" si="2"/>
        <v>3/8" x 5" SS Lag Screw</v>
      </c>
      <c r="V184" s="260" t="s">
        <v>418</v>
      </c>
      <c r="W184" s="260" t="s">
        <v>418</v>
      </c>
      <c r="X184" s="260" t="s">
        <v>418</v>
      </c>
      <c r="Y184" s="260" t="s">
        <v>418</v>
      </c>
      <c r="Z184" s="260" t="s">
        <v>418</v>
      </c>
      <c r="AA184" s="261" t="s">
        <v>418</v>
      </c>
      <c r="AB184" s="215" t="str">
        <f t="shared" si="3"/>
        <v>3/8" x 5" SS Lag Screw</v>
      </c>
      <c r="AC184" s="261" t="s">
        <v>418</v>
      </c>
      <c r="AD184" s="261" t="s">
        <v>418</v>
      </c>
      <c r="AE184" s="261" t="s">
        <v>418</v>
      </c>
      <c r="AF184" s="261" t="s">
        <v>418</v>
      </c>
      <c r="AG184" s="261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69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88" t="s">
        <v>418</v>
      </c>
      <c r="G185" s="288" t="s">
        <v>418</v>
      </c>
      <c r="H185" s="288" t="s">
        <v>418</v>
      </c>
      <c r="I185" s="288" t="s">
        <v>418</v>
      </c>
      <c r="J185" s="288" t="s">
        <v>418</v>
      </c>
      <c r="K185" s="288" t="s">
        <v>418</v>
      </c>
      <c r="L185" s="288" t="s">
        <v>418</v>
      </c>
      <c r="M185" s="293" t="s">
        <v>418</v>
      </c>
      <c r="N185" s="293" t="s">
        <v>418</v>
      </c>
      <c r="O185" s="293" t="s">
        <v>418</v>
      </c>
      <c r="P185" s="293" t="s">
        <v>418</v>
      </c>
      <c r="Q185" s="293" t="s">
        <v>418</v>
      </c>
      <c r="R185" s="293" t="s">
        <v>418</v>
      </c>
      <c r="S185" s="293" t="s">
        <v>418</v>
      </c>
      <c r="T185" s="260" t="s">
        <v>418</v>
      </c>
      <c r="U185" s="260" t="s">
        <v>418</v>
      </c>
      <c r="V185" s="260" t="s">
        <v>418</v>
      </c>
      <c r="W185" s="260" t="s">
        <v>418</v>
      </c>
      <c r="X185" s="260" t="s">
        <v>418</v>
      </c>
      <c r="Y185" s="260" t="s">
        <v>418</v>
      </c>
      <c r="Z185" s="260" t="s">
        <v>418</v>
      </c>
      <c r="AA185" s="261" t="s">
        <v>418</v>
      </c>
      <c r="AB185" s="261" t="s">
        <v>418</v>
      </c>
      <c r="AC185" s="261" t="s">
        <v>418</v>
      </c>
      <c r="AD185" s="261" t="s">
        <v>418</v>
      </c>
      <c r="AE185" s="261" t="s">
        <v>418</v>
      </c>
      <c r="AF185" s="261" t="s">
        <v>418</v>
      </c>
      <c r="AG185" s="261" t="s">
        <v>418</v>
      </c>
      <c r="AK185" s="217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88" t="s">
        <v>418</v>
      </c>
      <c r="G186" s="288" t="s">
        <v>418</v>
      </c>
      <c r="H186" s="288" t="s">
        <v>418</v>
      </c>
      <c r="I186" s="288" t="s">
        <v>418</v>
      </c>
      <c r="J186" s="288" t="s">
        <v>418</v>
      </c>
      <c r="K186" s="288" t="s">
        <v>418</v>
      </c>
      <c r="L186" s="288" t="s">
        <v>418</v>
      </c>
      <c r="M186" s="293" t="s">
        <v>418</v>
      </c>
      <c r="N186" s="293" t="s">
        <v>418</v>
      </c>
      <c r="O186" s="293" t="s">
        <v>418</v>
      </c>
      <c r="P186" s="293" t="s">
        <v>418</v>
      </c>
      <c r="Q186" s="293" t="s">
        <v>418</v>
      </c>
      <c r="R186" s="293" t="s">
        <v>418</v>
      </c>
      <c r="S186" s="293" t="s">
        <v>418</v>
      </c>
      <c r="T186" s="260" t="s">
        <v>418</v>
      </c>
      <c r="U186" s="260" t="s">
        <v>418</v>
      </c>
      <c r="V186" s="260" t="s">
        <v>418</v>
      </c>
      <c r="W186" s="260" t="s">
        <v>418</v>
      </c>
      <c r="X186" s="260" t="s">
        <v>418</v>
      </c>
      <c r="Y186" s="260" t="s">
        <v>418</v>
      </c>
      <c r="Z186" s="260" t="s">
        <v>418</v>
      </c>
      <c r="AA186" s="261" t="s">
        <v>418</v>
      </c>
      <c r="AB186" s="261" t="s">
        <v>418</v>
      </c>
      <c r="AC186" s="261" t="s">
        <v>418</v>
      </c>
      <c r="AD186" s="261" t="s">
        <v>418</v>
      </c>
      <c r="AE186" s="261" t="s">
        <v>418</v>
      </c>
      <c r="AF186" s="261" t="s">
        <v>418</v>
      </c>
      <c r="AG186" s="261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69">
        <f>'Project Materials'!$N$28*'Project Materials'!$P$28</f>
        <v>0</v>
      </c>
    </row>
    <row r="187" spans="1:40" s="108" customFormat="1" x14ac:dyDescent="0.4">
      <c r="A187" s="60" t="s">
        <v>6</v>
      </c>
      <c r="B187" s="110" t="s">
        <v>684</v>
      </c>
      <c r="C187" s="110" t="s">
        <v>685</v>
      </c>
      <c r="D187" s="12"/>
      <c r="E187" s="4">
        <v>60</v>
      </c>
      <c r="F187" s="288" t="s">
        <v>418</v>
      </c>
      <c r="G187" s="288" t="s">
        <v>418</v>
      </c>
      <c r="H187" s="288" t="s">
        <v>418</v>
      </c>
      <c r="I187" s="288" t="s">
        <v>418</v>
      </c>
      <c r="J187" s="288" t="s">
        <v>418</v>
      </c>
      <c r="K187" s="288" t="s">
        <v>418</v>
      </c>
      <c r="L187" s="288" t="s">
        <v>418</v>
      </c>
      <c r="M187" s="293" t="s">
        <v>418</v>
      </c>
      <c r="N187" s="293" t="s">
        <v>418</v>
      </c>
      <c r="O187" s="293" t="s">
        <v>418</v>
      </c>
      <c r="P187" s="293" t="s">
        <v>418</v>
      </c>
      <c r="Q187" s="293" t="s">
        <v>418</v>
      </c>
      <c r="R187" s="293" t="s">
        <v>418</v>
      </c>
      <c r="S187" s="293" t="s">
        <v>418</v>
      </c>
      <c r="T187" s="260" t="s">
        <v>418</v>
      </c>
      <c r="U187" s="260" t="s">
        <v>418</v>
      </c>
      <c r="V187" s="260" t="s">
        <v>418</v>
      </c>
      <c r="W187" s="260" t="s">
        <v>418</v>
      </c>
      <c r="X187" s="260" t="s">
        <v>418</v>
      </c>
      <c r="Y187" s="260" t="s">
        <v>418</v>
      </c>
      <c r="Z187" s="260" t="s">
        <v>418</v>
      </c>
      <c r="AA187" s="261" t="s">
        <v>418</v>
      </c>
      <c r="AB187" s="261" t="s">
        <v>418</v>
      </c>
      <c r="AC187" s="261" t="s">
        <v>418</v>
      </c>
      <c r="AD187" s="261" t="s">
        <v>418</v>
      </c>
      <c r="AE187" s="261" t="s">
        <v>418</v>
      </c>
      <c r="AF187" s="261" t="s">
        <v>418</v>
      </c>
      <c r="AG187" s="261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69">
        <f>'Project Materials'!$N$28*'Project Materials'!$P$28</f>
        <v>0</v>
      </c>
      <c r="AL187" s="109"/>
      <c r="AM187" s="111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88" t="s">
        <v>418</v>
      </c>
      <c r="G188" s="288" t="s">
        <v>418</v>
      </c>
      <c r="H188" s="288" t="s">
        <v>418</v>
      </c>
      <c r="I188" s="288" t="s">
        <v>418</v>
      </c>
      <c r="J188" s="288" t="s">
        <v>418</v>
      </c>
      <c r="K188" s="288" t="s">
        <v>418</v>
      </c>
      <c r="L188" s="288" t="s">
        <v>418</v>
      </c>
      <c r="M188" s="293" t="s">
        <v>418</v>
      </c>
      <c r="N188" s="293" t="s">
        <v>418</v>
      </c>
      <c r="O188" s="293" t="s">
        <v>418</v>
      </c>
      <c r="P188" s="293" t="s">
        <v>418</v>
      </c>
      <c r="Q188" s="293" t="s">
        <v>418</v>
      </c>
      <c r="R188" s="293" t="s">
        <v>418</v>
      </c>
      <c r="S188" s="293" t="s">
        <v>418</v>
      </c>
      <c r="T188" s="260" t="s">
        <v>418</v>
      </c>
      <c r="U188" s="260" t="s">
        <v>418</v>
      </c>
      <c r="V188" s="260" t="s">
        <v>418</v>
      </c>
      <c r="W188" s="260" t="s">
        <v>418</v>
      </c>
      <c r="X188" s="260" t="s">
        <v>418</v>
      </c>
      <c r="Y188" s="260" t="s">
        <v>418</v>
      </c>
      <c r="Z188" s="260" t="s">
        <v>418</v>
      </c>
      <c r="AA188" s="261" t="s">
        <v>418</v>
      </c>
      <c r="AB188" s="261" t="s">
        <v>418</v>
      </c>
      <c r="AC188" s="261" t="s">
        <v>418</v>
      </c>
      <c r="AD188" s="261" t="s">
        <v>418</v>
      </c>
      <c r="AE188" s="261" t="s">
        <v>418</v>
      </c>
      <c r="AF188" s="261" t="s">
        <v>418</v>
      </c>
      <c r="AG188" s="261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69">
        <f>'Project Materials'!$N$28*'Project Materials'!$P$28</f>
        <v>0</v>
      </c>
    </row>
    <row r="189" spans="1:40" s="837" customFormat="1" x14ac:dyDescent="0.4">
      <c r="A189" s="60" t="s">
        <v>6</v>
      </c>
      <c r="B189" s="112" t="s">
        <v>1112</v>
      </c>
      <c r="C189" s="112" t="s">
        <v>1113</v>
      </c>
      <c r="D189" s="12"/>
      <c r="E189" s="4">
        <v>2.25</v>
      </c>
      <c r="F189" s="288" t="s">
        <v>418</v>
      </c>
      <c r="G189" s="288" t="s">
        <v>418</v>
      </c>
      <c r="H189" s="288" t="s">
        <v>418</v>
      </c>
      <c r="I189" s="288" t="s">
        <v>418</v>
      </c>
      <c r="J189" s="288" t="s">
        <v>418</v>
      </c>
      <c r="K189" s="288" t="s">
        <v>418</v>
      </c>
      <c r="L189" s="288" t="s">
        <v>418</v>
      </c>
      <c r="M189" s="293" t="s">
        <v>418</v>
      </c>
      <c r="N189" s="293" t="s">
        <v>418</v>
      </c>
      <c r="O189" s="293" t="s">
        <v>418</v>
      </c>
      <c r="P189" s="293" t="s">
        <v>418</v>
      </c>
      <c r="Q189" s="293" t="s">
        <v>418</v>
      </c>
      <c r="R189" s="293" t="s">
        <v>418</v>
      </c>
      <c r="S189" s="293" t="s">
        <v>418</v>
      </c>
      <c r="T189" s="260" t="s">
        <v>418</v>
      </c>
      <c r="U189" s="260" t="s">
        <v>418</v>
      </c>
      <c r="V189" s="260" t="s">
        <v>418</v>
      </c>
      <c r="W189" s="260" t="s">
        <v>418</v>
      </c>
      <c r="X189" s="260" t="s">
        <v>418</v>
      </c>
      <c r="Y189" s="260" t="s">
        <v>418</v>
      </c>
      <c r="Z189" s="260" t="s">
        <v>418</v>
      </c>
      <c r="AA189" s="261" t="s">
        <v>418</v>
      </c>
      <c r="AB189" s="261" t="s">
        <v>418</v>
      </c>
      <c r="AC189" s="261" t="s">
        <v>418</v>
      </c>
      <c r="AD189" s="261" t="s">
        <v>418</v>
      </c>
      <c r="AE189" s="261" t="s">
        <v>418</v>
      </c>
      <c r="AF189" s="261" t="s">
        <v>418</v>
      </c>
      <c r="AG189" s="261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69">
        <f>'Project Materials'!$N$28*'Project Materials'!$P$28</f>
        <v>0</v>
      </c>
      <c r="AN189" s="22"/>
    </row>
    <row r="190" spans="1:40" s="111" customFormat="1" x14ac:dyDescent="0.4">
      <c r="A190" s="60" t="s">
        <v>6</v>
      </c>
      <c r="B190" s="112" t="s">
        <v>812</v>
      </c>
      <c r="C190" s="112" t="s">
        <v>856</v>
      </c>
      <c r="D190" s="12"/>
      <c r="E190" s="4">
        <v>7</v>
      </c>
      <c r="F190" s="288" t="s">
        <v>418</v>
      </c>
      <c r="G190" s="289" t="str">
        <f>IF('Project Materials'!$D$6='Project Materials'!$B$195,'Item List'!$B$220,"none")</f>
        <v>none</v>
      </c>
      <c r="H190" s="288" t="s">
        <v>689</v>
      </c>
      <c r="I190" s="288" t="s">
        <v>64</v>
      </c>
      <c r="J190" s="288" t="s">
        <v>418</v>
      </c>
      <c r="K190" s="288" t="s">
        <v>418</v>
      </c>
      <c r="L190" s="288" t="s">
        <v>418</v>
      </c>
      <c r="M190" s="293" t="s">
        <v>418</v>
      </c>
      <c r="N190" s="294" t="str">
        <f>IF('Project Materials'!$H$6='Project Materials'!$B$195,'Item List'!$B$220,"none")</f>
        <v>none</v>
      </c>
      <c r="O190" s="293" t="s">
        <v>689</v>
      </c>
      <c r="P190" s="293" t="s">
        <v>64</v>
      </c>
      <c r="Q190" s="293" t="s">
        <v>418</v>
      </c>
      <c r="R190" s="293" t="s">
        <v>418</v>
      </c>
      <c r="S190" s="293" t="s">
        <v>418</v>
      </c>
      <c r="T190" s="260" t="s">
        <v>418</v>
      </c>
      <c r="U190" s="219" t="str">
        <f>IF('Project Materials'!$H$6='Project Materials'!$B$195,'Item List'!$B$220,"none")</f>
        <v>none</v>
      </c>
      <c r="V190" s="260" t="s">
        <v>689</v>
      </c>
      <c r="W190" s="260" t="s">
        <v>64</v>
      </c>
      <c r="X190" s="260" t="s">
        <v>418</v>
      </c>
      <c r="Y190" s="260" t="s">
        <v>418</v>
      </c>
      <c r="Z190" s="260" t="s">
        <v>418</v>
      </c>
      <c r="AA190" s="261" t="s">
        <v>418</v>
      </c>
      <c r="AB190" s="262" t="str">
        <f>IF('Project Materials'!$H$6='Project Materials'!$B$195,'Item List'!$B$220,"none")</f>
        <v>none</v>
      </c>
      <c r="AC190" s="261" t="s">
        <v>689</v>
      </c>
      <c r="AD190" s="261" t="s">
        <v>64</v>
      </c>
      <c r="AE190" s="261" t="s">
        <v>418</v>
      </c>
      <c r="AF190" s="261" t="s">
        <v>418</v>
      </c>
      <c r="AG190" s="261" t="s">
        <v>418</v>
      </c>
      <c r="AH190" s="220">
        <f>'Project Materials'!$Q$25</f>
        <v>0</v>
      </c>
      <c r="AI190" s="221">
        <f>'Project Materials'!$Q$26</f>
        <v>0</v>
      </c>
      <c r="AJ190" s="222">
        <f>'Project Materials'!$Q$27</f>
        <v>0</v>
      </c>
      <c r="AK190" s="269">
        <f>'Project Materials'!$Q$28</f>
        <v>0</v>
      </c>
      <c r="AM190" s="111">
        <v>2</v>
      </c>
      <c r="AN190" s="22"/>
    </row>
    <row r="191" spans="1:40" x14ac:dyDescent="0.4">
      <c r="A191" s="2"/>
      <c r="B191" s="2"/>
      <c r="C191" s="2"/>
      <c r="D191" s="12"/>
      <c r="E191" s="4"/>
      <c r="F191" s="288" t="s">
        <v>418</v>
      </c>
      <c r="G191" s="288" t="s">
        <v>418</v>
      </c>
      <c r="H191" s="288" t="s">
        <v>418</v>
      </c>
      <c r="I191" s="288" t="s">
        <v>418</v>
      </c>
      <c r="J191" s="288" t="s">
        <v>418</v>
      </c>
      <c r="K191" s="288" t="s">
        <v>418</v>
      </c>
      <c r="L191" s="288" t="s">
        <v>418</v>
      </c>
      <c r="M191" s="293" t="s">
        <v>418</v>
      </c>
      <c r="N191" s="293" t="s">
        <v>418</v>
      </c>
      <c r="O191" s="293" t="s">
        <v>418</v>
      </c>
      <c r="P191" s="293" t="s">
        <v>418</v>
      </c>
      <c r="Q191" s="293" t="s">
        <v>418</v>
      </c>
      <c r="R191" s="293" t="s">
        <v>418</v>
      </c>
      <c r="S191" s="293" t="s">
        <v>418</v>
      </c>
      <c r="T191" s="260" t="s">
        <v>418</v>
      </c>
      <c r="U191" s="260" t="s">
        <v>418</v>
      </c>
      <c r="V191" s="260" t="s">
        <v>418</v>
      </c>
      <c r="W191" s="260" t="s">
        <v>418</v>
      </c>
      <c r="X191" s="260" t="s">
        <v>418</v>
      </c>
      <c r="Y191" s="260" t="s">
        <v>418</v>
      </c>
      <c r="Z191" s="260" t="s">
        <v>418</v>
      </c>
      <c r="AA191" s="261" t="s">
        <v>418</v>
      </c>
      <c r="AB191" s="261" t="s">
        <v>418</v>
      </c>
      <c r="AC191" s="261" t="s">
        <v>418</v>
      </c>
      <c r="AD191" s="261" t="s">
        <v>418</v>
      </c>
      <c r="AE191" s="261" t="s">
        <v>418</v>
      </c>
      <c r="AF191" s="261" t="s">
        <v>418</v>
      </c>
      <c r="AG191" s="261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88" t="s">
        <v>418</v>
      </c>
      <c r="G192" s="288" t="s">
        <v>440</v>
      </c>
      <c r="H192" s="288" t="s">
        <v>418</v>
      </c>
      <c r="I192" s="288" t="s">
        <v>418</v>
      </c>
      <c r="J192" s="288" t="s">
        <v>418</v>
      </c>
      <c r="K192" s="288" t="s">
        <v>418</v>
      </c>
      <c r="L192" s="288" t="s">
        <v>418</v>
      </c>
      <c r="M192" s="293" t="s">
        <v>418</v>
      </c>
      <c r="N192" s="293" t="s">
        <v>440</v>
      </c>
      <c r="O192" s="293" t="s">
        <v>418</v>
      </c>
      <c r="P192" s="293" t="s">
        <v>418</v>
      </c>
      <c r="Q192" s="293" t="s">
        <v>418</v>
      </c>
      <c r="R192" s="293" t="s">
        <v>418</v>
      </c>
      <c r="S192" s="293" t="s">
        <v>418</v>
      </c>
      <c r="T192" s="260" t="s">
        <v>418</v>
      </c>
      <c r="U192" s="260" t="s">
        <v>440</v>
      </c>
      <c r="V192" s="260" t="s">
        <v>418</v>
      </c>
      <c r="W192" s="260" t="s">
        <v>418</v>
      </c>
      <c r="X192" s="260" t="s">
        <v>418</v>
      </c>
      <c r="Y192" s="260" t="s">
        <v>418</v>
      </c>
      <c r="Z192" s="260" t="s">
        <v>418</v>
      </c>
      <c r="AA192" s="261" t="s">
        <v>418</v>
      </c>
      <c r="AB192" s="261" t="s">
        <v>440</v>
      </c>
      <c r="AC192" s="261" t="s">
        <v>418</v>
      </c>
      <c r="AD192" s="261" t="s">
        <v>418</v>
      </c>
      <c r="AE192" s="261" t="s">
        <v>418</v>
      </c>
      <c r="AF192" s="261" t="s">
        <v>418</v>
      </c>
      <c r="AG192" s="261" t="s">
        <v>418</v>
      </c>
      <c r="AH192" s="30">
        <f>(('Project Materials'!$F$25+'Project Materials'!$G$25)*'Project Materials'!$P$25)*2</f>
        <v>0</v>
      </c>
      <c r="AI192" s="27">
        <f>(('Project Materials'!$F$26+'Project Materials'!$G$26)*'Project Materials'!$P$26)*2</f>
        <v>0</v>
      </c>
      <c r="AJ192" s="28">
        <f>(('Project Materials'!$F$27+'Project Materials'!$G$27)*'Project Materials'!$P$27)*2</f>
        <v>0</v>
      </c>
      <c r="AK192" s="269">
        <f>(('Project Materials'!$F$28+'Project Materials'!$G$28)*'Project Materials'!$P$28)*2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88" t="s">
        <v>418</v>
      </c>
      <c r="G193" s="288" t="s">
        <v>440</v>
      </c>
      <c r="H193" s="288" t="s">
        <v>418</v>
      </c>
      <c r="I193" s="288" t="s">
        <v>418</v>
      </c>
      <c r="J193" s="288" t="s">
        <v>418</v>
      </c>
      <c r="K193" s="288" t="s">
        <v>418</v>
      </c>
      <c r="L193" s="288" t="s">
        <v>418</v>
      </c>
      <c r="M193" s="293" t="s">
        <v>418</v>
      </c>
      <c r="N193" s="293" t="s">
        <v>440</v>
      </c>
      <c r="O193" s="293" t="s">
        <v>418</v>
      </c>
      <c r="P193" s="293" t="s">
        <v>418</v>
      </c>
      <c r="Q193" s="293" t="s">
        <v>418</v>
      </c>
      <c r="R193" s="293" t="s">
        <v>418</v>
      </c>
      <c r="S193" s="293" t="s">
        <v>418</v>
      </c>
      <c r="T193" s="260" t="s">
        <v>418</v>
      </c>
      <c r="U193" s="260" t="s">
        <v>440</v>
      </c>
      <c r="V193" s="260" t="s">
        <v>418</v>
      </c>
      <c r="W193" s="260" t="s">
        <v>418</v>
      </c>
      <c r="X193" s="260" t="s">
        <v>418</v>
      </c>
      <c r="Y193" s="260" t="s">
        <v>418</v>
      </c>
      <c r="Z193" s="260" t="s">
        <v>418</v>
      </c>
      <c r="AA193" s="261" t="s">
        <v>418</v>
      </c>
      <c r="AB193" s="261" t="s">
        <v>440</v>
      </c>
      <c r="AC193" s="261" t="s">
        <v>418</v>
      </c>
      <c r="AD193" s="261" t="s">
        <v>418</v>
      </c>
      <c r="AE193" s="261" t="s">
        <v>418</v>
      </c>
      <c r="AF193" s="261" t="s">
        <v>418</v>
      </c>
      <c r="AG193" s="261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69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88" t="s">
        <v>418</v>
      </c>
      <c r="G194" s="288" t="s">
        <v>440</v>
      </c>
      <c r="H194" s="288" t="s">
        <v>418</v>
      </c>
      <c r="I194" s="288" t="s">
        <v>418</v>
      </c>
      <c r="J194" s="288" t="s">
        <v>418</v>
      </c>
      <c r="K194" s="288" t="s">
        <v>418</v>
      </c>
      <c r="L194" s="288" t="s">
        <v>418</v>
      </c>
      <c r="M194" s="293" t="s">
        <v>418</v>
      </c>
      <c r="N194" s="293" t="s">
        <v>440</v>
      </c>
      <c r="O194" s="293" t="s">
        <v>418</v>
      </c>
      <c r="P194" s="293" t="s">
        <v>418</v>
      </c>
      <c r="Q194" s="293" t="s">
        <v>418</v>
      </c>
      <c r="R194" s="293" t="s">
        <v>418</v>
      </c>
      <c r="S194" s="293" t="s">
        <v>418</v>
      </c>
      <c r="T194" s="260" t="s">
        <v>418</v>
      </c>
      <c r="U194" s="260" t="s">
        <v>440</v>
      </c>
      <c r="V194" s="260" t="s">
        <v>418</v>
      </c>
      <c r="W194" s="260" t="s">
        <v>418</v>
      </c>
      <c r="X194" s="260" t="s">
        <v>418</v>
      </c>
      <c r="Y194" s="260" t="s">
        <v>418</v>
      </c>
      <c r="Z194" s="260" t="s">
        <v>418</v>
      </c>
      <c r="AA194" s="261" t="s">
        <v>418</v>
      </c>
      <c r="AB194" s="261" t="s">
        <v>440</v>
      </c>
      <c r="AC194" s="261" t="s">
        <v>418</v>
      </c>
      <c r="AD194" s="261" t="s">
        <v>418</v>
      </c>
      <c r="AE194" s="261" t="s">
        <v>418</v>
      </c>
      <c r="AF194" s="261" t="s">
        <v>418</v>
      </c>
      <c r="AG194" s="261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69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88" t="s">
        <v>418</v>
      </c>
      <c r="G195" s="288" t="s">
        <v>440</v>
      </c>
      <c r="H195" s="288" t="s">
        <v>418</v>
      </c>
      <c r="I195" s="288" t="s">
        <v>418</v>
      </c>
      <c r="J195" s="288" t="s">
        <v>418</v>
      </c>
      <c r="K195" s="288" t="s">
        <v>418</v>
      </c>
      <c r="L195" s="288" t="s">
        <v>418</v>
      </c>
      <c r="M195" s="293" t="s">
        <v>418</v>
      </c>
      <c r="N195" s="293" t="s">
        <v>440</v>
      </c>
      <c r="O195" s="293" t="s">
        <v>418</v>
      </c>
      <c r="P195" s="293" t="s">
        <v>418</v>
      </c>
      <c r="Q195" s="293" t="s">
        <v>418</v>
      </c>
      <c r="R195" s="293" t="s">
        <v>418</v>
      </c>
      <c r="S195" s="293" t="s">
        <v>418</v>
      </c>
      <c r="T195" s="260" t="s">
        <v>418</v>
      </c>
      <c r="U195" s="260" t="s">
        <v>440</v>
      </c>
      <c r="V195" s="260" t="s">
        <v>418</v>
      </c>
      <c r="W195" s="260" t="s">
        <v>418</v>
      </c>
      <c r="X195" s="260" t="s">
        <v>418</v>
      </c>
      <c r="Y195" s="260" t="s">
        <v>418</v>
      </c>
      <c r="Z195" s="260" t="s">
        <v>418</v>
      </c>
      <c r="AA195" s="261" t="s">
        <v>418</v>
      </c>
      <c r="AB195" s="261" t="s">
        <v>440</v>
      </c>
      <c r="AC195" s="261" t="s">
        <v>418</v>
      </c>
      <c r="AD195" s="261" t="s">
        <v>418</v>
      </c>
      <c r="AE195" s="261" t="s">
        <v>418</v>
      </c>
      <c r="AF195" s="261" t="s">
        <v>418</v>
      </c>
      <c r="AG195" s="261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69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88" t="s">
        <v>418</v>
      </c>
      <c r="G196" s="288" t="s">
        <v>440</v>
      </c>
      <c r="H196" s="288" t="s">
        <v>418</v>
      </c>
      <c r="I196" s="288" t="s">
        <v>418</v>
      </c>
      <c r="J196" s="288" t="s">
        <v>418</v>
      </c>
      <c r="K196" s="288" t="s">
        <v>418</v>
      </c>
      <c r="L196" s="288" t="s">
        <v>418</v>
      </c>
      <c r="M196" s="293" t="s">
        <v>418</v>
      </c>
      <c r="N196" s="293" t="s">
        <v>440</v>
      </c>
      <c r="O196" s="293" t="s">
        <v>418</v>
      </c>
      <c r="P196" s="293" t="s">
        <v>418</v>
      </c>
      <c r="Q196" s="293" t="s">
        <v>418</v>
      </c>
      <c r="R196" s="293" t="s">
        <v>418</v>
      </c>
      <c r="S196" s="293" t="s">
        <v>418</v>
      </c>
      <c r="T196" s="260" t="s">
        <v>418</v>
      </c>
      <c r="U196" s="260" t="s">
        <v>440</v>
      </c>
      <c r="V196" s="260" t="s">
        <v>418</v>
      </c>
      <c r="W196" s="260" t="s">
        <v>418</v>
      </c>
      <c r="X196" s="260" t="s">
        <v>418</v>
      </c>
      <c r="Y196" s="260" t="s">
        <v>418</v>
      </c>
      <c r="Z196" s="260" t="s">
        <v>418</v>
      </c>
      <c r="AA196" s="261" t="s">
        <v>418</v>
      </c>
      <c r="AB196" s="261" t="s">
        <v>440</v>
      </c>
      <c r="AC196" s="261" t="s">
        <v>418</v>
      </c>
      <c r="AD196" s="261" t="s">
        <v>418</v>
      </c>
      <c r="AE196" s="261" t="s">
        <v>418</v>
      </c>
      <c r="AF196" s="261" t="s">
        <v>418</v>
      </c>
      <c r="AG196" s="261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69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88" t="s">
        <v>418</v>
      </c>
      <c r="G197" s="288" t="s">
        <v>440</v>
      </c>
      <c r="H197" s="288" t="s">
        <v>418</v>
      </c>
      <c r="I197" s="288" t="s">
        <v>418</v>
      </c>
      <c r="J197" s="288" t="s">
        <v>418</v>
      </c>
      <c r="K197" s="288" t="s">
        <v>418</v>
      </c>
      <c r="L197" s="288" t="s">
        <v>418</v>
      </c>
      <c r="M197" s="293" t="s">
        <v>418</v>
      </c>
      <c r="N197" s="293" t="s">
        <v>440</v>
      </c>
      <c r="O197" s="293" t="s">
        <v>418</v>
      </c>
      <c r="P197" s="293" t="s">
        <v>418</v>
      </c>
      <c r="Q197" s="293" t="s">
        <v>418</v>
      </c>
      <c r="R197" s="293" t="s">
        <v>418</v>
      </c>
      <c r="S197" s="293" t="s">
        <v>418</v>
      </c>
      <c r="T197" s="260" t="s">
        <v>418</v>
      </c>
      <c r="U197" s="260" t="s">
        <v>440</v>
      </c>
      <c r="V197" s="260" t="s">
        <v>418</v>
      </c>
      <c r="W197" s="260" t="s">
        <v>418</v>
      </c>
      <c r="X197" s="260" t="s">
        <v>418</v>
      </c>
      <c r="Y197" s="260" t="s">
        <v>418</v>
      </c>
      <c r="Z197" s="260" t="s">
        <v>418</v>
      </c>
      <c r="AA197" s="261" t="s">
        <v>418</v>
      </c>
      <c r="AB197" s="261" t="s">
        <v>440</v>
      </c>
      <c r="AC197" s="261" t="s">
        <v>418</v>
      </c>
      <c r="AD197" s="261" t="s">
        <v>418</v>
      </c>
      <c r="AE197" s="261" t="s">
        <v>418</v>
      </c>
      <c r="AF197" s="261" t="s">
        <v>418</v>
      </c>
      <c r="AG197" s="261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69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88" t="s">
        <v>418</v>
      </c>
      <c r="G198" s="288" t="s">
        <v>440</v>
      </c>
      <c r="H198" s="288" t="s">
        <v>418</v>
      </c>
      <c r="I198" s="288" t="s">
        <v>418</v>
      </c>
      <c r="J198" s="288" t="s">
        <v>418</v>
      </c>
      <c r="K198" s="288" t="s">
        <v>418</v>
      </c>
      <c r="L198" s="288" t="s">
        <v>418</v>
      </c>
      <c r="M198" s="293" t="s">
        <v>418</v>
      </c>
      <c r="N198" s="293" t="s">
        <v>440</v>
      </c>
      <c r="O198" s="293" t="s">
        <v>418</v>
      </c>
      <c r="P198" s="293" t="s">
        <v>418</v>
      </c>
      <c r="Q198" s="293" t="s">
        <v>418</v>
      </c>
      <c r="R198" s="293" t="s">
        <v>418</v>
      </c>
      <c r="S198" s="293" t="s">
        <v>418</v>
      </c>
      <c r="T198" s="260" t="s">
        <v>418</v>
      </c>
      <c r="U198" s="260" t="s">
        <v>440</v>
      </c>
      <c r="V198" s="260" t="s">
        <v>418</v>
      </c>
      <c r="W198" s="260" t="s">
        <v>418</v>
      </c>
      <c r="X198" s="260" t="s">
        <v>418</v>
      </c>
      <c r="Y198" s="260" t="s">
        <v>418</v>
      </c>
      <c r="Z198" s="260" t="s">
        <v>418</v>
      </c>
      <c r="AA198" s="261" t="s">
        <v>418</v>
      </c>
      <c r="AB198" s="261" t="s">
        <v>440</v>
      </c>
      <c r="AC198" s="261" t="s">
        <v>418</v>
      </c>
      <c r="AD198" s="261" t="s">
        <v>418</v>
      </c>
      <c r="AE198" s="261" t="s">
        <v>418</v>
      </c>
      <c r="AF198" s="261" t="s">
        <v>418</v>
      </c>
      <c r="AG198" s="261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69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88" t="s">
        <v>418</v>
      </c>
      <c r="G199" s="288" t="s">
        <v>440</v>
      </c>
      <c r="H199" s="288" t="s">
        <v>418</v>
      </c>
      <c r="I199" s="288" t="s">
        <v>418</v>
      </c>
      <c r="J199" s="288" t="s">
        <v>418</v>
      </c>
      <c r="K199" s="288" t="s">
        <v>418</v>
      </c>
      <c r="L199" s="288" t="s">
        <v>418</v>
      </c>
      <c r="M199" s="293" t="s">
        <v>418</v>
      </c>
      <c r="N199" s="293" t="s">
        <v>440</v>
      </c>
      <c r="O199" s="293" t="s">
        <v>418</v>
      </c>
      <c r="P199" s="293" t="s">
        <v>418</v>
      </c>
      <c r="Q199" s="293" t="s">
        <v>418</v>
      </c>
      <c r="R199" s="293" t="s">
        <v>418</v>
      </c>
      <c r="S199" s="293" t="s">
        <v>418</v>
      </c>
      <c r="T199" s="260" t="s">
        <v>418</v>
      </c>
      <c r="U199" s="260" t="s">
        <v>440</v>
      </c>
      <c r="V199" s="260" t="s">
        <v>418</v>
      </c>
      <c r="W199" s="260" t="s">
        <v>418</v>
      </c>
      <c r="X199" s="260" t="s">
        <v>418</v>
      </c>
      <c r="Y199" s="260" t="s">
        <v>418</v>
      </c>
      <c r="Z199" s="260" t="s">
        <v>418</v>
      </c>
      <c r="AA199" s="261" t="s">
        <v>418</v>
      </c>
      <c r="AB199" s="261" t="s">
        <v>440</v>
      </c>
      <c r="AC199" s="261" t="s">
        <v>418</v>
      </c>
      <c r="AD199" s="261" t="s">
        <v>418</v>
      </c>
      <c r="AE199" s="261" t="s">
        <v>418</v>
      </c>
      <c r="AF199" s="261" t="s">
        <v>418</v>
      </c>
      <c r="AG199" s="261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69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88" t="s">
        <v>418</v>
      </c>
      <c r="G200" s="288" t="s">
        <v>440</v>
      </c>
      <c r="H200" s="288" t="s">
        <v>418</v>
      </c>
      <c r="I200" s="288" t="s">
        <v>418</v>
      </c>
      <c r="J200" s="288" t="s">
        <v>418</v>
      </c>
      <c r="K200" s="288" t="s">
        <v>418</v>
      </c>
      <c r="L200" s="288" t="s">
        <v>418</v>
      </c>
      <c r="M200" s="293" t="s">
        <v>418</v>
      </c>
      <c r="N200" s="293" t="s">
        <v>440</v>
      </c>
      <c r="O200" s="293" t="s">
        <v>418</v>
      </c>
      <c r="P200" s="293" t="s">
        <v>418</v>
      </c>
      <c r="Q200" s="293" t="s">
        <v>418</v>
      </c>
      <c r="R200" s="293" t="s">
        <v>418</v>
      </c>
      <c r="S200" s="293" t="s">
        <v>418</v>
      </c>
      <c r="T200" s="260" t="s">
        <v>418</v>
      </c>
      <c r="U200" s="260" t="s">
        <v>440</v>
      </c>
      <c r="V200" s="260" t="s">
        <v>418</v>
      </c>
      <c r="W200" s="260" t="s">
        <v>418</v>
      </c>
      <c r="X200" s="260" t="s">
        <v>418</v>
      </c>
      <c r="Y200" s="260" t="s">
        <v>418</v>
      </c>
      <c r="Z200" s="260" t="s">
        <v>418</v>
      </c>
      <c r="AA200" s="261" t="s">
        <v>418</v>
      </c>
      <c r="AB200" s="261" t="s">
        <v>440</v>
      </c>
      <c r="AC200" s="261" t="s">
        <v>418</v>
      </c>
      <c r="AD200" s="261" t="s">
        <v>418</v>
      </c>
      <c r="AE200" s="261" t="s">
        <v>418</v>
      </c>
      <c r="AF200" s="261" t="s">
        <v>418</v>
      </c>
      <c r="AG200" s="261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69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88" t="s">
        <v>418</v>
      </c>
      <c r="G201" s="288" t="s">
        <v>440</v>
      </c>
      <c r="H201" s="288" t="s">
        <v>418</v>
      </c>
      <c r="I201" s="288" t="s">
        <v>418</v>
      </c>
      <c r="J201" s="288" t="s">
        <v>418</v>
      </c>
      <c r="K201" s="288" t="s">
        <v>418</v>
      </c>
      <c r="L201" s="288" t="s">
        <v>418</v>
      </c>
      <c r="M201" s="293" t="s">
        <v>418</v>
      </c>
      <c r="N201" s="293" t="s">
        <v>440</v>
      </c>
      <c r="O201" s="293" t="s">
        <v>418</v>
      </c>
      <c r="P201" s="293" t="s">
        <v>418</v>
      </c>
      <c r="Q201" s="293" t="s">
        <v>418</v>
      </c>
      <c r="R201" s="293" t="s">
        <v>418</v>
      </c>
      <c r="S201" s="293" t="s">
        <v>418</v>
      </c>
      <c r="T201" s="260" t="s">
        <v>418</v>
      </c>
      <c r="U201" s="260" t="s">
        <v>440</v>
      </c>
      <c r="V201" s="260" t="s">
        <v>418</v>
      </c>
      <c r="W201" s="260" t="s">
        <v>418</v>
      </c>
      <c r="X201" s="260" t="s">
        <v>418</v>
      </c>
      <c r="Y201" s="260" t="s">
        <v>418</v>
      </c>
      <c r="Z201" s="260" t="s">
        <v>418</v>
      </c>
      <c r="AA201" s="261" t="s">
        <v>418</v>
      </c>
      <c r="AB201" s="261" t="s">
        <v>440</v>
      </c>
      <c r="AC201" s="261" t="s">
        <v>418</v>
      </c>
      <c r="AD201" s="261" t="s">
        <v>418</v>
      </c>
      <c r="AE201" s="261" t="s">
        <v>418</v>
      </c>
      <c r="AF201" s="261" t="s">
        <v>418</v>
      </c>
      <c r="AG201" s="261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69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88" t="s">
        <v>418</v>
      </c>
      <c r="G202" s="288" t="s">
        <v>440</v>
      </c>
      <c r="H202" s="288" t="s">
        <v>418</v>
      </c>
      <c r="I202" s="288" t="s">
        <v>418</v>
      </c>
      <c r="J202" s="288" t="s">
        <v>418</v>
      </c>
      <c r="K202" s="288" t="s">
        <v>418</v>
      </c>
      <c r="L202" s="288" t="s">
        <v>418</v>
      </c>
      <c r="M202" s="293" t="s">
        <v>418</v>
      </c>
      <c r="N202" s="293" t="s">
        <v>440</v>
      </c>
      <c r="O202" s="293" t="s">
        <v>418</v>
      </c>
      <c r="P202" s="293" t="s">
        <v>418</v>
      </c>
      <c r="Q202" s="293" t="s">
        <v>418</v>
      </c>
      <c r="R202" s="293" t="s">
        <v>418</v>
      </c>
      <c r="S202" s="293" t="s">
        <v>418</v>
      </c>
      <c r="T202" s="260" t="s">
        <v>418</v>
      </c>
      <c r="U202" s="260" t="s">
        <v>440</v>
      </c>
      <c r="V202" s="260" t="s">
        <v>418</v>
      </c>
      <c r="W202" s="260" t="s">
        <v>418</v>
      </c>
      <c r="X202" s="260" t="s">
        <v>418</v>
      </c>
      <c r="Y202" s="260" t="s">
        <v>418</v>
      </c>
      <c r="Z202" s="260" t="s">
        <v>418</v>
      </c>
      <c r="AA202" s="261" t="s">
        <v>418</v>
      </c>
      <c r="AB202" s="261" t="s">
        <v>440</v>
      </c>
      <c r="AC202" s="261" t="s">
        <v>418</v>
      </c>
      <c r="AD202" s="261" t="s">
        <v>418</v>
      </c>
      <c r="AE202" s="261" t="s">
        <v>418</v>
      </c>
      <c r="AF202" s="261" t="s">
        <v>418</v>
      </c>
      <c r="AG202" s="261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69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88" t="s">
        <v>418</v>
      </c>
      <c r="G203" s="288" t="s">
        <v>440</v>
      </c>
      <c r="H203" s="288" t="s">
        <v>418</v>
      </c>
      <c r="I203" s="288" t="s">
        <v>418</v>
      </c>
      <c r="J203" s="288" t="s">
        <v>418</v>
      </c>
      <c r="K203" s="288" t="s">
        <v>418</v>
      </c>
      <c r="L203" s="288" t="s">
        <v>418</v>
      </c>
      <c r="M203" s="293" t="s">
        <v>418</v>
      </c>
      <c r="N203" s="293" t="s">
        <v>440</v>
      </c>
      <c r="O203" s="293" t="s">
        <v>418</v>
      </c>
      <c r="P203" s="293" t="s">
        <v>418</v>
      </c>
      <c r="Q203" s="293" t="s">
        <v>418</v>
      </c>
      <c r="R203" s="293" t="s">
        <v>418</v>
      </c>
      <c r="S203" s="293" t="s">
        <v>418</v>
      </c>
      <c r="T203" s="260" t="s">
        <v>418</v>
      </c>
      <c r="U203" s="260" t="s">
        <v>440</v>
      </c>
      <c r="V203" s="260" t="s">
        <v>418</v>
      </c>
      <c r="W203" s="260" t="s">
        <v>418</v>
      </c>
      <c r="X203" s="260" t="s">
        <v>418</v>
      </c>
      <c r="Y203" s="260" t="s">
        <v>418</v>
      </c>
      <c r="Z203" s="260" t="s">
        <v>418</v>
      </c>
      <c r="AA203" s="261" t="s">
        <v>418</v>
      </c>
      <c r="AB203" s="261" t="s">
        <v>440</v>
      </c>
      <c r="AC203" s="261" t="s">
        <v>418</v>
      </c>
      <c r="AD203" s="261" t="s">
        <v>418</v>
      </c>
      <c r="AE203" s="261" t="s">
        <v>418</v>
      </c>
      <c r="AF203" s="261" t="s">
        <v>418</v>
      </c>
      <c r="AG203" s="261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69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857</v>
      </c>
      <c r="C204" s="2" t="s">
        <v>858</v>
      </c>
      <c r="D204" s="12"/>
      <c r="E204" s="4">
        <v>4.5</v>
      </c>
      <c r="F204" s="288" t="s">
        <v>418</v>
      </c>
      <c r="G204" s="288" t="s">
        <v>440</v>
      </c>
      <c r="H204" s="288" t="s">
        <v>418</v>
      </c>
      <c r="I204" s="288" t="s">
        <v>418</v>
      </c>
      <c r="J204" s="288" t="s">
        <v>418</v>
      </c>
      <c r="K204" s="288" t="s">
        <v>418</v>
      </c>
      <c r="L204" s="288" t="s">
        <v>418</v>
      </c>
      <c r="M204" s="293" t="s">
        <v>418</v>
      </c>
      <c r="N204" s="293" t="s">
        <v>440</v>
      </c>
      <c r="O204" s="293" t="s">
        <v>418</v>
      </c>
      <c r="P204" s="293" t="s">
        <v>418</v>
      </c>
      <c r="Q204" s="293" t="s">
        <v>418</v>
      </c>
      <c r="R204" s="293" t="s">
        <v>418</v>
      </c>
      <c r="S204" s="293" t="s">
        <v>418</v>
      </c>
      <c r="T204" s="260" t="s">
        <v>418</v>
      </c>
      <c r="U204" s="260" t="s">
        <v>440</v>
      </c>
      <c r="V204" s="260" t="s">
        <v>418</v>
      </c>
      <c r="W204" s="260" t="s">
        <v>418</v>
      </c>
      <c r="X204" s="260" t="s">
        <v>418</v>
      </c>
      <c r="Y204" s="260" t="s">
        <v>418</v>
      </c>
      <c r="Z204" s="260" t="s">
        <v>418</v>
      </c>
      <c r="AA204" s="261" t="s">
        <v>418</v>
      </c>
      <c r="AB204" s="261" t="s">
        <v>440</v>
      </c>
      <c r="AC204" s="261" t="s">
        <v>418</v>
      </c>
      <c r="AD204" s="261" t="s">
        <v>418</v>
      </c>
      <c r="AE204" s="261" t="s">
        <v>418</v>
      </c>
      <c r="AF204" s="261" t="s">
        <v>418</v>
      </c>
      <c r="AG204" s="261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69">
        <f>(('Project Materials'!$F$28+'Project Materials'!$G$28)*'Project Materials'!$P$28)*2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88" t="s">
        <v>418</v>
      </c>
      <c r="G205" s="288" t="s">
        <v>288</v>
      </c>
      <c r="H205" s="288" t="s">
        <v>418</v>
      </c>
      <c r="I205" s="288" t="s">
        <v>418</v>
      </c>
      <c r="J205" s="288" t="s">
        <v>418</v>
      </c>
      <c r="K205" s="288" t="s">
        <v>418</v>
      </c>
      <c r="L205" s="288" t="s">
        <v>418</v>
      </c>
      <c r="M205" s="293" t="s">
        <v>418</v>
      </c>
      <c r="N205" s="293" t="s">
        <v>288</v>
      </c>
      <c r="O205" s="293" t="s">
        <v>418</v>
      </c>
      <c r="P205" s="293" t="s">
        <v>418</v>
      </c>
      <c r="Q205" s="293" t="s">
        <v>418</v>
      </c>
      <c r="R205" s="293" t="s">
        <v>418</v>
      </c>
      <c r="S205" s="293" t="s">
        <v>418</v>
      </c>
      <c r="T205" s="260" t="s">
        <v>418</v>
      </c>
      <c r="U205" s="260" t="s">
        <v>288</v>
      </c>
      <c r="V205" s="260" t="s">
        <v>418</v>
      </c>
      <c r="W205" s="260" t="s">
        <v>418</v>
      </c>
      <c r="X205" s="260" t="s">
        <v>418</v>
      </c>
      <c r="Y205" s="260" t="s">
        <v>418</v>
      </c>
      <c r="Z205" s="260" t="s">
        <v>418</v>
      </c>
      <c r="AA205" s="261" t="s">
        <v>418</v>
      </c>
      <c r="AB205" s="261" t="s">
        <v>288</v>
      </c>
      <c r="AC205" s="261" t="s">
        <v>418</v>
      </c>
      <c r="AD205" s="261" t="s">
        <v>418</v>
      </c>
      <c r="AE205" s="261" t="s">
        <v>418</v>
      </c>
      <c r="AF205" s="261" t="s">
        <v>418</v>
      </c>
      <c r="AG205" s="261" t="s">
        <v>418</v>
      </c>
      <c r="AH205" s="223">
        <f>AH190</f>
        <v>0</v>
      </c>
      <c r="AI205" s="223">
        <f>AI190</f>
        <v>0</v>
      </c>
      <c r="AJ205" s="223">
        <f>AJ190</f>
        <v>0</v>
      </c>
      <c r="AK205" s="223">
        <f>AK190</f>
        <v>0</v>
      </c>
      <c r="AM205" s="111">
        <v>1</v>
      </c>
    </row>
    <row r="206" spans="1:39" ht="15" thickTop="1" x14ac:dyDescent="0.4">
      <c r="A206" s="60" t="s">
        <v>414</v>
      </c>
      <c r="B206" s="2" t="s">
        <v>860</v>
      </c>
      <c r="C206" s="2" t="s">
        <v>859</v>
      </c>
      <c r="D206" s="12"/>
      <c r="E206" s="4">
        <v>4.5</v>
      </c>
      <c r="F206" s="288" t="s">
        <v>418</v>
      </c>
      <c r="G206" s="288" t="s">
        <v>440</v>
      </c>
      <c r="H206" s="288" t="s">
        <v>418</v>
      </c>
      <c r="I206" s="288" t="s">
        <v>418</v>
      </c>
      <c r="J206" s="288" t="s">
        <v>418</v>
      </c>
      <c r="K206" s="288" t="s">
        <v>418</v>
      </c>
      <c r="L206" s="288" t="s">
        <v>418</v>
      </c>
      <c r="M206" s="293" t="s">
        <v>418</v>
      </c>
      <c r="N206" s="293" t="s">
        <v>440</v>
      </c>
      <c r="O206" s="293" t="s">
        <v>418</v>
      </c>
      <c r="P206" s="293" t="s">
        <v>418</v>
      </c>
      <c r="Q206" s="293" t="s">
        <v>418</v>
      </c>
      <c r="R206" s="293" t="s">
        <v>418</v>
      </c>
      <c r="S206" s="293" t="s">
        <v>418</v>
      </c>
      <c r="T206" s="260" t="s">
        <v>418</v>
      </c>
      <c r="U206" s="260" t="s">
        <v>440</v>
      </c>
      <c r="V206" s="260" t="s">
        <v>418</v>
      </c>
      <c r="W206" s="260" t="s">
        <v>418</v>
      </c>
      <c r="X206" s="260" t="s">
        <v>418</v>
      </c>
      <c r="Y206" s="260" t="s">
        <v>418</v>
      </c>
      <c r="Z206" s="260" t="s">
        <v>418</v>
      </c>
      <c r="AA206" s="261" t="s">
        <v>418</v>
      </c>
      <c r="AB206" s="261" t="s">
        <v>440</v>
      </c>
      <c r="AC206" s="261" t="s">
        <v>418</v>
      </c>
      <c r="AD206" s="261" t="s">
        <v>418</v>
      </c>
      <c r="AE206" s="261" t="s">
        <v>418</v>
      </c>
      <c r="AF206" s="261" t="s">
        <v>418</v>
      </c>
      <c r="AG206" s="261" t="s">
        <v>418</v>
      </c>
      <c r="AH206" s="30">
        <f>(('Project Materials'!$F$25+'Project Materials'!$G$25)*'Project Materials'!$P$25)*2</f>
        <v>0</v>
      </c>
      <c r="AI206" s="27">
        <f>(('Project Materials'!$F$26+'Project Materials'!$G$26)*'Project Materials'!$P$26)*2</f>
        <v>0</v>
      </c>
      <c r="AJ206" s="28">
        <f>(('Project Materials'!$F$27+'Project Materials'!$G$27)*'Project Materials'!$P$27)*2</f>
        <v>0</v>
      </c>
      <c r="AK206" s="217">
        <f>(('Project Materials'!$F$28+'Project Materials'!$G$28)*'Project Materials'!$P$28)*2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88" t="s">
        <v>418</v>
      </c>
      <c r="G207" s="288" t="s">
        <v>440</v>
      </c>
      <c r="H207" s="288" t="s">
        <v>418</v>
      </c>
      <c r="I207" s="288" t="s">
        <v>418</v>
      </c>
      <c r="J207" s="288" t="s">
        <v>418</v>
      </c>
      <c r="K207" s="288" t="s">
        <v>418</v>
      </c>
      <c r="L207" s="288" t="s">
        <v>418</v>
      </c>
      <c r="M207" s="293" t="s">
        <v>418</v>
      </c>
      <c r="N207" s="293" t="s">
        <v>440</v>
      </c>
      <c r="O207" s="293" t="s">
        <v>418</v>
      </c>
      <c r="P207" s="293" t="s">
        <v>418</v>
      </c>
      <c r="Q207" s="293" t="s">
        <v>418</v>
      </c>
      <c r="R207" s="293" t="s">
        <v>418</v>
      </c>
      <c r="S207" s="293" t="s">
        <v>418</v>
      </c>
      <c r="T207" s="260" t="s">
        <v>418</v>
      </c>
      <c r="U207" s="260" t="s">
        <v>440</v>
      </c>
      <c r="V207" s="260" t="s">
        <v>418</v>
      </c>
      <c r="W207" s="260" t="s">
        <v>418</v>
      </c>
      <c r="X207" s="260" t="s">
        <v>418</v>
      </c>
      <c r="Y207" s="260" t="s">
        <v>418</v>
      </c>
      <c r="Z207" s="260" t="s">
        <v>418</v>
      </c>
      <c r="AA207" s="261" t="s">
        <v>418</v>
      </c>
      <c r="AB207" s="261" t="s">
        <v>440</v>
      </c>
      <c r="AC207" s="261" t="s">
        <v>418</v>
      </c>
      <c r="AD207" s="261" t="s">
        <v>418</v>
      </c>
      <c r="AE207" s="261" t="s">
        <v>418</v>
      </c>
      <c r="AF207" s="261" t="s">
        <v>418</v>
      </c>
      <c r="AG207" s="261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17">
        <f>(('Project Materials'!$F$28+'Project Materials'!$G$28)*'Project Materials'!$P$28)*2</f>
        <v>0</v>
      </c>
    </row>
    <row r="208" spans="1:39" x14ac:dyDescent="0.4">
      <c r="A208" s="2"/>
      <c r="B208" s="2"/>
      <c r="C208" s="2"/>
      <c r="D208" s="12"/>
      <c r="E208" s="4"/>
      <c r="F208" s="288" t="s">
        <v>418</v>
      </c>
      <c r="G208" s="288" t="s">
        <v>418</v>
      </c>
      <c r="H208" s="288" t="s">
        <v>418</v>
      </c>
      <c r="I208" s="288" t="s">
        <v>418</v>
      </c>
      <c r="J208" s="288" t="s">
        <v>418</v>
      </c>
      <c r="K208" s="288" t="s">
        <v>418</v>
      </c>
      <c r="L208" s="288" t="s">
        <v>418</v>
      </c>
      <c r="M208" s="293" t="s">
        <v>418</v>
      </c>
      <c r="N208" s="293" t="s">
        <v>418</v>
      </c>
      <c r="O208" s="293" t="s">
        <v>418</v>
      </c>
      <c r="P208" s="293" t="s">
        <v>418</v>
      </c>
      <c r="Q208" s="293" t="s">
        <v>418</v>
      </c>
      <c r="R208" s="293" t="s">
        <v>418</v>
      </c>
      <c r="S208" s="293" t="s">
        <v>418</v>
      </c>
      <c r="T208" s="260" t="s">
        <v>418</v>
      </c>
      <c r="U208" s="260" t="s">
        <v>418</v>
      </c>
      <c r="V208" s="260" t="s">
        <v>418</v>
      </c>
      <c r="W208" s="260" t="s">
        <v>418</v>
      </c>
      <c r="X208" s="260" t="s">
        <v>418</v>
      </c>
      <c r="Y208" s="260" t="s">
        <v>418</v>
      </c>
      <c r="Z208" s="260" t="s">
        <v>418</v>
      </c>
      <c r="AA208" s="261" t="s">
        <v>418</v>
      </c>
      <c r="AB208" s="261" t="s">
        <v>418</v>
      </c>
      <c r="AC208" s="261" t="s">
        <v>418</v>
      </c>
      <c r="AD208" s="261" t="s">
        <v>418</v>
      </c>
      <c r="AE208" s="261" t="s">
        <v>418</v>
      </c>
      <c r="AF208" s="261" t="s">
        <v>418</v>
      </c>
      <c r="AG208" s="261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88" t="s">
        <v>418</v>
      </c>
      <c r="G209" s="288" t="s">
        <v>418</v>
      </c>
      <c r="H209" s="288" t="s">
        <v>418</v>
      </c>
      <c r="I209" s="288" t="s">
        <v>418</v>
      </c>
      <c r="J209" s="288" t="s">
        <v>418</v>
      </c>
      <c r="K209" s="288" t="s">
        <v>418</v>
      </c>
      <c r="L209" s="288" t="s">
        <v>418</v>
      </c>
      <c r="M209" s="293" t="s">
        <v>418</v>
      </c>
      <c r="N209" s="293" t="s">
        <v>418</v>
      </c>
      <c r="O209" s="293" t="s">
        <v>418</v>
      </c>
      <c r="P209" s="293" t="s">
        <v>418</v>
      </c>
      <c r="Q209" s="293" t="s">
        <v>418</v>
      </c>
      <c r="R209" s="293" t="s">
        <v>418</v>
      </c>
      <c r="S209" s="293" t="s">
        <v>418</v>
      </c>
      <c r="T209" s="260" t="s">
        <v>418</v>
      </c>
      <c r="U209" s="260" t="s">
        <v>418</v>
      </c>
      <c r="V209" s="260" t="s">
        <v>418</v>
      </c>
      <c r="W209" s="260" t="s">
        <v>418</v>
      </c>
      <c r="X209" s="260" t="s">
        <v>418</v>
      </c>
      <c r="Y209" s="260" t="s">
        <v>418</v>
      </c>
      <c r="Z209" s="260" t="s">
        <v>418</v>
      </c>
      <c r="AA209" s="261" t="s">
        <v>418</v>
      </c>
      <c r="AB209" s="261" t="s">
        <v>418</v>
      </c>
      <c r="AC209" s="261" t="s">
        <v>418</v>
      </c>
      <c r="AD209" s="261" t="s">
        <v>418</v>
      </c>
      <c r="AE209" s="261" t="s">
        <v>418</v>
      </c>
      <c r="AF209" s="261" t="s">
        <v>418</v>
      </c>
      <c r="AG209" s="261" t="s">
        <v>418</v>
      </c>
      <c r="AH209" s="30">
        <v>0</v>
      </c>
      <c r="AI209" s="27">
        <v>0</v>
      </c>
      <c r="AJ209" s="28">
        <v>0</v>
      </c>
      <c r="AK209" s="269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88" t="s">
        <v>418</v>
      </c>
      <c r="G210" s="288" t="s">
        <v>418</v>
      </c>
      <c r="H210" s="288" t="s">
        <v>418</v>
      </c>
      <c r="I210" s="288" t="s">
        <v>418</v>
      </c>
      <c r="J210" s="288" t="s">
        <v>418</v>
      </c>
      <c r="K210" s="288" t="s">
        <v>418</v>
      </c>
      <c r="L210" s="288" t="s">
        <v>418</v>
      </c>
      <c r="M210" s="293" t="s">
        <v>418</v>
      </c>
      <c r="N210" s="293" t="s">
        <v>418</v>
      </c>
      <c r="O210" s="293" t="s">
        <v>418</v>
      </c>
      <c r="P210" s="293" t="s">
        <v>418</v>
      </c>
      <c r="Q210" s="293" t="s">
        <v>418</v>
      </c>
      <c r="R210" s="293" t="s">
        <v>418</v>
      </c>
      <c r="S210" s="293" t="s">
        <v>418</v>
      </c>
      <c r="T210" s="260" t="s">
        <v>418</v>
      </c>
      <c r="U210" s="260" t="s">
        <v>418</v>
      </c>
      <c r="V210" s="260" t="s">
        <v>418</v>
      </c>
      <c r="W210" s="260" t="s">
        <v>418</v>
      </c>
      <c r="X210" s="260" t="s">
        <v>418</v>
      </c>
      <c r="Y210" s="260" t="s">
        <v>418</v>
      </c>
      <c r="Z210" s="260" t="s">
        <v>418</v>
      </c>
      <c r="AA210" s="261" t="s">
        <v>418</v>
      </c>
      <c r="AB210" s="261" t="s">
        <v>418</v>
      </c>
      <c r="AC210" s="261" t="s">
        <v>418</v>
      </c>
      <c r="AD210" s="261" t="s">
        <v>418</v>
      </c>
      <c r="AE210" s="261" t="s">
        <v>418</v>
      </c>
      <c r="AF210" s="261" t="s">
        <v>418</v>
      </c>
      <c r="AG210" s="261" t="s">
        <v>418</v>
      </c>
      <c r="AH210" s="30">
        <f>('Project Materials'!$N$25*'Project Materials'!$P$25)*4</f>
        <v>0</v>
      </c>
      <c r="AI210" s="27">
        <f>('Project Materials'!$N$26*'Project Materials'!$P$26)*4</f>
        <v>0</v>
      </c>
      <c r="AJ210" s="28">
        <f>('Project Materials'!$N$27*'Project Materials'!$P$27)*4</f>
        <v>0</v>
      </c>
      <c r="AK210" s="269">
        <f>('Project Materials'!$N$28*'Project Materials'!$P$28)*4</f>
        <v>0</v>
      </c>
      <c r="AM210" s="111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88" t="s">
        <v>418</v>
      </c>
      <c r="G211" s="288" t="s">
        <v>418</v>
      </c>
      <c r="H211" s="288" t="s">
        <v>418</v>
      </c>
      <c r="I211" s="288" t="s">
        <v>418</v>
      </c>
      <c r="J211" s="288" t="s">
        <v>418</v>
      </c>
      <c r="K211" s="288" t="s">
        <v>418</v>
      </c>
      <c r="L211" s="288" t="s">
        <v>418</v>
      </c>
      <c r="M211" s="293" t="s">
        <v>418</v>
      </c>
      <c r="N211" s="293" t="s">
        <v>418</v>
      </c>
      <c r="O211" s="293" t="s">
        <v>418</v>
      </c>
      <c r="P211" s="293" t="s">
        <v>418</v>
      </c>
      <c r="Q211" s="293" t="s">
        <v>418</v>
      </c>
      <c r="R211" s="293" t="s">
        <v>418</v>
      </c>
      <c r="S211" s="293" t="s">
        <v>418</v>
      </c>
      <c r="T211" s="260" t="s">
        <v>418</v>
      </c>
      <c r="U211" s="260" t="s">
        <v>418</v>
      </c>
      <c r="V211" s="260" t="s">
        <v>418</v>
      </c>
      <c r="W211" s="260" t="s">
        <v>418</v>
      </c>
      <c r="X211" s="260" t="s">
        <v>418</v>
      </c>
      <c r="Y211" s="260" t="s">
        <v>418</v>
      </c>
      <c r="Z211" s="260" t="s">
        <v>418</v>
      </c>
      <c r="AA211" s="261" t="s">
        <v>418</v>
      </c>
      <c r="AB211" s="261" t="s">
        <v>418</v>
      </c>
      <c r="AC211" s="261" t="s">
        <v>418</v>
      </c>
      <c r="AD211" s="261" t="s">
        <v>418</v>
      </c>
      <c r="AE211" s="261" t="s">
        <v>418</v>
      </c>
      <c r="AF211" s="261" t="s">
        <v>418</v>
      </c>
      <c r="AG211" s="261" t="s">
        <v>418</v>
      </c>
      <c r="AH211" s="30">
        <f>'Project Materials'!$Q$25*4</f>
        <v>0</v>
      </c>
      <c r="AI211" s="27">
        <f>'Project Materials'!$Q$26*4</f>
        <v>0</v>
      </c>
      <c r="AJ211" s="28">
        <f>'Project Materials'!$Q$27*4</f>
        <v>0</v>
      </c>
      <c r="AK211" s="269">
        <f>'Project Materials'!$Q$28*4</f>
        <v>0</v>
      </c>
      <c r="AM211" s="111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88" t="s">
        <v>418</v>
      </c>
      <c r="G212" s="288" t="s">
        <v>418</v>
      </c>
      <c r="H212" s="288" t="s">
        <v>418</v>
      </c>
      <c r="I212" s="288" t="s">
        <v>418</v>
      </c>
      <c r="J212" s="288" t="s">
        <v>418</v>
      </c>
      <c r="K212" s="288" t="s">
        <v>418</v>
      </c>
      <c r="L212" s="288" t="s">
        <v>418</v>
      </c>
      <c r="M212" s="293" t="s">
        <v>418</v>
      </c>
      <c r="N212" s="293" t="s">
        <v>418</v>
      </c>
      <c r="O212" s="293" t="s">
        <v>418</v>
      </c>
      <c r="P212" s="293" t="s">
        <v>418</v>
      </c>
      <c r="Q212" s="293" t="s">
        <v>418</v>
      </c>
      <c r="R212" s="293" t="s">
        <v>418</v>
      </c>
      <c r="S212" s="293" t="s">
        <v>418</v>
      </c>
      <c r="T212" s="260" t="s">
        <v>418</v>
      </c>
      <c r="U212" s="260" t="s">
        <v>418</v>
      </c>
      <c r="V212" s="260" t="s">
        <v>418</v>
      </c>
      <c r="W212" s="260" t="s">
        <v>418</v>
      </c>
      <c r="X212" s="260" t="s">
        <v>418</v>
      </c>
      <c r="Y212" s="260" t="s">
        <v>418</v>
      </c>
      <c r="Z212" s="260" t="s">
        <v>418</v>
      </c>
      <c r="AA212" s="261" t="s">
        <v>418</v>
      </c>
      <c r="AB212" s="261" t="s">
        <v>418</v>
      </c>
      <c r="AC212" s="261" t="s">
        <v>418</v>
      </c>
      <c r="AD212" s="261" t="s">
        <v>418</v>
      </c>
      <c r="AE212" s="261" t="s">
        <v>418</v>
      </c>
      <c r="AF212" s="261" t="s">
        <v>418</v>
      </c>
      <c r="AG212" s="261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69">
        <f>'Project Materials'!$Q$28*4</f>
        <v>0</v>
      </c>
      <c r="AM212" s="111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88" t="s">
        <v>418</v>
      </c>
      <c r="G213" s="288" t="s">
        <v>418</v>
      </c>
      <c r="H213" s="288" t="s">
        <v>418</v>
      </c>
      <c r="I213" s="288" t="s">
        <v>418</v>
      </c>
      <c r="J213" s="288" t="s">
        <v>418</v>
      </c>
      <c r="K213" s="288" t="s">
        <v>418</v>
      </c>
      <c r="L213" s="288" t="s">
        <v>418</v>
      </c>
      <c r="M213" s="293" t="s">
        <v>418</v>
      </c>
      <c r="N213" s="293" t="s">
        <v>418</v>
      </c>
      <c r="O213" s="293" t="s">
        <v>418</v>
      </c>
      <c r="P213" s="293" t="s">
        <v>418</v>
      </c>
      <c r="Q213" s="293" t="s">
        <v>418</v>
      </c>
      <c r="R213" s="293" t="s">
        <v>418</v>
      </c>
      <c r="S213" s="293" t="s">
        <v>418</v>
      </c>
      <c r="T213" s="260" t="s">
        <v>418</v>
      </c>
      <c r="U213" s="260" t="s">
        <v>418</v>
      </c>
      <c r="V213" s="260" t="s">
        <v>418</v>
      </c>
      <c r="W213" s="260" t="s">
        <v>418</v>
      </c>
      <c r="X213" s="260" t="s">
        <v>418</v>
      </c>
      <c r="Y213" s="260" t="s">
        <v>418</v>
      </c>
      <c r="Z213" s="260" t="s">
        <v>418</v>
      </c>
      <c r="AA213" s="261" t="s">
        <v>418</v>
      </c>
      <c r="AB213" s="261" t="s">
        <v>418</v>
      </c>
      <c r="AC213" s="261" t="s">
        <v>418</v>
      </c>
      <c r="AD213" s="261" t="s">
        <v>418</v>
      </c>
      <c r="AE213" s="261" t="s">
        <v>418</v>
      </c>
      <c r="AF213" s="261" t="s">
        <v>418</v>
      </c>
      <c r="AG213" s="261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69">
        <f>'Project Materials'!$Q$28*4</f>
        <v>0</v>
      </c>
      <c r="AM213" s="111">
        <v>4</v>
      </c>
    </row>
    <row r="214" spans="1:40" x14ac:dyDescent="0.4">
      <c r="A214" s="61" t="s">
        <v>7</v>
      </c>
      <c r="B214" s="2" t="s">
        <v>686</v>
      </c>
      <c r="C214" s="2" t="s">
        <v>44</v>
      </c>
      <c r="D214" s="12"/>
      <c r="E214" s="4">
        <v>0.36</v>
      </c>
      <c r="F214" s="288" t="s">
        <v>418</v>
      </c>
      <c r="G214" s="288" t="s">
        <v>418</v>
      </c>
      <c r="H214" s="288" t="s">
        <v>418</v>
      </c>
      <c r="I214" s="288" t="s">
        <v>418</v>
      </c>
      <c r="J214" s="288" t="s">
        <v>418</v>
      </c>
      <c r="K214" s="288" t="s">
        <v>418</v>
      </c>
      <c r="L214" s="288" t="s">
        <v>418</v>
      </c>
      <c r="M214" s="293" t="s">
        <v>418</v>
      </c>
      <c r="N214" s="293" t="s">
        <v>418</v>
      </c>
      <c r="O214" s="293" t="s">
        <v>418</v>
      </c>
      <c r="P214" s="293" t="s">
        <v>418</v>
      </c>
      <c r="Q214" s="293" t="s">
        <v>418</v>
      </c>
      <c r="R214" s="293" t="s">
        <v>418</v>
      </c>
      <c r="S214" s="293" t="s">
        <v>418</v>
      </c>
      <c r="T214" s="260" t="s">
        <v>418</v>
      </c>
      <c r="U214" s="260" t="s">
        <v>418</v>
      </c>
      <c r="V214" s="260" t="s">
        <v>418</v>
      </c>
      <c r="W214" s="260" t="s">
        <v>418</v>
      </c>
      <c r="X214" s="260" t="s">
        <v>418</v>
      </c>
      <c r="Y214" s="260" t="s">
        <v>418</v>
      </c>
      <c r="Z214" s="260" t="s">
        <v>418</v>
      </c>
      <c r="AA214" s="261" t="s">
        <v>418</v>
      </c>
      <c r="AB214" s="261" t="s">
        <v>418</v>
      </c>
      <c r="AC214" s="261" t="s">
        <v>418</v>
      </c>
      <c r="AD214" s="261" t="s">
        <v>418</v>
      </c>
      <c r="AE214" s="261" t="s">
        <v>418</v>
      </c>
      <c r="AF214" s="261" t="s">
        <v>418</v>
      </c>
      <c r="AG214" s="261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69">
        <f>'Project Materials'!$Q$28*4</f>
        <v>0</v>
      </c>
      <c r="AM214" s="111">
        <v>4</v>
      </c>
    </row>
    <row r="215" spans="1:40" x14ac:dyDescent="0.4">
      <c r="A215" s="61" t="s">
        <v>7</v>
      </c>
      <c r="B215" s="2" t="s">
        <v>687</v>
      </c>
      <c r="C215" s="2" t="s">
        <v>369</v>
      </c>
      <c r="D215" s="12"/>
      <c r="E215" s="4">
        <v>0.32</v>
      </c>
      <c r="F215" s="288" t="s">
        <v>418</v>
      </c>
      <c r="G215" s="288" t="s">
        <v>418</v>
      </c>
      <c r="H215" s="288" t="s">
        <v>418</v>
      </c>
      <c r="I215" s="288" t="s">
        <v>418</v>
      </c>
      <c r="J215" s="288" t="s">
        <v>418</v>
      </c>
      <c r="K215" s="288" t="s">
        <v>418</v>
      </c>
      <c r="L215" s="288" t="s">
        <v>418</v>
      </c>
      <c r="M215" s="293" t="s">
        <v>418</v>
      </c>
      <c r="N215" s="293" t="s">
        <v>418</v>
      </c>
      <c r="O215" s="293" t="s">
        <v>418</v>
      </c>
      <c r="P215" s="293" t="s">
        <v>418</v>
      </c>
      <c r="Q215" s="293" t="s">
        <v>418</v>
      </c>
      <c r="R215" s="293" t="s">
        <v>418</v>
      </c>
      <c r="S215" s="293" t="s">
        <v>418</v>
      </c>
      <c r="T215" s="260" t="s">
        <v>418</v>
      </c>
      <c r="U215" s="260" t="s">
        <v>418</v>
      </c>
      <c r="V215" s="260" t="s">
        <v>418</v>
      </c>
      <c r="W215" s="260" t="s">
        <v>418</v>
      </c>
      <c r="X215" s="260" t="s">
        <v>418</v>
      </c>
      <c r="Y215" s="260" t="s">
        <v>418</v>
      </c>
      <c r="Z215" s="260" t="s">
        <v>418</v>
      </c>
      <c r="AA215" s="261" t="s">
        <v>418</v>
      </c>
      <c r="AB215" s="261" t="s">
        <v>418</v>
      </c>
      <c r="AC215" s="261" t="s">
        <v>418</v>
      </c>
      <c r="AD215" s="261" t="s">
        <v>418</v>
      </c>
      <c r="AE215" s="261" t="s">
        <v>418</v>
      </c>
      <c r="AF215" s="261" t="s">
        <v>418</v>
      </c>
      <c r="AG215" s="261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69">
        <f>'Project Materials'!$Q$28*4</f>
        <v>0</v>
      </c>
      <c r="AM215" s="111">
        <v>4</v>
      </c>
    </row>
    <row r="216" spans="1:40" x14ac:dyDescent="0.4">
      <c r="A216" s="61" t="s">
        <v>7</v>
      </c>
      <c r="B216" s="2" t="s">
        <v>688</v>
      </c>
      <c r="C216" s="2" t="s">
        <v>45</v>
      </c>
      <c r="D216" s="12"/>
      <c r="E216" s="4">
        <v>0.43</v>
      </c>
      <c r="F216" s="288" t="s">
        <v>418</v>
      </c>
      <c r="G216" s="288" t="s">
        <v>418</v>
      </c>
      <c r="H216" s="288" t="s">
        <v>418</v>
      </c>
      <c r="I216" s="288" t="s">
        <v>418</v>
      </c>
      <c r="J216" s="288" t="s">
        <v>418</v>
      </c>
      <c r="K216" s="288" t="s">
        <v>418</v>
      </c>
      <c r="L216" s="288" t="s">
        <v>418</v>
      </c>
      <c r="M216" s="293" t="s">
        <v>418</v>
      </c>
      <c r="N216" s="293" t="s">
        <v>418</v>
      </c>
      <c r="O216" s="293" t="s">
        <v>418</v>
      </c>
      <c r="P216" s="293" t="s">
        <v>418</v>
      </c>
      <c r="Q216" s="293" t="s">
        <v>418</v>
      </c>
      <c r="R216" s="293" t="s">
        <v>418</v>
      </c>
      <c r="S216" s="293" t="s">
        <v>418</v>
      </c>
      <c r="T216" s="260" t="s">
        <v>418</v>
      </c>
      <c r="U216" s="260" t="s">
        <v>418</v>
      </c>
      <c r="V216" s="260" t="s">
        <v>418</v>
      </c>
      <c r="W216" s="260" t="s">
        <v>418</v>
      </c>
      <c r="X216" s="260" t="s">
        <v>418</v>
      </c>
      <c r="Y216" s="260" t="s">
        <v>418</v>
      </c>
      <c r="Z216" s="260" t="s">
        <v>418</v>
      </c>
      <c r="AA216" s="261" t="s">
        <v>418</v>
      </c>
      <c r="AB216" s="261" t="s">
        <v>418</v>
      </c>
      <c r="AC216" s="261" t="s">
        <v>418</v>
      </c>
      <c r="AD216" s="261" t="s">
        <v>418</v>
      </c>
      <c r="AE216" s="261" t="s">
        <v>418</v>
      </c>
      <c r="AF216" s="261" t="s">
        <v>418</v>
      </c>
      <c r="AG216" s="261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69">
        <f>'Project Materials'!$Q$28*4</f>
        <v>0</v>
      </c>
      <c r="AM216" s="111">
        <v>4</v>
      </c>
    </row>
    <row r="217" spans="1:40" x14ac:dyDescent="0.4">
      <c r="A217" s="61" t="s">
        <v>7</v>
      </c>
      <c r="B217" s="2" t="s">
        <v>689</v>
      </c>
      <c r="C217" s="2" t="s">
        <v>46</v>
      </c>
      <c r="D217" s="12"/>
      <c r="E217" s="4">
        <v>0.38</v>
      </c>
      <c r="F217" s="288" t="s">
        <v>418</v>
      </c>
      <c r="G217" s="288" t="s">
        <v>418</v>
      </c>
      <c r="H217" s="288" t="s">
        <v>418</v>
      </c>
      <c r="I217" s="288" t="s">
        <v>418</v>
      </c>
      <c r="J217" s="288" t="s">
        <v>418</v>
      </c>
      <c r="K217" s="288" t="s">
        <v>418</v>
      </c>
      <c r="L217" s="288" t="s">
        <v>418</v>
      </c>
      <c r="M217" s="293" t="s">
        <v>418</v>
      </c>
      <c r="N217" s="293" t="s">
        <v>418</v>
      </c>
      <c r="O217" s="293" t="s">
        <v>418</v>
      </c>
      <c r="P217" s="293" t="s">
        <v>418</v>
      </c>
      <c r="Q217" s="293" t="s">
        <v>418</v>
      </c>
      <c r="R217" s="293" t="s">
        <v>418</v>
      </c>
      <c r="S217" s="293" t="s">
        <v>418</v>
      </c>
      <c r="T217" s="260" t="s">
        <v>418</v>
      </c>
      <c r="U217" s="260" t="s">
        <v>418</v>
      </c>
      <c r="V217" s="260" t="s">
        <v>418</v>
      </c>
      <c r="W217" s="260" t="s">
        <v>418</v>
      </c>
      <c r="X217" s="260" t="s">
        <v>418</v>
      </c>
      <c r="Y217" s="260" t="s">
        <v>418</v>
      </c>
      <c r="Z217" s="260" t="s">
        <v>418</v>
      </c>
      <c r="AA217" s="261" t="s">
        <v>418</v>
      </c>
      <c r="AB217" s="261" t="s">
        <v>418</v>
      </c>
      <c r="AC217" s="261" t="s">
        <v>418</v>
      </c>
      <c r="AD217" s="261" t="s">
        <v>418</v>
      </c>
      <c r="AE217" s="261" t="s">
        <v>418</v>
      </c>
      <c r="AF217" s="261" t="s">
        <v>418</v>
      </c>
      <c r="AG217" s="261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69">
        <f>'Project Materials'!$Q$28*4</f>
        <v>0</v>
      </c>
      <c r="AM217" s="111">
        <v>2</v>
      </c>
    </row>
    <row r="218" spans="1:40" x14ac:dyDescent="0.4">
      <c r="A218" s="61" t="s">
        <v>7</v>
      </c>
      <c r="B218" s="2" t="s">
        <v>690</v>
      </c>
      <c r="C218" s="2" t="s">
        <v>47</v>
      </c>
      <c r="D218" s="12"/>
      <c r="E218" s="4">
        <v>0.48</v>
      </c>
      <c r="F218" s="288" t="s">
        <v>418</v>
      </c>
      <c r="G218" s="288" t="s">
        <v>418</v>
      </c>
      <c r="H218" s="288" t="s">
        <v>418</v>
      </c>
      <c r="I218" s="288" t="s">
        <v>418</v>
      </c>
      <c r="J218" s="288" t="s">
        <v>418</v>
      </c>
      <c r="K218" s="288" t="s">
        <v>418</v>
      </c>
      <c r="L218" s="288" t="s">
        <v>418</v>
      </c>
      <c r="M218" s="293" t="s">
        <v>418</v>
      </c>
      <c r="N218" s="293" t="s">
        <v>418</v>
      </c>
      <c r="O218" s="293" t="s">
        <v>418</v>
      </c>
      <c r="P218" s="293" t="s">
        <v>418</v>
      </c>
      <c r="Q218" s="293" t="s">
        <v>418</v>
      </c>
      <c r="R218" s="293" t="s">
        <v>418</v>
      </c>
      <c r="S218" s="293" t="s">
        <v>418</v>
      </c>
      <c r="T218" s="260" t="s">
        <v>418</v>
      </c>
      <c r="U218" s="260" t="s">
        <v>418</v>
      </c>
      <c r="V218" s="260" t="s">
        <v>418</v>
      </c>
      <c r="W218" s="260" t="s">
        <v>418</v>
      </c>
      <c r="X218" s="260" t="s">
        <v>418</v>
      </c>
      <c r="Y218" s="260" t="s">
        <v>418</v>
      </c>
      <c r="Z218" s="260" t="s">
        <v>418</v>
      </c>
      <c r="AA218" s="261" t="s">
        <v>418</v>
      </c>
      <c r="AB218" s="261" t="s">
        <v>418</v>
      </c>
      <c r="AC218" s="261" t="s">
        <v>418</v>
      </c>
      <c r="AD218" s="261" t="s">
        <v>418</v>
      </c>
      <c r="AE218" s="261" t="s">
        <v>418</v>
      </c>
      <c r="AF218" s="261" t="s">
        <v>418</v>
      </c>
      <c r="AG218" s="261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69">
        <f>'Project Materials'!$Q$28*4</f>
        <v>0</v>
      </c>
      <c r="AM218" s="111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88" t="s">
        <v>418</v>
      </c>
      <c r="G219" s="288" t="s">
        <v>418</v>
      </c>
      <c r="H219" s="288" t="s">
        <v>418</v>
      </c>
      <c r="I219" s="288" t="s">
        <v>418</v>
      </c>
      <c r="J219" s="288" t="s">
        <v>418</v>
      </c>
      <c r="K219" s="288" t="s">
        <v>418</v>
      </c>
      <c r="L219" s="288" t="s">
        <v>418</v>
      </c>
      <c r="M219" s="293" t="s">
        <v>418</v>
      </c>
      <c r="N219" s="293" t="s">
        <v>418</v>
      </c>
      <c r="O219" s="293" t="s">
        <v>418</v>
      </c>
      <c r="P219" s="293" t="s">
        <v>418</v>
      </c>
      <c r="Q219" s="293" t="s">
        <v>418</v>
      </c>
      <c r="R219" s="293" t="s">
        <v>418</v>
      </c>
      <c r="S219" s="293" t="s">
        <v>418</v>
      </c>
      <c r="T219" s="260" t="s">
        <v>418</v>
      </c>
      <c r="U219" s="260" t="s">
        <v>418</v>
      </c>
      <c r="V219" s="260" t="s">
        <v>418</v>
      </c>
      <c r="W219" s="260" t="s">
        <v>418</v>
      </c>
      <c r="X219" s="260" t="s">
        <v>418</v>
      </c>
      <c r="Y219" s="260" t="s">
        <v>418</v>
      </c>
      <c r="Z219" s="260" t="s">
        <v>418</v>
      </c>
      <c r="AA219" s="261" t="s">
        <v>418</v>
      </c>
      <c r="AB219" s="261" t="s">
        <v>418</v>
      </c>
      <c r="AC219" s="261" t="s">
        <v>418</v>
      </c>
      <c r="AD219" s="261" t="s">
        <v>418</v>
      </c>
      <c r="AE219" s="261" t="s">
        <v>418</v>
      </c>
      <c r="AF219" s="261" t="s">
        <v>418</v>
      </c>
      <c r="AG219" s="261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69">
        <f>'Project Materials'!$Q$28*4</f>
        <v>0</v>
      </c>
      <c r="AM219" s="111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88" t="s">
        <v>418</v>
      </c>
      <c r="G220" s="288" t="s">
        <v>418</v>
      </c>
      <c r="H220" s="288" t="s">
        <v>418</v>
      </c>
      <c r="I220" s="288" t="s">
        <v>418</v>
      </c>
      <c r="J220" s="288" t="s">
        <v>418</v>
      </c>
      <c r="K220" s="288" t="s">
        <v>418</v>
      </c>
      <c r="L220" s="288" t="s">
        <v>418</v>
      </c>
      <c r="M220" s="293" t="s">
        <v>418</v>
      </c>
      <c r="N220" s="293" t="s">
        <v>418</v>
      </c>
      <c r="O220" s="293" t="s">
        <v>418</v>
      </c>
      <c r="P220" s="293" t="s">
        <v>418</v>
      </c>
      <c r="Q220" s="293" t="s">
        <v>418</v>
      </c>
      <c r="R220" s="293" t="s">
        <v>418</v>
      </c>
      <c r="S220" s="293" t="s">
        <v>418</v>
      </c>
      <c r="T220" s="260" t="s">
        <v>418</v>
      </c>
      <c r="U220" s="260" t="s">
        <v>418</v>
      </c>
      <c r="V220" s="260" t="s">
        <v>418</v>
      </c>
      <c r="W220" s="260" t="s">
        <v>418</v>
      </c>
      <c r="X220" s="260" t="s">
        <v>418</v>
      </c>
      <c r="Y220" s="260" t="s">
        <v>418</v>
      </c>
      <c r="Z220" s="260" t="s">
        <v>418</v>
      </c>
      <c r="AA220" s="261" t="s">
        <v>418</v>
      </c>
      <c r="AB220" s="261" t="s">
        <v>418</v>
      </c>
      <c r="AC220" s="261" t="s">
        <v>418</v>
      </c>
      <c r="AD220" s="261" t="s">
        <v>418</v>
      </c>
      <c r="AE220" s="261" t="s">
        <v>418</v>
      </c>
      <c r="AF220" s="261" t="s">
        <v>418</v>
      </c>
      <c r="AG220" s="261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69">
        <f>'Project Materials'!$Q$28*4</f>
        <v>0</v>
      </c>
      <c r="AM220" s="111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88" t="s">
        <v>418</v>
      </c>
      <c r="G221" s="288" t="s">
        <v>418</v>
      </c>
      <c r="H221" s="288" t="s">
        <v>418</v>
      </c>
      <c r="I221" s="288" t="s">
        <v>418</v>
      </c>
      <c r="J221" s="288" t="s">
        <v>418</v>
      </c>
      <c r="K221" s="288" t="s">
        <v>418</v>
      </c>
      <c r="L221" s="288" t="s">
        <v>418</v>
      </c>
      <c r="M221" s="293" t="s">
        <v>418</v>
      </c>
      <c r="N221" s="293" t="s">
        <v>418</v>
      </c>
      <c r="O221" s="293" t="s">
        <v>418</v>
      </c>
      <c r="P221" s="293" t="s">
        <v>418</v>
      </c>
      <c r="Q221" s="293" t="s">
        <v>418</v>
      </c>
      <c r="R221" s="293" t="s">
        <v>418</v>
      </c>
      <c r="S221" s="293" t="s">
        <v>418</v>
      </c>
      <c r="T221" s="260" t="s">
        <v>418</v>
      </c>
      <c r="U221" s="260" t="s">
        <v>418</v>
      </c>
      <c r="V221" s="260" t="s">
        <v>418</v>
      </c>
      <c r="W221" s="260" t="s">
        <v>418</v>
      </c>
      <c r="X221" s="260" t="s">
        <v>418</v>
      </c>
      <c r="Y221" s="260" t="s">
        <v>418</v>
      </c>
      <c r="Z221" s="260" t="s">
        <v>418</v>
      </c>
      <c r="AA221" s="261" t="s">
        <v>418</v>
      </c>
      <c r="AB221" s="261" t="s">
        <v>418</v>
      </c>
      <c r="AC221" s="261" t="s">
        <v>418</v>
      </c>
      <c r="AD221" s="261" t="s">
        <v>418</v>
      </c>
      <c r="AE221" s="261" t="s">
        <v>418</v>
      </c>
      <c r="AF221" s="261" t="s">
        <v>418</v>
      </c>
      <c r="AG221" s="261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69">
        <f>'Project Materials'!$Q$28*4</f>
        <v>0</v>
      </c>
      <c r="AM221" s="111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88" t="s">
        <v>418</v>
      </c>
      <c r="G222" s="288" t="s">
        <v>418</v>
      </c>
      <c r="H222" s="288" t="s">
        <v>418</v>
      </c>
      <c r="I222" s="288" t="s">
        <v>418</v>
      </c>
      <c r="J222" s="288" t="s">
        <v>418</v>
      </c>
      <c r="K222" s="288" t="s">
        <v>418</v>
      </c>
      <c r="L222" s="288" t="s">
        <v>418</v>
      </c>
      <c r="M222" s="293" t="s">
        <v>418</v>
      </c>
      <c r="N222" s="293" t="s">
        <v>418</v>
      </c>
      <c r="O222" s="293" t="s">
        <v>418</v>
      </c>
      <c r="P222" s="293" t="s">
        <v>418</v>
      </c>
      <c r="Q222" s="293" t="s">
        <v>418</v>
      </c>
      <c r="R222" s="293" t="s">
        <v>418</v>
      </c>
      <c r="S222" s="293" t="s">
        <v>418</v>
      </c>
      <c r="T222" s="260" t="s">
        <v>418</v>
      </c>
      <c r="U222" s="260" t="s">
        <v>418</v>
      </c>
      <c r="V222" s="260" t="s">
        <v>418</v>
      </c>
      <c r="W222" s="260" t="s">
        <v>418</v>
      </c>
      <c r="X222" s="260" t="s">
        <v>418</v>
      </c>
      <c r="Y222" s="260" t="s">
        <v>418</v>
      </c>
      <c r="Z222" s="260" t="s">
        <v>418</v>
      </c>
      <c r="AA222" s="261" t="s">
        <v>418</v>
      </c>
      <c r="AB222" s="261" t="s">
        <v>418</v>
      </c>
      <c r="AC222" s="261" t="s">
        <v>418</v>
      </c>
      <c r="AD222" s="261" t="s">
        <v>418</v>
      </c>
      <c r="AE222" s="261" t="s">
        <v>418</v>
      </c>
      <c r="AF222" s="261" t="s">
        <v>418</v>
      </c>
      <c r="AG222" s="261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69">
        <f>'Project Materials'!$Q$28*4</f>
        <v>0</v>
      </c>
      <c r="AM222" s="111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88" t="s">
        <v>418</v>
      </c>
      <c r="G223" s="288" t="s">
        <v>418</v>
      </c>
      <c r="H223" s="288" t="s">
        <v>418</v>
      </c>
      <c r="I223" s="288" t="s">
        <v>418</v>
      </c>
      <c r="J223" s="288" t="s">
        <v>418</v>
      </c>
      <c r="K223" s="288" t="s">
        <v>418</v>
      </c>
      <c r="L223" s="288" t="s">
        <v>418</v>
      </c>
      <c r="M223" s="293" t="s">
        <v>418</v>
      </c>
      <c r="N223" s="293" t="s">
        <v>418</v>
      </c>
      <c r="O223" s="293" t="s">
        <v>418</v>
      </c>
      <c r="P223" s="293" t="s">
        <v>418</v>
      </c>
      <c r="Q223" s="293" t="s">
        <v>418</v>
      </c>
      <c r="R223" s="293" t="s">
        <v>418</v>
      </c>
      <c r="S223" s="293" t="s">
        <v>418</v>
      </c>
      <c r="T223" s="260" t="s">
        <v>418</v>
      </c>
      <c r="U223" s="260" t="s">
        <v>418</v>
      </c>
      <c r="V223" s="260" t="s">
        <v>418</v>
      </c>
      <c r="W223" s="260" t="s">
        <v>418</v>
      </c>
      <c r="X223" s="260" t="s">
        <v>418</v>
      </c>
      <c r="Y223" s="260" t="s">
        <v>418</v>
      </c>
      <c r="Z223" s="260" t="s">
        <v>418</v>
      </c>
      <c r="AA223" s="261" t="s">
        <v>418</v>
      </c>
      <c r="AB223" s="261" t="s">
        <v>418</v>
      </c>
      <c r="AC223" s="261" t="s">
        <v>418</v>
      </c>
      <c r="AD223" s="261" t="s">
        <v>418</v>
      </c>
      <c r="AE223" s="261" t="s">
        <v>418</v>
      </c>
      <c r="AF223" s="261" t="s">
        <v>418</v>
      </c>
      <c r="AG223" s="261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69">
        <f>'Project Materials'!$Q$28*4</f>
        <v>0</v>
      </c>
      <c r="AM223" s="111">
        <v>4</v>
      </c>
    </row>
    <row r="224" spans="1:40" s="109" customFormat="1" x14ac:dyDescent="0.4">
      <c r="A224" s="61" t="s">
        <v>7</v>
      </c>
      <c r="B224" s="112" t="s">
        <v>691</v>
      </c>
      <c r="C224" s="112" t="s">
        <v>692</v>
      </c>
      <c r="D224" s="12"/>
      <c r="E224" s="4">
        <v>2.1</v>
      </c>
      <c r="F224" s="288" t="s">
        <v>418</v>
      </c>
      <c r="G224" s="288" t="s">
        <v>418</v>
      </c>
      <c r="H224" s="288" t="s">
        <v>418</v>
      </c>
      <c r="I224" s="288" t="s">
        <v>418</v>
      </c>
      <c r="J224" s="288" t="s">
        <v>418</v>
      </c>
      <c r="K224" s="288" t="s">
        <v>418</v>
      </c>
      <c r="L224" s="288" t="s">
        <v>418</v>
      </c>
      <c r="M224" s="293" t="s">
        <v>418</v>
      </c>
      <c r="N224" s="293" t="s">
        <v>418</v>
      </c>
      <c r="O224" s="293" t="s">
        <v>418</v>
      </c>
      <c r="P224" s="293" t="s">
        <v>418</v>
      </c>
      <c r="Q224" s="293" t="s">
        <v>418</v>
      </c>
      <c r="R224" s="293" t="s">
        <v>418</v>
      </c>
      <c r="S224" s="293" t="s">
        <v>418</v>
      </c>
      <c r="T224" s="260" t="s">
        <v>418</v>
      </c>
      <c r="U224" s="260" t="s">
        <v>418</v>
      </c>
      <c r="V224" s="260" t="s">
        <v>418</v>
      </c>
      <c r="W224" s="260" t="s">
        <v>418</v>
      </c>
      <c r="X224" s="260" t="s">
        <v>418</v>
      </c>
      <c r="Y224" s="260" t="s">
        <v>418</v>
      </c>
      <c r="Z224" s="260" t="s">
        <v>418</v>
      </c>
      <c r="AA224" s="261" t="s">
        <v>418</v>
      </c>
      <c r="AB224" s="261" t="s">
        <v>418</v>
      </c>
      <c r="AC224" s="261" t="s">
        <v>418</v>
      </c>
      <c r="AD224" s="261" t="s">
        <v>418</v>
      </c>
      <c r="AE224" s="261" t="s">
        <v>418</v>
      </c>
      <c r="AF224" s="261" t="s">
        <v>418</v>
      </c>
      <c r="AG224" s="261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69">
        <f>'Project Materials'!$Q$28*4</f>
        <v>0</v>
      </c>
      <c r="AL224" s="111"/>
      <c r="AM224" s="111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88" t="s">
        <v>418</v>
      </c>
      <c r="G225" s="288" t="s">
        <v>418</v>
      </c>
      <c r="H225" s="288" t="s">
        <v>418</v>
      </c>
      <c r="I225" s="288" t="s">
        <v>418</v>
      </c>
      <c r="J225" s="288" t="s">
        <v>418</v>
      </c>
      <c r="K225" s="288" t="s">
        <v>418</v>
      </c>
      <c r="L225" s="288" t="s">
        <v>418</v>
      </c>
      <c r="M225" s="293" t="s">
        <v>418</v>
      </c>
      <c r="N225" s="293" t="s">
        <v>418</v>
      </c>
      <c r="O225" s="293" t="s">
        <v>418</v>
      </c>
      <c r="P225" s="293" t="s">
        <v>418</v>
      </c>
      <c r="Q225" s="293" t="s">
        <v>418</v>
      </c>
      <c r="R225" s="293" t="s">
        <v>418</v>
      </c>
      <c r="S225" s="293" t="s">
        <v>418</v>
      </c>
      <c r="T225" s="260" t="s">
        <v>418</v>
      </c>
      <c r="U225" s="260" t="s">
        <v>418</v>
      </c>
      <c r="V225" s="260" t="s">
        <v>418</v>
      </c>
      <c r="W225" s="260" t="s">
        <v>418</v>
      </c>
      <c r="X225" s="260" t="s">
        <v>418</v>
      </c>
      <c r="Y225" s="260" t="s">
        <v>418</v>
      </c>
      <c r="Z225" s="260" t="s">
        <v>418</v>
      </c>
      <c r="AA225" s="261" t="s">
        <v>418</v>
      </c>
      <c r="AB225" s="261" t="s">
        <v>418</v>
      </c>
      <c r="AC225" s="261" t="s">
        <v>418</v>
      </c>
      <c r="AD225" s="261" t="s">
        <v>418</v>
      </c>
      <c r="AE225" s="261" t="s">
        <v>418</v>
      </c>
      <c r="AF225" s="261" t="s">
        <v>418</v>
      </c>
      <c r="AG225" s="261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69">
        <f>'Project Materials'!$Q$28*4</f>
        <v>0</v>
      </c>
      <c r="AM225" s="111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88" t="s">
        <v>418</v>
      </c>
      <c r="G226" s="288" t="s">
        <v>418</v>
      </c>
      <c r="H226" s="288" t="s">
        <v>418</v>
      </c>
      <c r="I226" s="288" t="s">
        <v>418</v>
      </c>
      <c r="J226" s="288" t="s">
        <v>418</v>
      </c>
      <c r="K226" s="288" t="s">
        <v>418</v>
      </c>
      <c r="L226" s="288" t="s">
        <v>418</v>
      </c>
      <c r="M226" s="293" t="s">
        <v>418</v>
      </c>
      <c r="N226" s="293" t="s">
        <v>418</v>
      </c>
      <c r="O226" s="293" t="s">
        <v>418</v>
      </c>
      <c r="P226" s="293" t="s">
        <v>418</v>
      </c>
      <c r="Q226" s="293" t="s">
        <v>418</v>
      </c>
      <c r="R226" s="293" t="s">
        <v>418</v>
      </c>
      <c r="S226" s="293" t="s">
        <v>418</v>
      </c>
      <c r="T226" s="260" t="s">
        <v>418</v>
      </c>
      <c r="U226" s="260" t="s">
        <v>418</v>
      </c>
      <c r="V226" s="260" t="s">
        <v>418</v>
      </c>
      <c r="W226" s="260" t="s">
        <v>418</v>
      </c>
      <c r="X226" s="260" t="s">
        <v>418</v>
      </c>
      <c r="Y226" s="260" t="s">
        <v>418</v>
      </c>
      <c r="Z226" s="260" t="s">
        <v>418</v>
      </c>
      <c r="AA226" s="261" t="s">
        <v>418</v>
      </c>
      <c r="AB226" s="261" t="s">
        <v>418</v>
      </c>
      <c r="AC226" s="261" t="s">
        <v>418</v>
      </c>
      <c r="AD226" s="261" t="s">
        <v>418</v>
      </c>
      <c r="AE226" s="261" t="s">
        <v>418</v>
      </c>
      <c r="AF226" s="261" t="s">
        <v>418</v>
      </c>
      <c r="AG226" s="261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69">
        <f>'Project Materials'!$Q$28*4</f>
        <v>0</v>
      </c>
      <c r="AM226" s="111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88" t="s">
        <v>418</v>
      </c>
      <c r="G227" s="288" t="s">
        <v>418</v>
      </c>
      <c r="H227" s="288" t="s">
        <v>418</v>
      </c>
      <c r="I227" s="288" t="s">
        <v>418</v>
      </c>
      <c r="J227" s="288" t="s">
        <v>418</v>
      </c>
      <c r="K227" s="288" t="s">
        <v>418</v>
      </c>
      <c r="L227" s="288" t="s">
        <v>418</v>
      </c>
      <c r="M227" s="293" t="s">
        <v>418</v>
      </c>
      <c r="N227" s="293" t="s">
        <v>418</v>
      </c>
      <c r="O227" s="293" t="s">
        <v>418</v>
      </c>
      <c r="P227" s="293" t="s">
        <v>418</v>
      </c>
      <c r="Q227" s="293" t="s">
        <v>418</v>
      </c>
      <c r="R227" s="293" t="s">
        <v>418</v>
      </c>
      <c r="S227" s="293" t="s">
        <v>418</v>
      </c>
      <c r="T227" s="260" t="s">
        <v>418</v>
      </c>
      <c r="U227" s="260" t="s">
        <v>418</v>
      </c>
      <c r="V227" s="260" t="s">
        <v>418</v>
      </c>
      <c r="W227" s="260" t="s">
        <v>418</v>
      </c>
      <c r="X227" s="260" t="s">
        <v>418</v>
      </c>
      <c r="Y227" s="260" t="s">
        <v>418</v>
      </c>
      <c r="Z227" s="260" t="s">
        <v>418</v>
      </c>
      <c r="AA227" s="261" t="s">
        <v>418</v>
      </c>
      <c r="AB227" s="261" t="s">
        <v>418</v>
      </c>
      <c r="AC227" s="261" t="s">
        <v>418</v>
      </c>
      <c r="AD227" s="261" t="s">
        <v>418</v>
      </c>
      <c r="AE227" s="261" t="s">
        <v>418</v>
      </c>
      <c r="AF227" s="261" t="s">
        <v>418</v>
      </c>
      <c r="AG227" s="261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69">
        <f>'Project Materials'!$Q$28*4</f>
        <v>0</v>
      </c>
      <c r="AM227" s="111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88" t="s">
        <v>418</v>
      </c>
      <c r="G228" s="288" t="s">
        <v>418</v>
      </c>
      <c r="H228" s="288" t="s">
        <v>418</v>
      </c>
      <c r="I228" s="288" t="s">
        <v>418</v>
      </c>
      <c r="J228" s="288" t="s">
        <v>418</v>
      </c>
      <c r="K228" s="288" t="s">
        <v>418</v>
      </c>
      <c r="L228" s="288" t="s">
        <v>418</v>
      </c>
      <c r="M228" s="293" t="s">
        <v>418</v>
      </c>
      <c r="N228" s="293" t="s">
        <v>418</v>
      </c>
      <c r="O228" s="293" t="s">
        <v>418</v>
      </c>
      <c r="P228" s="293" t="s">
        <v>418</v>
      </c>
      <c r="Q228" s="293" t="s">
        <v>418</v>
      </c>
      <c r="R228" s="293" t="s">
        <v>418</v>
      </c>
      <c r="S228" s="293" t="s">
        <v>418</v>
      </c>
      <c r="T228" s="260" t="s">
        <v>418</v>
      </c>
      <c r="U228" s="260" t="s">
        <v>418</v>
      </c>
      <c r="V228" s="260" t="s">
        <v>418</v>
      </c>
      <c r="W228" s="260" t="s">
        <v>418</v>
      </c>
      <c r="X228" s="260" t="s">
        <v>418</v>
      </c>
      <c r="Y228" s="260" t="s">
        <v>418</v>
      </c>
      <c r="Z228" s="260" t="s">
        <v>418</v>
      </c>
      <c r="AA228" s="261" t="s">
        <v>418</v>
      </c>
      <c r="AB228" s="261" t="s">
        <v>418</v>
      </c>
      <c r="AC228" s="261" t="s">
        <v>418</v>
      </c>
      <c r="AD228" s="261" t="s">
        <v>418</v>
      </c>
      <c r="AE228" s="261" t="s">
        <v>418</v>
      </c>
      <c r="AF228" s="261" t="s">
        <v>418</v>
      </c>
      <c r="AG228" s="261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69">
        <f>'Project Materials'!$Q$28*4</f>
        <v>0</v>
      </c>
      <c r="AM228" s="111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88" t="s">
        <v>418</v>
      </c>
      <c r="G229" s="288" t="s">
        <v>418</v>
      </c>
      <c r="H229" s="288" t="s">
        <v>418</v>
      </c>
      <c r="I229" s="288" t="s">
        <v>418</v>
      </c>
      <c r="J229" s="288" t="s">
        <v>418</v>
      </c>
      <c r="K229" s="288" t="s">
        <v>418</v>
      </c>
      <c r="L229" s="288" t="s">
        <v>418</v>
      </c>
      <c r="M229" s="293" t="s">
        <v>418</v>
      </c>
      <c r="N229" s="293" t="s">
        <v>418</v>
      </c>
      <c r="O229" s="293" t="s">
        <v>418</v>
      </c>
      <c r="P229" s="293" t="s">
        <v>418</v>
      </c>
      <c r="Q229" s="293" t="s">
        <v>418</v>
      </c>
      <c r="R229" s="293" t="s">
        <v>418</v>
      </c>
      <c r="S229" s="293" t="s">
        <v>418</v>
      </c>
      <c r="T229" s="260" t="s">
        <v>418</v>
      </c>
      <c r="U229" s="260" t="s">
        <v>418</v>
      </c>
      <c r="V229" s="260" t="s">
        <v>418</v>
      </c>
      <c r="W229" s="260" t="s">
        <v>418</v>
      </c>
      <c r="X229" s="260" t="s">
        <v>418</v>
      </c>
      <c r="Y229" s="260" t="s">
        <v>418</v>
      </c>
      <c r="Z229" s="260" t="s">
        <v>418</v>
      </c>
      <c r="AA229" s="261" t="s">
        <v>418</v>
      </c>
      <c r="AB229" s="261" t="s">
        <v>418</v>
      </c>
      <c r="AC229" s="261" t="s">
        <v>418</v>
      </c>
      <c r="AD229" s="261" t="s">
        <v>418</v>
      </c>
      <c r="AE229" s="261" t="s">
        <v>418</v>
      </c>
      <c r="AF229" s="261" t="s">
        <v>418</v>
      </c>
      <c r="AG229" s="261" t="s">
        <v>418</v>
      </c>
      <c r="AH229" s="30">
        <f>((2*'Project Materials'!$Q$25)-(1*'Project Materials'!$K$25))*4</f>
        <v>0</v>
      </c>
      <c r="AI229" s="27">
        <f>((2*'Project Materials'!$Q$26)-(1*'Project Materials'!$K$26))*4</f>
        <v>0</v>
      </c>
      <c r="AJ229" s="28">
        <f>((2*'Project Materials'!$Q$27)-(1*'Project Materials'!$K$27))*4</f>
        <v>0</v>
      </c>
      <c r="AK229" s="269">
        <f>((2*'Project Materials'!$Q$28)-(1*'Project Materials'!$K$28))*4</f>
        <v>0</v>
      </c>
      <c r="AM229" s="111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88" t="s">
        <v>418</v>
      </c>
      <c r="G230" s="288" t="s">
        <v>418</v>
      </c>
      <c r="H230" s="288" t="s">
        <v>418</v>
      </c>
      <c r="I230" s="288" t="s">
        <v>418</v>
      </c>
      <c r="J230" s="288" t="s">
        <v>418</v>
      </c>
      <c r="K230" s="288" t="s">
        <v>418</v>
      </c>
      <c r="L230" s="288" t="s">
        <v>418</v>
      </c>
      <c r="M230" s="293" t="s">
        <v>418</v>
      </c>
      <c r="N230" s="293" t="s">
        <v>418</v>
      </c>
      <c r="O230" s="293" t="s">
        <v>418</v>
      </c>
      <c r="P230" s="293" t="s">
        <v>418</v>
      </c>
      <c r="Q230" s="293" t="s">
        <v>418</v>
      </c>
      <c r="R230" s="293" t="s">
        <v>418</v>
      </c>
      <c r="S230" s="293" t="s">
        <v>418</v>
      </c>
      <c r="T230" s="260" t="s">
        <v>418</v>
      </c>
      <c r="U230" s="260" t="s">
        <v>418</v>
      </c>
      <c r="V230" s="260" t="s">
        <v>418</v>
      </c>
      <c r="W230" s="260" t="s">
        <v>418</v>
      </c>
      <c r="X230" s="260" t="s">
        <v>418</v>
      </c>
      <c r="Y230" s="260" t="s">
        <v>418</v>
      </c>
      <c r="Z230" s="260" t="s">
        <v>418</v>
      </c>
      <c r="AA230" s="261" t="s">
        <v>418</v>
      </c>
      <c r="AB230" s="261" t="s">
        <v>418</v>
      </c>
      <c r="AC230" s="261" t="s">
        <v>418</v>
      </c>
      <c r="AD230" s="261" t="s">
        <v>418</v>
      </c>
      <c r="AE230" s="261" t="s">
        <v>418</v>
      </c>
      <c r="AF230" s="261" t="s">
        <v>418</v>
      </c>
      <c r="AG230" s="261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88" t="s">
        <v>418</v>
      </c>
      <c r="G231" s="288" t="s">
        <v>418</v>
      </c>
      <c r="H231" s="288" t="s">
        <v>418</v>
      </c>
      <c r="I231" s="288" t="s">
        <v>418</v>
      </c>
      <c r="J231" s="288" t="s">
        <v>418</v>
      </c>
      <c r="K231" s="288" t="s">
        <v>418</v>
      </c>
      <c r="L231" s="288" t="s">
        <v>418</v>
      </c>
      <c r="M231" s="293" t="s">
        <v>418</v>
      </c>
      <c r="N231" s="293" t="s">
        <v>418</v>
      </c>
      <c r="O231" s="293" t="s">
        <v>418</v>
      </c>
      <c r="P231" s="293" t="s">
        <v>418</v>
      </c>
      <c r="Q231" s="293" t="s">
        <v>418</v>
      </c>
      <c r="R231" s="293" t="s">
        <v>418</v>
      </c>
      <c r="S231" s="293" t="s">
        <v>418</v>
      </c>
      <c r="T231" s="260" t="s">
        <v>418</v>
      </c>
      <c r="U231" s="260" t="s">
        <v>418</v>
      </c>
      <c r="V231" s="260" t="s">
        <v>418</v>
      </c>
      <c r="W231" s="260" t="s">
        <v>418</v>
      </c>
      <c r="X231" s="260" t="s">
        <v>418</v>
      </c>
      <c r="Y231" s="260" t="s">
        <v>418</v>
      </c>
      <c r="Z231" s="260" t="s">
        <v>418</v>
      </c>
      <c r="AA231" s="261" t="s">
        <v>418</v>
      </c>
      <c r="AB231" s="261" t="s">
        <v>418</v>
      </c>
      <c r="AC231" s="261" t="s">
        <v>418</v>
      </c>
      <c r="AD231" s="261" t="s">
        <v>418</v>
      </c>
      <c r="AE231" s="261" t="s">
        <v>418</v>
      </c>
      <c r="AF231" s="261" t="s">
        <v>418</v>
      </c>
      <c r="AG231" s="261" t="s">
        <v>418</v>
      </c>
      <c r="AH231" s="30">
        <f>'Project Materials'!$Q$25*5</f>
        <v>0</v>
      </c>
      <c r="AI231" s="27">
        <f>'Project Materials'!$Q$26*5</f>
        <v>0</v>
      </c>
      <c r="AJ231" s="28">
        <f>'Project Materials'!$Q$27*5</f>
        <v>0</v>
      </c>
      <c r="AK231" s="269">
        <f>'Project Materials'!$Q$28*5</f>
        <v>0</v>
      </c>
      <c r="AM231" s="111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88" t="s">
        <v>418</v>
      </c>
      <c r="G232" s="288" t="s">
        <v>418</v>
      </c>
      <c r="H232" s="288" t="s">
        <v>418</v>
      </c>
      <c r="I232" s="288" t="s">
        <v>418</v>
      </c>
      <c r="J232" s="288" t="s">
        <v>418</v>
      </c>
      <c r="K232" s="288" t="s">
        <v>418</v>
      </c>
      <c r="L232" s="288" t="s">
        <v>418</v>
      </c>
      <c r="M232" s="293" t="s">
        <v>418</v>
      </c>
      <c r="N232" s="293" t="s">
        <v>418</v>
      </c>
      <c r="O232" s="293" t="s">
        <v>418</v>
      </c>
      <c r="P232" s="293" t="s">
        <v>418</v>
      </c>
      <c r="Q232" s="293" t="s">
        <v>418</v>
      </c>
      <c r="R232" s="293" t="s">
        <v>418</v>
      </c>
      <c r="S232" s="293" t="s">
        <v>418</v>
      </c>
      <c r="T232" s="260" t="s">
        <v>418</v>
      </c>
      <c r="U232" s="260" t="s">
        <v>418</v>
      </c>
      <c r="V232" s="260" t="s">
        <v>418</v>
      </c>
      <c r="W232" s="260" t="s">
        <v>418</v>
      </c>
      <c r="X232" s="260" t="s">
        <v>418</v>
      </c>
      <c r="Y232" s="260" t="s">
        <v>418</v>
      </c>
      <c r="Z232" s="260" t="s">
        <v>418</v>
      </c>
      <c r="AA232" s="261" t="s">
        <v>418</v>
      </c>
      <c r="AB232" s="261" t="s">
        <v>418</v>
      </c>
      <c r="AC232" s="261" t="s">
        <v>418</v>
      </c>
      <c r="AD232" s="261" t="s">
        <v>418</v>
      </c>
      <c r="AE232" s="261" t="s">
        <v>418</v>
      </c>
      <c r="AF232" s="261" t="s">
        <v>418</v>
      </c>
      <c r="AG232" s="261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69">
        <f>'Project Materials'!$Q$28*5</f>
        <v>0</v>
      </c>
      <c r="AM232" s="111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88" t="s">
        <v>418</v>
      </c>
      <c r="G233" s="288" t="s">
        <v>418</v>
      </c>
      <c r="H233" s="288" t="s">
        <v>418</v>
      </c>
      <c r="I233" s="288" t="s">
        <v>418</v>
      </c>
      <c r="J233" s="288" t="s">
        <v>418</v>
      </c>
      <c r="K233" s="288" t="s">
        <v>418</v>
      </c>
      <c r="L233" s="288" t="s">
        <v>418</v>
      </c>
      <c r="M233" s="293" t="s">
        <v>418</v>
      </c>
      <c r="N233" s="293" t="s">
        <v>418</v>
      </c>
      <c r="O233" s="293" t="s">
        <v>418</v>
      </c>
      <c r="P233" s="293" t="s">
        <v>418</v>
      </c>
      <c r="Q233" s="293" t="s">
        <v>418</v>
      </c>
      <c r="R233" s="293" t="s">
        <v>418</v>
      </c>
      <c r="S233" s="293" t="s">
        <v>418</v>
      </c>
      <c r="T233" s="260" t="s">
        <v>418</v>
      </c>
      <c r="U233" s="260" t="s">
        <v>418</v>
      </c>
      <c r="V233" s="260" t="s">
        <v>418</v>
      </c>
      <c r="W233" s="260" t="s">
        <v>418</v>
      </c>
      <c r="X233" s="260" t="s">
        <v>418</v>
      </c>
      <c r="Y233" s="260" t="s">
        <v>418</v>
      </c>
      <c r="Z233" s="260" t="s">
        <v>418</v>
      </c>
      <c r="AA233" s="261" t="s">
        <v>418</v>
      </c>
      <c r="AB233" s="261" t="s">
        <v>418</v>
      </c>
      <c r="AC233" s="261" t="s">
        <v>418</v>
      </c>
      <c r="AD233" s="261" t="s">
        <v>418</v>
      </c>
      <c r="AE233" s="261" t="s">
        <v>418</v>
      </c>
      <c r="AF233" s="261" t="s">
        <v>418</v>
      </c>
      <c r="AG233" s="261" t="s">
        <v>418</v>
      </c>
      <c r="AH233" s="30">
        <f>'Project Materials'!$Q$25*4</f>
        <v>0</v>
      </c>
      <c r="AI233" s="27">
        <f>'Project Materials'!$Q$26*4</f>
        <v>0</v>
      </c>
      <c r="AJ233" s="28">
        <f>'Project Materials'!$Q$27*4</f>
        <v>0</v>
      </c>
      <c r="AK233" s="269">
        <f>'Project Materials'!$Q$28*5</f>
        <v>0</v>
      </c>
      <c r="AM233" s="111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88" t="s">
        <v>418</v>
      </c>
      <c r="G234" s="288" t="s">
        <v>418</v>
      </c>
      <c r="H234" s="288" t="s">
        <v>418</v>
      </c>
      <c r="I234" s="288" t="s">
        <v>418</v>
      </c>
      <c r="J234" s="288" t="s">
        <v>418</v>
      </c>
      <c r="K234" s="288" t="s">
        <v>418</v>
      </c>
      <c r="L234" s="288" t="s">
        <v>418</v>
      </c>
      <c r="M234" s="293" t="s">
        <v>418</v>
      </c>
      <c r="N234" s="293" t="s">
        <v>418</v>
      </c>
      <c r="O234" s="293" t="s">
        <v>418</v>
      </c>
      <c r="P234" s="293" t="s">
        <v>418</v>
      </c>
      <c r="Q234" s="293" t="s">
        <v>418</v>
      </c>
      <c r="R234" s="293" t="s">
        <v>418</v>
      </c>
      <c r="S234" s="293" t="s">
        <v>418</v>
      </c>
      <c r="T234" s="260" t="s">
        <v>418</v>
      </c>
      <c r="U234" s="260" t="s">
        <v>418</v>
      </c>
      <c r="V234" s="260" t="s">
        <v>418</v>
      </c>
      <c r="W234" s="260" t="s">
        <v>418</v>
      </c>
      <c r="X234" s="260" t="s">
        <v>418</v>
      </c>
      <c r="Y234" s="260" t="s">
        <v>418</v>
      </c>
      <c r="Z234" s="260" t="s">
        <v>418</v>
      </c>
      <c r="AA234" s="261" t="s">
        <v>418</v>
      </c>
      <c r="AB234" s="261" t="s">
        <v>418</v>
      </c>
      <c r="AC234" s="261" t="s">
        <v>418</v>
      </c>
      <c r="AD234" s="261" t="s">
        <v>418</v>
      </c>
      <c r="AE234" s="261" t="s">
        <v>418</v>
      </c>
      <c r="AF234" s="261" t="s">
        <v>418</v>
      </c>
      <c r="AG234" s="261" t="s">
        <v>418</v>
      </c>
      <c r="AH234" s="30">
        <f>'Project Materials'!$Q$25*5</f>
        <v>0</v>
      </c>
      <c r="AI234" s="27">
        <f>'Project Materials'!$Q$26*5</f>
        <v>0</v>
      </c>
      <c r="AJ234" s="28">
        <f>'Project Materials'!$Q$27*5</f>
        <v>0</v>
      </c>
      <c r="AK234" s="269">
        <f>'Project Materials'!$Q$28*5</f>
        <v>0</v>
      </c>
      <c r="AM234" s="111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88" t="s">
        <v>418</v>
      </c>
      <c r="G235" s="288" t="s">
        <v>418</v>
      </c>
      <c r="H235" s="288" t="s">
        <v>418</v>
      </c>
      <c r="I235" s="288" t="s">
        <v>418</v>
      </c>
      <c r="J235" s="288" t="s">
        <v>418</v>
      </c>
      <c r="K235" s="288" t="s">
        <v>418</v>
      </c>
      <c r="L235" s="288" t="s">
        <v>418</v>
      </c>
      <c r="M235" s="293" t="s">
        <v>418</v>
      </c>
      <c r="N235" s="293" t="s">
        <v>418</v>
      </c>
      <c r="O235" s="293" t="s">
        <v>418</v>
      </c>
      <c r="P235" s="293" t="s">
        <v>418</v>
      </c>
      <c r="Q235" s="293" t="s">
        <v>418</v>
      </c>
      <c r="R235" s="293" t="s">
        <v>418</v>
      </c>
      <c r="S235" s="293" t="s">
        <v>418</v>
      </c>
      <c r="T235" s="260" t="s">
        <v>418</v>
      </c>
      <c r="U235" s="260" t="s">
        <v>418</v>
      </c>
      <c r="V235" s="260" t="s">
        <v>418</v>
      </c>
      <c r="W235" s="260" t="s">
        <v>418</v>
      </c>
      <c r="X235" s="260" t="s">
        <v>418</v>
      </c>
      <c r="Y235" s="260" t="s">
        <v>418</v>
      </c>
      <c r="Z235" s="260" t="s">
        <v>418</v>
      </c>
      <c r="AA235" s="261" t="s">
        <v>418</v>
      </c>
      <c r="AB235" s="261" t="s">
        <v>418</v>
      </c>
      <c r="AC235" s="261" t="s">
        <v>418</v>
      </c>
      <c r="AD235" s="261" t="s">
        <v>418</v>
      </c>
      <c r="AE235" s="261" t="s">
        <v>418</v>
      </c>
      <c r="AF235" s="261" t="s">
        <v>418</v>
      </c>
      <c r="AG235" s="261" t="s">
        <v>418</v>
      </c>
      <c r="AH235" s="30">
        <f>'Project Materials'!$Q$25*2</f>
        <v>0</v>
      </c>
      <c r="AI235" s="27">
        <f>'Project Materials'!$Q$26*2</f>
        <v>0</v>
      </c>
      <c r="AJ235" s="28">
        <f>'Project Materials'!$Q$27*2</f>
        <v>0</v>
      </c>
      <c r="AK235" s="269">
        <f>'Project Materials'!$Q$28*2</f>
        <v>0</v>
      </c>
      <c r="AM235" s="111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88" t="s">
        <v>418</v>
      </c>
      <c r="G236" s="288" t="s">
        <v>418</v>
      </c>
      <c r="H236" s="288" t="s">
        <v>418</v>
      </c>
      <c r="I236" s="288" t="s">
        <v>418</v>
      </c>
      <c r="J236" s="288" t="s">
        <v>418</v>
      </c>
      <c r="K236" s="288" t="s">
        <v>418</v>
      </c>
      <c r="L236" s="288" t="s">
        <v>418</v>
      </c>
      <c r="M236" s="293" t="s">
        <v>418</v>
      </c>
      <c r="N236" s="293" t="s">
        <v>418</v>
      </c>
      <c r="O236" s="293" t="s">
        <v>418</v>
      </c>
      <c r="P236" s="293" t="s">
        <v>418</v>
      </c>
      <c r="Q236" s="293" t="s">
        <v>418</v>
      </c>
      <c r="R236" s="293" t="s">
        <v>418</v>
      </c>
      <c r="S236" s="293" t="s">
        <v>418</v>
      </c>
      <c r="T236" s="260" t="s">
        <v>418</v>
      </c>
      <c r="U236" s="260" t="s">
        <v>418</v>
      </c>
      <c r="V236" s="260" t="s">
        <v>418</v>
      </c>
      <c r="W236" s="260" t="s">
        <v>418</v>
      </c>
      <c r="X236" s="260" t="s">
        <v>418</v>
      </c>
      <c r="Y236" s="260" t="s">
        <v>418</v>
      </c>
      <c r="Z236" s="260" t="s">
        <v>418</v>
      </c>
      <c r="AA236" s="261" t="s">
        <v>418</v>
      </c>
      <c r="AB236" s="261" t="s">
        <v>418</v>
      </c>
      <c r="AC236" s="261" t="s">
        <v>418</v>
      </c>
      <c r="AD236" s="261" t="s">
        <v>418</v>
      </c>
      <c r="AE236" s="261" t="s">
        <v>418</v>
      </c>
      <c r="AF236" s="261" t="s">
        <v>418</v>
      </c>
      <c r="AG236" s="261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69">
        <f>'Project Materials'!$Q$28*2</f>
        <v>0</v>
      </c>
      <c r="AM236" s="111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88" t="s">
        <v>418</v>
      </c>
      <c r="G237" s="288" t="s">
        <v>418</v>
      </c>
      <c r="H237" s="288" t="s">
        <v>418</v>
      </c>
      <c r="I237" s="288" t="s">
        <v>418</v>
      </c>
      <c r="J237" s="288" t="s">
        <v>418</v>
      </c>
      <c r="K237" s="288" t="s">
        <v>418</v>
      </c>
      <c r="L237" s="288" t="s">
        <v>418</v>
      </c>
      <c r="M237" s="293" t="s">
        <v>418</v>
      </c>
      <c r="N237" s="293" t="s">
        <v>418</v>
      </c>
      <c r="O237" s="293" t="s">
        <v>418</v>
      </c>
      <c r="P237" s="293" t="s">
        <v>418</v>
      </c>
      <c r="Q237" s="293" t="s">
        <v>418</v>
      </c>
      <c r="R237" s="293" t="s">
        <v>418</v>
      </c>
      <c r="S237" s="293" t="s">
        <v>418</v>
      </c>
      <c r="T237" s="260" t="s">
        <v>418</v>
      </c>
      <c r="U237" s="260" t="s">
        <v>418</v>
      </c>
      <c r="V237" s="260" t="s">
        <v>418</v>
      </c>
      <c r="W237" s="260" t="s">
        <v>418</v>
      </c>
      <c r="X237" s="260" t="s">
        <v>418</v>
      </c>
      <c r="Y237" s="260" t="s">
        <v>418</v>
      </c>
      <c r="Z237" s="260" t="s">
        <v>418</v>
      </c>
      <c r="AA237" s="261" t="s">
        <v>418</v>
      </c>
      <c r="AB237" s="261" t="s">
        <v>418</v>
      </c>
      <c r="AC237" s="261" t="s">
        <v>418</v>
      </c>
      <c r="AD237" s="261" t="s">
        <v>418</v>
      </c>
      <c r="AE237" s="261" t="s">
        <v>418</v>
      </c>
      <c r="AF237" s="261" t="s">
        <v>418</v>
      </c>
      <c r="AG237" s="261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69">
        <f>'Project Materials'!$Q$28*2</f>
        <v>0</v>
      </c>
      <c r="AM237" s="111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88" t="s">
        <v>418</v>
      </c>
      <c r="G238" s="288" t="s">
        <v>418</v>
      </c>
      <c r="H238" s="288" t="s">
        <v>418</v>
      </c>
      <c r="I238" s="288" t="s">
        <v>418</v>
      </c>
      <c r="J238" s="288" t="s">
        <v>418</v>
      </c>
      <c r="K238" s="288" t="s">
        <v>418</v>
      </c>
      <c r="L238" s="288" t="s">
        <v>418</v>
      </c>
      <c r="M238" s="293" t="s">
        <v>418</v>
      </c>
      <c r="N238" s="293" t="s">
        <v>418</v>
      </c>
      <c r="O238" s="293" t="s">
        <v>418</v>
      </c>
      <c r="P238" s="293" t="s">
        <v>418</v>
      </c>
      <c r="Q238" s="293" t="s">
        <v>418</v>
      </c>
      <c r="R238" s="293" t="s">
        <v>418</v>
      </c>
      <c r="S238" s="293" t="s">
        <v>418</v>
      </c>
      <c r="T238" s="260" t="s">
        <v>418</v>
      </c>
      <c r="U238" s="260" t="s">
        <v>418</v>
      </c>
      <c r="V238" s="260" t="s">
        <v>418</v>
      </c>
      <c r="W238" s="260" t="s">
        <v>418</v>
      </c>
      <c r="X238" s="260" t="s">
        <v>418</v>
      </c>
      <c r="Y238" s="260" t="s">
        <v>418</v>
      </c>
      <c r="Z238" s="260" t="s">
        <v>418</v>
      </c>
      <c r="AA238" s="261" t="s">
        <v>418</v>
      </c>
      <c r="AB238" s="261" t="s">
        <v>418</v>
      </c>
      <c r="AC238" s="261" t="s">
        <v>418</v>
      </c>
      <c r="AD238" s="261" t="s">
        <v>418</v>
      </c>
      <c r="AE238" s="261" t="s">
        <v>418</v>
      </c>
      <c r="AF238" s="261" t="s">
        <v>418</v>
      </c>
      <c r="AG238" s="261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88" t="s">
        <v>418</v>
      </c>
      <c r="G239" s="288" t="s">
        <v>418</v>
      </c>
      <c r="H239" s="288" t="s">
        <v>418</v>
      </c>
      <c r="I239" s="288" t="s">
        <v>418</v>
      </c>
      <c r="J239" s="288" t="s">
        <v>418</v>
      </c>
      <c r="K239" s="288" t="s">
        <v>418</v>
      </c>
      <c r="L239" s="288" t="s">
        <v>418</v>
      </c>
      <c r="M239" s="293" t="s">
        <v>418</v>
      </c>
      <c r="N239" s="293" t="s">
        <v>418</v>
      </c>
      <c r="O239" s="293" t="s">
        <v>418</v>
      </c>
      <c r="P239" s="293" t="s">
        <v>418</v>
      </c>
      <c r="Q239" s="293" t="s">
        <v>418</v>
      </c>
      <c r="R239" s="293" t="s">
        <v>418</v>
      </c>
      <c r="S239" s="293" t="s">
        <v>418</v>
      </c>
      <c r="T239" s="260" t="s">
        <v>418</v>
      </c>
      <c r="U239" s="260" t="s">
        <v>418</v>
      </c>
      <c r="V239" s="260" t="s">
        <v>418</v>
      </c>
      <c r="W239" s="260" t="s">
        <v>418</v>
      </c>
      <c r="X239" s="260" t="s">
        <v>418</v>
      </c>
      <c r="Y239" s="260" t="s">
        <v>418</v>
      </c>
      <c r="Z239" s="260" t="s">
        <v>418</v>
      </c>
      <c r="AA239" s="261" t="s">
        <v>418</v>
      </c>
      <c r="AB239" s="261" t="s">
        <v>418</v>
      </c>
      <c r="AC239" s="261" t="s">
        <v>418</v>
      </c>
      <c r="AD239" s="261" t="s">
        <v>418</v>
      </c>
      <c r="AE239" s="261" t="s">
        <v>418</v>
      </c>
      <c r="AF239" s="261" t="s">
        <v>418</v>
      </c>
      <c r="AG239" s="261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88" t="s">
        <v>418</v>
      </c>
      <c r="G240" s="288" t="s">
        <v>418</v>
      </c>
      <c r="H240" s="288" t="s">
        <v>418</v>
      </c>
      <c r="I240" s="288" t="s">
        <v>418</v>
      </c>
      <c r="J240" s="288" t="s">
        <v>418</v>
      </c>
      <c r="K240" s="288" t="s">
        <v>418</v>
      </c>
      <c r="L240" s="288" t="s">
        <v>418</v>
      </c>
      <c r="M240" s="293" t="s">
        <v>418</v>
      </c>
      <c r="N240" s="293" t="s">
        <v>418</v>
      </c>
      <c r="O240" s="293" t="s">
        <v>418</v>
      </c>
      <c r="P240" s="293" t="s">
        <v>418</v>
      </c>
      <c r="Q240" s="293" t="s">
        <v>418</v>
      </c>
      <c r="R240" s="293" t="s">
        <v>418</v>
      </c>
      <c r="S240" s="293" t="s">
        <v>418</v>
      </c>
      <c r="T240" s="260" t="s">
        <v>418</v>
      </c>
      <c r="U240" s="260" t="s">
        <v>418</v>
      </c>
      <c r="V240" s="260" t="s">
        <v>418</v>
      </c>
      <c r="W240" s="260" t="s">
        <v>418</v>
      </c>
      <c r="X240" s="260" t="s">
        <v>418</v>
      </c>
      <c r="Y240" s="260" t="s">
        <v>418</v>
      </c>
      <c r="Z240" s="260" t="s">
        <v>418</v>
      </c>
      <c r="AA240" s="261" t="s">
        <v>418</v>
      </c>
      <c r="AB240" s="261" t="s">
        <v>418</v>
      </c>
      <c r="AC240" s="261" t="s">
        <v>418</v>
      </c>
      <c r="AD240" s="261" t="s">
        <v>418</v>
      </c>
      <c r="AE240" s="261" t="s">
        <v>418</v>
      </c>
      <c r="AF240" s="261" t="s">
        <v>418</v>
      </c>
      <c r="AG240" s="261" t="s">
        <v>418</v>
      </c>
      <c r="AH240" s="297">
        <f>AH205*2</f>
        <v>0</v>
      </c>
      <c r="AI240" s="296">
        <f>AI205*2</f>
        <v>0</v>
      </c>
      <c r="AJ240" s="299">
        <f>AJ205*2</f>
        <v>0</v>
      </c>
      <c r="AK240" s="298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88" t="s">
        <v>418</v>
      </c>
      <c r="G241" s="288" t="s">
        <v>418</v>
      </c>
      <c r="H241" s="288" t="s">
        <v>418</v>
      </c>
      <c r="I241" s="288" t="s">
        <v>418</v>
      </c>
      <c r="J241" s="288" t="s">
        <v>418</v>
      </c>
      <c r="K241" s="288" t="s">
        <v>418</v>
      </c>
      <c r="L241" s="288" t="s">
        <v>418</v>
      </c>
      <c r="M241" s="293" t="s">
        <v>418</v>
      </c>
      <c r="N241" s="293" t="s">
        <v>418</v>
      </c>
      <c r="O241" s="293" t="s">
        <v>418</v>
      </c>
      <c r="P241" s="293" t="s">
        <v>418</v>
      </c>
      <c r="Q241" s="293" t="s">
        <v>418</v>
      </c>
      <c r="R241" s="293" t="s">
        <v>418</v>
      </c>
      <c r="S241" s="293" t="s">
        <v>418</v>
      </c>
      <c r="T241" s="260" t="s">
        <v>418</v>
      </c>
      <c r="U241" s="260" t="s">
        <v>418</v>
      </c>
      <c r="V241" s="260" t="s">
        <v>418</v>
      </c>
      <c r="W241" s="260" t="s">
        <v>418</v>
      </c>
      <c r="X241" s="260" t="s">
        <v>418</v>
      </c>
      <c r="Y241" s="260" t="s">
        <v>418</v>
      </c>
      <c r="Z241" s="260" t="s">
        <v>418</v>
      </c>
      <c r="AA241" s="261" t="s">
        <v>418</v>
      </c>
      <c r="AB241" s="261" t="s">
        <v>418</v>
      </c>
      <c r="AC241" s="261" t="s">
        <v>418</v>
      </c>
      <c r="AD241" s="261" t="s">
        <v>418</v>
      </c>
      <c r="AE241" s="261" t="s">
        <v>418</v>
      </c>
      <c r="AF241" s="261" t="s">
        <v>418</v>
      </c>
      <c r="AG241" s="261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88" t="s">
        <v>418</v>
      </c>
      <c r="G242" s="288" t="s">
        <v>418</v>
      </c>
      <c r="H242" s="288" t="s">
        <v>418</v>
      </c>
      <c r="I242" s="288" t="s">
        <v>418</v>
      </c>
      <c r="J242" s="288" t="s">
        <v>418</v>
      </c>
      <c r="K242" s="288" t="s">
        <v>418</v>
      </c>
      <c r="L242" s="288" t="s">
        <v>418</v>
      </c>
      <c r="M242" s="293" t="s">
        <v>418</v>
      </c>
      <c r="N242" s="293" t="s">
        <v>418</v>
      </c>
      <c r="O242" s="293" t="s">
        <v>418</v>
      </c>
      <c r="P242" s="293" t="s">
        <v>418</v>
      </c>
      <c r="Q242" s="293" t="s">
        <v>418</v>
      </c>
      <c r="R242" s="293" t="s">
        <v>418</v>
      </c>
      <c r="S242" s="293" t="s">
        <v>418</v>
      </c>
      <c r="T242" s="260" t="s">
        <v>418</v>
      </c>
      <c r="U242" s="260" t="s">
        <v>418</v>
      </c>
      <c r="V242" s="260" t="s">
        <v>418</v>
      </c>
      <c r="W242" s="260" t="s">
        <v>418</v>
      </c>
      <c r="X242" s="260" t="s">
        <v>418</v>
      </c>
      <c r="Y242" s="260" t="s">
        <v>418</v>
      </c>
      <c r="Z242" s="260" t="s">
        <v>418</v>
      </c>
      <c r="AA242" s="261" t="s">
        <v>418</v>
      </c>
      <c r="AB242" s="261" t="s">
        <v>418</v>
      </c>
      <c r="AC242" s="261" t="s">
        <v>418</v>
      </c>
      <c r="AD242" s="261" t="s">
        <v>418</v>
      </c>
      <c r="AE242" s="261" t="s">
        <v>418</v>
      </c>
      <c r="AF242" s="261" t="s">
        <v>418</v>
      </c>
      <c r="AG242" s="261" t="s">
        <v>418</v>
      </c>
      <c r="AH242" s="30">
        <f>'Project Materials'!$Q$25*4</f>
        <v>0</v>
      </c>
      <c r="AI242" s="27">
        <f>'Project Materials'!$Q$26*4</f>
        <v>0</v>
      </c>
      <c r="AJ242" s="28">
        <f>'Project Materials'!$Q$27*4</f>
        <v>0</v>
      </c>
      <c r="AK242" s="268">
        <f>'Project Materials'!$Q$28*4</f>
        <v>0</v>
      </c>
      <c r="AM242" s="111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88" t="s">
        <v>418</v>
      </c>
      <c r="G243" s="288" t="s">
        <v>418</v>
      </c>
      <c r="H243" s="288" t="s">
        <v>418</v>
      </c>
      <c r="I243" s="288" t="s">
        <v>418</v>
      </c>
      <c r="J243" s="288" t="s">
        <v>418</v>
      </c>
      <c r="K243" s="288" t="s">
        <v>418</v>
      </c>
      <c r="L243" s="288" t="s">
        <v>418</v>
      </c>
      <c r="M243" s="293" t="s">
        <v>418</v>
      </c>
      <c r="N243" s="293" t="s">
        <v>418</v>
      </c>
      <c r="O243" s="293" t="s">
        <v>418</v>
      </c>
      <c r="P243" s="293" t="s">
        <v>418</v>
      </c>
      <c r="Q243" s="293" t="s">
        <v>418</v>
      </c>
      <c r="R243" s="293" t="s">
        <v>418</v>
      </c>
      <c r="S243" s="293" t="s">
        <v>418</v>
      </c>
      <c r="T243" s="260" t="s">
        <v>418</v>
      </c>
      <c r="U243" s="260" t="s">
        <v>418</v>
      </c>
      <c r="V243" s="260" t="s">
        <v>418</v>
      </c>
      <c r="W243" s="260" t="s">
        <v>418</v>
      </c>
      <c r="X243" s="260" t="s">
        <v>418</v>
      </c>
      <c r="Y243" s="260" t="s">
        <v>418</v>
      </c>
      <c r="Z243" s="260" t="s">
        <v>418</v>
      </c>
      <c r="AA243" s="261" t="s">
        <v>418</v>
      </c>
      <c r="AB243" s="261" t="s">
        <v>418</v>
      </c>
      <c r="AC243" s="261" t="s">
        <v>418</v>
      </c>
      <c r="AD243" s="261" t="s">
        <v>418</v>
      </c>
      <c r="AE243" s="261" t="s">
        <v>418</v>
      </c>
      <c r="AF243" s="261" t="s">
        <v>418</v>
      </c>
      <c r="AG243" s="261" t="s">
        <v>418</v>
      </c>
      <c r="AH243" s="30">
        <f>(('Project Materials'!$F$25+'Project Materials'!$G$25)*'Project Materials'!$P$25)*2</f>
        <v>0</v>
      </c>
      <c r="AI243" s="27">
        <f>(('Project Materials'!$F$26+'Project Materials'!$G$26)*'Project Materials'!$P$26)*2</f>
        <v>0</v>
      </c>
      <c r="AJ243" s="28">
        <f>(('Project Materials'!$F$27+'Project Materials'!$G$27)*'Project Materials'!$P$27)*2</f>
        <v>0</v>
      </c>
      <c r="AK243" s="268">
        <f>(('Project Materials'!$F$28+'Project Materials'!$G$28)*'Project Materials'!$P$28)*2</f>
        <v>0</v>
      </c>
      <c r="AM243" s="111">
        <v>2</v>
      </c>
    </row>
    <row r="244" spans="1:39" x14ac:dyDescent="0.4">
      <c r="A244" s="2"/>
      <c r="B244" s="2"/>
      <c r="C244" s="2"/>
      <c r="D244" s="12"/>
      <c r="E244" s="4"/>
      <c r="F244" s="288" t="s">
        <v>418</v>
      </c>
      <c r="G244" s="288" t="s">
        <v>418</v>
      </c>
      <c r="H244" s="288" t="s">
        <v>418</v>
      </c>
      <c r="I244" s="288" t="s">
        <v>418</v>
      </c>
      <c r="J244" s="288" t="s">
        <v>418</v>
      </c>
      <c r="K244" s="288" t="s">
        <v>418</v>
      </c>
      <c r="L244" s="288" t="s">
        <v>418</v>
      </c>
      <c r="M244" s="293" t="s">
        <v>418</v>
      </c>
      <c r="N244" s="293" t="s">
        <v>418</v>
      </c>
      <c r="O244" s="293" t="s">
        <v>418</v>
      </c>
      <c r="P244" s="293" t="s">
        <v>418</v>
      </c>
      <c r="Q244" s="293" t="s">
        <v>418</v>
      </c>
      <c r="R244" s="293" t="s">
        <v>418</v>
      </c>
      <c r="S244" s="293" t="s">
        <v>418</v>
      </c>
      <c r="T244" s="260" t="s">
        <v>418</v>
      </c>
      <c r="U244" s="260" t="s">
        <v>418</v>
      </c>
      <c r="V244" s="260" t="s">
        <v>418</v>
      </c>
      <c r="W244" s="260" t="s">
        <v>418</v>
      </c>
      <c r="X244" s="260" t="s">
        <v>418</v>
      </c>
      <c r="Y244" s="260" t="s">
        <v>418</v>
      </c>
      <c r="Z244" s="260" t="s">
        <v>418</v>
      </c>
      <c r="AA244" s="261" t="s">
        <v>418</v>
      </c>
      <c r="AB244" s="261" t="s">
        <v>418</v>
      </c>
      <c r="AC244" s="261" t="s">
        <v>418</v>
      </c>
      <c r="AD244" s="261" t="s">
        <v>418</v>
      </c>
      <c r="AE244" s="261" t="s">
        <v>418</v>
      </c>
      <c r="AF244" s="261" t="s">
        <v>418</v>
      </c>
      <c r="AG244" s="261" t="s">
        <v>418</v>
      </c>
      <c r="AK244" s="268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88" t="s">
        <v>418</v>
      </c>
      <c r="G245" s="288" t="s">
        <v>418</v>
      </c>
      <c r="H245" s="288" t="s">
        <v>418</v>
      </c>
      <c r="I245" s="288" t="s">
        <v>418</v>
      </c>
      <c r="J245" s="288" t="s">
        <v>418</v>
      </c>
      <c r="K245" s="288" t="s">
        <v>418</v>
      </c>
      <c r="L245" s="288" t="s">
        <v>418</v>
      </c>
      <c r="M245" s="293" t="s">
        <v>418</v>
      </c>
      <c r="N245" s="293" t="s">
        <v>418</v>
      </c>
      <c r="O245" s="293" t="s">
        <v>418</v>
      </c>
      <c r="P245" s="293" t="s">
        <v>418</v>
      </c>
      <c r="Q245" s="293" t="s">
        <v>418</v>
      </c>
      <c r="R245" s="293" t="s">
        <v>418</v>
      </c>
      <c r="S245" s="293" t="s">
        <v>418</v>
      </c>
      <c r="T245" s="260" t="s">
        <v>418</v>
      </c>
      <c r="U245" s="260" t="s">
        <v>418</v>
      </c>
      <c r="V245" s="260" t="s">
        <v>418</v>
      </c>
      <c r="W245" s="260" t="s">
        <v>418</v>
      </c>
      <c r="X245" s="260" t="s">
        <v>418</v>
      </c>
      <c r="Y245" s="260" t="s">
        <v>418</v>
      </c>
      <c r="Z245" s="260" t="s">
        <v>418</v>
      </c>
      <c r="AA245" s="261" t="s">
        <v>418</v>
      </c>
      <c r="AB245" s="261" t="s">
        <v>418</v>
      </c>
      <c r="AC245" s="261" t="s">
        <v>418</v>
      </c>
      <c r="AD245" s="261" t="s">
        <v>418</v>
      </c>
      <c r="AE245" s="261" t="s">
        <v>418</v>
      </c>
      <c r="AF245" s="261" t="s">
        <v>418</v>
      </c>
      <c r="AG245" s="261" t="s">
        <v>418</v>
      </c>
      <c r="AH245" s="30">
        <v>0</v>
      </c>
      <c r="AI245" s="27">
        <v>0</v>
      </c>
      <c r="AJ245" s="28">
        <v>0</v>
      </c>
      <c r="AK245" s="269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88" t="s">
        <v>418</v>
      </c>
      <c r="G246" s="288" t="s">
        <v>418</v>
      </c>
      <c r="H246" s="288" t="s">
        <v>418</v>
      </c>
      <c r="I246" s="288" t="s">
        <v>418</v>
      </c>
      <c r="J246" s="288" t="s">
        <v>418</v>
      </c>
      <c r="K246" s="288" t="s">
        <v>418</v>
      </c>
      <c r="L246" s="288" t="s">
        <v>418</v>
      </c>
      <c r="M246" s="293" t="s">
        <v>418</v>
      </c>
      <c r="N246" s="293" t="s">
        <v>418</v>
      </c>
      <c r="O246" s="293" t="s">
        <v>418</v>
      </c>
      <c r="P246" s="293" t="s">
        <v>418</v>
      </c>
      <c r="Q246" s="293" t="s">
        <v>418</v>
      </c>
      <c r="R246" s="293" t="s">
        <v>418</v>
      </c>
      <c r="S246" s="293" t="s">
        <v>418</v>
      </c>
      <c r="T246" s="260" t="s">
        <v>418</v>
      </c>
      <c r="U246" s="260" t="s">
        <v>418</v>
      </c>
      <c r="V246" s="260" t="s">
        <v>418</v>
      </c>
      <c r="W246" s="260" t="s">
        <v>418</v>
      </c>
      <c r="X246" s="260" t="s">
        <v>418</v>
      </c>
      <c r="Y246" s="260" t="s">
        <v>418</v>
      </c>
      <c r="Z246" s="260" t="s">
        <v>418</v>
      </c>
      <c r="AA246" s="261" t="s">
        <v>418</v>
      </c>
      <c r="AB246" s="261" t="s">
        <v>418</v>
      </c>
      <c r="AC246" s="261" t="s">
        <v>418</v>
      </c>
      <c r="AD246" s="261" t="s">
        <v>418</v>
      </c>
      <c r="AE246" s="261" t="s">
        <v>418</v>
      </c>
      <c r="AF246" s="261" t="s">
        <v>418</v>
      </c>
      <c r="AG246" s="261" t="s">
        <v>418</v>
      </c>
      <c r="AH246" s="30">
        <f>2*'Project Materials'!$Q$25</f>
        <v>0</v>
      </c>
      <c r="AI246" s="27">
        <f>2*'Project Materials'!$Q$26</f>
        <v>0</v>
      </c>
      <c r="AJ246" s="28">
        <f>2*'Project Materials'!$Q$27</f>
        <v>0</v>
      </c>
      <c r="AK246" s="269">
        <f>2*'Project Materials'!$Q$28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88" t="s">
        <v>418</v>
      </c>
      <c r="G247" s="288" t="s">
        <v>418</v>
      </c>
      <c r="H247" s="288" t="s">
        <v>418</v>
      </c>
      <c r="I247" s="288" t="s">
        <v>418</v>
      </c>
      <c r="J247" s="288" t="s">
        <v>418</v>
      </c>
      <c r="K247" s="288" t="s">
        <v>418</v>
      </c>
      <c r="L247" s="288" t="s">
        <v>418</v>
      </c>
      <c r="M247" s="293" t="s">
        <v>418</v>
      </c>
      <c r="N247" s="293" t="s">
        <v>418</v>
      </c>
      <c r="O247" s="293" t="s">
        <v>418</v>
      </c>
      <c r="P247" s="293" t="s">
        <v>418</v>
      </c>
      <c r="Q247" s="293" t="s">
        <v>418</v>
      </c>
      <c r="R247" s="293" t="s">
        <v>418</v>
      </c>
      <c r="S247" s="293" t="s">
        <v>418</v>
      </c>
      <c r="T247" s="260" t="s">
        <v>418</v>
      </c>
      <c r="U247" s="260" t="s">
        <v>418</v>
      </c>
      <c r="V247" s="260" t="s">
        <v>418</v>
      </c>
      <c r="W247" s="260" t="s">
        <v>418</v>
      </c>
      <c r="X247" s="260" t="s">
        <v>418</v>
      </c>
      <c r="Y247" s="260" t="s">
        <v>418</v>
      </c>
      <c r="Z247" s="260" t="s">
        <v>418</v>
      </c>
      <c r="AA247" s="261" t="s">
        <v>418</v>
      </c>
      <c r="AB247" s="261" t="s">
        <v>418</v>
      </c>
      <c r="AC247" s="261" t="s">
        <v>418</v>
      </c>
      <c r="AD247" s="261" t="s">
        <v>418</v>
      </c>
      <c r="AE247" s="261" t="s">
        <v>418</v>
      </c>
      <c r="AF247" s="261" t="s">
        <v>418</v>
      </c>
      <c r="AG247" s="261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69">
        <f>2*'Project Materials'!$Q$28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88" t="s">
        <v>418</v>
      </c>
      <c r="G248" s="288" t="s">
        <v>418</v>
      </c>
      <c r="H248" s="288" t="s">
        <v>418</v>
      </c>
      <c r="I248" s="288" t="s">
        <v>418</v>
      </c>
      <c r="J248" s="288" t="s">
        <v>418</v>
      </c>
      <c r="K248" s="288" t="s">
        <v>418</v>
      </c>
      <c r="L248" s="288" t="s">
        <v>418</v>
      </c>
      <c r="M248" s="293" t="s">
        <v>418</v>
      </c>
      <c r="N248" s="293" t="s">
        <v>418</v>
      </c>
      <c r="O248" s="293" t="s">
        <v>418</v>
      </c>
      <c r="P248" s="293" t="s">
        <v>418</v>
      </c>
      <c r="Q248" s="293" t="s">
        <v>418</v>
      </c>
      <c r="R248" s="293" t="s">
        <v>418</v>
      </c>
      <c r="S248" s="293" t="s">
        <v>418</v>
      </c>
      <c r="T248" s="260" t="s">
        <v>418</v>
      </c>
      <c r="U248" s="260" t="s">
        <v>418</v>
      </c>
      <c r="V248" s="260" t="s">
        <v>418</v>
      </c>
      <c r="W248" s="260" t="s">
        <v>418</v>
      </c>
      <c r="X248" s="260" t="s">
        <v>418</v>
      </c>
      <c r="Y248" s="260" t="s">
        <v>418</v>
      </c>
      <c r="Z248" s="260" t="s">
        <v>418</v>
      </c>
      <c r="AA248" s="261" t="s">
        <v>418</v>
      </c>
      <c r="AB248" s="261" t="s">
        <v>418</v>
      </c>
      <c r="AC248" s="261" t="s">
        <v>418</v>
      </c>
      <c r="AD248" s="261" t="s">
        <v>418</v>
      </c>
      <c r="AE248" s="261" t="s">
        <v>418</v>
      </c>
      <c r="AF248" s="261" t="s">
        <v>418</v>
      </c>
      <c r="AG248" s="261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69">
        <f>2*'Project Materials'!$Q$28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88" t="s">
        <v>418</v>
      </c>
      <c r="G249" s="288" t="s">
        <v>418</v>
      </c>
      <c r="H249" s="288" t="s">
        <v>418</v>
      </c>
      <c r="I249" s="288" t="s">
        <v>418</v>
      </c>
      <c r="J249" s="288" t="s">
        <v>418</v>
      </c>
      <c r="K249" s="288" t="s">
        <v>418</v>
      </c>
      <c r="L249" s="288" t="s">
        <v>418</v>
      </c>
      <c r="M249" s="293" t="s">
        <v>418</v>
      </c>
      <c r="N249" s="293" t="s">
        <v>418</v>
      </c>
      <c r="O249" s="293" t="s">
        <v>418</v>
      </c>
      <c r="P249" s="293" t="s">
        <v>418</v>
      </c>
      <c r="Q249" s="293" t="s">
        <v>418</v>
      </c>
      <c r="R249" s="293" t="s">
        <v>418</v>
      </c>
      <c r="S249" s="293" t="s">
        <v>418</v>
      </c>
      <c r="T249" s="260" t="s">
        <v>418</v>
      </c>
      <c r="U249" s="260" t="s">
        <v>418</v>
      </c>
      <c r="V249" s="260" t="s">
        <v>418</v>
      </c>
      <c r="W249" s="260" t="s">
        <v>418</v>
      </c>
      <c r="X249" s="260" t="s">
        <v>418</v>
      </c>
      <c r="Y249" s="260" t="s">
        <v>418</v>
      </c>
      <c r="Z249" s="260" t="s">
        <v>418</v>
      </c>
      <c r="AA249" s="261" t="s">
        <v>418</v>
      </c>
      <c r="AB249" s="261" t="s">
        <v>418</v>
      </c>
      <c r="AC249" s="261" t="s">
        <v>418</v>
      </c>
      <c r="AD249" s="261" t="s">
        <v>418</v>
      </c>
      <c r="AE249" s="261" t="s">
        <v>418</v>
      </c>
      <c r="AF249" s="261" t="s">
        <v>418</v>
      </c>
      <c r="AG249" s="261" t="s">
        <v>418</v>
      </c>
      <c r="AH249" s="30">
        <f>'Project Materials'!$Q$25</f>
        <v>0</v>
      </c>
      <c r="AI249" s="27">
        <f>'Project Materials'!$Q$26</f>
        <v>0</v>
      </c>
      <c r="AJ249" s="28">
        <f>'Project Materials'!$Q$27</f>
        <v>0</v>
      </c>
      <c r="AK249" s="269">
        <f>'Project Materials'!$Q$28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88" t="s">
        <v>418</v>
      </c>
      <c r="G250" s="288" t="s">
        <v>418</v>
      </c>
      <c r="H250" s="288" t="s">
        <v>418</v>
      </c>
      <c r="I250" s="288" t="s">
        <v>418</v>
      </c>
      <c r="J250" s="288" t="s">
        <v>418</v>
      </c>
      <c r="K250" s="288" t="s">
        <v>418</v>
      </c>
      <c r="L250" s="288" t="s">
        <v>418</v>
      </c>
      <c r="M250" s="293" t="s">
        <v>418</v>
      </c>
      <c r="N250" s="293" t="s">
        <v>418</v>
      </c>
      <c r="O250" s="293" t="s">
        <v>418</v>
      </c>
      <c r="P250" s="293" t="s">
        <v>418</v>
      </c>
      <c r="Q250" s="293" t="s">
        <v>418</v>
      </c>
      <c r="R250" s="293" t="s">
        <v>418</v>
      </c>
      <c r="S250" s="293" t="s">
        <v>418</v>
      </c>
      <c r="T250" s="260" t="s">
        <v>418</v>
      </c>
      <c r="U250" s="260" t="s">
        <v>418</v>
      </c>
      <c r="V250" s="260" t="s">
        <v>418</v>
      </c>
      <c r="W250" s="260" t="s">
        <v>418</v>
      </c>
      <c r="X250" s="260" t="s">
        <v>418</v>
      </c>
      <c r="Y250" s="260" t="s">
        <v>418</v>
      </c>
      <c r="Z250" s="260" t="s">
        <v>418</v>
      </c>
      <c r="AA250" s="261" t="s">
        <v>418</v>
      </c>
      <c r="AB250" s="261" t="s">
        <v>418</v>
      </c>
      <c r="AC250" s="261" t="s">
        <v>418</v>
      </c>
      <c r="AD250" s="261" t="s">
        <v>418</v>
      </c>
      <c r="AE250" s="261" t="s">
        <v>418</v>
      </c>
      <c r="AF250" s="261" t="s">
        <v>418</v>
      </c>
      <c r="AG250" s="261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69">
        <f>'Project Materials'!$Q$28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88" t="s">
        <v>418</v>
      </c>
      <c r="G251" s="288" t="s">
        <v>418</v>
      </c>
      <c r="H251" s="288" t="s">
        <v>418</v>
      </c>
      <c r="I251" s="288" t="s">
        <v>418</v>
      </c>
      <c r="J251" s="288" t="s">
        <v>418</v>
      </c>
      <c r="K251" s="288" t="s">
        <v>418</v>
      </c>
      <c r="L251" s="288" t="s">
        <v>418</v>
      </c>
      <c r="M251" s="293" t="s">
        <v>418</v>
      </c>
      <c r="N251" s="293" t="s">
        <v>418</v>
      </c>
      <c r="O251" s="293" t="s">
        <v>418</v>
      </c>
      <c r="P251" s="293" t="s">
        <v>418</v>
      </c>
      <c r="Q251" s="293" t="s">
        <v>418</v>
      </c>
      <c r="R251" s="293" t="s">
        <v>418</v>
      </c>
      <c r="S251" s="293" t="s">
        <v>418</v>
      </c>
      <c r="T251" s="260" t="s">
        <v>418</v>
      </c>
      <c r="U251" s="260" t="s">
        <v>418</v>
      </c>
      <c r="V251" s="260" t="s">
        <v>418</v>
      </c>
      <c r="W251" s="260" t="s">
        <v>418</v>
      </c>
      <c r="X251" s="260" t="s">
        <v>418</v>
      </c>
      <c r="Y251" s="260" t="s">
        <v>418</v>
      </c>
      <c r="Z251" s="260" t="s">
        <v>418</v>
      </c>
      <c r="AA251" s="261" t="s">
        <v>418</v>
      </c>
      <c r="AB251" s="261" t="s">
        <v>418</v>
      </c>
      <c r="AC251" s="261" t="s">
        <v>418</v>
      </c>
      <c r="AD251" s="261" t="s">
        <v>418</v>
      </c>
      <c r="AE251" s="261" t="s">
        <v>418</v>
      </c>
      <c r="AF251" s="261" t="s">
        <v>418</v>
      </c>
      <c r="AG251" s="261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69">
        <f>'Project Materials'!$Q$28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88" t="s">
        <v>418</v>
      </c>
      <c r="G252" s="288" t="s">
        <v>418</v>
      </c>
      <c r="H252" s="288" t="s">
        <v>418</v>
      </c>
      <c r="I252" s="288" t="s">
        <v>418</v>
      </c>
      <c r="J252" s="288" t="s">
        <v>418</v>
      </c>
      <c r="K252" s="288" t="s">
        <v>418</v>
      </c>
      <c r="L252" s="288" t="s">
        <v>418</v>
      </c>
      <c r="M252" s="293" t="s">
        <v>418</v>
      </c>
      <c r="N252" s="293" t="s">
        <v>418</v>
      </c>
      <c r="O252" s="293" t="s">
        <v>418</v>
      </c>
      <c r="P252" s="293" t="s">
        <v>418</v>
      </c>
      <c r="Q252" s="293" t="s">
        <v>418</v>
      </c>
      <c r="R252" s="293" t="s">
        <v>418</v>
      </c>
      <c r="S252" s="293" t="s">
        <v>418</v>
      </c>
      <c r="T252" s="260" t="s">
        <v>418</v>
      </c>
      <c r="U252" s="260" t="s">
        <v>418</v>
      </c>
      <c r="V252" s="260" t="s">
        <v>418</v>
      </c>
      <c r="W252" s="260" t="s">
        <v>418</v>
      </c>
      <c r="X252" s="260" t="s">
        <v>418</v>
      </c>
      <c r="Y252" s="260" t="s">
        <v>418</v>
      </c>
      <c r="Z252" s="260" t="s">
        <v>418</v>
      </c>
      <c r="AA252" s="261" t="s">
        <v>418</v>
      </c>
      <c r="AB252" s="261" t="s">
        <v>418</v>
      </c>
      <c r="AC252" s="261" t="s">
        <v>418</v>
      </c>
      <c r="AD252" s="261" t="s">
        <v>418</v>
      </c>
      <c r="AE252" s="261" t="s">
        <v>418</v>
      </c>
      <c r="AF252" s="261" t="s">
        <v>418</v>
      </c>
      <c r="AG252" s="261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69">
        <f>'Project Materials'!$Q$28</f>
        <v>0</v>
      </c>
    </row>
    <row r="253" spans="1:39" x14ac:dyDescent="0.4">
      <c r="A253" s="61" t="s">
        <v>10</v>
      </c>
      <c r="B253" s="2" t="s">
        <v>812</v>
      </c>
      <c r="C253" s="2" t="s">
        <v>813</v>
      </c>
      <c r="D253" s="12"/>
      <c r="E253" s="4">
        <v>14</v>
      </c>
      <c r="F253" s="288" t="s">
        <v>418</v>
      </c>
      <c r="G253" s="288" t="s">
        <v>418</v>
      </c>
      <c r="H253" s="288" t="s">
        <v>418</v>
      </c>
      <c r="I253" s="288" t="s">
        <v>418</v>
      </c>
      <c r="J253" s="288" t="s">
        <v>418</v>
      </c>
      <c r="K253" s="288" t="s">
        <v>418</v>
      </c>
      <c r="L253" s="288" t="s">
        <v>418</v>
      </c>
      <c r="M253" s="293" t="s">
        <v>418</v>
      </c>
      <c r="N253" s="293" t="s">
        <v>418</v>
      </c>
      <c r="O253" s="293" t="s">
        <v>418</v>
      </c>
      <c r="P253" s="293" t="s">
        <v>418</v>
      </c>
      <c r="Q253" s="293" t="s">
        <v>418</v>
      </c>
      <c r="R253" s="293" t="s">
        <v>418</v>
      </c>
      <c r="S253" s="293" t="s">
        <v>418</v>
      </c>
      <c r="T253" s="260" t="s">
        <v>418</v>
      </c>
      <c r="U253" s="260" t="s">
        <v>418</v>
      </c>
      <c r="V253" s="260" t="s">
        <v>418</v>
      </c>
      <c r="W253" s="260" t="s">
        <v>418</v>
      </c>
      <c r="X253" s="260" t="s">
        <v>418</v>
      </c>
      <c r="Y253" s="260" t="s">
        <v>418</v>
      </c>
      <c r="Z253" s="260" t="s">
        <v>418</v>
      </c>
      <c r="AA253" s="261" t="s">
        <v>418</v>
      </c>
      <c r="AB253" s="261" t="s">
        <v>418</v>
      </c>
      <c r="AC253" s="261" t="s">
        <v>418</v>
      </c>
      <c r="AD253" s="261" t="s">
        <v>418</v>
      </c>
      <c r="AE253" s="261" t="s">
        <v>418</v>
      </c>
      <c r="AF253" s="261" t="s">
        <v>418</v>
      </c>
      <c r="AG253" s="261" t="s">
        <v>418</v>
      </c>
      <c r="AH253" s="30">
        <f>2*'Project Materials'!$Q$25</f>
        <v>0</v>
      </c>
      <c r="AI253" s="27">
        <f>2*'Project Materials'!$Q$26</f>
        <v>0</v>
      </c>
      <c r="AJ253" s="28">
        <f>2*'Project Materials'!$Q$27</f>
        <v>0</v>
      </c>
      <c r="AK253" s="269">
        <f>2*'Project Materials'!$Q$28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88" t="s">
        <v>418</v>
      </c>
      <c r="G254" s="288" t="s">
        <v>418</v>
      </c>
      <c r="H254" s="288" t="s">
        <v>418</v>
      </c>
      <c r="I254" s="288" t="s">
        <v>418</v>
      </c>
      <c r="J254" s="288" t="s">
        <v>418</v>
      </c>
      <c r="K254" s="288" t="s">
        <v>418</v>
      </c>
      <c r="L254" s="288" t="s">
        <v>418</v>
      </c>
      <c r="M254" s="293" t="s">
        <v>418</v>
      </c>
      <c r="N254" s="293" t="s">
        <v>418</v>
      </c>
      <c r="O254" s="293" t="s">
        <v>418</v>
      </c>
      <c r="P254" s="293" t="s">
        <v>418</v>
      </c>
      <c r="Q254" s="293" t="s">
        <v>418</v>
      </c>
      <c r="R254" s="293" t="s">
        <v>418</v>
      </c>
      <c r="S254" s="293" t="s">
        <v>418</v>
      </c>
      <c r="T254" s="260" t="s">
        <v>418</v>
      </c>
      <c r="U254" s="260" t="s">
        <v>418</v>
      </c>
      <c r="V254" s="260" t="s">
        <v>418</v>
      </c>
      <c r="W254" s="260" t="s">
        <v>418</v>
      </c>
      <c r="X254" s="260" t="s">
        <v>418</v>
      </c>
      <c r="Y254" s="260" t="s">
        <v>418</v>
      </c>
      <c r="Z254" s="260" t="s">
        <v>418</v>
      </c>
      <c r="AA254" s="261" t="s">
        <v>418</v>
      </c>
      <c r="AB254" s="261" t="s">
        <v>418</v>
      </c>
      <c r="AC254" s="261" t="s">
        <v>418</v>
      </c>
      <c r="AD254" s="261" t="s">
        <v>418</v>
      </c>
      <c r="AE254" s="261" t="s">
        <v>418</v>
      </c>
      <c r="AF254" s="261" t="s">
        <v>418</v>
      </c>
      <c r="AG254" s="261" t="s">
        <v>418</v>
      </c>
      <c r="AH254" s="175">
        <f>CEILING((((CEILING(('Project Materials'!$O$25/D254),0.25)*'Project Materials'!$P$25))),0.5)</f>
        <v>0</v>
      </c>
      <c r="AI254" s="170">
        <f>CEILING((((CEILING(('Project Materials'!$O$26/D254),0.25)*'Project Materials'!$P$26))),0.5)</f>
        <v>0</v>
      </c>
      <c r="AJ254" s="165">
        <f>CEILING((((CEILING(('Project Materials'!$O$27/D254),0.25)*'Project Materials'!$P$27))),0.5)</f>
        <v>0</v>
      </c>
      <c r="AK254" s="268">
        <f>CEILING((((CEILING(('Project Materials'!$O$28/D254),0.25)*'Project Materials'!$P$28))),0.5)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88" t="s">
        <v>418</v>
      </c>
      <c r="G255" s="288" t="s">
        <v>418</v>
      </c>
      <c r="H255" s="288" t="s">
        <v>418</v>
      </c>
      <c r="I255" s="288" t="s">
        <v>418</v>
      </c>
      <c r="J255" s="288" t="s">
        <v>418</v>
      </c>
      <c r="K255" s="288" t="s">
        <v>418</v>
      </c>
      <c r="L255" s="288" t="s">
        <v>418</v>
      </c>
      <c r="M255" s="293" t="s">
        <v>418</v>
      </c>
      <c r="N255" s="293" t="s">
        <v>418</v>
      </c>
      <c r="O255" s="293" t="s">
        <v>418</v>
      </c>
      <c r="P255" s="293" t="s">
        <v>418</v>
      </c>
      <c r="Q255" s="293" t="s">
        <v>418</v>
      </c>
      <c r="R255" s="293" t="s">
        <v>418</v>
      </c>
      <c r="S255" s="293" t="s">
        <v>418</v>
      </c>
      <c r="T255" s="260" t="s">
        <v>418</v>
      </c>
      <c r="U255" s="260" t="s">
        <v>418</v>
      </c>
      <c r="V255" s="260" t="s">
        <v>418</v>
      </c>
      <c r="W255" s="260" t="s">
        <v>418</v>
      </c>
      <c r="X255" s="260" t="s">
        <v>418</v>
      </c>
      <c r="Y255" s="260" t="s">
        <v>418</v>
      </c>
      <c r="Z255" s="260" t="s">
        <v>418</v>
      </c>
      <c r="AA255" s="261" t="s">
        <v>418</v>
      </c>
      <c r="AB255" s="261" t="s">
        <v>418</v>
      </c>
      <c r="AC255" s="261" t="s">
        <v>418</v>
      </c>
      <c r="AD255" s="261" t="s">
        <v>418</v>
      </c>
      <c r="AE255" s="261" t="s">
        <v>418</v>
      </c>
      <c r="AF255" s="261" t="s">
        <v>418</v>
      </c>
      <c r="AG255" s="261" t="s">
        <v>418</v>
      </c>
      <c r="AH255" s="175">
        <f>CEILING((((CEILING(('Project Materials'!$O$25/D255),0.25)*'Project Materials'!$P$25))),0.5)</f>
        <v>0</v>
      </c>
      <c r="AI255" s="170">
        <f>CEILING((((CEILING(('Project Materials'!$O$26/D255),0.25)*'Project Materials'!$P$26))),0.5)</f>
        <v>0</v>
      </c>
      <c r="AJ255" s="165">
        <f>CEILING((((CEILING(('Project Materials'!$O$27/D255),0.25)*'Project Materials'!$P$27))),0.5)</f>
        <v>0</v>
      </c>
      <c r="AK255" s="268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88" t="s">
        <v>418</v>
      </c>
      <c r="G256" s="288" t="s">
        <v>418</v>
      </c>
      <c r="H256" s="288" t="s">
        <v>418</v>
      </c>
      <c r="I256" s="288" t="s">
        <v>418</v>
      </c>
      <c r="J256" s="288" t="s">
        <v>418</v>
      </c>
      <c r="K256" s="288" t="s">
        <v>418</v>
      </c>
      <c r="L256" s="288" t="s">
        <v>418</v>
      </c>
      <c r="M256" s="293" t="s">
        <v>418</v>
      </c>
      <c r="N256" s="293" t="s">
        <v>418</v>
      </c>
      <c r="O256" s="293" t="s">
        <v>418</v>
      </c>
      <c r="P256" s="293" t="s">
        <v>418</v>
      </c>
      <c r="Q256" s="293" t="s">
        <v>418</v>
      </c>
      <c r="R256" s="293" t="s">
        <v>418</v>
      </c>
      <c r="S256" s="293" t="s">
        <v>418</v>
      </c>
      <c r="T256" s="260" t="s">
        <v>418</v>
      </c>
      <c r="U256" s="260" t="s">
        <v>418</v>
      </c>
      <c r="V256" s="260" t="s">
        <v>418</v>
      </c>
      <c r="W256" s="260" t="s">
        <v>418</v>
      </c>
      <c r="X256" s="260" t="s">
        <v>418</v>
      </c>
      <c r="Y256" s="260" t="s">
        <v>418</v>
      </c>
      <c r="Z256" s="260" t="s">
        <v>418</v>
      </c>
      <c r="AA256" s="261" t="s">
        <v>418</v>
      </c>
      <c r="AB256" s="261" t="s">
        <v>418</v>
      </c>
      <c r="AC256" s="261" t="s">
        <v>418</v>
      </c>
      <c r="AD256" s="261" t="s">
        <v>418</v>
      </c>
      <c r="AE256" s="261" t="s">
        <v>418</v>
      </c>
      <c r="AF256" s="261" t="s">
        <v>418</v>
      </c>
      <c r="AG256" s="261" t="s">
        <v>418</v>
      </c>
      <c r="AH256" s="175">
        <f>CEILING((((CEILING(('Project Materials'!$O$25/D256),0.25)*'Project Materials'!$P$25))),0.5)</f>
        <v>0</v>
      </c>
      <c r="AI256" s="170">
        <f>CEILING((((CEILING(('Project Materials'!$O$26/D256),0.25)*'Project Materials'!$P$26))),0.5)</f>
        <v>0</v>
      </c>
      <c r="AJ256" s="165">
        <f>CEILING((((CEILING(('Project Materials'!$O$27/D256),0.25)*'Project Materials'!$P$27))),0.5)</f>
        <v>0</v>
      </c>
      <c r="AK256" s="268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88" t="s">
        <v>418</v>
      </c>
      <c r="G257" s="288" t="s">
        <v>418</v>
      </c>
      <c r="H257" s="288" t="s">
        <v>418</v>
      </c>
      <c r="I257" s="288" t="s">
        <v>418</v>
      </c>
      <c r="J257" s="288" t="s">
        <v>418</v>
      </c>
      <c r="K257" s="288" t="s">
        <v>418</v>
      </c>
      <c r="L257" s="288" t="s">
        <v>418</v>
      </c>
      <c r="M257" s="293" t="s">
        <v>418</v>
      </c>
      <c r="N257" s="293" t="s">
        <v>418</v>
      </c>
      <c r="O257" s="293" t="s">
        <v>418</v>
      </c>
      <c r="P257" s="293" t="s">
        <v>418</v>
      </c>
      <c r="Q257" s="293" t="s">
        <v>418</v>
      </c>
      <c r="R257" s="293" t="s">
        <v>418</v>
      </c>
      <c r="S257" s="293" t="s">
        <v>418</v>
      </c>
      <c r="T257" s="260" t="s">
        <v>418</v>
      </c>
      <c r="U257" s="260" t="s">
        <v>418</v>
      </c>
      <c r="V257" s="260" t="s">
        <v>418</v>
      </c>
      <c r="W257" s="260" t="s">
        <v>418</v>
      </c>
      <c r="X257" s="260" t="s">
        <v>418</v>
      </c>
      <c r="Y257" s="260" t="s">
        <v>418</v>
      </c>
      <c r="Z257" s="260" t="s">
        <v>418</v>
      </c>
      <c r="AA257" s="261" t="s">
        <v>418</v>
      </c>
      <c r="AB257" s="261" t="s">
        <v>418</v>
      </c>
      <c r="AC257" s="261" t="s">
        <v>418</v>
      </c>
      <c r="AD257" s="261" t="s">
        <v>418</v>
      </c>
      <c r="AE257" s="261" t="s">
        <v>418</v>
      </c>
      <c r="AF257" s="261" t="s">
        <v>418</v>
      </c>
      <c r="AG257" s="261" t="s">
        <v>418</v>
      </c>
      <c r="AH257" s="175">
        <f>CEILING((((CEILING(('Project Materials'!$O$25/D257),0.25)*'Project Materials'!$P$25))),0.5)</f>
        <v>0</v>
      </c>
      <c r="AI257" s="170">
        <f>CEILING((((CEILING(('Project Materials'!$O$26/D257),0.25)*'Project Materials'!$P$26))),0.5)</f>
        <v>0</v>
      </c>
      <c r="AJ257" s="165">
        <f>CEILING((((CEILING(('Project Materials'!$O$27/D257),0.25)*'Project Materials'!$P$27))),0.5)</f>
        <v>0</v>
      </c>
      <c r="AK257" s="268">
        <f>CEILING((((CEILING(('Project Materials'!$O$28/D257),0.25)*'Project Materials'!$P$28))),0.5)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88" t="s">
        <v>418</v>
      </c>
      <c r="G258" s="288" t="s">
        <v>418</v>
      </c>
      <c r="H258" s="288" t="s">
        <v>418</v>
      </c>
      <c r="I258" s="288" t="s">
        <v>418</v>
      </c>
      <c r="J258" s="288" t="s">
        <v>418</v>
      </c>
      <c r="K258" s="288" t="s">
        <v>418</v>
      </c>
      <c r="L258" s="288" t="s">
        <v>418</v>
      </c>
      <c r="M258" s="293" t="s">
        <v>418</v>
      </c>
      <c r="N258" s="293" t="s">
        <v>418</v>
      </c>
      <c r="O258" s="293" t="s">
        <v>418</v>
      </c>
      <c r="P258" s="293" t="s">
        <v>418</v>
      </c>
      <c r="Q258" s="293" t="s">
        <v>418</v>
      </c>
      <c r="R258" s="293" t="s">
        <v>418</v>
      </c>
      <c r="S258" s="293" t="s">
        <v>418</v>
      </c>
      <c r="T258" s="260" t="s">
        <v>418</v>
      </c>
      <c r="U258" s="260" t="s">
        <v>418</v>
      </c>
      <c r="V258" s="260" t="s">
        <v>418</v>
      </c>
      <c r="W258" s="260" t="s">
        <v>418</v>
      </c>
      <c r="X258" s="260" t="s">
        <v>418</v>
      </c>
      <c r="Y258" s="260" t="s">
        <v>418</v>
      </c>
      <c r="Z258" s="260" t="s">
        <v>418</v>
      </c>
      <c r="AA258" s="261" t="s">
        <v>418</v>
      </c>
      <c r="AB258" s="261" t="s">
        <v>418</v>
      </c>
      <c r="AC258" s="261" t="s">
        <v>418</v>
      </c>
      <c r="AD258" s="261" t="s">
        <v>418</v>
      </c>
      <c r="AE258" s="261" t="s">
        <v>418</v>
      </c>
      <c r="AF258" s="261" t="s">
        <v>418</v>
      </c>
      <c r="AG258" s="261" t="s">
        <v>418</v>
      </c>
      <c r="AH258" s="30">
        <f>('Project Materials'!M25+'Project Materials'!L25)*'Project Materials'!$P$25</f>
        <v>0</v>
      </c>
      <c r="AI258" s="27">
        <f>('Project Materials'!M26+'Project Materials'!L26)*'Project Materials'!$P$26</f>
        <v>0</v>
      </c>
      <c r="AJ258" s="28">
        <f>('Project Materials'!M27+'Project Materials'!L27)*'Project Materials'!$P$27</f>
        <v>0</v>
      </c>
      <c r="AK258" s="268">
        <f>('Project Materials'!M28+'Project Materials'!L28)*'Project Materials'!$P$28</f>
        <v>0</v>
      </c>
      <c r="AM258" s="111">
        <v>1</v>
      </c>
    </row>
    <row r="259" spans="1:40" s="111" customFormat="1" x14ac:dyDescent="0.4">
      <c r="A259" s="60" t="s">
        <v>10</v>
      </c>
      <c r="B259" s="112" t="s">
        <v>861</v>
      </c>
      <c r="C259" s="112" t="s">
        <v>862</v>
      </c>
      <c r="D259" s="12"/>
      <c r="E259" s="4">
        <v>3.15</v>
      </c>
      <c r="F259" s="288" t="s">
        <v>418</v>
      </c>
      <c r="G259" s="288" t="s">
        <v>418</v>
      </c>
      <c r="H259" s="288" t="s">
        <v>418</v>
      </c>
      <c r="I259" s="288" t="s">
        <v>418</v>
      </c>
      <c r="J259" s="288" t="s">
        <v>418</v>
      </c>
      <c r="K259" s="288" t="s">
        <v>418</v>
      </c>
      <c r="L259" s="288" t="s">
        <v>418</v>
      </c>
      <c r="M259" s="293" t="s">
        <v>418</v>
      </c>
      <c r="N259" s="293" t="s">
        <v>418</v>
      </c>
      <c r="O259" s="293" t="s">
        <v>418</v>
      </c>
      <c r="P259" s="293" t="s">
        <v>418</v>
      </c>
      <c r="Q259" s="293" t="s">
        <v>418</v>
      </c>
      <c r="R259" s="293" t="s">
        <v>418</v>
      </c>
      <c r="S259" s="293" t="s">
        <v>418</v>
      </c>
      <c r="T259" s="260" t="s">
        <v>418</v>
      </c>
      <c r="U259" s="260" t="s">
        <v>418</v>
      </c>
      <c r="V259" s="260" t="s">
        <v>418</v>
      </c>
      <c r="W259" s="260" t="s">
        <v>418</v>
      </c>
      <c r="X259" s="260" t="s">
        <v>418</v>
      </c>
      <c r="Y259" s="260" t="s">
        <v>418</v>
      </c>
      <c r="Z259" s="260" t="s">
        <v>418</v>
      </c>
      <c r="AA259" s="261" t="s">
        <v>418</v>
      </c>
      <c r="AB259" s="261" t="s">
        <v>418</v>
      </c>
      <c r="AC259" s="261" t="s">
        <v>418</v>
      </c>
      <c r="AD259" s="261" t="s">
        <v>418</v>
      </c>
      <c r="AE259" s="261" t="s">
        <v>418</v>
      </c>
      <c r="AF259" s="261" t="s">
        <v>418</v>
      </c>
      <c r="AG259" s="261" t="s">
        <v>418</v>
      </c>
      <c r="AH259" s="30"/>
      <c r="AI259" s="27"/>
      <c r="AJ259" s="28"/>
      <c r="AK259" s="217"/>
      <c r="AM259" s="111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88" t="s">
        <v>418</v>
      </c>
      <c r="G260" s="288" t="s">
        <v>418</v>
      </c>
      <c r="H260" s="288" t="s">
        <v>418</v>
      </c>
      <c r="I260" s="288" t="s">
        <v>418</v>
      </c>
      <c r="J260" s="288" t="s">
        <v>418</v>
      </c>
      <c r="K260" s="288" t="s">
        <v>418</v>
      </c>
      <c r="L260" s="288" t="s">
        <v>418</v>
      </c>
      <c r="M260" s="293" t="s">
        <v>418</v>
      </c>
      <c r="N260" s="293" t="s">
        <v>418</v>
      </c>
      <c r="O260" s="293" t="s">
        <v>418</v>
      </c>
      <c r="P260" s="293" t="s">
        <v>418</v>
      </c>
      <c r="Q260" s="293" t="s">
        <v>418</v>
      </c>
      <c r="R260" s="293" t="s">
        <v>418</v>
      </c>
      <c r="S260" s="293" t="s">
        <v>418</v>
      </c>
      <c r="T260" s="260" t="s">
        <v>418</v>
      </c>
      <c r="U260" s="260" t="s">
        <v>418</v>
      </c>
      <c r="V260" s="260" t="s">
        <v>418</v>
      </c>
      <c r="W260" s="260" t="s">
        <v>418</v>
      </c>
      <c r="X260" s="260" t="s">
        <v>418</v>
      </c>
      <c r="Y260" s="260" t="s">
        <v>418</v>
      </c>
      <c r="Z260" s="260" t="s">
        <v>418</v>
      </c>
      <c r="AA260" s="261" t="s">
        <v>418</v>
      </c>
      <c r="AB260" s="261" t="s">
        <v>418</v>
      </c>
      <c r="AC260" s="261" t="s">
        <v>418</v>
      </c>
      <c r="AD260" s="261" t="s">
        <v>418</v>
      </c>
      <c r="AE260" s="261" t="s">
        <v>418</v>
      </c>
      <c r="AF260" s="261" t="s">
        <v>418</v>
      </c>
      <c r="AG260" s="261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88" t="s">
        <v>418</v>
      </c>
      <c r="G261" s="288" t="s">
        <v>418</v>
      </c>
      <c r="H261" s="288" t="s">
        <v>418</v>
      </c>
      <c r="I261" s="288" t="s">
        <v>418</v>
      </c>
      <c r="J261" s="288" t="s">
        <v>418</v>
      </c>
      <c r="K261" s="288" t="s">
        <v>418</v>
      </c>
      <c r="L261" s="288" t="s">
        <v>418</v>
      </c>
      <c r="M261" s="293" t="s">
        <v>418</v>
      </c>
      <c r="N261" s="293" t="s">
        <v>418</v>
      </c>
      <c r="O261" s="293" t="s">
        <v>418</v>
      </c>
      <c r="P261" s="293" t="s">
        <v>418</v>
      </c>
      <c r="Q261" s="293" t="s">
        <v>418</v>
      </c>
      <c r="R261" s="293" t="s">
        <v>418</v>
      </c>
      <c r="S261" s="293" t="s">
        <v>418</v>
      </c>
      <c r="T261" s="260" t="s">
        <v>418</v>
      </c>
      <c r="U261" s="260" t="s">
        <v>418</v>
      </c>
      <c r="V261" s="260" t="s">
        <v>418</v>
      </c>
      <c r="W261" s="260" t="s">
        <v>418</v>
      </c>
      <c r="X261" s="260" t="s">
        <v>418</v>
      </c>
      <c r="Y261" s="260" t="s">
        <v>418</v>
      </c>
      <c r="Z261" s="260" t="s">
        <v>418</v>
      </c>
      <c r="AA261" s="261" t="s">
        <v>418</v>
      </c>
      <c r="AB261" s="261" t="s">
        <v>418</v>
      </c>
      <c r="AC261" s="261" t="s">
        <v>418</v>
      </c>
      <c r="AD261" s="261" t="s">
        <v>418</v>
      </c>
      <c r="AE261" s="261" t="s">
        <v>418</v>
      </c>
      <c r="AF261" s="261" t="s">
        <v>418</v>
      </c>
      <c r="AG261" s="261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88" t="s">
        <v>418</v>
      </c>
      <c r="G262" s="288" t="s">
        <v>418</v>
      </c>
      <c r="H262" s="288" t="s">
        <v>418</v>
      </c>
      <c r="I262" s="288" t="s">
        <v>418</v>
      </c>
      <c r="J262" s="288" t="s">
        <v>418</v>
      </c>
      <c r="K262" s="288" t="s">
        <v>418</v>
      </c>
      <c r="L262" s="288" t="s">
        <v>418</v>
      </c>
      <c r="M262" s="293" t="s">
        <v>418</v>
      </c>
      <c r="N262" s="293" t="s">
        <v>418</v>
      </c>
      <c r="O262" s="293" t="s">
        <v>418</v>
      </c>
      <c r="P262" s="293" t="s">
        <v>418</v>
      </c>
      <c r="Q262" s="293" t="s">
        <v>418</v>
      </c>
      <c r="R262" s="293" t="s">
        <v>418</v>
      </c>
      <c r="S262" s="293" t="s">
        <v>418</v>
      </c>
      <c r="T262" s="260" t="s">
        <v>418</v>
      </c>
      <c r="U262" s="260" t="s">
        <v>418</v>
      </c>
      <c r="V262" s="260" t="s">
        <v>418</v>
      </c>
      <c r="W262" s="260" t="s">
        <v>418</v>
      </c>
      <c r="X262" s="260" t="s">
        <v>418</v>
      </c>
      <c r="Y262" s="260" t="s">
        <v>418</v>
      </c>
      <c r="Z262" s="260" t="s">
        <v>418</v>
      </c>
      <c r="AA262" s="261" t="s">
        <v>418</v>
      </c>
      <c r="AB262" s="261" t="s">
        <v>418</v>
      </c>
      <c r="AC262" s="261" t="s">
        <v>418</v>
      </c>
      <c r="AD262" s="261" t="s">
        <v>418</v>
      </c>
      <c r="AE262" s="261" t="s">
        <v>418</v>
      </c>
      <c r="AF262" s="261" t="s">
        <v>418</v>
      </c>
      <c r="AG262" s="261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88" t="s">
        <v>418</v>
      </c>
      <c r="G263" s="288" t="s">
        <v>418</v>
      </c>
      <c r="H263" s="288" t="s">
        <v>418</v>
      </c>
      <c r="I263" s="288" t="s">
        <v>418</v>
      </c>
      <c r="J263" s="288" t="s">
        <v>418</v>
      </c>
      <c r="K263" s="288" t="s">
        <v>418</v>
      </c>
      <c r="L263" s="288" t="s">
        <v>418</v>
      </c>
      <c r="M263" s="293" t="s">
        <v>418</v>
      </c>
      <c r="N263" s="293" t="s">
        <v>418</v>
      </c>
      <c r="O263" s="293" t="s">
        <v>418</v>
      </c>
      <c r="P263" s="293" t="s">
        <v>418</v>
      </c>
      <c r="Q263" s="293" t="s">
        <v>418</v>
      </c>
      <c r="R263" s="293" t="s">
        <v>418</v>
      </c>
      <c r="S263" s="293" t="s">
        <v>418</v>
      </c>
      <c r="T263" s="260" t="s">
        <v>418</v>
      </c>
      <c r="U263" s="260" t="s">
        <v>418</v>
      </c>
      <c r="V263" s="260" t="s">
        <v>418</v>
      </c>
      <c r="W263" s="260" t="s">
        <v>418</v>
      </c>
      <c r="X263" s="260" t="s">
        <v>418</v>
      </c>
      <c r="Y263" s="260" t="s">
        <v>418</v>
      </c>
      <c r="Z263" s="260" t="s">
        <v>418</v>
      </c>
      <c r="AA263" s="261" t="s">
        <v>418</v>
      </c>
      <c r="AB263" s="261" t="s">
        <v>418</v>
      </c>
      <c r="AC263" s="261" t="s">
        <v>418</v>
      </c>
      <c r="AD263" s="261" t="s">
        <v>418</v>
      </c>
      <c r="AE263" s="261" t="s">
        <v>418</v>
      </c>
      <c r="AF263" s="261" t="s">
        <v>418</v>
      </c>
      <c r="AG263" s="261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88" t="s">
        <v>418</v>
      </c>
      <c r="G264" s="288" t="s">
        <v>418</v>
      </c>
      <c r="H264" s="288" t="s">
        <v>418</v>
      </c>
      <c r="I264" s="288" t="s">
        <v>418</v>
      </c>
      <c r="J264" s="288" t="s">
        <v>418</v>
      </c>
      <c r="K264" s="288" t="s">
        <v>418</v>
      </c>
      <c r="L264" s="288" t="s">
        <v>418</v>
      </c>
      <c r="M264" s="293" t="s">
        <v>418</v>
      </c>
      <c r="N264" s="293" t="s">
        <v>418</v>
      </c>
      <c r="O264" s="293" t="s">
        <v>418</v>
      </c>
      <c r="P264" s="293" t="s">
        <v>418</v>
      </c>
      <c r="Q264" s="293" t="s">
        <v>418</v>
      </c>
      <c r="R264" s="293" t="s">
        <v>418</v>
      </c>
      <c r="S264" s="293" t="s">
        <v>418</v>
      </c>
      <c r="T264" s="260" t="s">
        <v>418</v>
      </c>
      <c r="U264" s="260" t="s">
        <v>418</v>
      </c>
      <c r="V264" s="260" t="s">
        <v>418</v>
      </c>
      <c r="W264" s="260" t="s">
        <v>418</v>
      </c>
      <c r="X264" s="260" t="s">
        <v>418</v>
      </c>
      <c r="Y264" s="260" t="s">
        <v>418</v>
      </c>
      <c r="Z264" s="260" t="s">
        <v>418</v>
      </c>
      <c r="AA264" s="261" t="s">
        <v>418</v>
      </c>
      <c r="AB264" s="261" t="s">
        <v>418</v>
      </c>
      <c r="AC264" s="261" t="s">
        <v>418</v>
      </c>
      <c r="AD264" s="261" t="s">
        <v>418</v>
      </c>
      <c r="AE264" s="261" t="s">
        <v>418</v>
      </c>
      <c r="AF264" s="261" t="s">
        <v>418</v>
      </c>
      <c r="AG264" s="261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88" t="s">
        <v>418</v>
      </c>
      <c r="G265" s="288" t="s">
        <v>418</v>
      </c>
      <c r="H265" s="288" t="s">
        <v>418</v>
      </c>
      <c r="I265" s="288" t="s">
        <v>418</v>
      </c>
      <c r="J265" s="288" t="s">
        <v>418</v>
      </c>
      <c r="K265" s="288" t="s">
        <v>418</v>
      </c>
      <c r="L265" s="288" t="s">
        <v>418</v>
      </c>
      <c r="M265" s="293" t="s">
        <v>418</v>
      </c>
      <c r="N265" s="293" t="s">
        <v>418</v>
      </c>
      <c r="O265" s="293" t="s">
        <v>418</v>
      </c>
      <c r="P265" s="293" t="s">
        <v>418</v>
      </c>
      <c r="Q265" s="293" t="s">
        <v>418</v>
      </c>
      <c r="R265" s="293" t="s">
        <v>418</v>
      </c>
      <c r="S265" s="293" t="s">
        <v>418</v>
      </c>
      <c r="T265" s="260" t="s">
        <v>418</v>
      </c>
      <c r="U265" s="260" t="s">
        <v>418</v>
      </c>
      <c r="V265" s="260" t="s">
        <v>418</v>
      </c>
      <c r="W265" s="260" t="s">
        <v>418</v>
      </c>
      <c r="X265" s="260" t="s">
        <v>418</v>
      </c>
      <c r="Y265" s="260" t="s">
        <v>418</v>
      </c>
      <c r="Z265" s="260" t="s">
        <v>418</v>
      </c>
      <c r="AA265" s="261" t="s">
        <v>418</v>
      </c>
      <c r="AB265" s="261" t="s">
        <v>418</v>
      </c>
      <c r="AC265" s="261" t="s">
        <v>418</v>
      </c>
      <c r="AD265" s="261" t="s">
        <v>418</v>
      </c>
      <c r="AE265" s="261" t="s">
        <v>418</v>
      </c>
      <c r="AF265" s="261" t="s">
        <v>418</v>
      </c>
      <c r="AG265" s="261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88" t="s">
        <v>418</v>
      </c>
      <c r="G266" s="288" t="s">
        <v>418</v>
      </c>
      <c r="H266" s="288" t="s">
        <v>418</v>
      </c>
      <c r="I266" s="288" t="s">
        <v>418</v>
      </c>
      <c r="J266" s="288" t="s">
        <v>418</v>
      </c>
      <c r="K266" s="288" t="s">
        <v>418</v>
      </c>
      <c r="L266" s="288" t="s">
        <v>418</v>
      </c>
      <c r="M266" s="293" t="s">
        <v>418</v>
      </c>
      <c r="N266" s="293" t="s">
        <v>418</v>
      </c>
      <c r="O266" s="293" t="s">
        <v>418</v>
      </c>
      <c r="P266" s="293" t="s">
        <v>418</v>
      </c>
      <c r="Q266" s="293" t="s">
        <v>418</v>
      </c>
      <c r="R266" s="293" t="s">
        <v>418</v>
      </c>
      <c r="S266" s="293" t="s">
        <v>418</v>
      </c>
      <c r="T266" s="260" t="s">
        <v>418</v>
      </c>
      <c r="U266" s="260" t="s">
        <v>418</v>
      </c>
      <c r="V266" s="260" t="s">
        <v>418</v>
      </c>
      <c r="W266" s="260" t="s">
        <v>418</v>
      </c>
      <c r="X266" s="260" t="s">
        <v>418</v>
      </c>
      <c r="Y266" s="260" t="s">
        <v>418</v>
      </c>
      <c r="Z266" s="260" t="s">
        <v>418</v>
      </c>
      <c r="AA266" s="261" t="s">
        <v>418</v>
      </c>
      <c r="AB266" s="261" t="s">
        <v>418</v>
      </c>
      <c r="AC266" s="261" t="s">
        <v>418</v>
      </c>
      <c r="AD266" s="261" t="s">
        <v>418</v>
      </c>
      <c r="AE266" s="261" t="s">
        <v>418</v>
      </c>
      <c r="AF266" s="261" t="s">
        <v>418</v>
      </c>
      <c r="AG266" s="261" t="s">
        <v>418</v>
      </c>
      <c r="AH266" s="220">
        <f>'Project Materials'!$Q$25</f>
        <v>0</v>
      </c>
      <c r="AI266" s="221">
        <f>'Project Materials'!$Q$26</f>
        <v>0</v>
      </c>
      <c r="AJ266" s="222">
        <f>'Project Materials'!$Q$27</f>
        <v>0</v>
      </c>
      <c r="AK266" s="271">
        <f>'Project Materials'!$Q$28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88" t="s">
        <v>418</v>
      </c>
      <c r="G267" s="288" t="s">
        <v>418</v>
      </c>
      <c r="H267" s="288" t="s">
        <v>418</v>
      </c>
      <c r="I267" s="288" t="s">
        <v>418</v>
      </c>
      <c r="J267" s="288" t="s">
        <v>418</v>
      </c>
      <c r="K267" s="288" t="s">
        <v>418</v>
      </c>
      <c r="L267" s="288" t="s">
        <v>418</v>
      </c>
      <c r="M267" s="293" t="s">
        <v>418</v>
      </c>
      <c r="N267" s="293" t="s">
        <v>418</v>
      </c>
      <c r="O267" s="293" t="s">
        <v>418</v>
      </c>
      <c r="P267" s="293" t="s">
        <v>418</v>
      </c>
      <c r="Q267" s="293" t="s">
        <v>418</v>
      </c>
      <c r="R267" s="293" t="s">
        <v>418</v>
      </c>
      <c r="S267" s="293" t="s">
        <v>418</v>
      </c>
      <c r="T267" s="260" t="s">
        <v>418</v>
      </c>
      <c r="U267" s="260" t="s">
        <v>418</v>
      </c>
      <c r="V267" s="260" t="s">
        <v>418</v>
      </c>
      <c r="W267" s="260" t="s">
        <v>418</v>
      </c>
      <c r="X267" s="260" t="s">
        <v>418</v>
      </c>
      <c r="Y267" s="260" t="s">
        <v>418</v>
      </c>
      <c r="Z267" s="260" t="s">
        <v>418</v>
      </c>
      <c r="AA267" s="261" t="s">
        <v>418</v>
      </c>
      <c r="AB267" s="261" t="s">
        <v>418</v>
      </c>
      <c r="AC267" s="261" t="s">
        <v>418</v>
      </c>
      <c r="AD267" s="261" t="s">
        <v>418</v>
      </c>
      <c r="AE267" s="261" t="s">
        <v>418</v>
      </c>
      <c r="AF267" s="261" t="s">
        <v>418</v>
      </c>
      <c r="AG267" s="261" t="s">
        <v>418</v>
      </c>
      <c r="AH267" s="220">
        <f>'Project Materials'!$Q$25</f>
        <v>0</v>
      </c>
      <c r="AI267" s="221">
        <f>'Project Materials'!$Q$26</f>
        <v>0</v>
      </c>
      <c r="AJ267" s="222">
        <f>'Project Materials'!$Q$27</f>
        <v>0</v>
      </c>
      <c r="AK267" s="271">
        <f>'Project Materials'!$Q$28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88" t="s">
        <v>418</v>
      </c>
      <c r="G268" s="288" t="s">
        <v>418</v>
      </c>
      <c r="H268" s="288" t="s">
        <v>418</v>
      </c>
      <c r="I268" s="288" t="s">
        <v>418</v>
      </c>
      <c r="J268" s="288" t="s">
        <v>418</v>
      </c>
      <c r="K268" s="288" t="s">
        <v>418</v>
      </c>
      <c r="L268" s="288" t="s">
        <v>418</v>
      </c>
      <c r="M268" s="293" t="s">
        <v>418</v>
      </c>
      <c r="N268" s="293" t="s">
        <v>418</v>
      </c>
      <c r="O268" s="293" t="s">
        <v>418</v>
      </c>
      <c r="P268" s="293" t="s">
        <v>418</v>
      </c>
      <c r="Q268" s="293" t="s">
        <v>418</v>
      </c>
      <c r="R268" s="293" t="s">
        <v>418</v>
      </c>
      <c r="S268" s="293" t="s">
        <v>418</v>
      </c>
      <c r="T268" s="260" t="s">
        <v>418</v>
      </c>
      <c r="U268" s="260" t="s">
        <v>418</v>
      </c>
      <c r="V268" s="260" t="s">
        <v>418</v>
      </c>
      <c r="W268" s="260" t="s">
        <v>418</v>
      </c>
      <c r="X268" s="260" t="s">
        <v>418</v>
      </c>
      <c r="Y268" s="260" t="s">
        <v>418</v>
      </c>
      <c r="Z268" s="260" t="s">
        <v>418</v>
      </c>
      <c r="AA268" s="261" t="s">
        <v>418</v>
      </c>
      <c r="AB268" s="261" t="s">
        <v>418</v>
      </c>
      <c r="AC268" s="261" t="s">
        <v>418</v>
      </c>
      <c r="AD268" s="261" t="s">
        <v>418</v>
      </c>
      <c r="AE268" s="261" t="s">
        <v>418</v>
      </c>
      <c r="AF268" s="261" t="s">
        <v>418</v>
      </c>
      <c r="AG268" s="261" t="s">
        <v>418</v>
      </c>
      <c r="AH268" s="220">
        <f>'Project Materials'!$Q$25</f>
        <v>0</v>
      </c>
      <c r="AI268" s="221">
        <f>'Project Materials'!$Q$26</f>
        <v>0</v>
      </c>
      <c r="AJ268" s="222">
        <f>'Project Materials'!$Q$27</f>
        <v>0</v>
      </c>
      <c r="AK268" s="271">
        <f>'Project Materials'!$Q$28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88" t="s">
        <v>418</v>
      </c>
      <c r="G269" s="288" t="s">
        <v>418</v>
      </c>
      <c r="H269" s="288" t="s">
        <v>418</v>
      </c>
      <c r="I269" s="288" t="s">
        <v>418</v>
      </c>
      <c r="J269" s="288" t="s">
        <v>418</v>
      </c>
      <c r="K269" s="288" t="s">
        <v>418</v>
      </c>
      <c r="L269" s="288" t="s">
        <v>418</v>
      </c>
      <c r="M269" s="293" t="s">
        <v>418</v>
      </c>
      <c r="N269" s="293" t="s">
        <v>418</v>
      </c>
      <c r="O269" s="293" t="s">
        <v>418</v>
      </c>
      <c r="P269" s="293" t="s">
        <v>418</v>
      </c>
      <c r="Q269" s="293" t="s">
        <v>418</v>
      </c>
      <c r="R269" s="293" t="s">
        <v>418</v>
      </c>
      <c r="S269" s="293" t="s">
        <v>418</v>
      </c>
      <c r="T269" s="260" t="s">
        <v>418</v>
      </c>
      <c r="U269" s="260" t="s">
        <v>418</v>
      </c>
      <c r="V269" s="260" t="s">
        <v>418</v>
      </c>
      <c r="W269" s="260" t="s">
        <v>418</v>
      </c>
      <c r="X269" s="260" t="s">
        <v>418</v>
      </c>
      <c r="Y269" s="260" t="s">
        <v>418</v>
      </c>
      <c r="Z269" s="260" t="s">
        <v>418</v>
      </c>
      <c r="AA269" s="261" t="s">
        <v>418</v>
      </c>
      <c r="AB269" s="261" t="s">
        <v>418</v>
      </c>
      <c r="AC269" s="261" t="s">
        <v>418</v>
      </c>
      <c r="AD269" s="261" t="s">
        <v>418</v>
      </c>
      <c r="AE269" s="261" t="s">
        <v>418</v>
      </c>
      <c r="AF269" s="261" t="s">
        <v>418</v>
      </c>
      <c r="AG269" s="261" t="s">
        <v>418</v>
      </c>
      <c r="AH269" s="220">
        <f>'Project Materials'!$Q$25</f>
        <v>0</v>
      </c>
      <c r="AI269" s="221">
        <f>'Project Materials'!$Q$26</f>
        <v>0</v>
      </c>
      <c r="AJ269" s="222">
        <f>'Project Materials'!$Q$27</f>
        <v>0</v>
      </c>
      <c r="AK269" s="271">
        <f>'Project Materials'!$Q$28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88" t="s">
        <v>418</v>
      </c>
      <c r="G270" s="288" t="s">
        <v>418</v>
      </c>
      <c r="H270" s="288" t="s">
        <v>418</v>
      </c>
      <c r="I270" s="288" t="s">
        <v>418</v>
      </c>
      <c r="J270" s="288" t="s">
        <v>418</v>
      </c>
      <c r="K270" s="288" t="s">
        <v>418</v>
      </c>
      <c r="L270" s="288" t="s">
        <v>418</v>
      </c>
      <c r="M270" s="293" t="s">
        <v>418</v>
      </c>
      <c r="N270" s="293" t="s">
        <v>418</v>
      </c>
      <c r="O270" s="293" t="s">
        <v>418</v>
      </c>
      <c r="P270" s="293" t="s">
        <v>418</v>
      </c>
      <c r="Q270" s="293" t="s">
        <v>418</v>
      </c>
      <c r="R270" s="293" t="s">
        <v>418</v>
      </c>
      <c r="S270" s="293" t="s">
        <v>418</v>
      </c>
      <c r="T270" s="260" t="s">
        <v>418</v>
      </c>
      <c r="U270" s="260" t="s">
        <v>418</v>
      </c>
      <c r="V270" s="260" t="s">
        <v>418</v>
      </c>
      <c r="W270" s="260" t="s">
        <v>418</v>
      </c>
      <c r="X270" s="260" t="s">
        <v>418</v>
      </c>
      <c r="Y270" s="260" t="s">
        <v>418</v>
      </c>
      <c r="Z270" s="260" t="s">
        <v>418</v>
      </c>
      <c r="AA270" s="261" t="s">
        <v>418</v>
      </c>
      <c r="AB270" s="261" t="s">
        <v>418</v>
      </c>
      <c r="AC270" s="261" t="s">
        <v>418</v>
      </c>
      <c r="AD270" s="261" t="s">
        <v>418</v>
      </c>
      <c r="AE270" s="261" t="s">
        <v>418</v>
      </c>
      <c r="AF270" s="261" t="s">
        <v>418</v>
      </c>
      <c r="AG270" s="261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88" t="s">
        <v>418</v>
      </c>
      <c r="G271" s="288" t="s">
        <v>418</v>
      </c>
      <c r="H271" s="288" t="s">
        <v>418</v>
      </c>
      <c r="I271" s="288" t="s">
        <v>418</v>
      </c>
      <c r="J271" s="288" t="s">
        <v>418</v>
      </c>
      <c r="K271" s="288" t="s">
        <v>418</v>
      </c>
      <c r="L271" s="288" t="s">
        <v>418</v>
      </c>
      <c r="M271" s="293" t="s">
        <v>418</v>
      </c>
      <c r="N271" s="293" t="s">
        <v>418</v>
      </c>
      <c r="O271" s="293" t="s">
        <v>418</v>
      </c>
      <c r="P271" s="293" t="s">
        <v>418</v>
      </c>
      <c r="Q271" s="293" t="s">
        <v>418</v>
      </c>
      <c r="R271" s="293" t="s">
        <v>418</v>
      </c>
      <c r="S271" s="293" t="s">
        <v>418</v>
      </c>
      <c r="T271" s="260" t="s">
        <v>418</v>
      </c>
      <c r="U271" s="260" t="s">
        <v>418</v>
      </c>
      <c r="V271" s="260" t="s">
        <v>418</v>
      </c>
      <c r="W271" s="260" t="s">
        <v>418</v>
      </c>
      <c r="X271" s="260" t="s">
        <v>418</v>
      </c>
      <c r="Y271" s="260" t="s">
        <v>418</v>
      </c>
      <c r="Z271" s="260" t="s">
        <v>418</v>
      </c>
      <c r="AA271" s="261" t="s">
        <v>418</v>
      </c>
      <c r="AB271" s="261" t="s">
        <v>418</v>
      </c>
      <c r="AC271" s="261" t="s">
        <v>418</v>
      </c>
      <c r="AD271" s="261" t="s">
        <v>418</v>
      </c>
      <c r="AE271" s="261" t="s">
        <v>418</v>
      </c>
      <c r="AF271" s="261" t="s">
        <v>418</v>
      </c>
      <c r="AG271" s="261" t="s">
        <v>418</v>
      </c>
      <c r="AH271" s="259">
        <f>'Project Materials'!Q25</f>
        <v>0</v>
      </c>
      <c r="AI271" s="258">
        <f>'Project Materials'!Q26</f>
        <v>0</v>
      </c>
      <c r="AJ271" s="257">
        <f>'Project Materials'!Q27</f>
        <v>0</v>
      </c>
      <c r="AK271" s="259">
        <f>'Project Materials'!Q28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88" t="s">
        <v>418</v>
      </c>
      <c r="G272" s="289" t="str">
        <f>IF(('Area A'!$E$29+'Area A'!$E$30)&gt;0,'Item List'!$B$313,IF('Area A'!$J$31&gt;0,'Item List'!$B$312,IF(('Area A'!$J$33+'Area A'!$J$34)&gt;0,'Item List'!$B$280,"none")))</f>
        <v>none</v>
      </c>
      <c r="H272" s="288" t="s">
        <v>418</v>
      </c>
      <c r="I272" s="288" t="s">
        <v>418</v>
      </c>
      <c r="J272" s="288" t="s">
        <v>418</v>
      </c>
      <c r="K272" s="288" t="s">
        <v>418</v>
      </c>
      <c r="L272" s="288" t="s">
        <v>418</v>
      </c>
      <c r="M272" s="293" t="s">
        <v>418</v>
      </c>
      <c r="N272" s="294" t="str">
        <f>IF(('Area B'!$E$29+'Area B'!$E$30)&gt;0,'Item List'!$B$313,IF('Area B'!$J$31&gt;0,'Item List'!$B$312,IF(('Area B'!$J$33+'Area B'!$J$34)&gt;0,'Item List'!$B$280,"none")))</f>
        <v>none</v>
      </c>
      <c r="O272" s="293" t="s">
        <v>418</v>
      </c>
      <c r="P272" s="293" t="s">
        <v>418</v>
      </c>
      <c r="Q272" s="293" t="s">
        <v>418</v>
      </c>
      <c r="R272" s="293" t="s">
        <v>418</v>
      </c>
      <c r="S272" s="293" t="s">
        <v>418</v>
      </c>
      <c r="T272" s="260" t="s">
        <v>418</v>
      </c>
      <c r="U272" s="219" t="str">
        <f>IF(('Area C'!$E$29+'Area C'!$E$30)&gt;0,'Item List'!$B$313,IF('Area C'!$J$31&gt;0,'Item List'!$B$312,IF(('Area C'!$J$33+'Area C'!$J$34)&gt;0,'Item List'!$B$280,"none")))</f>
        <v>none</v>
      </c>
      <c r="V272" s="260" t="s">
        <v>418</v>
      </c>
      <c r="W272" s="260" t="s">
        <v>418</v>
      </c>
      <c r="X272" s="260" t="s">
        <v>418</v>
      </c>
      <c r="Y272" s="260" t="s">
        <v>418</v>
      </c>
      <c r="Z272" s="260" t="s">
        <v>418</v>
      </c>
      <c r="AA272" s="261" t="s">
        <v>418</v>
      </c>
      <c r="AB272" s="262" t="str">
        <f>IF(('Area D'!$E$29+'Area D'!$E$30)&gt;0,'Item List'!$B$313,IF('Area D'!$J$31&gt;0,'Item List'!$B$312,IF(('Area D'!$J$33+'Area D'!$J$34)&gt;0,'Item List'!$B$280,"none")))</f>
        <v>none</v>
      </c>
      <c r="AC272" s="261" t="s">
        <v>418</v>
      </c>
      <c r="AD272" s="261" t="s">
        <v>418</v>
      </c>
      <c r="AE272" s="261" t="s">
        <v>418</v>
      </c>
      <c r="AF272" s="261" t="s">
        <v>418</v>
      </c>
      <c r="AG272" s="261" t="s">
        <v>418</v>
      </c>
      <c r="AH272" s="257">
        <f>CEILING((((CEILING(('Project Materials'!$O$25/D272),0.25)*'Project Materials'!$P$25))),0.5)</f>
        <v>0</v>
      </c>
      <c r="AI272" s="257">
        <f>CEILING((((CEILING(('Project Materials'!$O$26/D272),0.25)*'Project Materials'!$P$26))),0.5)</f>
        <v>0</v>
      </c>
      <c r="AJ272" s="257">
        <f>CEILING((((CEILING(('Project Materials'!$O$27/D272),0.25)*'Project Materials'!$P$27))),0.5)</f>
        <v>0</v>
      </c>
      <c r="AK272" s="258">
        <f>CEILING((((CEILING(('Project Materials'!$O$28/D272),0.25)*'Project Materials'!$P$28))),0.5)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88" t="s">
        <v>418</v>
      </c>
      <c r="G273" s="289" t="str">
        <f>IF(('Area A'!$E$29+'Area A'!$E$30)&gt;0,'Item List'!$B$313,IF('Area A'!$J$31&gt;0,'Item List'!$B$312,IF(('Area A'!$J$33+'Area A'!$J$34)&gt;0,'Item List'!$B$281,"none")))</f>
        <v>none</v>
      </c>
      <c r="H273" s="288" t="s">
        <v>418</v>
      </c>
      <c r="I273" s="288" t="s">
        <v>418</v>
      </c>
      <c r="J273" s="288" t="s">
        <v>418</v>
      </c>
      <c r="K273" s="288" t="s">
        <v>418</v>
      </c>
      <c r="L273" s="288" t="s">
        <v>418</v>
      </c>
      <c r="M273" s="293" t="s">
        <v>418</v>
      </c>
      <c r="N273" s="294" t="str">
        <f>IF(('Area B'!$E$29+'Area B'!$E$30)&gt;0,'Item List'!$B$313,IF('Area B'!$J$31&gt;0,'Item List'!$B$312,IF(('Area B'!$J$33+'Area B'!$J$34)&gt;0,'Item List'!$B$281,"none")))</f>
        <v>none</v>
      </c>
      <c r="O273" s="293" t="s">
        <v>418</v>
      </c>
      <c r="P273" s="293" t="s">
        <v>418</v>
      </c>
      <c r="Q273" s="293" t="s">
        <v>418</v>
      </c>
      <c r="R273" s="293" t="s">
        <v>418</v>
      </c>
      <c r="S273" s="293" t="s">
        <v>418</v>
      </c>
      <c r="T273" s="260" t="s">
        <v>418</v>
      </c>
      <c r="U273" s="219" t="str">
        <f>IF(('Area C'!$E$29+'Area C'!$E$30)&gt;0,'Item List'!$B$313,IF('Area C'!$J$31&gt;0,'Item List'!$B$312,IF(('Area C'!$J$33+'Area C'!$J$34)&gt;0,'Item List'!$B$281,"none")))</f>
        <v>none</v>
      </c>
      <c r="V273" s="260" t="s">
        <v>418</v>
      </c>
      <c r="W273" s="260" t="s">
        <v>418</v>
      </c>
      <c r="X273" s="260" t="s">
        <v>418</v>
      </c>
      <c r="Y273" s="260" t="s">
        <v>418</v>
      </c>
      <c r="Z273" s="260" t="s">
        <v>418</v>
      </c>
      <c r="AA273" s="261" t="s">
        <v>418</v>
      </c>
      <c r="AB273" s="262" t="str">
        <f>IF(('Area D'!$E$29+'Area D'!$E$30)&gt;0,'Item List'!$B$313,IF('Area D'!$J$31&gt;0,'Item List'!$B$312,IF(('Area D'!$J$33+'Area D'!$J$34)&gt;0,'Item List'!$B$281,"none")))</f>
        <v>none</v>
      </c>
      <c r="AC273" s="261" t="s">
        <v>418</v>
      </c>
      <c r="AD273" s="261" t="s">
        <v>418</v>
      </c>
      <c r="AE273" s="261" t="s">
        <v>418</v>
      </c>
      <c r="AF273" s="261" t="s">
        <v>418</v>
      </c>
      <c r="AG273" s="261" t="s">
        <v>418</v>
      </c>
      <c r="AH273" s="257">
        <f>CEILING((((CEILING(('Project Materials'!$O$25/D273),0.25)*'Project Materials'!$P$25))),0.5)</f>
        <v>0</v>
      </c>
      <c r="AI273" s="257">
        <f>CEILING((((CEILING(('Project Materials'!$O$26/D273),0.25)*'Project Materials'!$P$26))),0.5)</f>
        <v>0</v>
      </c>
      <c r="AJ273" s="257">
        <f>CEILING((((CEILING(('Project Materials'!$O$27/D273),0.25)*'Project Materials'!$P$27))),0.5)</f>
        <v>0</v>
      </c>
      <c r="AK273" s="258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88" t="s">
        <v>418</v>
      </c>
      <c r="G274" s="289" t="str">
        <f>IF(('Area A'!$E$29+'Area A'!$E$30)&gt;0,'Item List'!$B$313,IF('Area A'!$J$31&gt;0,'Item List'!$B$312,IF(('Area A'!$J$33+'Area A'!$J$34)&gt;0,'Item List'!$B$282,"none")))</f>
        <v>none</v>
      </c>
      <c r="H274" s="288" t="s">
        <v>418</v>
      </c>
      <c r="I274" s="288" t="s">
        <v>418</v>
      </c>
      <c r="J274" s="288" t="s">
        <v>418</v>
      </c>
      <c r="K274" s="288" t="s">
        <v>418</v>
      </c>
      <c r="L274" s="288" t="s">
        <v>418</v>
      </c>
      <c r="M274" s="293" t="s">
        <v>418</v>
      </c>
      <c r="N274" s="294" t="str">
        <f>IF(('Area B'!$E$29+'Area B'!$E$30)&gt;0,'Item List'!$B$313,IF('Area B'!$J$31&gt;0,'Item List'!$B$312,IF(('Area B'!$J$33+'Area B'!$J$34)&gt;0,'Item List'!$B$282,"none")))</f>
        <v>none</v>
      </c>
      <c r="O274" s="293" t="s">
        <v>418</v>
      </c>
      <c r="P274" s="293" t="s">
        <v>418</v>
      </c>
      <c r="Q274" s="293" t="s">
        <v>418</v>
      </c>
      <c r="R274" s="293" t="s">
        <v>418</v>
      </c>
      <c r="S274" s="293" t="s">
        <v>418</v>
      </c>
      <c r="T274" s="260" t="s">
        <v>418</v>
      </c>
      <c r="U274" s="219" t="str">
        <f>IF(('Area C'!$E$29+'Area C'!$E$30)&gt;0,'Item List'!$B$313,IF('Area C'!$J$31&gt;0,'Item List'!$B$312,IF(('Area C'!$J$33+'Area C'!$J$34)&gt;0,'Item List'!$B$282,"none")))</f>
        <v>none</v>
      </c>
      <c r="V274" s="260" t="s">
        <v>418</v>
      </c>
      <c r="W274" s="260" t="s">
        <v>418</v>
      </c>
      <c r="X274" s="260" t="s">
        <v>418</v>
      </c>
      <c r="Y274" s="260" t="s">
        <v>418</v>
      </c>
      <c r="Z274" s="260" t="s">
        <v>418</v>
      </c>
      <c r="AA274" s="261" t="s">
        <v>418</v>
      </c>
      <c r="AB274" s="262" t="str">
        <f>IF(('Area D'!$E$29+'Area D'!$E$30)&gt;0,'Item List'!$B$313,IF('Area D'!$J$31&gt;0,'Item List'!$B$312,IF(('Area D'!$J$33+'Area D'!$J$34)&gt;0,'Item List'!$B$282,"none")))</f>
        <v>none</v>
      </c>
      <c r="AC274" s="261" t="s">
        <v>418</v>
      </c>
      <c r="AD274" s="261" t="s">
        <v>418</v>
      </c>
      <c r="AE274" s="261" t="s">
        <v>418</v>
      </c>
      <c r="AF274" s="261" t="s">
        <v>418</v>
      </c>
      <c r="AG274" s="261" t="s">
        <v>418</v>
      </c>
      <c r="AH274" s="257">
        <f>CEILING((((CEILING(('Project Materials'!$O$25/D274),0.25)*'Project Materials'!$P$25))),0.5)</f>
        <v>0</v>
      </c>
      <c r="AI274" s="257">
        <f>CEILING((((CEILING(('Project Materials'!$O$26/D274),0.25)*'Project Materials'!$P$26))),0.5)</f>
        <v>0</v>
      </c>
      <c r="AJ274" s="257">
        <f>CEILING((((CEILING(('Project Materials'!$O$27/D274),0.25)*'Project Materials'!$P$27))),0.5)</f>
        <v>0</v>
      </c>
      <c r="AK274" s="258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88" t="s">
        <v>418</v>
      </c>
      <c r="G275" s="289" t="str">
        <f>IF(('Area A'!$E$29+'Area A'!$E$30)&gt;0,'Item List'!$B$313,IF('Area A'!$J$31&gt;0,'Item List'!$B$312,IF(('Area A'!$J$33+'Area A'!$J$34)&gt;0,'Item List'!$B$283,"none")))</f>
        <v>none</v>
      </c>
      <c r="H275" s="288" t="s">
        <v>418</v>
      </c>
      <c r="I275" s="288" t="s">
        <v>418</v>
      </c>
      <c r="J275" s="288" t="s">
        <v>418</v>
      </c>
      <c r="K275" s="288" t="s">
        <v>418</v>
      </c>
      <c r="L275" s="288" t="s">
        <v>418</v>
      </c>
      <c r="M275" s="293" t="s">
        <v>418</v>
      </c>
      <c r="N275" s="294" t="str">
        <f>IF(('Area B'!$E$29+'Area B'!$E$30)&gt;0,'Item List'!$B$313,IF('Area B'!$J$31&gt;0,'Item List'!$B$312,IF(('Area B'!$J$33+'Area B'!$J$34)&gt;0,'Item List'!$B$283,"none")))</f>
        <v>none</v>
      </c>
      <c r="O275" s="293" t="s">
        <v>418</v>
      </c>
      <c r="P275" s="293" t="s">
        <v>418</v>
      </c>
      <c r="Q275" s="293" t="s">
        <v>418</v>
      </c>
      <c r="R275" s="293" t="s">
        <v>418</v>
      </c>
      <c r="S275" s="293" t="s">
        <v>418</v>
      </c>
      <c r="T275" s="260" t="s">
        <v>418</v>
      </c>
      <c r="U275" s="219" t="str">
        <f>IF(('Area C'!$E$29+'Area C'!$E$30)&gt;0,'Item List'!$B$313,IF('Area C'!$J$31&gt;0,'Item List'!$B$312,IF(('Area C'!$J$33+'Area C'!$J$34)&gt;0,'Item List'!$B$283,"none")))</f>
        <v>none</v>
      </c>
      <c r="V275" s="260" t="s">
        <v>418</v>
      </c>
      <c r="W275" s="260" t="s">
        <v>418</v>
      </c>
      <c r="X275" s="260" t="s">
        <v>418</v>
      </c>
      <c r="Y275" s="260" t="s">
        <v>418</v>
      </c>
      <c r="Z275" s="260" t="s">
        <v>418</v>
      </c>
      <c r="AA275" s="261" t="s">
        <v>418</v>
      </c>
      <c r="AB275" s="262" t="str">
        <f>IF(('Area D'!$E$29+'Area D'!$E$30)&gt;0,'Item List'!$B$313,IF('Area D'!$J$31&gt;0,'Item List'!$B$312,IF(('Area D'!$J$33+'Area D'!$J$34)&gt;0,'Item List'!$B$283,"none")))</f>
        <v>none</v>
      </c>
      <c r="AC275" s="261" t="s">
        <v>418</v>
      </c>
      <c r="AD275" s="261" t="s">
        <v>418</v>
      </c>
      <c r="AE275" s="261" t="s">
        <v>418</v>
      </c>
      <c r="AF275" s="261" t="s">
        <v>418</v>
      </c>
      <c r="AG275" s="261" t="s">
        <v>418</v>
      </c>
      <c r="AH275" s="257">
        <f>CEILING((((CEILING(('Project Materials'!$O$25/D275),0.25)*'Project Materials'!$P$25))),0.5)</f>
        <v>0</v>
      </c>
      <c r="AI275" s="257">
        <f>CEILING((((CEILING(('Project Materials'!$O$26/D275),0.25)*'Project Materials'!$P$26))),0.5)</f>
        <v>0</v>
      </c>
      <c r="AJ275" s="257">
        <f>CEILING((((CEILING(('Project Materials'!$O$27/D275),0.25)*'Project Materials'!$P$27))),0.5)</f>
        <v>0</v>
      </c>
      <c r="AK275" s="258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88" t="s">
        <v>418</v>
      </c>
      <c r="G276" s="288" t="s">
        <v>418</v>
      </c>
      <c r="H276" s="288" t="s">
        <v>418</v>
      </c>
      <c r="I276" s="288" t="s">
        <v>418</v>
      </c>
      <c r="J276" s="288" t="s">
        <v>418</v>
      </c>
      <c r="K276" s="288" t="s">
        <v>418</v>
      </c>
      <c r="L276" s="288" t="s">
        <v>418</v>
      </c>
      <c r="M276" s="293" t="s">
        <v>418</v>
      </c>
      <c r="N276" s="293" t="s">
        <v>418</v>
      </c>
      <c r="O276" s="293" t="s">
        <v>418</v>
      </c>
      <c r="P276" s="293" t="s">
        <v>418</v>
      </c>
      <c r="Q276" s="293" t="s">
        <v>418</v>
      </c>
      <c r="R276" s="293" t="s">
        <v>418</v>
      </c>
      <c r="S276" s="293" t="s">
        <v>418</v>
      </c>
      <c r="T276" s="260" t="s">
        <v>418</v>
      </c>
      <c r="U276" s="260" t="s">
        <v>418</v>
      </c>
      <c r="V276" s="260" t="s">
        <v>418</v>
      </c>
      <c r="W276" s="260" t="s">
        <v>418</v>
      </c>
      <c r="X276" s="260" t="s">
        <v>418</v>
      </c>
      <c r="Y276" s="260" t="s">
        <v>418</v>
      </c>
      <c r="Z276" s="260" t="s">
        <v>418</v>
      </c>
      <c r="AA276" s="261" t="s">
        <v>418</v>
      </c>
      <c r="AB276" s="261" t="s">
        <v>418</v>
      </c>
      <c r="AC276" s="261" t="s">
        <v>418</v>
      </c>
      <c r="AD276" s="261" t="s">
        <v>418</v>
      </c>
      <c r="AE276" s="261" t="s">
        <v>418</v>
      </c>
      <c r="AF276" s="261" t="s">
        <v>418</v>
      </c>
      <c r="AG276" s="261" t="s">
        <v>418</v>
      </c>
      <c r="AH276" s="30">
        <f>((('Project Materials'!$Q$25)*2)+(IF('Area A'!B5="TR375 Blk",'Project Materials'!$Q$25,0)))</f>
        <v>0</v>
      </c>
      <c r="AI276" s="27">
        <f>((('Project Materials'!$Q$26)*2)+(IF('Area B'!B5="TR375 Blk",'Project Materials'!$Q$26,0)))</f>
        <v>0</v>
      </c>
      <c r="AJ276" s="28">
        <f>((('Project Materials'!$Q$27)*2)+(IF('Area C'!B5="TR375 Blk",'Project Materials'!$Q$27,0)))</f>
        <v>0</v>
      </c>
      <c r="AK276" s="213">
        <f>((('Project Materials'!$Q$28)*2)+(IF('Area D'!B5="TR375 Blk",'Project Materials'!$Q$28,0)))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88" t="s">
        <v>418</v>
      </c>
      <c r="G277" s="288" t="s">
        <v>418</v>
      </c>
      <c r="H277" s="288" t="s">
        <v>418</v>
      </c>
      <c r="I277" s="288" t="s">
        <v>418</v>
      </c>
      <c r="J277" s="288" t="s">
        <v>418</v>
      </c>
      <c r="K277" s="288" t="s">
        <v>418</v>
      </c>
      <c r="L277" s="288" t="s">
        <v>418</v>
      </c>
      <c r="M277" s="293" t="s">
        <v>418</v>
      </c>
      <c r="N277" s="293" t="s">
        <v>418</v>
      </c>
      <c r="O277" s="293" t="s">
        <v>418</v>
      </c>
      <c r="P277" s="293" t="s">
        <v>418</v>
      </c>
      <c r="Q277" s="293" t="s">
        <v>418</v>
      </c>
      <c r="R277" s="293" t="s">
        <v>418</v>
      </c>
      <c r="S277" s="293" t="s">
        <v>418</v>
      </c>
      <c r="T277" s="260" t="s">
        <v>418</v>
      </c>
      <c r="U277" s="260" t="s">
        <v>418</v>
      </c>
      <c r="V277" s="260" t="s">
        <v>418</v>
      </c>
      <c r="W277" s="260" t="s">
        <v>418</v>
      </c>
      <c r="X277" s="260" t="s">
        <v>418</v>
      </c>
      <c r="Y277" s="260" t="s">
        <v>418</v>
      </c>
      <c r="Z277" s="260" t="s">
        <v>418</v>
      </c>
      <c r="AA277" s="261" t="s">
        <v>418</v>
      </c>
      <c r="AB277" s="261" t="s">
        <v>418</v>
      </c>
      <c r="AC277" s="261" t="s">
        <v>418</v>
      </c>
      <c r="AD277" s="261" t="s">
        <v>418</v>
      </c>
      <c r="AE277" s="261" t="s">
        <v>418</v>
      </c>
      <c r="AF277" s="261" t="s">
        <v>418</v>
      </c>
      <c r="AG277" s="261" t="s">
        <v>418</v>
      </c>
      <c r="AH277" s="30">
        <f>('Project Materials'!$Q$25)*2</f>
        <v>0</v>
      </c>
      <c r="AI277" s="27">
        <f>('Project Materials'!$Q$26)*2</f>
        <v>0</v>
      </c>
      <c r="AJ277" s="28">
        <f>('Project Materials'!$Q$27)*2</f>
        <v>0</v>
      </c>
      <c r="AK277" s="213">
        <f>('Project Materials'!$Q$28)*2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88" t="s">
        <v>418</v>
      </c>
      <c r="G278" s="288" t="s">
        <v>418</v>
      </c>
      <c r="H278" s="288" t="s">
        <v>418</v>
      </c>
      <c r="I278" s="288" t="s">
        <v>418</v>
      </c>
      <c r="J278" s="288" t="s">
        <v>418</v>
      </c>
      <c r="K278" s="288" t="s">
        <v>418</v>
      </c>
      <c r="L278" s="288" t="s">
        <v>418</v>
      </c>
      <c r="M278" s="293" t="s">
        <v>418</v>
      </c>
      <c r="N278" s="293" t="s">
        <v>418</v>
      </c>
      <c r="O278" s="293" t="s">
        <v>418</v>
      </c>
      <c r="P278" s="293" t="s">
        <v>418</v>
      </c>
      <c r="Q278" s="293" t="s">
        <v>418</v>
      </c>
      <c r="R278" s="293" t="s">
        <v>418</v>
      </c>
      <c r="S278" s="293" t="s">
        <v>418</v>
      </c>
      <c r="T278" s="260" t="s">
        <v>418</v>
      </c>
      <c r="U278" s="260" t="s">
        <v>418</v>
      </c>
      <c r="V278" s="260" t="s">
        <v>418</v>
      </c>
      <c r="W278" s="260" t="s">
        <v>418</v>
      </c>
      <c r="X278" s="260" t="s">
        <v>418</v>
      </c>
      <c r="Y278" s="260" t="s">
        <v>418</v>
      </c>
      <c r="Z278" s="260" t="s">
        <v>418</v>
      </c>
      <c r="AA278" s="261" t="s">
        <v>418</v>
      </c>
      <c r="AB278" s="261" t="s">
        <v>418</v>
      </c>
      <c r="AC278" s="261" t="s">
        <v>418</v>
      </c>
      <c r="AD278" s="261" t="s">
        <v>418</v>
      </c>
      <c r="AE278" s="261" t="s">
        <v>418</v>
      </c>
      <c r="AF278" s="261" t="s">
        <v>418</v>
      </c>
      <c r="AG278" s="261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13">
        <f>('Project Materials'!$Q$28)*2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88" t="s">
        <v>418</v>
      </c>
      <c r="G279" s="288" t="s">
        <v>418</v>
      </c>
      <c r="H279" s="288" t="s">
        <v>418</v>
      </c>
      <c r="I279" s="288" t="s">
        <v>418</v>
      </c>
      <c r="J279" s="288" t="s">
        <v>418</v>
      </c>
      <c r="K279" s="288" t="s">
        <v>418</v>
      </c>
      <c r="L279" s="288" t="s">
        <v>418</v>
      </c>
      <c r="M279" s="293" t="s">
        <v>418</v>
      </c>
      <c r="N279" s="293" t="s">
        <v>418</v>
      </c>
      <c r="O279" s="293" t="s">
        <v>418</v>
      </c>
      <c r="P279" s="293" t="s">
        <v>418</v>
      </c>
      <c r="Q279" s="293" t="s">
        <v>418</v>
      </c>
      <c r="R279" s="293" t="s">
        <v>418</v>
      </c>
      <c r="S279" s="293" t="s">
        <v>418</v>
      </c>
      <c r="T279" s="260" t="s">
        <v>418</v>
      </c>
      <c r="U279" s="260" t="s">
        <v>418</v>
      </c>
      <c r="V279" s="260" t="s">
        <v>418</v>
      </c>
      <c r="W279" s="260" t="s">
        <v>418</v>
      </c>
      <c r="X279" s="260" t="s">
        <v>418</v>
      </c>
      <c r="Y279" s="260" t="s">
        <v>418</v>
      </c>
      <c r="Z279" s="260" t="s">
        <v>418</v>
      </c>
      <c r="AA279" s="261" t="s">
        <v>418</v>
      </c>
      <c r="AB279" s="261" t="s">
        <v>418</v>
      </c>
      <c r="AC279" s="261" t="s">
        <v>418</v>
      </c>
      <c r="AD279" s="261" t="s">
        <v>418</v>
      </c>
      <c r="AE279" s="261" t="s">
        <v>418</v>
      </c>
      <c r="AF279" s="261" t="s">
        <v>418</v>
      </c>
      <c r="AG279" s="261" t="s">
        <v>418</v>
      </c>
      <c r="AH279" s="255">
        <f>IF(AH307&gt;0,AH307*2,'Project Materials'!D13*2)</f>
        <v>0</v>
      </c>
      <c r="AI279" s="255">
        <f>IF(AI307&gt;0,AI307*2,'Project Materials'!H13*2)</f>
        <v>0</v>
      </c>
      <c r="AJ279" s="255">
        <f>IF(AJ307&gt;0,AJ307*2,'Project Materials'!L13*2)</f>
        <v>0</v>
      </c>
      <c r="AK279" s="255">
        <f>IF(AK307&gt;0,AK307*2,'Project Materials'!P13*2)</f>
        <v>0</v>
      </c>
      <c r="AM279" s="111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88" t="s">
        <v>418</v>
      </c>
      <c r="G280" s="288" t="s">
        <v>418</v>
      </c>
      <c r="H280" s="288" t="s">
        <v>418</v>
      </c>
      <c r="I280" s="288" t="s">
        <v>418</v>
      </c>
      <c r="J280" s="288" t="s">
        <v>418</v>
      </c>
      <c r="K280" s="288" t="s">
        <v>418</v>
      </c>
      <c r="L280" s="288" t="s">
        <v>418</v>
      </c>
      <c r="M280" s="293" t="s">
        <v>418</v>
      </c>
      <c r="N280" s="293" t="s">
        <v>418</v>
      </c>
      <c r="O280" s="293" t="s">
        <v>418</v>
      </c>
      <c r="P280" s="293" t="s">
        <v>418</v>
      </c>
      <c r="Q280" s="293" t="s">
        <v>418</v>
      </c>
      <c r="R280" s="293" t="s">
        <v>418</v>
      </c>
      <c r="S280" s="293" t="s">
        <v>418</v>
      </c>
      <c r="T280" s="260" t="s">
        <v>418</v>
      </c>
      <c r="U280" s="260" t="s">
        <v>418</v>
      </c>
      <c r="V280" s="260" t="s">
        <v>418</v>
      </c>
      <c r="W280" s="260" t="s">
        <v>418</v>
      </c>
      <c r="X280" s="260" t="s">
        <v>418</v>
      </c>
      <c r="Y280" s="260" t="s">
        <v>418</v>
      </c>
      <c r="Z280" s="260" t="s">
        <v>418</v>
      </c>
      <c r="AA280" s="261" t="s">
        <v>418</v>
      </c>
      <c r="AB280" s="261" t="s">
        <v>418</v>
      </c>
      <c r="AC280" s="261" t="s">
        <v>418</v>
      </c>
      <c r="AD280" s="261" t="s">
        <v>418</v>
      </c>
      <c r="AE280" s="261" t="s">
        <v>418</v>
      </c>
      <c r="AF280" s="261" t="s">
        <v>418</v>
      </c>
      <c r="AG280" s="261" t="s">
        <v>418</v>
      </c>
      <c r="AH280" s="256">
        <f>'Area A'!$E$5</f>
        <v>0</v>
      </c>
      <c r="AI280" s="256">
        <f>'Area B'!$E$5</f>
        <v>0</v>
      </c>
      <c r="AJ280" s="256">
        <f>'Area C'!$E$5</f>
        <v>0</v>
      </c>
      <c r="AK280" s="256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88" t="s">
        <v>418</v>
      </c>
      <c r="G281" s="288" t="s">
        <v>418</v>
      </c>
      <c r="H281" s="288" t="s">
        <v>418</v>
      </c>
      <c r="I281" s="288" t="s">
        <v>418</v>
      </c>
      <c r="J281" s="288" t="s">
        <v>418</v>
      </c>
      <c r="K281" s="288" t="s">
        <v>418</v>
      </c>
      <c r="L281" s="288" t="s">
        <v>418</v>
      </c>
      <c r="M281" s="293" t="s">
        <v>418</v>
      </c>
      <c r="N281" s="293" t="s">
        <v>418</v>
      </c>
      <c r="O281" s="293" t="s">
        <v>418</v>
      </c>
      <c r="P281" s="293" t="s">
        <v>418</v>
      </c>
      <c r="Q281" s="293" t="s">
        <v>418</v>
      </c>
      <c r="R281" s="293" t="s">
        <v>418</v>
      </c>
      <c r="S281" s="293" t="s">
        <v>418</v>
      </c>
      <c r="T281" s="260" t="s">
        <v>418</v>
      </c>
      <c r="U281" s="260" t="s">
        <v>418</v>
      </c>
      <c r="V281" s="260" t="s">
        <v>418</v>
      </c>
      <c r="W281" s="260" t="s">
        <v>418</v>
      </c>
      <c r="X281" s="260" t="s">
        <v>418</v>
      </c>
      <c r="Y281" s="260" t="s">
        <v>418</v>
      </c>
      <c r="Z281" s="260" t="s">
        <v>418</v>
      </c>
      <c r="AA281" s="261" t="s">
        <v>418</v>
      </c>
      <c r="AB281" s="261" t="s">
        <v>418</v>
      </c>
      <c r="AC281" s="261" t="s">
        <v>418</v>
      </c>
      <c r="AD281" s="261" t="s">
        <v>418</v>
      </c>
      <c r="AE281" s="261" t="s">
        <v>418</v>
      </c>
      <c r="AF281" s="261" t="s">
        <v>418</v>
      </c>
      <c r="AG281" s="261" t="s">
        <v>418</v>
      </c>
      <c r="AH281" s="256">
        <f>'Area A'!$E$5</f>
        <v>0</v>
      </c>
      <c r="AI281" s="256">
        <f>'Area B'!$E$5</f>
        <v>0</v>
      </c>
      <c r="AJ281" s="256">
        <f>'Area C'!$E$5</f>
        <v>0</v>
      </c>
      <c r="AK281" s="256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88" t="s">
        <v>418</v>
      </c>
      <c r="G282" s="288" t="s">
        <v>418</v>
      </c>
      <c r="H282" s="288" t="s">
        <v>418</v>
      </c>
      <c r="I282" s="288" t="s">
        <v>418</v>
      </c>
      <c r="J282" s="288" t="s">
        <v>418</v>
      </c>
      <c r="K282" s="288" t="s">
        <v>418</v>
      </c>
      <c r="L282" s="288" t="s">
        <v>418</v>
      </c>
      <c r="M282" s="293" t="s">
        <v>418</v>
      </c>
      <c r="N282" s="293" t="s">
        <v>418</v>
      </c>
      <c r="O282" s="293" t="s">
        <v>418</v>
      </c>
      <c r="P282" s="293" t="s">
        <v>418</v>
      </c>
      <c r="Q282" s="293" t="s">
        <v>418</v>
      </c>
      <c r="R282" s="293" t="s">
        <v>418</v>
      </c>
      <c r="S282" s="293" t="s">
        <v>418</v>
      </c>
      <c r="T282" s="260" t="s">
        <v>418</v>
      </c>
      <c r="U282" s="260" t="s">
        <v>418</v>
      </c>
      <c r="V282" s="260" t="s">
        <v>418</v>
      </c>
      <c r="W282" s="260" t="s">
        <v>418</v>
      </c>
      <c r="X282" s="260" t="s">
        <v>418</v>
      </c>
      <c r="Y282" s="260" t="s">
        <v>418</v>
      </c>
      <c r="Z282" s="260" t="s">
        <v>418</v>
      </c>
      <c r="AA282" s="261" t="s">
        <v>418</v>
      </c>
      <c r="AB282" s="261" t="s">
        <v>418</v>
      </c>
      <c r="AC282" s="261" t="s">
        <v>418</v>
      </c>
      <c r="AD282" s="261" t="s">
        <v>418</v>
      </c>
      <c r="AE282" s="261" t="s">
        <v>418</v>
      </c>
      <c r="AF282" s="261" t="s">
        <v>418</v>
      </c>
      <c r="AG282" s="261" t="s">
        <v>418</v>
      </c>
      <c r="AH282" s="256">
        <f>'Area A'!$E$5</f>
        <v>0</v>
      </c>
      <c r="AI282" s="256">
        <f>'Area B'!$E$5</f>
        <v>0</v>
      </c>
      <c r="AJ282" s="256">
        <f>'Area C'!$E$5</f>
        <v>0</v>
      </c>
      <c r="AK282" s="256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88" t="s">
        <v>418</v>
      </c>
      <c r="G283" s="288" t="s">
        <v>418</v>
      </c>
      <c r="H283" s="288" t="s">
        <v>418</v>
      </c>
      <c r="I283" s="288" t="s">
        <v>418</v>
      </c>
      <c r="J283" s="288" t="s">
        <v>418</v>
      </c>
      <c r="K283" s="288" t="s">
        <v>418</v>
      </c>
      <c r="L283" s="288" t="s">
        <v>418</v>
      </c>
      <c r="M283" s="293" t="s">
        <v>418</v>
      </c>
      <c r="N283" s="293" t="s">
        <v>418</v>
      </c>
      <c r="O283" s="293" t="s">
        <v>418</v>
      </c>
      <c r="P283" s="293" t="s">
        <v>418</v>
      </c>
      <c r="Q283" s="293" t="s">
        <v>418</v>
      </c>
      <c r="R283" s="293" t="s">
        <v>418</v>
      </c>
      <c r="S283" s="293" t="s">
        <v>418</v>
      </c>
      <c r="T283" s="260" t="s">
        <v>418</v>
      </c>
      <c r="U283" s="260" t="s">
        <v>418</v>
      </c>
      <c r="V283" s="260" t="s">
        <v>418</v>
      </c>
      <c r="W283" s="260" t="s">
        <v>418</v>
      </c>
      <c r="X283" s="260" t="s">
        <v>418</v>
      </c>
      <c r="Y283" s="260" t="s">
        <v>418</v>
      </c>
      <c r="Z283" s="260" t="s">
        <v>418</v>
      </c>
      <c r="AA283" s="261" t="s">
        <v>418</v>
      </c>
      <c r="AB283" s="261" t="s">
        <v>418</v>
      </c>
      <c r="AC283" s="261" t="s">
        <v>418</v>
      </c>
      <c r="AD283" s="261" t="s">
        <v>418</v>
      </c>
      <c r="AE283" s="261" t="s">
        <v>418</v>
      </c>
      <c r="AF283" s="261" t="s">
        <v>418</v>
      </c>
      <c r="AG283" s="261" t="s">
        <v>418</v>
      </c>
      <c r="AH283" s="256">
        <f>'Area A'!$E$5</f>
        <v>0</v>
      </c>
      <c r="AI283" s="256">
        <f>'Area B'!$E$5</f>
        <v>0</v>
      </c>
      <c r="AJ283" s="256">
        <f>'Area C'!$E$5</f>
        <v>0</v>
      </c>
      <c r="AK283" s="256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88" t="s">
        <v>418</v>
      </c>
      <c r="G284" s="288" t="s">
        <v>418</v>
      </c>
      <c r="H284" s="288" t="s">
        <v>418</v>
      </c>
      <c r="I284" s="288" t="s">
        <v>418</v>
      </c>
      <c r="J284" s="288" t="s">
        <v>418</v>
      </c>
      <c r="K284" s="288" t="s">
        <v>418</v>
      </c>
      <c r="L284" s="288" t="s">
        <v>418</v>
      </c>
      <c r="M284" s="293" t="s">
        <v>418</v>
      </c>
      <c r="N284" s="293" t="s">
        <v>418</v>
      </c>
      <c r="O284" s="293" t="s">
        <v>418</v>
      </c>
      <c r="P284" s="293" t="s">
        <v>418</v>
      </c>
      <c r="Q284" s="293" t="s">
        <v>418</v>
      </c>
      <c r="R284" s="293" t="s">
        <v>418</v>
      </c>
      <c r="S284" s="293" t="s">
        <v>418</v>
      </c>
      <c r="T284" s="260" t="s">
        <v>418</v>
      </c>
      <c r="U284" s="260" t="s">
        <v>418</v>
      </c>
      <c r="V284" s="260" t="s">
        <v>418</v>
      </c>
      <c r="W284" s="260" t="s">
        <v>418</v>
      </c>
      <c r="X284" s="260" t="s">
        <v>418</v>
      </c>
      <c r="Y284" s="260" t="s">
        <v>418</v>
      </c>
      <c r="Z284" s="260" t="s">
        <v>418</v>
      </c>
      <c r="AA284" s="261" t="s">
        <v>418</v>
      </c>
      <c r="AB284" s="261" t="s">
        <v>418</v>
      </c>
      <c r="AC284" s="261" t="s">
        <v>418</v>
      </c>
      <c r="AD284" s="261" t="s">
        <v>418</v>
      </c>
      <c r="AE284" s="261" t="s">
        <v>418</v>
      </c>
      <c r="AF284" s="261" t="s">
        <v>418</v>
      </c>
      <c r="AG284" s="261" t="s">
        <v>418</v>
      </c>
      <c r="AH284" s="256">
        <f>'Area A'!$E$5</f>
        <v>0</v>
      </c>
      <c r="AI284" s="256">
        <f>'Area B'!$E$5</f>
        <v>0</v>
      </c>
      <c r="AJ284" s="256">
        <f>'Area C'!$E$5</f>
        <v>0</v>
      </c>
      <c r="AK284" s="256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88" t="s">
        <v>418</v>
      </c>
      <c r="G285" s="288" t="s">
        <v>418</v>
      </c>
      <c r="H285" s="288" t="s">
        <v>418</v>
      </c>
      <c r="I285" s="288" t="s">
        <v>418</v>
      </c>
      <c r="J285" s="288" t="s">
        <v>418</v>
      </c>
      <c r="K285" s="288" t="s">
        <v>418</v>
      </c>
      <c r="L285" s="288" t="s">
        <v>418</v>
      </c>
      <c r="M285" s="293" t="s">
        <v>418</v>
      </c>
      <c r="N285" s="293" t="s">
        <v>418</v>
      </c>
      <c r="O285" s="293" t="s">
        <v>418</v>
      </c>
      <c r="P285" s="293" t="s">
        <v>418</v>
      </c>
      <c r="Q285" s="293" t="s">
        <v>418</v>
      </c>
      <c r="R285" s="293" t="s">
        <v>418</v>
      </c>
      <c r="S285" s="293" t="s">
        <v>418</v>
      </c>
      <c r="T285" s="260" t="s">
        <v>418</v>
      </c>
      <c r="U285" s="260" t="s">
        <v>418</v>
      </c>
      <c r="V285" s="260" t="s">
        <v>418</v>
      </c>
      <c r="W285" s="260" t="s">
        <v>418</v>
      </c>
      <c r="X285" s="260" t="s">
        <v>418</v>
      </c>
      <c r="Y285" s="260" t="s">
        <v>418</v>
      </c>
      <c r="Z285" s="260" t="s">
        <v>418</v>
      </c>
      <c r="AA285" s="261" t="s">
        <v>418</v>
      </c>
      <c r="AB285" s="261" t="s">
        <v>418</v>
      </c>
      <c r="AC285" s="261" t="s">
        <v>418</v>
      </c>
      <c r="AD285" s="261" t="s">
        <v>418</v>
      </c>
      <c r="AE285" s="261" t="s">
        <v>418</v>
      </c>
      <c r="AF285" s="261" t="s">
        <v>418</v>
      </c>
      <c r="AG285" s="261" t="s">
        <v>418</v>
      </c>
      <c r="AH285" s="256">
        <f>'Area A'!$E$5</f>
        <v>0</v>
      </c>
      <c r="AI285" s="256">
        <f>'Area B'!$E$5</f>
        <v>0</v>
      </c>
      <c r="AJ285" s="256">
        <f>'Area C'!$E$5</f>
        <v>0</v>
      </c>
      <c r="AK285" s="256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88" t="s">
        <v>418</v>
      </c>
      <c r="G286" s="288" t="s">
        <v>418</v>
      </c>
      <c r="H286" s="288" t="s">
        <v>418</v>
      </c>
      <c r="I286" s="288" t="s">
        <v>418</v>
      </c>
      <c r="J286" s="288" t="s">
        <v>418</v>
      </c>
      <c r="K286" s="288" t="s">
        <v>418</v>
      </c>
      <c r="L286" s="288" t="s">
        <v>418</v>
      </c>
      <c r="M286" s="293" t="s">
        <v>418</v>
      </c>
      <c r="N286" s="293" t="s">
        <v>418</v>
      </c>
      <c r="O286" s="293" t="s">
        <v>418</v>
      </c>
      <c r="P286" s="293" t="s">
        <v>418</v>
      </c>
      <c r="Q286" s="293" t="s">
        <v>418</v>
      </c>
      <c r="R286" s="293" t="s">
        <v>418</v>
      </c>
      <c r="S286" s="293" t="s">
        <v>418</v>
      </c>
      <c r="T286" s="260" t="s">
        <v>418</v>
      </c>
      <c r="U286" s="260" t="s">
        <v>418</v>
      </c>
      <c r="V286" s="260" t="s">
        <v>418</v>
      </c>
      <c r="W286" s="260" t="s">
        <v>418</v>
      </c>
      <c r="X286" s="260" t="s">
        <v>418</v>
      </c>
      <c r="Y286" s="260" t="s">
        <v>418</v>
      </c>
      <c r="Z286" s="260" t="s">
        <v>418</v>
      </c>
      <c r="AA286" s="261" t="s">
        <v>418</v>
      </c>
      <c r="AB286" s="261" t="s">
        <v>418</v>
      </c>
      <c r="AC286" s="261" t="s">
        <v>418</v>
      </c>
      <c r="AD286" s="261" t="s">
        <v>418</v>
      </c>
      <c r="AE286" s="261" t="s">
        <v>418</v>
      </c>
      <c r="AF286" s="261" t="s">
        <v>418</v>
      </c>
      <c r="AG286" s="261" t="s">
        <v>418</v>
      </c>
      <c r="AH286" s="256">
        <f>'Area A'!$E$5</f>
        <v>0</v>
      </c>
      <c r="AI286" s="256">
        <f>'Area B'!$E$5</f>
        <v>0</v>
      </c>
      <c r="AJ286" s="256">
        <f>'Area C'!$E$5</f>
        <v>0</v>
      </c>
      <c r="AK286" s="256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88" t="s">
        <v>418</v>
      </c>
      <c r="G287" s="288" t="s">
        <v>418</v>
      </c>
      <c r="H287" s="288" t="s">
        <v>418</v>
      </c>
      <c r="I287" s="288" t="s">
        <v>418</v>
      </c>
      <c r="J287" s="288" t="s">
        <v>418</v>
      </c>
      <c r="K287" s="288" t="s">
        <v>418</v>
      </c>
      <c r="L287" s="288" t="s">
        <v>418</v>
      </c>
      <c r="M287" s="293" t="s">
        <v>418</v>
      </c>
      <c r="N287" s="293" t="s">
        <v>418</v>
      </c>
      <c r="O287" s="293" t="s">
        <v>418</v>
      </c>
      <c r="P287" s="293" t="s">
        <v>418</v>
      </c>
      <c r="Q287" s="293" t="s">
        <v>418</v>
      </c>
      <c r="R287" s="293" t="s">
        <v>418</v>
      </c>
      <c r="S287" s="293" t="s">
        <v>418</v>
      </c>
      <c r="T287" s="260" t="s">
        <v>418</v>
      </c>
      <c r="U287" s="260" t="s">
        <v>418</v>
      </c>
      <c r="V287" s="260" t="s">
        <v>418</v>
      </c>
      <c r="W287" s="260" t="s">
        <v>418</v>
      </c>
      <c r="X287" s="260" t="s">
        <v>418</v>
      </c>
      <c r="Y287" s="260" t="s">
        <v>418</v>
      </c>
      <c r="Z287" s="260" t="s">
        <v>418</v>
      </c>
      <c r="AA287" s="261" t="s">
        <v>418</v>
      </c>
      <c r="AB287" s="261" t="s">
        <v>418</v>
      </c>
      <c r="AC287" s="261" t="s">
        <v>418</v>
      </c>
      <c r="AD287" s="261" t="s">
        <v>418</v>
      </c>
      <c r="AE287" s="261" t="s">
        <v>418</v>
      </c>
      <c r="AF287" s="261" t="s">
        <v>418</v>
      </c>
      <c r="AG287" s="261" t="s">
        <v>418</v>
      </c>
      <c r="AH287" s="256">
        <f>'Area A'!$E$5</f>
        <v>0</v>
      </c>
      <c r="AI287" s="256">
        <f>'Area B'!$E$5</f>
        <v>0</v>
      </c>
      <c r="AJ287" s="256">
        <f>'Area C'!$E$5</f>
        <v>0</v>
      </c>
      <c r="AK287" s="256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88" t="s">
        <v>418</v>
      </c>
      <c r="G288" s="288" t="s">
        <v>418</v>
      </c>
      <c r="H288" s="288" t="s">
        <v>418</v>
      </c>
      <c r="I288" s="288" t="s">
        <v>418</v>
      </c>
      <c r="J288" s="288" t="s">
        <v>418</v>
      </c>
      <c r="K288" s="288" t="s">
        <v>418</v>
      </c>
      <c r="L288" s="288" t="s">
        <v>418</v>
      </c>
      <c r="M288" s="293" t="s">
        <v>418</v>
      </c>
      <c r="N288" s="293" t="s">
        <v>418</v>
      </c>
      <c r="O288" s="293" t="s">
        <v>418</v>
      </c>
      <c r="P288" s="293" t="s">
        <v>418</v>
      </c>
      <c r="Q288" s="293" t="s">
        <v>418</v>
      </c>
      <c r="R288" s="293" t="s">
        <v>418</v>
      </c>
      <c r="S288" s="293" t="s">
        <v>418</v>
      </c>
      <c r="T288" s="260" t="s">
        <v>418</v>
      </c>
      <c r="U288" s="260" t="s">
        <v>418</v>
      </c>
      <c r="V288" s="260" t="s">
        <v>418</v>
      </c>
      <c r="W288" s="260" t="s">
        <v>418</v>
      </c>
      <c r="X288" s="260" t="s">
        <v>418</v>
      </c>
      <c r="Y288" s="260" t="s">
        <v>418</v>
      </c>
      <c r="Z288" s="260" t="s">
        <v>418</v>
      </c>
      <c r="AA288" s="261" t="s">
        <v>418</v>
      </c>
      <c r="AB288" s="261" t="s">
        <v>418</v>
      </c>
      <c r="AC288" s="261" t="s">
        <v>418</v>
      </c>
      <c r="AD288" s="261" t="s">
        <v>418</v>
      </c>
      <c r="AE288" s="261" t="s">
        <v>418</v>
      </c>
      <c r="AF288" s="261" t="s">
        <v>418</v>
      </c>
      <c r="AG288" s="261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88" t="s">
        <v>418</v>
      </c>
      <c r="G289" s="288" t="s">
        <v>418</v>
      </c>
      <c r="H289" s="288" t="s">
        <v>418</v>
      </c>
      <c r="I289" s="288" t="s">
        <v>418</v>
      </c>
      <c r="J289" s="288" t="s">
        <v>418</v>
      </c>
      <c r="K289" s="288" t="s">
        <v>418</v>
      </c>
      <c r="L289" s="288" t="s">
        <v>418</v>
      </c>
      <c r="M289" s="293" t="s">
        <v>418</v>
      </c>
      <c r="N289" s="293" t="s">
        <v>418</v>
      </c>
      <c r="O289" s="293" t="s">
        <v>418</v>
      </c>
      <c r="P289" s="293" t="s">
        <v>418</v>
      </c>
      <c r="Q289" s="293" t="s">
        <v>418</v>
      </c>
      <c r="R289" s="293" t="s">
        <v>418</v>
      </c>
      <c r="S289" s="293" t="s">
        <v>418</v>
      </c>
      <c r="T289" s="260" t="s">
        <v>418</v>
      </c>
      <c r="U289" s="260" t="s">
        <v>418</v>
      </c>
      <c r="V289" s="260" t="s">
        <v>418</v>
      </c>
      <c r="W289" s="260" t="s">
        <v>418</v>
      </c>
      <c r="X289" s="260" t="s">
        <v>418</v>
      </c>
      <c r="Y289" s="260" t="s">
        <v>418</v>
      </c>
      <c r="Z289" s="260" t="s">
        <v>418</v>
      </c>
      <c r="AA289" s="261" t="s">
        <v>418</v>
      </c>
      <c r="AB289" s="261" t="s">
        <v>418</v>
      </c>
      <c r="AC289" s="261" t="s">
        <v>418</v>
      </c>
      <c r="AD289" s="261" t="s">
        <v>418</v>
      </c>
      <c r="AE289" s="261" t="s">
        <v>418</v>
      </c>
      <c r="AF289" s="261" t="s">
        <v>418</v>
      </c>
      <c r="AG289" s="261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88" t="s">
        <v>418</v>
      </c>
      <c r="G290" s="290" t="s">
        <v>183</v>
      </c>
      <c r="H290" s="288" t="s">
        <v>418</v>
      </c>
      <c r="I290" s="288" t="s">
        <v>418</v>
      </c>
      <c r="J290" s="288" t="s">
        <v>418</v>
      </c>
      <c r="K290" s="288" t="s">
        <v>418</v>
      </c>
      <c r="L290" s="288" t="s">
        <v>418</v>
      </c>
      <c r="M290" s="293" t="s">
        <v>418</v>
      </c>
      <c r="N290" s="295" t="s">
        <v>183</v>
      </c>
      <c r="O290" s="293" t="s">
        <v>418</v>
      </c>
      <c r="P290" s="293" t="s">
        <v>418</v>
      </c>
      <c r="Q290" s="293" t="s">
        <v>418</v>
      </c>
      <c r="R290" s="293" t="s">
        <v>418</v>
      </c>
      <c r="S290" s="293" t="s">
        <v>418</v>
      </c>
      <c r="T290" s="260" t="s">
        <v>418</v>
      </c>
      <c r="U290" s="167" t="s">
        <v>183</v>
      </c>
      <c r="V290" s="260" t="s">
        <v>418</v>
      </c>
      <c r="W290" s="260" t="s">
        <v>418</v>
      </c>
      <c r="X290" s="260" t="s">
        <v>418</v>
      </c>
      <c r="Y290" s="260" t="s">
        <v>418</v>
      </c>
      <c r="Z290" s="260" t="s">
        <v>418</v>
      </c>
      <c r="AA290" s="261" t="s">
        <v>418</v>
      </c>
      <c r="AB290" s="215" t="s">
        <v>183</v>
      </c>
      <c r="AC290" s="261" t="s">
        <v>418</v>
      </c>
      <c r="AD290" s="261" t="s">
        <v>418</v>
      </c>
      <c r="AE290" s="261" t="s">
        <v>418</v>
      </c>
      <c r="AF290" s="261" t="s">
        <v>418</v>
      </c>
      <c r="AG290" s="261" t="s">
        <v>418</v>
      </c>
      <c r="AH290" s="30">
        <f>((2*'Project Materials'!$Q$25)-(1*('Project Materials'!$K$25*'Project Materials'!$P$25)))</f>
        <v>0</v>
      </c>
      <c r="AI290" s="27">
        <f>((2*'Project Materials'!$Q$26)-(1*('Project Materials'!$K$26*'Project Materials'!$P$26)))</f>
        <v>0</v>
      </c>
      <c r="AJ290" s="28">
        <f>((2*'Project Materials'!$Q$27)-(1*('Project Materials'!$K$27*'Project Materials'!$P$27)))</f>
        <v>0</v>
      </c>
      <c r="AK290" s="213">
        <f>((2*'Project Materials'!$Q$28)-(1*('Project Materials'!$K$28*'Project Materials'!$P$28)))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88" t="s">
        <v>418</v>
      </c>
      <c r="G291" s="288" t="s">
        <v>418</v>
      </c>
      <c r="H291" s="288" t="s">
        <v>418</v>
      </c>
      <c r="I291" s="288" t="s">
        <v>418</v>
      </c>
      <c r="J291" s="288" t="s">
        <v>418</v>
      </c>
      <c r="K291" s="288" t="s">
        <v>418</v>
      </c>
      <c r="L291" s="288" t="s">
        <v>418</v>
      </c>
      <c r="M291" s="293" t="s">
        <v>418</v>
      </c>
      <c r="N291" s="293" t="s">
        <v>418</v>
      </c>
      <c r="O291" s="293" t="s">
        <v>418</v>
      </c>
      <c r="P291" s="293" t="s">
        <v>418</v>
      </c>
      <c r="Q291" s="293" t="s">
        <v>418</v>
      </c>
      <c r="R291" s="293" t="s">
        <v>418</v>
      </c>
      <c r="S291" s="293" t="s">
        <v>418</v>
      </c>
      <c r="T291" s="260" t="s">
        <v>418</v>
      </c>
      <c r="U291" s="260" t="s">
        <v>418</v>
      </c>
      <c r="V291" s="260" t="s">
        <v>418</v>
      </c>
      <c r="W291" s="260" t="s">
        <v>418</v>
      </c>
      <c r="X291" s="260" t="s">
        <v>418</v>
      </c>
      <c r="Y291" s="260" t="s">
        <v>418</v>
      </c>
      <c r="Z291" s="260" t="s">
        <v>418</v>
      </c>
      <c r="AA291" s="261" t="s">
        <v>418</v>
      </c>
      <c r="AB291" s="261" t="s">
        <v>418</v>
      </c>
      <c r="AC291" s="261" t="s">
        <v>418</v>
      </c>
      <c r="AD291" s="261" t="s">
        <v>418</v>
      </c>
      <c r="AE291" s="261" t="s">
        <v>418</v>
      </c>
      <c r="AF291" s="261" t="s">
        <v>418</v>
      </c>
      <c r="AG291" s="261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13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88" t="s">
        <v>418</v>
      </c>
      <c r="G292" s="290" t="s">
        <v>183</v>
      </c>
      <c r="H292" s="288" t="s">
        <v>418</v>
      </c>
      <c r="I292" s="288" t="s">
        <v>418</v>
      </c>
      <c r="J292" s="288" t="s">
        <v>418</v>
      </c>
      <c r="K292" s="288" t="s">
        <v>418</v>
      </c>
      <c r="L292" s="288" t="s">
        <v>418</v>
      </c>
      <c r="M292" s="293" t="s">
        <v>418</v>
      </c>
      <c r="N292" s="295" t="s">
        <v>183</v>
      </c>
      <c r="O292" s="293" t="s">
        <v>418</v>
      </c>
      <c r="P292" s="293" t="s">
        <v>418</v>
      </c>
      <c r="Q292" s="293" t="s">
        <v>418</v>
      </c>
      <c r="R292" s="293" t="s">
        <v>418</v>
      </c>
      <c r="S292" s="293" t="s">
        <v>418</v>
      </c>
      <c r="T292" s="260" t="s">
        <v>418</v>
      </c>
      <c r="U292" s="167" t="s">
        <v>183</v>
      </c>
      <c r="V292" s="260" t="s">
        <v>418</v>
      </c>
      <c r="W292" s="260" t="s">
        <v>418</v>
      </c>
      <c r="X292" s="260" t="s">
        <v>418</v>
      </c>
      <c r="Y292" s="260" t="s">
        <v>418</v>
      </c>
      <c r="Z292" s="260" t="s">
        <v>418</v>
      </c>
      <c r="AA292" s="261" t="s">
        <v>418</v>
      </c>
      <c r="AB292" s="215" t="s">
        <v>183</v>
      </c>
      <c r="AC292" s="261" t="s">
        <v>418</v>
      </c>
      <c r="AD292" s="261" t="s">
        <v>418</v>
      </c>
      <c r="AE292" s="261" t="s">
        <v>418</v>
      </c>
      <c r="AF292" s="261" t="s">
        <v>418</v>
      </c>
      <c r="AG292" s="261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13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88" t="s">
        <v>418</v>
      </c>
      <c r="G293" s="288" t="s">
        <v>418</v>
      </c>
      <c r="H293" s="288" t="s">
        <v>418</v>
      </c>
      <c r="I293" s="288" t="s">
        <v>418</v>
      </c>
      <c r="J293" s="288" t="s">
        <v>418</v>
      </c>
      <c r="K293" s="288" t="s">
        <v>418</v>
      </c>
      <c r="L293" s="288" t="s">
        <v>418</v>
      </c>
      <c r="M293" s="293" t="s">
        <v>418</v>
      </c>
      <c r="N293" s="293" t="s">
        <v>418</v>
      </c>
      <c r="O293" s="293" t="s">
        <v>418</v>
      </c>
      <c r="P293" s="293" t="s">
        <v>418</v>
      </c>
      <c r="Q293" s="293" t="s">
        <v>418</v>
      </c>
      <c r="R293" s="293" t="s">
        <v>418</v>
      </c>
      <c r="S293" s="293" t="s">
        <v>418</v>
      </c>
      <c r="T293" s="260" t="s">
        <v>418</v>
      </c>
      <c r="U293" s="260" t="s">
        <v>418</v>
      </c>
      <c r="V293" s="260" t="s">
        <v>418</v>
      </c>
      <c r="W293" s="260" t="s">
        <v>418</v>
      </c>
      <c r="X293" s="260" t="s">
        <v>418</v>
      </c>
      <c r="Y293" s="260" t="s">
        <v>418</v>
      </c>
      <c r="Z293" s="260" t="s">
        <v>418</v>
      </c>
      <c r="AA293" s="261" t="s">
        <v>418</v>
      </c>
      <c r="AB293" s="261" t="s">
        <v>418</v>
      </c>
      <c r="AC293" s="261" t="s">
        <v>418</v>
      </c>
      <c r="AD293" s="261" t="s">
        <v>418</v>
      </c>
      <c r="AE293" s="261" t="s">
        <v>418</v>
      </c>
      <c r="AF293" s="261" t="s">
        <v>418</v>
      </c>
      <c r="AG293" s="261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13">
        <f>((2*'Project Materials'!$Q$28)-(1*('Project Materials'!$K$28*'Project Materials'!$P$28)))</f>
        <v>0</v>
      </c>
    </row>
    <row r="294" spans="1:40" s="250" customFormat="1" x14ac:dyDescent="0.4">
      <c r="A294" s="60" t="s">
        <v>10</v>
      </c>
      <c r="B294" s="112" t="s">
        <v>873</v>
      </c>
      <c r="C294" s="112" t="s">
        <v>874</v>
      </c>
      <c r="D294" s="12"/>
      <c r="E294" s="4"/>
      <c r="F294" s="288" t="s">
        <v>418</v>
      </c>
      <c r="G294" s="290" t="s">
        <v>183</v>
      </c>
      <c r="H294" s="288" t="s">
        <v>418</v>
      </c>
      <c r="I294" s="288" t="s">
        <v>418</v>
      </c>
      <c r="J294" s="288" t="s">
        <v>418</v>
      </c>
      <c r="K294" s="288" t="s">
        <v>418</v>
      </c>
      <c r="L294" s="288" t="s">
        <v>418</v>
      </c>
      <c r="M294" s="293" t="s">
        <v>418</v>
      </c>
      <c r="N294" s="295" t="s">
        <v>183</v>
      </c>
      <c r="O294" s="293" t="s">
        <v>418</v>
      </c>
      <c r="P294" s="293" t="s">
        <v>418</v>
      </c>
      <c r="Q294" s="293" t="s">
        <v>418</v>
      </c>
      <c r="R294" s="293" t="s">
        <v>418</v>
      </c>
      <c r="S294" s="293" t="s">
        <v>418</v>
      </c>
      <c r="T294" s="260" t="s">
        <v>418</v>
      </c>
      <c r="U294" s="167" t="s">
        <v>183</v>
      </c>
      <c r="V294" s="260" t="s">
        <v>418</v>
      </c>
      <c r="W294" s="260" t="s">
        <v>418</v>
      </c>
      <c r="X294" s="260" t="s">
        <v>418</v>
      </c>
      <c r="Y294" s="260" t="s">
        <v>418</v>
      </c>
      <c r="Z294" s="260" t="s">
        <v>418</v>
      </c>
      <c r="AA294" s="261" t="s">
        <v>418</v>
      </c>
      <c r="AB294" s="215" t="s">
        <v>183</v>
      </c>
      <c r="AC294" s="261" t="s">
        <v>418</v>
      </c>
      <c r="AD294" s="261" t="s">
        <v>418</v>
      </c>
      <c r="AE294" s="261" t="s">
        <v>418</v>
      </c>
      <c r="AF294" s="261" t="s">
        <v>418</v>
      </c>
      <c r="AG294" s="261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13">
        <f>((2*'Project Materials'!$Q$28)-(1*('Project Materials'!$K$28*'Project Materials'!$P$28)))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88" t="s">
        <v>418</v>
      </c>
      <c r="G295" s="288" t="s">
        <v>418</v>
      </c>
      <c r="H295" s="288" t="s">
        <v>418</v>
      </c>
      <c r="I295" s="288" t="s">
        <v>418</v>
      </c>
      <c r="J295" s="288" t="s">
        <v>418</v>
      </c>
      <c r="K295" s="288" t="s">
        <v>418</v>
      </c>
      <c r="L295" s="288" t="s">
        <v>418</v>
      </c>
      <c r="M295" s="293" t="s">
        <v>418</v>
      </c>
      <c r="N295" s="293" t="s">
        <v>418</v>
      </c>
      <c r="O295" s="293" t="s">
        <v>418</v>
      </c>
      <c r="P295" s="293" t="s">
        <v>418</v>
      </c>
      <c r="Q295" s="293" t="s">
        <v>418</v>
      </c>
      <c r="R295" s="293" t="s">
        <v>418</v>
      </c>
      <c r="S295" s="293" t="s">
        <v>418</v>
      </c>
      <c r="T295" s="260" t="s">
        <v>418</v>
      </c>
      <c r="U295" s="260" t="s">
        <v>418</v>
      </c>
      <c r="V295" s="260" t="s">
        <v>418</v>
      </c>
      <c r="W295" s="260" t="s">
        <v>418</v>
      </c>
      <c r="X295" s="260" t="s">
        <v>418</v>
      </c>
      <c r="Y295" s="260" t="s">
        <v>418</v>
      </c>
      <c r="Z295" s="260" t="s">
        <v>418</v>
      </c>
      <c r="AA295" s="261" t="s">
        <v>418</v>
      </c>
      <c r="AB295" s="261" t="s">
        <v>418</v>
      </c>
      <c r="AC295" s="261" t="s">
        <v>418</v>
      </c>
      <c r="AD295" s="261" t="s">
        <v>418</v>
      </c>
      <c r="AE295" s="261" t="s">
        <v>418</v>
      </c>
      <c r="AF295" s="261" t="s">
        <v>418</v>
      </c>
      <c r="AG295" s="261" t="s">
        <v>418</v>
      </c>
      <c r="AH295" s="272">
        <f>('Project Materials'!$O$25*'Project Materials'!$P$25)*3</f>
        <v>0</v>
      </c>
      <c r="AI295" s="273">
        <f>('Project Materials'!$O$26*'Project Materials'!$P$26)*3</f>
        <v>0</v>
      </c>
      <c r="AJ295" s="274">
        <f>('Project Materials'!$O$27*'Project Materials'!$P$27)*3</f>
        <v>0</v>
      </c>
      <c r="AK295" s="275">
        <f>('Project Materials'!$O$28*'Project Materials'!$P$28)*3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88" t="s">
        <v>418</v>
      </c>
      <c r="G296" s="288" t="s">
        <v>418</v>
      </c>
      <c r="H296" s="288" t="s">
        <v>418</v>
      </c>
      <c r="I296" s="288" t="s">
        <v>418</v>
      </c>
      <c r="J296" s="288" t="s">
        <v>418</v>
      </c>
      <c r="K296" s="288" t="s">
        <v>418</v>
      </c>
      <c r="L296" s="288" t="s">
        <v>418</v>
      </c>
      <c r="M296" s="293" t="s">
        <v>418</v>
      </c>
      <c r="N296" s="293" t="s">
        <v>418</v>
      </c>
      <c r="O296" s="293" t="s">
        <v>418</v>
      </c>
      <c r="P296" s="293" t="s">
        <v>418</v>
      </c>
      <c r="Q296" s="293" t="s">
        <v>418</v>
      </c>
      <c r="R296" s="293" t="s">
        <v>418</v>
      </c>
      <c r="S296" s="293" t="s">
        <v>418</v>
      </c>
      <c r="T296" s="260" t="s">
        <v>418</v>
      </c>
      <c r="U296" s="260" t="s">
        <v>418</v>
      </c>
      <c r="V296" s="260" t="s">
        <v>418</v>
      </c>
      <c r="W296" s="260" t="s">
        <v>418</v>
      </c>
      <c r="X296" s="260" t="s">
        <v>418</v>
      </c>
      <c r="Y296" s="260" t="s">
        <v>418</v>
      </c>
      <c r="Z296" s="260" t="s">
        <v>418</v>
      </c>
      <c r="AA296" s="261" t="s">
        <v>418</v>
      </c>
      <c r="AB296" s="261" t="s">
        <v>418</v>
      </c>
      <c r="AC296" s="261" t="s">
        <v>418</v>
      </c>
      <c r="AD296" s="261" t="s">
        <v>418</v>
      </c>
      <c r="AE296" s="261" t="s">
        <v>418</v>
      </c>
      <c r="AF296" s="261" t="s">
        <v>418</v>
      </c>
      <c r="AG296" s="261" t="s">
        <v>418</v>
      </c>
      <c r="AH296" s="272">
        <f>('Project Materials'!$O$25*'Project Materials'!$P$25)*3</f>
        <v>0</v>
      </c>
      <c r="AI296" s="273">
        <f>('Project Materials'!$O$26*'Project Materials'!$P$26)*3</f>
        <v>0</v>
      </c>
      <c r="AJ296" s="274">
        <f>('Project Materials'!$O$27*'Project Materials'!$P$27)*3</f>
        <v>0</v>
      </c>
      <c r="AK296" s="275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88" t="s">
        <v>418</v>
      </c>
      <c r="G297" s="288" t="s">
        <v>418</v>
      </c>
      <c r="H297" s="288" t="s">
        <v>418</v>
      </c>
      <c r="I297" s="288" t="s">
        <v>418</v>
      </c>
      <c r="J297" s="288" t="s">
        <v>418</v>
      </c>
      <c r="K297" s="288" t="s">
        <v>418</v>
      </c>
      <c r="L297" s="288" t="s">
        <v>418</v>
      </c>
      <c r="M297" s="293" t="s">
        <v>418</v>
      </c>
      <c r="N297" s="293" t="s">
        <v>418</v>
      </c>
      <c r="O297" s="293" t="s">
        <v>418</v>
      </c>
      <c r="P297" s="293" t="s">
        <v>418</v>
      </c>
      <c r="Q297" s="293" t="s">
        <v>418</v>
      </c>
      <c r="R297" s="293" t="s">
        <v>418</v>
      </c>
      <c r="S297" s="293" t="s">
        <v>418</v>
      </c>
      <c r="T297" s="260" t="s">
        <v>418</v>
      </c>
      <c r="U297" s="260" t="s">
        <v>418</v>
      </c>
      <c r="V297" s="260" t="s">
        <v>418</v>
      </c>
      <c r="W297" s="260" t="s">
        <v>418</v>
      </c>
      <c r="X297" s="260" t="s">
        <v>418</v>
      </c>
      <c r="Y297" s="260" t="s">
        <v>418</v>
      </c>
      <c r="Z297" s="260" t="s">
        <v>418</v>
      </c>
      <c r="AA297" s="261" t="s">
        <v>418</v>
      </c>
      <c r="AB297" s="261" t="s">
        <v>418</v>
      </c>
      <c r="AC297" s="261" t="s">
        <v>418</v>
      </c>
      <c r="AD297" s="261" t="s">
        <v>418</v>
      </c>
      <c r="AE297" s="261" t="s">
        <v>418</v>
      </c>
      <c r="AF297" s="261" t="s">
        <v>418</v>
      </c>
      <c r="AG297" s="261" t="s">
        <v>418</v>
      </c>
      <c r="AH297" s="272">
        <f>('Project Materials'!$O$25*'Project Materials'!$P$25)*3</f>
        <v>0</v>
      </c>
      <c r="AI297" s="273">
        <f>('Project Materials'!$O$26*'Project Materials'!$P$26)*3</f>
        <v>0</v>
      </c>
      <c r="AJ297" s="274">
        <f>('Project Materials'!$O$27*'Project Materials'!$P$27)*3</f>
        <v>0</v>
      </c>
      <c r="AK297" s="275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88" t="s">
        <v>418</v>
      </c>
      <c r="G298" s="288" t="s">
        <v>418</v>
      </c>
      <c r="H298" s="288" t="s">
        <v>418</v>
      </c>
      <c r="I298" s="288" t="s">
        <v>418</v>
      </c>
      <c r="J298" s="288" t="s">
        <v>418</v>
      </c>
      <c r="K298" s="288" t="s">
        <v>418</v>
      </c>
      <c r="L298" s="288" t="s">
        <v>418</v>
      </c>
      <c r="M298" s="293" t="s">
        <v>418</v>
      </c>
      <c r="N298" s="293" t="s">
        <v>418</v>
      </c>
      <c r="O298" s="293" t="s">
        <v>418</v>
      </c>
      <c r="P298" s="293" t="s">
        <v>418</v>
      </c>
      <c r="Q298" s="293" t="s">
        <v>418</v>
      </c>
      <c r="R298" s="293" t="s">
        <v>418</v>
      </c>
      <c r="S298" s="293" t="s">
        <v>418</v>
      </c>
      <c r="T298" s="260" t="s">
        <v>418</v>
      </c>
      <c r="U298" s="260" t="s">
        <v>418</v>
      </c>
      <c r="V298" s="260" t="s">
        <v>418</v>
      </c>
      <c r="W298" s="260" t="s">
        <v>418</v>
      </c>
      <c r="X298" s="260" t="s">
        <v>418</v>
      </c>
      <c r="Y298" s="260" t="s">
        <v>418</v>
      </c>
      <c r="Z298" s="260" t="s">
        <v>418</v>
      </c>
      <c r="AA298" s="261" t="s">
        <v>418</v>
      </c>
      <c r="AB298" s="261" t="s">
        <v>418</v>
      </c>
      <c r="AC298" s="261" t="s">
        <v>418</v>
      </c>
      <c r="AD298" s="261" t="s">
        <v>418</v>
      </c>
      <c r="AE298" s="261" t="s">
        <v>418</v>
      </c>
      <c r="AF298" s="261" t="s">
        <v>418</v>
      </c>
      <c r="AG298" s="261" t="s">
        <v>418</v>
      </c>
      <c r="AH298" s="272">
        <f>('Project Materials'!$O$25*'Project Materials'!$P$25)*3</f>
        <v>0</v>
      </c>
      <c r="AI298" s="273">
        <f>('Project Materials'!$O$26*'Project Materials'!$P$26)*3</f>
        <v>0</v>
      </c>
      <c r="AJ298" s="274">
        <f>('Project Materials'!$O$27*'Project Materials'!$P$27)*3</f>
        <v>0</v>
      </c>
      <c r="AK298" s="275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88" t="s">
        <v>418</v>
      </c>
      <c r="G299" s="288" t="s">
        <v>418</v>
      </c>
      <c r="H299" s="288" t="s">
        <v>418</v>
      </c>
      <c r="I299" s="288" t="s">
        <v>418</v>
      </c>
      <c r="J299" s="288" t="s">
        <v>418</v>
      </c>
      <c r="K299" s="288" t="s">
        <v>418</v>
      </c>
      <c r="L299" s="288" t="s">
        <v>418</v>
      </c>
      <c r="M299" s="293" t="s">
        <v>418</v>
      </c>
      <c r="N299" s="293" t="s">
        <v>418</v>
      </c>
      <c r="O299" s="293" t="s">
        <v>418</v>
      </c>
      <c r="P299" s="293" t="s">
        <v>418</v>
      </c>
      <c r="Q299" s="293" t="s">
        <v>418</v>
      </c>
      <c r="R299" s="293" t="s">
        <v>418</v>
      </c>
      <c r="S299" s="293" t="s">
        <v>418</v>
      </c>
      <c r="T299" s="260" t="s">
        <v>418</v>
      </c>
      <c r="U299" s="260" t="s">
        <v>418</v>
      </c>
      <c r="V299" s="260" t="s">
        <v>418</v>
      </c>
      <c r="W299" s="260" t="s">
        <v>418</v>
      </c>
      <c r="X299" s="260" t="s">
        <v>418</v>
      </c>
      <c r="Y299" s="260" t="s">
        <v>418</v>
      </c>
      <c r="Z299" s="260" t="s">
        <v>418</v>
      </c>
      <c r="AA299" s="261" t="s">
        <v>418</v>
      </c>
      <c r="AB299" s="261" t="s">
        <v>418</v>
      </c>
      <c r="AC299" s="261" t="s">
        <v>418</v>
      </c>
      <c r="AD299" s="261" t="s">
        <v>418</v>
      </c>
      <c r="AE299" s="261" t="s">
        <v>418</v>
      </c>
      <c r="AF299" s="261" t="s">
        <v>418</v>
      </c>
      <c r="AG299" s="261" t="s">
        <v>418</v>
      </c>
      <c r="AH299" s="272">
        <f>('Project Materials'!$O$25*'Project Materials'!$P$25)*3</f>
        <v>0</v>
      </c>
      <c r="AI299" s="273">
        <f>('Project Materials'!$O$26*'Project Materials'!$P$26)*3</f>
        <v>0</v>
      </c>
      <c r="AJ299" s="274">
        <f>('Project Materials'!$O$27*'Project Materials'!$P$27)*3</f>
        <v>0</v>
      </c>
      <c r="AK299" s="275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88" t="s">
        <v>418</v>
      </c>
      <c r="G300" s="288" t="s">
        <v>418</v>
      </c>
      <c r="H300" s="288" t="s">
        <v>418</v>
      </c>
      <c r="I300" s="288" t="s">
        <v>418</v>
      </c>
      <c r="J300" s="288" t="s">
        <v>418</v>
      </c>
      <c r="K300" s="288" t="s">
        <v>418</v>
      </c>
      <c r="L300" s="288" t="s">
        <v>418</v>
      </c>
      <c r="M300" s="293" t="s">
        <v>418</v>
      </c>
      <c r="N300" s="293" t="s">
        <v>418</v>
      </c>
      <c r="O300" s="293" t="s">
        <v>418</v>
      </c>
      <c r="P300" s="293" t="s">
        <v>418</v>
      </c>
      <c r="Q300" s="293" t="s">
        <v>418</v>
      </c>
      <c r="R300" s="293" t="s">
        <v>418</v>
      </c>
      <c r="S300" s="293" t="s">
        <v>418</v>
      </c>
      <c r="T300" s="260" t="s">
        <v>418</v>
      </c>
      <c r="U300" s="260" t="s">
        <v>418</v>
      </c>
      <c r="V300" s="260" t="s">
        <v>418</v>
      </c>
      <c r="W300" s="260" t="s">
        <v>418</v>
      </c>
      <c r="X300" s="260" t="s">
        <v>418</v>
      </c>
      <c r="Y300" s="260" t="s">
        <v>418</v>
      </c>
      <c r="Z300" s="260" t="s">
        <v>418</v>
      </c>
      <c r="AA300" s="261" t="s">
        <v>418</v>
      </c>
      <c r="AB300" s="261" t="s">
        <v>418</v>
      </c>
      <c r="AC300" s="261" t="s">
        <v>418</v>
      </c>
      <c r="AD300" s="261" t="s">
        <v>418</v>
      </c>
      <c r="AE300" s="261" t="s">
        <v>418</v>
      </c>
      <c r="AF300" s="261" t="s">
        <v>418</v>
      </c>
      <c r="AG300" s="261" t="s">
        <v>418</v>
      </c>
      <c r="AH300" s="272">
        <f>('Project Materials'!$O$25*'Project Materials'!$P$25)*3</f>
        <v>0</v>
      </c>
      <c r="AI300" s="273">
        <f>('Project Materials'!$O$26*'Project Materials'!$P$26)*3</f>
        <v>0</v>
      </c>
      <c r="AJ300" s="274">
        <f>('Project Materials'!$O$27*'Project Materials'!$P$27)*3</f>
        <v>0</v>
      </c>
      <c r="AK300" s="275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88" t="s">
        <v>418</v>
      </c>
      <c r="G301" s="288" t="s">
        <v>418</v>
      </c>
      <c r="H301" s="288" t="s">
        <v>418</v>
      </c>
      <c r="I301" s="288" t="s">
        <v>418</v>
      </c>
      <c r="J301" s="288" t="s">
        <v>418</v>
      </c>
      <c r="K301" s="288" t="s">
        <v>418</v>
      </c>
      <c r="L301" s="288" t="s">
        <v>418</v>
      </c>
      <c r="M301" s="293" t="s">
        <v>418</v>
      </c>
      <c r="N301" s="293" t="s">
        <v>418</v>
      </c>
      <c r="O301" s="293" t="s">
        <v>418</v>
      </c>
      <c r="P301" s="293" t="s">
        <v>418</v>
      </c>
      <c r="Q301" s="293" t="s">
        <v>418</v>
      </c>
      <c r="R301" s="293" t="s">
        <v>418</v>
      </c>
      <c r="S301" s="293" t="s">
        <v>418</v>
      </c>
      <c r="T301" s="260" t="s">
        <v>418</v>
      </c>
      <c r="U301" s="260" t="s">
        <v>418</v>
      </c>
      <c r="V301" s="260" t="s">
        <v>418</v>
      </c>
      <c r="W301" s="260" t="s">
        <v>418</v>
      </c>
      <c r="X301" s="260" t="s">
        <v>418</v>
      </c>
      <c r="Y301" s="260" t="s">
        <v>418</v>
      </c>
      <c r="Z301" s="260" t="s">
        <v>418</v>
      </c>
      <c r="AA301" s="261" t="s">
        <v>418</v>
      </c>
      <c r="AB301" s="261" t="s">
        <v>418</v>
      </c>
      <c r="AC301" s="261" t="s">
        <v>418</v>
      </c>
      <c r="AD301" s="261" t="s">
        <v>418</v>
      </c>
      <c r="AE301" s="261" t="s">
        <v>418</v>
      </c>
      <c r="AF301" s="261" t="s">
        <v>418</v>
      </c>
      <c r="AG301" s="261" t="s">
        <v>418</v>
      </c>
      <c r="AH301" s="272">
        <f>('Project Materials'!$O$25*'Project Materials'!$P$25)*3</f>
        <v>0</v>
      </c>
      <c r="AI301" s="273">
        <f>('Project Materials'!$O$26*'Project Materials'!$P$26)*3</f>
        <v>0</v>
      </c>
      <c r="AJ301" s="274">
        <f>('Project Materials'!$O$27*'Project Materials'!$P$27)*3</f>
        <v>0</v>
      </c>
      <c r="AK301" s="275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88" t="s">
        <v>418</v>
      </c>
      <c r="G302" s="288" t="s">
        <v>418</v>
      </c>
      <c r="H302" s="288" t="s">
        <v>418</v>
      </c>
      <c r="I302" s="288" t="s">
        <v>418</v>
      </c>
      <c r="J302" s="288" t="s">
        <v>418</v>
      </c>
      <c r="K302" s="288" t="s">
        <v>418</v>
      </c>
      <c r="L302" s="288" t="s">
        <v>418</v>
      </c>
      <c r="M302" s="293" t="s">
        <v>418</v>
      </c>
      <c r="N302" s="293" t="s">
        <v>418</v>
      </c>
      <c r="O302" s="293" t="s">
        <v>418</v>
      </c>
      <c r="P302" s="293" t="s">
        <v>418</v>
      </c>
      <c r="Q302" s="293" t="s">
        <v>418</v>
      </c>
      <c r="R302" s="293" t="s">
        <v>418</v>
      </c>
      <c r="S302" s="293" t="s">
        <v>418</v>
      </c>
      <c r="T302" s="260" t="s">
        <v>418</v>
      </c>
      <c r="U302" s="260" t="s">
        <v>418</v>
      </c>
      <c r="V302" s="260" t="s">
        <v>418</v>
      </c>
      <c r="W302" s="260" t="s">
        <v>418</v>
      </c>
      <c r="X302" s="260" t="s">
        <v>418</v>
      </c>
      <c r="Y302" s="260" t="s">
        <v>418</v>
      </c>
      <c r="Z302" s="260" t="s">
        <v>418</v>
      </c>
      <c r="AA302" s="261" t="s">
        <v>418</v>
      </c>
      <c r="AB302" s="261" t="s">
        <v>418</v>
      </c>
      <c r="AC302" s="261" t="s">
        <v>418</v>
      </c>
      <c r="AD302" s="261" t="s">
        <v>418</v>
      </c>
      <c r="AE302" s="261" t="s">
        <v>418</v>
      </c>
      <c r="AF302" s="261" t="s">
        <v>418</v>
      </c>
      <c r="AG302" s="261" t="s">
        <v>418</v>
      </c>
      <c r="AH302" s="272">
        <f>('Project Materials'!$O$25*'Project Materials'!$P$25)*3</f>
        <v>0</v>
      </c>
      <c r="AI302" s="273">
        <f>('Project Materials'!$O$26*'Project Materials'!$P$26)*3</f>
        <v>0</v>
      </c>
      <c r="AJ302" s="274">
        <f>('Project Materials'!$O$27*'Project Materials'!$P$27)*3</f>
        <v>0</v>
      </c>
      <c r="AK302" s="275">
        <f>('Project Materials'!$O$28*'Project Materials'!$P$28)*3</f>
        <v>0</v>
      </c>
      <c r="AL302" s="9"/>
      <c r="AM302" s="9"/>
    </row>
    <row r="303" spans="1:40" s="111" customFormat="1" x14ac:dyDescent="0.4">
      <c r="A303" s="60" t="s">
        <v>10</v>
      </c>
      <c r="B303" s="112" t="s">
        <v>705</v>
      </c>
      <c r="C303" s="112" t="s">
        <v>706</v>
      </c>
      <c r="D303" s="12"/>
      <c r="E303" s="4">
        <v>2.25</v>
      </c>
      <c r="F303" s="288" t="s">
        <v>418</v>
      </c>
      <c r="G303" s="288" t="s">
        <v>418</v>
      </c>
      <c r="H303" s="288" t="s">
        <v>418</v>
      </c>
      <c r="I303" s="288" t="s">
        <v>418</v>
      </c>
      <c r="J303" s="288" t="s">
        <v>418</v>
      </c>
      <c r="K303" s="288" t="s">
        <v>418</v>
      </c>
      <c r="L303" s="288" t="s">
        <v>418</v>
      </c>
      <c r="M303" s="293" t="s">
        <v>418</v>
      </c>
      <c r="N303" s="293" t="s">
        <v>418</v>
      </c>
      <c r="O303" s="293" t="s">
        <v>418</v>
      </c>
      <c r="P303" s="293" t="s">
        <v>418</v>
      </c>
      <c r="Q303" s="293" t="s">
        <v>418</v>
      </c>
      <c r="R303" s="293" t="s">
        <v>418</v>
      </c>
      <c r="S303" s="293" t="s">
        <v>418</v>
      </c>
      <c r="T303" s="260" t="s">
        <v>418</v>
      </c>
      <c r="U303" s="260" t="s">
        <v>418</v>
      </c>
      <c r="V303" s="260" t="s">
        <v>418</v>
      </c>
      <c r="W303" s="260" t="s">
        <v>418</v>
      </c>
      <c r="X303" s="260" t="s">
        <v>418</v>
      </c>
      <c r="Y303" s="260" t="s">
        <v>418</v>
      </c>
      <c r="Z303" s="260" t="s">
        <v>418</v>
      </c>
      <c r="AA303" s="261" t="s">
        <v>418</v>
      </c>
      <c r="AB303" s="261" t="s">
        <v>418</v>
      </c>
      <c r="AC303" s="261" t="s">
        <v>418</v>
      </c>
      <c r="AD303" s="261" t="s">
        <v>418</v>
      </c>
      <c r="AE303" s="261" t="s">
        <v>418</v>
      </c>
      <c r="AF303" s="261" t="s">
        <v>418</v>
      </c>
      <c r="AG303" s="261" t="s">
        <v>418</v>
      </c>
      <c r="AH303" s="276">
        <f>IF('Area A'!$E$5=0,0,ROUNDUP('Area A'!$E$5,0)-1)</f>
        <v>0</v>
      </c>
      <c r="AI303" s="277">
        <f>IF('Area B'!$E$5=0,0,ROUNDUP('Area B'!$E$5,0)-1)</f>
        <v>0</v>
      </c>
      <c r="AJ303" s="278">
        <f>IF('Area C'!$E$5=0,0,ROUNDUP('Area C'!$E$5,0)-1)</f>
        <v>0</v>
      </c>
      <c r="AK303" s="269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707</v>
      </c>
      <c r="C304" s="2" t="s">
        <v>708</v>
      </c>
      <c r="D304" s="12"/>
      <c r="E304" s="4">
        <v>2.5499999999999998</v>
      </c>
      <c r="F304" s="288" t="s">
        <v>418</v>
      </c>
      <c r="G304" s="288" t="s">
        <v>418</v>
      </c>
      <c r="H304" s="288" t="s">
        <v>418</v>
      </c>
      <c r="I304" s="288" t="s">
        <v>418</v>
      </c>
      <c r="J304" s="288" t="s">
        <v>418</v>
      </c>
      <c r="K304" s="288" t="s">
        <v>418</v>
      </c>
      <c r="L304" s="288" t="s">
        <v>418</v>
      </c>
      <c r="M304" s="293" t="s">
        <v>418</v>
      </c>
      <c r="N304" s="293" t="s">
        <v>418</v>
      </c>
      <c r="O304" s="293" t="s">
        <v>418</v>
      </c>
      <c r="P304" s="293" t="s">
        <v>418</v>
      </c>
      <c r="Q304" s="293" t="s">
        <v>418</v>
      </c>
      <c r="R304" s="293" t="s">
        <v>418</v>
      </c>
      <c r="S304" s="293" t="s">
        <v>418</v>
      </c>
      <c r="T304" s="260" t="s">
        <v>418</v>
      </c>
      <c r="U304" s="260" t="s">
        <v>418</v>
      </c>
      <c r="V304" s="260" t="s">
        <v>418</v>
      </c>
      <c r="W304" s="260" t="s">
        <v>418</v>
      </c>
      <c r="X304" s="260" t="s">
        <v>418</v>
      </c>
      <c r="Y304" s="260" t="s">
        <v>418</v>
      </c>
      <c r="Z304" s="260" t="s">
        <v>418</v>
      </c>
      <c r="AA304" s="261" t="s">
        <v>418</v>
      </c>
      <c r="AB304" s="261" t="s">
        <v>418</v>
      </c>
      <c r="AC304" s="261" t="s">
        <v>418</v>
      </c>
      <c r="AD304" s="261" t="s">
        <v>418</v>
      </c>
      <c r="AE304" s="261" t="s">
        <v>418</v>
      </c>
      <c r="AF304" s="261" t="s">
        <v>418</v>
      </c>
      <c r="AG304" s="261" t="s">
        <v>418</v>
      </c>
      <c r="AH304" s="276">
        <f>IF('Area A'!$E$5=0,0,ROUNDUP('Area A'!$E$5,0)-1)</f>
        <v>0</v>
      </c>
      <c r="AI304" s="277">
        <f>IF('Area B'!$E$5=0,0,ROUNDUP('Area B'!$E$5,0)-1)</f>
        <v>0</v>
      </c>
      <c r="AJ304" s="278">
        <f>IF('Area C'!$E$5=0,0,ROUNDUP('Area C'!$E$5,0)-1)</f>
        <v>0</v>
      </c>
      <c r="AK304" s="269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88" t="s">
        <v>418</v>
      </c>
      <c r="G305" s="288" t="s">
        <v>418</v>
      </c>
      <c r="H305" s="288" t="s">
        <v>418</v>
      </c>
      <c r="I305" s="288" t="s">
        <v>418</v>
      </c>
      <c r="J305" s="288" t="s">
        <v>418</v>
      </c>
      <c r="K305" s="288" t="s">
        <v>418</v>
      </c>
      <c r="L305" s="288" t="s">
        <v>418</v>
      </c>
      <c r="M305" s="293" t="s">
        <v>418</v>
      </c>
      <c r="N305" s="293" t="s">
        <v>418</v>
      </c>
      <c r="O305" s="293" t="s">
        <v>418</v>
      </c>
      <c r="P305" s="293" t="s">
        <v>418</v>
      </c>
      <c r="Q305" s="293" t="s">
        <v>418</v>
      </c>
      <c r="R305" s="293" t="s">
        <v>418</v>
      </c>
      <c r="S305" s="293" t="s">
        <v>418</v>
      </c>
      <c r="T305" s="260" t="s">
        <v>418</v>
      </c>
      <c r="U305" s="260" t="s">
        <v>418</v>
      </c>
      <c r="V305" s="260" t="s">
        <v>418</v>
      </c>
      <c r="W305" s="260" t="s">
        <v>418</v>
      </c>
      <c r="X305" s="260" t="s">
        <v>418</v>
      </c>
      <c r="Y305" s="260" t="s">
        <v>418</v>
      </c>
      <c r="Z305" s="260" t="s">
        <v>418</v>
      </c>
      <c r="AA305" s="261" t="s">
        <v>418</v>
      </c>
      <c r="AB305" s="261" t="s">
        <v>418</v>
      </c>
      <c r="AC305" s="261" t="s">
        <v>418</v>
      </c>
      <c r="AD305" s="261" t="s">
        <v>418</v>
      </c>
      <c r="AE305" s="261" t="s">
        <v>418</v>
      </c>
      <c r="AF305" s="261" t="s">
        <v>418</v>
      </c>
      <c r="AG305" s="261" t="s">
        <v>418</v>
      </c>
      <c r="AH305" s="30">
        <f>ROUNDUP(0.125*'Project Materials'!Q25,2)</f>
        <v>0</v>
      </c>
      <c r="AI305" s="27">
        <f>ROUNDUP(0.125*'Project Materials'!Q26,2)</f>
        <v>0</v>
      </c>
      <c r="AJ305" s="28">
        <f>ROUNDUP(0.125*'Project Materials'!Q27,2)</f>
        <v>0</v>
      </c>
      <c r="AK305" s="213">
        <f>ROUNDUP(0.125*'Project Materials'!Q28,2)</f>
        <v>0</v>
      </c>
    </row>
    <row r="306" spans="1:40" s="111" customFormat="1" ht="15" thickBot="1" x14ac:dyDescent="0.45">
      <c r="A306" s="60" t="s">
        <v>10</v>
      </c>
      <c r="B306" s="112" t="s">
        <v>693</v>
      </c>
      <c r="C306" s="112" t="s">
        <v>694</v>
      </c>
      <c r="D306" s="12"/>
      <c r="E306" s="4">
        <v>2.1</v>
      </c>
      <c r="F306" s="288" t="s">
        <v>418</v>
      </c>
      <c r="G306" s="288" t="s">
        <v>418</v>
      </c>
      <c r="H306" s="288" t="s">
        <v>418</v>
      </c>
      <c r="I306" s="288" t="s">
        <v>418</v>
      </c>
      <c r="J306" s="288" t="s">
        <v>418</v>
      </c>
      <c r="K306" s="288" t="s">
        <v>418</v>
      </c>
      <c r="L306" s="288" t="s">
        <v>418</v>
      </c>
      <c r="M306" s="293" t="s">
        <v>418</v>
      </c>
      <c r="N306" s="293" t="s">
        <v>418</v>
      </c>
      <c r="O306" s="293" t="s">
        <v>418</v>
      </c>
      <c r="P306" s="293" t="s">
        <v>418</v>
      </c>
      <c r="Q306" s="293" t="s">
        <v>418</v>
      </c>
      <c r="R306" s="293" t="s">
        <v>418</v>
      </c>
      <c r="S306" s="293" t="s">
        <v>418</v>
      </c>
      <c r="T306" s="260" t="s">
        <v>418</v>
      </c>
      <c r="U306" s="260" t="s">
        <v>418</v>
      </c>
      <c r="V306" s="260" t="s">
        <v>418</v>
      </c>
      <c r="W306" s="260" t="s">
        <v>418</v>
      </c>
      <c r="X306" s="260" t="s">
        <v>418</v>
      </c>
      <c r="Y306" s="260" t="s">
        <v>418</v>
      </c>
      <c r="Z306" s="260" t="s">
        <v>418</v>
      </c>
      <c r="AA306" s="261" t="s">
        <v>418</v>
      </c>
      <c r="AB306" s="261" t="s">
        <v>418</v>
      </c>
      <c r="AC306" s="261" t="s">
        <v>418</v>
      </c>
      <c r="AD306" s="261" t="s">
        <v>418</v>
      </c>
      <c r="AE306" s="261" t="s">
        <v>418</v>
      </c>
      <c r="AF306" s="261" t="s">
        <v>418</v>
      </c>
      <c r="AG306" s="261" t="s">
        <v>418</v>
      </c>
      <c r="AH306" s="176">
        <f>'Project Materials'!Q25</f>
        <v>0</v>
      </c>
      <c r="AI306" s="171">
        <f>'Project Materials'!Q26</f>
        <v>0</v>
      </c>
      <c r="AJ306" s="166">
        <f>'Project Materials'!Q27</f>
        <v>0</v>
      </c>
      <c r="AK306" s="218">
        <f>'Project Materials'!Q28</f>
        <v>0</v>
      </c>
      <c r="AN306" s="22"/>
    </row>
    <row r="307" spans="1:40" s="111" customFormat="1" ht="15" thickBot="1" x14ac:dyDescent="0.45">
      <c r="A307" s="60" t="s">
        <v>10</v>
      </c>
      <c r="B307" s="112" t="s">
        <v>807</v>
      </c>
      <c r="C307" s="112" t="s">
        <v>808</v>
      </c>
      <c r="D307" s="12"/>
      <c r="E307" s="4">
        <v>3.16</v>
      </c>
      <c r="F307" s="288" t="s">
        <v>418</v>
      </c>
      <c r="G307" s="288" t="s">
        <v>418</v>
      </c>
      <c r="H307" s="288" t="s">
        <v>418</v>
      </c>
      <c r="I307" s="288" t="s">
        <v>418</v>
      </c>
      <c r="J307" s="288" t="s">
        <v>418</v>
      </c>
      <c r="K307" s="288" t="s">
        <v>418</v>
      </c>
      <c r="L307" s="288" t="s">
        <v>418</v>
      </c>
      <c r="M307" s="293" t="s">
        <v>418</v>
      </c>
      <c r="N307" s="293" t="s">
        <v>418</v>
      </c>
      <c r="O307" s="293" t="s">
        <v>418</v>
      </c>
      <c r="P307" s="293" t="s">
        <v>418</v>
      </c>
      <c r="Q307" s="293" t="s">
        <v>418</v>
      </c>
      <c r="R307" s="293" t="s">
        <v>418</v>
      </c>
      <c r="S307" s="293" t="s">
        <v>418</v>
      </c>
      <c r="T307" s="260" t="s">
        <v>418</v>
      </c>
      <c r="U307" s="260" t="s">
        <v>418</v>
      </c>
      <c r="V307" s="260" t="s">
        <v>418</v>
      </c>
      <c r="W307" s="260" t="s">
        <v>418</v>
      </c>
      <c r="X307" s="260" t="s">
        <v>418</v>
      </c>
      <c r="Y307" s="260" t="s">
        <v>418</v>
      </c>
      <c r="Z307" s="260" t="s">
        <v>418</v>
      </c>
      <c r="AA307" s="261" t="s">
        <v>418</v>
      </c>
      <c r="AB307" s="261" t="s">
        <v>418</v>
      </c>
      <c r="AC307" s="261" t="s">
        <v>418</v>
      </c>
      <c r="AD307" s="261" t="s">
        <v>418</v>
      </c>
      <c r="AE307" s="261" t="s">
        <v>418</v>
      </c>
      <c r="AF307" s="261" t="s">
        <v>418</v>
      </c>
      <c r="AG307" s="261" t="s">
        <v>418</v>
      </c>
      <c r="AH307" s="244">
        <f>ROUNDUP('Project Materials'!D14*2,0)</f>
        <v>0</v>
      </c>
      <c r="AI307" s="245">
        <f>ROUNDUP('Project Materials'!H14*2,0)</f>
        <v>0</v>
      </c>
      <c r="AJ307" s="246">
        <f>ROUNDUP('Project Materials'!L14*2,0)</f>
        <v>0</v>
      </c>
      <c r="AK307" s="247">
        <f>ROUNDUP('Project Materials'!P14*2,0)</f>
        <v>0</v>
      </c>
      <c r="AL307" s="248"/>
      <c r="AM307" s="248">
        <v>21</v>
      </c>
      <c r="AN307" s="249" t="s">
        <v>872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88" t="s">
        <v>418</v>
      </c>
      <c r="G308" s="288" t="s">
        <v>418</v>
      </c>
      <c r="H308" s="288" t="s">
        <v>418</v>
      </c>
      <c r="I308" s="288" t="s">
        <v>418</v>
      </c>
      <c r="J308" s="288" t="s">
        <v>418</v>
      </c>
      <c r="K308" s="288" t="s">
        <v>418</v>
      </c>
      <c r="L308" s="288" t="s">
        <v>418</v>
      </c>
      <c r="M308" s="293" t="s">
        <v>418</v>
      </c>
      <c r="N308" s="293" t="s">
        <v>418</v>
      </c>
      <c r="O308" s="293" t="s">
        <v>418</v>
      </c>
      <c r="P308" s="293" t="s">
        <v>418</v>
      </c>
      <c r="Q308" s="293" t="s">
        <v>418</v>
      </c>
      <c r="R308" s="293" t="s">
        <v>418</v>
      </c>
      <c r="S308" s="293" t="s">
        <v>418</v>
      </c>
      <c r="T308" s="260" t="s">
        <v>418</v>
      </c>
      <c r="U308" s="260" t="s">
        <v>418</v>
      </c>
      <c r="V308" s="260" t="s">
        <v>418</v>
      </c>
      <c r="W308" s="260" t="s">
        <v>418</v>
      </c>
      <c r="X308" s="260" t="s">
        <v>418</v>
      </c>
      <c r="Y308" s="260" t="s">
        <v>418</v>
      </c>
      <c r="Z308" s="260" t="s">
        <v>418</v>
      </c>
      <c r="AA308" s="261" t="s">
        <v>418</v>
      </c>
      <c r="AB308" s="261" t="s">
        <v>418</v>
      </c>
      <c r="AC308" s="261" t="s">
        <v>418</v>
      </c>
      <c r="AD308" s="261" t="s">
        <v>418</v>
      </c>
      <c r="AE308" s="261" t="s">
        <v>418</v>
      </c>
      <c r="AF308" s="261" t="s">
        <v>418</v>
      </c>
      <c r="AG308" s="261" t="s">
        <v>418</v>
      </c>
    </row>
    <row r="309" spans="1:40" x14ac:dyDescent="0.4">
      <c r="A309" s="2"/>
      <c r="B309" s="2"/>
      <c r="C309" s="2"/>
      <c r="D309" s="12"/>
      <c r="E309" s="4"/>
      <c r="F309" s="288" t="s">
        <v>418</v>
      </c>
      <c r="G309" s="288" t="s">
        <v>418</v>
      </c>
      <c r="H309" s="288" t="s">
        <v>418</v>
      </c>
      <c r="I309" s="288" t="s">
        <v>418</v>
      </c>
      <c r="J309" s="288" t="s">
        <v>418</v>
      </c>
      <c r="K309" s="288" t="s">
        <v>418</v>
      </c>
      <c r="L309" s="288" t="s">
        <v>418</v>
      </c>
      <c r="M309" s="293" t="s">
        <v>418</v>
      </c>
      <c r="N309" s="293" t="s">
        <v>418</v>
      </c>
      <c r="O309" s="293" t="s">
        <v>418</v>
      </c>
      <c r="P309" s="293" t="s">
        <v>418</v>
      </c>
      <c r="Q309" s="293" t="s">
        <v>418</v>
      </c>
      <c r="R309" s="293" t="s">
        <v>418</v>
      </c>
      <c r="S309" s="293" t="s">
        <v>418</v>
      </c>
      <c r="T309" s="260" t="s">
        <v>418</v>
      </c>
      <c r="U309" s="260" t="s">
        <v>418</v>
      </c>
      <c r="V309" s="260" t="s">
        <v>418</v>
      </c>
      <c r="W309" s="260" t="s">
        <v>418</v>
      </c>
      <c r="X309" s="260" t="s">
        <v>418</v>
      </c>
      <c r="Y309" s="260" t="s">
        <v>418</v>
      </c>
      <c r="Z309" s="260" t="s">
        <v>418</v>
      </c>
      <c r="AA309" s="261" t="s">
        <v>418</v>
      </c>
      <c r="AB309" s="261" t="s">
        <v>418</v>
      </c>
      <c r="AC309" s="261" t="s">
        <v>418</v>
      </c>
      <c r="AD309" s="261" t="s">
        <v>418</v>
      </c>
      <c r="AE309" s="261" t="s">
        <v>418</v>
      </c>
      <c r="AF309" s="261" t="s">
        <v>418</v>
      </c>
      <c r="AG309" s="261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88" t="s">
        <v>418</v>
      </c>
      <c r="G310" s="288" t="s">
        <v>418</v>
      </c>
      <c r="H310" s="288" t="s">
        <v>418</v>
      </c>
      <c r="I310" s="288" t="s">
        <v>418</v>
      </c>
      <c r="J310" s="288" t="s">
        <v>418</v>
      </c>
      <c r="K310" s="288" t="s">
        <v>418</v>
      </c>
      <c r="L310" s="288" t="s">
        <v>418</v>
      </c>
      <c r="M310" s="293" t="s">
        <v>418</v>
      </c>
      <c r="N310" s="293" t="s">
        <v>418</v>
      </c>
      <c r="O310" s="293" t="s">
        <v>418</v>
      </c>
      <c r="P310" s="293" t="s">
        <v>418</v>
      </c>
      <c r="Q310" s="293" t="s">
        <v>418</v>
      </c>
      <c r="R310" s="293" t="s">
        <v>418</v>
      </c>
      <c r="S310" s="293" t="s">
        <v>418</v>
      </c>
      <c r="T310" s="260" t="s">
        <v>418</v>
      </c>
      <c r="U310" s="260" t="s">
        <v>418</v>
      </c>
      <c r="V310" s="260" t="s">
        <v>418</v>
      </c>
      <c r="W310" s="260" t="s">
        <v>418</v>
      </c>
      <c r="X310" s="260" t="s">
        <v>418</v>
      </c>
      <c r="Y310" s="260" t="s">
        <v>418</v>
      </c>
      <c r="Z310" s="260" t="s">
        <v>418</v>
      </c>
      <c r="AA310" s="261" t="s">
        <v>418</v>
      </c>
      <c r="AB310" s="261" t="s">
        <v>418</v>
      </c>
      <c r="AC310" s="261" t="s">
        <v>418</v>
      </c>
      <c r="AD310" s="261" t="s">
        <v>418</v>
      </c>
      <c r="AE310" s="261" t="s">
        <v>418</v>
      </c>
      <c r="AF310" s="261" t="s">
        <v>418</v>
      </c>
      <c r="AG310" s="261" t="s">
        <v>418</v>
      </c>
      <c r="AH310" s="177" t="s">
        <v>456</v>
      </c>
      <c r="AI310" s="172" t="s">
        <v>456</v>
      </c>
      <c r="AJ310" s="167" t="s">
        <v>456</v>
      </c>
      <c r="AK310" s="215" t="s">
        <v>456</v>
      </c>
      <c r="AL310" s="2"/>
      <c r="AM310" s="112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88" t="s">
        <v>418</v>
      </c>
      <c r="G311" s="288" t="s">
        <v>418</v>
      </c>
      <c r="H311" s="288" t="s">
        <v>418</v>
      </c>
      <c r="I311" s="288" t="s">
        <v>418</v>
      </c>
      <c r="J311" s="288" t="s">
        <v>418</v>
      </c>
      <c r="K311" s="288" t="s">
        <v>418</v>
      </c>
      <c r="L311" s="288" t="s">
        <v>418</v>
      </c>
      <c r="M311" s="293" t="s">
        <v>418</v>
      </c>
      <c r="N311" s="293" t="s">
        <v>418</v>
      </c>
      <c r="O311" s="293" t="s">
        <v>418</v>
      </c>
      <c r="P311" s="293" t="s">
        <v>418</v>
      </c>
      <c r="Q311" s="293" t="s">
        <v>418</v>
      </c>
      <c r="R311" s="293" t="s">
        <v>418</v>
      </c>
      <c r="S311" s="293" t="s">
        <v>418</v>
      </c>
      <c r="T311" s="260" t="s">
        <v>418</v>
      </c>
      <c r="U311" s="260" t="s">
        <v>418</v>
      </c>
      <c r="V311" s="260" t="s">
        <v>418</v>
      </c>
      <c r="W311" s="260" t="s">
        <v>418</v>
      </c>
      <c r="X311" s="260" t="s">
        <v>418</v>
      </c>
      <c r="Y311" s="260" t="s">
        <v>418</v>
      </c>
      <c r="Z311" s="260" t="s">
        <v>418</v>
      </c>
      <c r="AA311" s="261" t="s">
        <v>418</v>
      </c>
      <c r="AB311" s="261" t="s">
        <v>418</v>
      </c>
      <c r="AC311" s="261" t="s">
        <v>418</v>
      </c>
      <c r="AD311" s="261" t="s">
        <v>418</v>
      </c>
      <c r="AE311" s="261" t="s">
        <v>418</v>
      </c>
      <c r="AF311" s="261" t="s">
        <v>418</v>
      </c>
      <c r="AG311" s="261" t="s">
        <v>418</v>
      </c>
      <c r="AH311" s="279">
        <f>CEILING(('Area A'!$D$6+'Area A'!$D$8)/'Item List'!$D$311,0.5)</f>
        <v>0</v>
      </c>
      <c r="AI311" s="280">
        <f>CEILING(('Area B'!$D$6+'Area B'!$D$8)/'Item List'!$D$311,0.5)</f>
        <v>0</v>
      </c>
      <c r="AJ311" s="281">
        <f>CEILING(('Area C'!$D$6+'Area C'!$D$8)/'Item List'!$D$311,0.5)</f>
        <v>0</v>
      </c>
      <c r="AK311" s="282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88" t="s">
        <v>418</v>
      </c>
      <c r="G312" s="288" t="s">
        <v>418</v>
      </c>
      <c r="H312" s="288" t="s">
        <v>418</v>
      </c>
      <c r="I312" s="288" t="s">
        <v>418</v>
      </c>
      <c r="J312" s="288" t="s">
        <v>418</v>
      </c>
      <c r="K312" s="288" t="s">
        <v>418</v>
      </c>
      <c r="L312" s="288" t="s">
        <v>418</v>
      </c>
      <c r="M312" s="293" t="s">
        <v>418</v>
      </c>
      <c r="N312" s="293" t="s">
        <v>418</v>
      </c>
      <c r="O312" s="293" t="s">
        <v>418</v>
      </c>
      <c r="P312" s="293" t="s">
        <v>418</v>
      </c>
      <c r="Q312" s="293" t="s">
        <v>418</v>
      </c>
      <c r="R312" s="293" t="s">
        <v>418</v>
      </c>
      <c r="S312" s="293" t="s">
        <v>418</v>
      </c>
      <c r="T312" s="260" t="s">
        <v>418</v>
      </c>
      <c r="U312" s="260" t="s">
        <v>418</v>
      </c>
      <c r="V312" s="260" t="s">
        <v>418</v>
      </c>
      <c r="W312" s="260" t="s">
        <v>418</v>
      </c>
      <c r="X312" s="260" t="s">
        <v>418</v>
      </c>
      <c r="Y312" s="260" t="s">
        <v>418</v>
      </c>
      <c r="Z312" s="260" t="s">
        <v>418</v>
      </c>
      <c r="AA312" s="261" t="s">
        <v>418</v>
      </c>
      <c r="AB312" s="261" t="s">
        <v>418</v>
      </c>
      <c r="AC312" s="261" t="s">
        <v>418</v>
      </c>
      <c r="AD312" s="261" t="s">
        <v>418</v>
      </c>
      <c r="AE312" s="261" t="s">
        <v>418</v>
      </c>
      <c r="AF312" s="261" t="s">
        <v>418</v>
      </c>
      <c r="AG312" s="261" t="s">
        <v>418</v>
      </c>
      <c r="AH312" s="279">
        <f>CEILING(('Area A'!$D$5+'Area A'!$D$7)/'Item List'!$D$312,0.5)</f>
        <v>0</v>
      </c>
      <c r="AI312" s="280">
        <f>CEILING(('Area B'!$D$5+'Area B'!$D$7)/'Item List'!$D$312,0.5)</f>
        <v>0</v>
      </c>
      <c r="AJ312" s="281">
        <f>CEILING(('Area C'!$D$5+'Area C'!$D$7)/'Item List'!$D$312,0.5)</f>
        <v>0</v>
      </c>
      <c r="AK312" s="282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88" t="s">
        <v>418</v>
      </c>
      <c r="G313" s="288" t="s">
        <v>418</v>
      </c>
      <c r="H313" s="288" t="s">
        <v>418</v>
      </c>
      <c r="I313" s="288" t="s">
        <v>418</v>
      </c>
      <c r="J313" s="288" t="s">
        <v>418</v>
      </c>
      <c r="K313" s="288" t="s">
        <v>418</v>
      </c>
      <c r="L313" s="288" t="s">
        <v>418</v>
      </c>
      <c r="M313" s="293" t="s">
        <v>418</v>
      </c>
      <c r="N313" s="293" t="s">
        <v>418</v>
      </c>
      <c r="O313" s="293" t="s">
        <v>418</v>
      </c>
      <c r="P313" s="293" t="s">
        <v>418</v>
      </c>
      <c r="Q313" s="293" t="s">
        <v>418</v>
      </c>
      <c r="R313" s="293" t="s">
        <v>418</v>
      </c>
      <c r="S313" s="293" t="s">
        <v>418</v>
      </c>
      <c r="T313" s="260" t="s">
        <v>418</v>
      </c>
      <c r="U313" s="260" t="s">
        <v>418</v>
      </c>
      <c r="V313" s="260" t="s">
        <v>418</v>
      </c>
      <c r="W313" s="260" t="s">
        <v>418</v>
      </c>
      <c r="X313" s="260" t="s">
        <v>418</v>
      </c>
      <c r="Y313" s="260" t="s">
        <v>418</v>
      </c>
      <c r="Z313" s="260" t="s">
        <v>418</v>
      </c>
      <c r="AA313" s="261" t="s">
        <v>418</v>
      </c>
      <c r="AB313" s="261" t="s">
        <v>418</v>
      </c>
      <c r="AC313" s="261" t="s">
        <v>418</v>
      </c>
      <c r="AD313" s="261" t="s">
        <v>418</v>
      </c>
      <c r="AE313" s="261" t="s">
        <v>418</v>
      </c>
      <c r="AF313" s="261" t="s">
        <v>418</v>
      </c>
      <c r="AG313" s="261" t="s">
        <v>418</v>
      </c>
      <c r="AH313" s="279">
        <f>ROUNDUP(('Project Materials'!D14/'Item List'!$D$313),0)</f>
        <v>0</v>
      </c>
      <c r="AI313" s="280">
        <f>ROUNDUP(('Project Materials'!H14/'Item List'!$D$313),0)</f>
        <v>0</v>
      </c>
      <c r="AJ313" s="281">
        <f>ROUNDUP(('Project Materials'!L14/'Item List'!$D$313),0)</f>
        <v>0</v>
      </c>
      <c r="AK313" s="282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88" t="s">
        <v>418</v>
      </c>
      <c r="G314" s="288" t="s">
        <v>418</v>
      </c>
      <c r="H314" s="288" t="s">
        <v>418</v>
      </c>
      <c r="I314" s="288" t="s">
        <v>418</v>
      </c>
      <c r="J314" s="288" t="s">
        <v>418</v>
      </c>
      <c r="K314" s="288" t="s">
        <v>418</v>
      </c>
      <c r="L314" s="288" t="s">
        <v>418</v>
      </c>
      <c r="M314" s="293" t="s">
        <v>418</v>
      </c>
      <c r="N314" s="293" t="s">
        <v>418</v>
      </c>
      <c r="O314" s="293" t="s">
        <v>418</v>
      </c>
      <c r="P314" s="293" t="s">
        <v>418</v>
      </c>
      <c r="Q314" s="293" t="s">
        <v>418</v>
      </c>
      <c r="R314" s="293" t="s">
        <v>418</v>
      </c>
      <c r="S314" s="293" t="s">
        <v>418</v>
      </c>
      <c r="T314" s="260" t="s">
        <v>418</v>
      </c>
      <c r="U314" s="260" t="s">
        <v>418</v>
      </c>
      <c r="V314" s="260" t="s">
        <v>418</v>
      </c>
      <c r="W314" s="260" t="s">
        <v>418</v>
      </c>
      <c r="X314" s="260" t="s">
        <v>418</v>
      </c>
      <c r="Y314" s="260" t="s">
        <v>418</v>
      </c>
      <c r="Z314" s="260" t="s">
        <v>418</v>
      </c>
      <c r="AA314" s="261" t="s">
        <v>418</v>
      </c>
      <c r="AB314" s="261" t="s">
        <v>418</v>
      </c>
      <c r="AC314" s="261" t="s">
        <v>418</v>
      </c>
      <c r="AD314" s="261" t="s">
        <v>418</v>
      </c>
      <c r="AE314" s="261" t="s">
        <v>418</v>
      </c>
      <c r="AF314" s="261" t="s">
        <v>418</v>
      </c>
      <c r="AG314" s="261" t="s">
        <v>418</v>
      </c>
    </row>
    <row r="315" spans="1:40" x14ac:dyDescent="0.4">
      <c r="F315" s="288" t="s">
        <v>418</v>
      </c>
      <c r="G315" s="288" t="s">
        <v>418</v>
      </c>
      <c r="H315" s="288" t="s">
        <v>418</v>
      </c>
      <c r="I315" s="288" t="s">
        <v>418</v>
      </c>
      <c r="J315" s="288" t="s">
        <v>418</v>
      </c>
      <c r="K315" s="288" t="s">
        <v>418</v>
      </c>
      <c r="L315" s="288" t="s">
        <v>418</v>
      </c>
      <c r="M315" s="293" t="s">
        <v>418</v>
      </c>
      <c r="N315" s="293" t="s">
        <v>418</v>
      </c>
      <c r="O315" s="293" t="s">
        <v>418</v>
      </c>
      <c r="P315" s="293" t="s">
        <v>418</v>
      </c>
      <c r="Q315" s="293" t="s">
        <v>418</v>
      </c>
      <c r="R315" s="293" t="s">
        <v>418</v>
      </c>
      <c r="S315" s="293" t="s">
        <v>418</v>
      </c>
      <c r="T315" s="260" t="s">
        <v>418</v>
      </c>
      <c r="U315" s="260" t="s">
        <v>418</v>
      </c>
      <c r="V315" s="260" t="s">
        <v>418</v>
      </c>
      <c r="W315" s="260" t="s">
        <v>418</v>
      </c>
      <c r="X315" s="260" t="s">
        <v>418</v>
      </c>
      <c r="Y315" s="260" t="s">
        <v>418</v>
      </c>
      <c r="Z315" s="260" t="s">
        <v>418</v>
      </c>
      <c r="AA315" s="261" t="s">
        <v>418</v>
      </c>
      <c r="AB315" s="261" t="s">
        <v>418</v>
      </c>
      <c r="AC315" s="261" t="s">
        <v>418</v>
      </c>
      <c r="AD315" s="261" t="s">
        <v>418</v>
      </c>
      <c r="AE315" s="261" t="s">
        <v>418</v>
      </c>
      <c r="AF315" s="261" t="s">
        <v>418</v>
      </c>
      <c r="AG315" s="261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88" t="s">
        <v>418</v>
      </c>
      <c r="G316" s="288" t="s">
        <v>418</v>
      </c>
      <c r="H316" s="288" t="s">
        <v>418</v>
      </c>
      <c r="I316" s="288" t="s">
        <v>418</v>
      </c>
      <c r="J316" s="288" t="s">
        <v>418</v>
      </c>
      <c r="K316" s="288" t="s">
        <v>418</v>
      </c>
      <c r="L316" s="288" t="s">
        <v>418</v>
      </c>
      <c r="M316" s="293" t="s">
        <v>418</v>
      </c>
      <c r="N316" s="293" t="s">
        <v>418</v>
      </c>
      <c r="O316" s="293" t="s">
        <v>418</v>
      </c>
      <c r="P316" s="293" t="s">
        <v>418</v>
      </c>
      <c r="Q316" s="293" t="s">
        <v>418</v>
      </c>
      <c r="R316" s="293" t="s">
        <v>418</v>
      </c>
      <c r="S316" s="293" t="s">
        <v>418</v>
      </c>
      <c r="T316" s="260" t="s">
        <v>418</v>
      </c>
      <c r="U316" s="260" t="s">
        <v>418</v>
      </c>
      <c r="V316" s="260" t="s">
        <v>418</v>
      </c>
      <c r="W316" s="260" t="s">
        <v>418</v>
      </c>
      <c r="X316" s="260" t="s">
        <v>418</v>
      </c>
      <c r="Y316" s="260" t="s">
        <v>418</v>
      </c>
      <c r="Z316" s="260" t="s">
        <v>418</v>
      </c>
      <c r="AA316" s="261" t="s">
        <v>418</v>
      </c>
      <c r="AB316" s="261" t="s">
        <v>418</v>
      </c>
      <c r="AC316" s="261" t="s">
        <v>418</v>
      </c>
      <c r="AD316" s="261" t="s">
        <v>418</v>
      </c>
      <c r="AE316" s="261" t="s">
        <v>418</v>
      </c>
      <c r="AF316" s="261" t="s">
        <v>418</v>
      </c>
      <c r="AG316" s="261" t="s">
        <v>418</v>
      </c>
      <c r="AH316" s="30" t="e">
        <f>('Project Materials'!$D$8*'Project Materials'!$D$9)*'Project Materials'!$P$25</f>
        <v>#VALUE!</v>
      </c>
      <c r="AI316" s="27" t="e">
        <f>('Project Materials'!$H$8*'Project Materials'!$H$9)*'Project Materials'!$P$26</f>
        <v>#VALUE!</v>
      </c>
      <c r="AJ316" s="28" t="e">
        <f>('Project Materials'!$L$8*'Project Materials'!$L$9)*'Project Materials'!$P$27</f>
        <v>#VALUE!</v>
      </c>
      <c r="AK316" s="213" t="e">
        <f>('Project Materials'!$P$8*'Project Materials'!$P$9)*'Project Materials'!$P$28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88" t="s">
        <v>418</v>
      </c>
      <c r="G317" s="288" t="s">
        <v>418</v>
      </c>
      <c r="H317" s="288" t="s">
        <v>418</v>
      </c>
      <c r="I317" s="288" t="s">
        <v>418</v>
      </c>
      <c r="J317" s="288" t="s">
        <v>418</v>
      </c>
      <c r="K317" s="288" t="s">
        <v>418</v>
      </c>
      <c r="L317" s="288" t="s">
        <v>418</v>
      </c>
      <c r="M317" s="293" t="s">
        <v>418</v>
      </c>
      <c r="N317" s="293" t="s">
        <v>418</v>
      </c>
      <c r="O317" s="293" t="s">
        <v>418</v>
      </c>
      <c r="P317" s="293" t="s">
        <v>418</v>
      </c>
      <c r="Q317" s="293" t="s">
        <v>418</v>
      </c>
      <c r="R317" s="293" t="s">
        <v>418</v>
      </c>
      <c r="S317" s="293" t="s">
        <v>418</v>
      </c>
      <c r="T317" s="260" t="s">
        <v>418</v>
      </c>
      <c r="U317" s="260" t="s">
        <v>418</v>
      </c>
      <c r="V317" s="260" t="s">
        <v>418</v>
      </c>
      <c r="W317" s="260" t="s">
        <v>418</v>
      </c>
      <c r="X317" s="260" t="s">
        <v>418</v>
      </c>
      <c r="Y317" s="260" t="s">
        <v>418</v>
      </c>
      <c r="Z317" s="260" t="s">
        <v>418</v>
      </c>
      <c r="AA317" s="261" t="s">
        <v>418</v>
      </c>
      <c r="AB317" s="261" t="s">
        <v>418</v>
      </c>
      <c r="AC317" s="261" t="s">
        <v>418</v>
      </c>
      <c r="AD317" s="261" t="s">
        <v>418</v>
      </c>
      <c r="AE317" s="261" t="s">
        <v>418</v>
      </c>
      <c r="AF317" s="261" t="s">
        <v>418</v>
      </c>
      <c r="AG317" s="261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13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88" t="s">
        <v>418</v>
      </c>
      <c r="G318" s="288" t="s">
        <v>418</v>
      </c>
      <c r="H318" s="288" t="s">
        <v>418</v>
      </c>
      <c r="I318" s="288" t="s">
        <v>418</v>
      </c>
      <c r="J318" s="288" t="s">
        <v>418</v>
      </c>
      <c r="K318" s="288" t="s">
        <v>418</v>
      </c>
      <c r="L318" s="288" t="s">
        <v>418</v>
      </c>
      <c r="M318" s="293" t="s">
        <v>418</v>
      </c>
      <c r="N318" s="293" t="s">
        <v>418</v>
      </c>
      <c r="O318" s="293" t="s">
        <v>418</v>
      </c>
      <c r="P318" s="293" t="s">
        <v>418</v>
      </c>
      <c r="Q318" s="293" t="s">
        <v>418</v>
      </c>
      <c r="R318" s="293" t="s">
        <v>418</v>
      </c>
      <c r="S318" s="293" t="s">
        <v>418</v>
      </c>
      <c r="T318" s="260" t="s">
        <v>418</v>
      </c>
      <c r="U318" s="260" t="s">
        <v>418</v>
      </c>
      <c r="V318" s="260" t="s">
        <v>418</v>
      </c>
      <c r="W318" s="260" t="s">
        <v>418</v>
      </c>
      <c r="X318" s="260" t="s">
        <v>418</v>
      </c>
      <c r="Y318" s="260" t="s">
        <v>418</v>
      </c>
      <c r="Z318" s="260" t="s">
        <v>418</v>
      </c>
      <c r="AA318" s="261" t="s">
        <v>418</v>
      </c>
      <c r="AB318" s="261" t="s">
        <v>418</v>
      </c>
      <c r="AC318" s="261" t="s">
        <v>418</v>
      </c>
      <c r="AD318" s="261" t="s">
        <v>418</v>
      </c>
      <c r="AE318" s="261" t="s">
        <v>418</v>
      </c>
      <c r="AF318" s="261" t="s">
        <v>418</v>
      </c>
      <c r="AG318" s="261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88" t="s">
        <v>418</v>
      </c>
      <c r="G319" s="288" t="s">
        <v>418</v>
      </c>
      <c r="H319" s="288" t="s">
        <v>418</v>
      </c>
      <c r="I319" s="288" t="s">
        <v>418</v>
      </c>
      <c r="J319" s="288" t="s">
        <v>418</v>
      </c>
      <c r="K319" s="288" t="s">
        <v>418</v>
      </c>
      <c r="L319" s="288" t="s">
        <v>418</v>
      </c>
      <c r="M319" s="293" t="s">
        <v>418</v>
      </c>
      <c r="N319" s="293" t="s">
        <v>418</v>
      </c>
      <c r="O319" s="293" t="s">
        <v>418</v>
      </c>
      <c r="P319" s="293" t="s">
        <v>418</v>
      </c>
      <c r="Q319" s="293" t="s">
        <v>418</v>
      </c>
      <c r="R319" s="293" t="s">
        <v>418</v>
      </c>
      <c r="S319" s="293" t="s">
        <v>418</v>
      </c>
      <c r="T319" s="260" t="s">
        <v>418</v>
      </c>
      <c r="U319" s="260" t="s">
        <v>418</v>
      </c>
      <c r="V319" s="260" t="s">
        <v>418</v>
      </c>
      <c r="W319" s="260" t="s">
        <v>418</v>
      </c>
      <c r="X319" s="260" t="s">
        <v>418</v>
      </c>
      <c r="Y319" s="260" t="s">
        <v>418</v>
      </c>
      <c r="Z319" s="260" t="s">
        <v>418</v>
      </c>
      <c r="AA319" s="261" t="s">
        <v>418</v>
      </c>
      <c r="AB319" s="261" t="s">
        <v>418</v>
      </c>
      <c r="AC319" s="261" t="s">
        <v>418</v>
      </c>
      <c r="AD319" s="261" t="s">
        <v>418</v>
      </c>
      <c r="AE319" s="261" t="s">
        <v>418</v>
      </c>
      <c r="AF319" s="261" t="s">
        <v>418</v>
      </c>
      <c r="AG319" s="261" t="s">
        <v>418</v>
      </c>
      <c r="AH319" s="30" t="e">
        <f>('Project Materials'!$D$8*'Project Materials'!$D$9)*'Project Materials'!$P$25</f>
        <v>#VALUE!</v>
      </c>
      <c r="AI319" s="27" t="e">
        <f>('Project Materials'!$H$8*'Project Materials'!$H$9)*'Project Materials'!$P$26</f>
        <v>#VALUE!</v>
      </c>
      <c r="AJ319" s="28" t="e">
        <f>('Project Materials'!$L$8*'Project Materials'!$L$9)*'Project Materials'!$P$27</f>
        <v>#VALUE!</v>
      </c>
      <c r="AK319" s="213" t="e">
        <f>('Project Materials'!$P$8*'Project Materials'!$P$9)*'Project Materials'!$P$28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88" t="s">
        <v>418</v>
      </c>
      <c r="G320" s="288" t="s">
        <v>418</v>
      </c>
      <c r="H320" s="288" t="s">
        <v>418</v>
      </c>
      <c r="I320" s="288" t="s">
        <v>418</v>
      </c>
      <c r="J320" s="288" t="s">
        <v>418</v>
      </c>
      <c r="K320" s="288" t="s">
        <v>418</v>
      </c>
      <c r="L320" s="288" t="s">
        <v>418</v>
      </c>
      <c r="M320" s="293" t="s">
        <v>418</v>
      </c>
      <c r="N320" s="293" t="s">
        <v>418</v>
      </c>
      <c r="O320" s="293" t="s">
        <v>418</v>
      </c>
      <c r="P320" s="293" t="s">
        <v>418</v>
      </c>
      <c r="Q320" s="293" t="s">
        <v>418</v>
      </c>
      <c r="R320" s="293" t="s">
        <v>418</v>
      </c>
      <c r="S320" s="293" t="s">
        <v>418</v>
      </c>
      <c r="T320" s="260" t="s">
        <v>418</v>
      </c>
      <c r="U320" s="260" t="s">
        <v>418</v>
      </c>
      <c r="V320" s="260" t="s">
        <v>418</v>
      </c>
      <c r="W320" s="260" t="s">
        <v>418</v>
      </c>
      <c r="X320" s="260" t="s">
        <v>418</v>
      </c>
      <c r="Y320" s="260" t="s">
        <v>418</v>
      </c>
      <c r="Z320" s="260" t="s">
        <v>418</v>
      </c>
      <c r="AA320" s="261" t="s">
        <v>418</v>
      </c>
      <c r="AB320" s="261" t="s">
        <v>418</v>
      </c>
      <c r="AC320" s="261" t="s">
        <v>418</v>
      </c>
      <c r="AD320" s="261" t="s">
        <v>418</v>
      </c>
      <c r="AE320" s="261" t="s">
        <v>418</v>
      </c>
      <c r="AF320" s="261" t="s">
        <v>418</v>
      </c>
      <c r="AG320" s="261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13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88" t="s">
        <v>418</v>
      </c>
      <c r="G321" s="288" t="s">
        <v>418</v>
      </c>
      <c r="H321" s="288" t="s">
        <v>418</v>
      </c>
      <c r="I321" s="288" t="s">
        <v>418</v>
      </c>
      <c r="J321" s="288" t="s">
        <v>418</v>
      </c>
      <c r="K321" s="288" t="s">
        <v>418</v>
      </c>
      <c r="L321" s="288" t="s">
        <v>418</v>
      </c>
      <c r="M321" s="293" t="s">
        <v>418</v>
      </c>
      <c r="N321" s="293" t="s">
        <v>418</v>
      </c>
      <c r="O321" s="293" t="s">
        <v>418</v>
      </c>
      <c r="P321" s="293" t="s">
        <v>418</v>
      </c>
      <c r="Q321" s="293" t="s">
        <v>418</v>
      </c>
      <c r="R321" s="293" t="s">
        <v>418</v>
      </c>
      <c r="S321" s="293" t="s">
        <v>418</v>
      </c>
      <c r="T321" s="260" t="s">
        <v>418</v>
      </c>
      <c r="U321" s="260" t="s">
        <v>418</v>
      </c>
      <c r="V321" s="260" t="s">
        <v>418</v>
      </c>
      <c r="W321" s="260" t="s">
        <v>418</v>
      </c>
      <c r="X321" s="260" t="s">
        <v>418</v>
      </c>
      <c r="Y321" s="260" t="s">
        <v>418</v>
      </c>
      <c r="Z321" s="260" t="s">
        <v>418</v>
      </c>
      <c r="AA321" s="261" t="s">
        <v>418</v>
      </c>
      <c r="AB321" s="261" t="s">
        <v>418</v>
      </c>
      <c r="AC321" s="261" t="s">
        <v>418</v>
      </c>
      <c r="AD321" s="261" t="s">
        <v>418</v>
      </c>
      <c r="AE321" s="261" t="s">
        <v>418</v>
      </c>
      <c r="AF321" s="261" t="s">
        <v>418</v>
      </c>
      <c r="AG321" s="261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13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88" t="s">
        <v>418</v>
      </c>
      <c r="G322" s="288" t="s">
        <v>418</v>
      </c>
      <c r="H322" s="288" t="s">
        <v>418</v>
      </c>
      <c r="I322" s="288" t="s">
        <v>418</v>
      </c>
      <c r="J322" s="288" t="s">
        <v>418</v>
      </c>
      <c r="K322" s="288" t="s">
        <v>418</v>
      </c>
      <c r="L322" s="288" t="s">
        <v>418</v>
      </c>
      <c r="M322" s="293" t="s">
        <v>418</v>
      </c>
      <c r="N322" s="293" t="s">
        <v>418</v>
      </c>
      <c r="O322" s="293" t="s">
        <v>418</v>
      </c>
      <c r="P322" s="293" t="s">
        <v>418</v>
      </c>
      <c r="Q322" s="293" t="s">
        <v>418</v>
      </c>
      <c r="R322" s="293" t="s">
        <v>418</v>
      </c>
      <c r="S322" s="293" t="s">
        <v>418</v>
      </c>
      <c r="T322" s="260" t="s">
        <v>418</v>
      </c>
      <c r="U322" s="260" t="s">
        <v>418</v>
      </c>
      <c r="V322" s="260" t="s">
        <v>418</v>
      </c>
      <c r="W322" s="260" t="s">
        <v>418</v>
      </c>
      <c r="X322" s="260" t="s">
        <v>418</v>
      </c>
      <c r="Y322" s="260" t="s">
        <v>418</v>
      </c>
      <c r="Z322" s="260" t="s">
        <v>418</v>
      </c>
      <c r="AA322" s="261" t="s">
        <v>418</v>
      </c>
      <c r="AB322" s="261" t="s">
        <v>418</v>
      </c>
      <c r="AC322" s="261" t="s">
        <v>418</v>
      </c>
      <c r="AD322" s="261" t="s">
        <v>418</v>
      </c>
      <c r="AE322" s="261" t="s">
        <v>418</v>
      </c>
      <c r="AF322" s="261" t="s">
        <v>418</v>
      </c>
      <c r="AG322" s="261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13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88" t="s">
        <v>418</v>
      </c>
      <c r="G323" s="288" t="s">
        <v>418</v>
      </c>
      <c r="H323" s="288" t="s">
        <v>418</v>
      </c>
      <c r="I323" s="288" t="s">
        <v>418</v>
      </c>
      <c r="J323" s="288" t="s">
        <v>418</v>
      </c>
      <c r="K323" s="288" t="s">
        <v>418</v>
      </c>
      <c r="L323" s="288" t="s">
        <v>418</v>
      </c>
      <c r="M323" s="293" t="s">
        <v>418</v>
      </c>
      <c r="N323" s="293" t="s">
        <v>418</v>
      </c>
      <c r="O323" s="293" t="s">
        <v>418</v>
      </c>
      <c r="P323" s="293" t="s">
        <v>418</v>
      </c>
      <c r="Q323" s="293" t="s">
        <v>418</v>
      </c>
      <c r="R323" s="293" t="s">
        <v>418</v>
      </c>
      <c r="S323" s="293" t="s">
        <v>418</v>
      </c>
      <c r="T323" s="260" t="s">
        <v>418</v>
      </c>
      <c r="U323" s="260" t="s">
        <v>418</v>
      </c>
      <c r="V323" s="260" t="s">
        <v>418</v>
      </c>
      <c r="W323" s="260" t="s">
        <v>418</v>
      </c>
      <c r="X323" s="260" t="s">
        <v>418</v>
      </c>
      <c r="Y323" s="260" t="s">
        <v>418</v>
      </c>
      <c r="Z323" s="260" t="s">
        <v>418</v>
      </c>
      <c r="AA323" s="261" t="s">
        <v>418</v>
      </c>
      <c r="AB323" s="261" t="s">
        <v>418</v>
      </c>
      <c r="AC323" s="261" t="s">
        <v>418</v>
      </c>
      <c r="AD323" s="261" t="s">
        <v>418</v>
      </c>
      <c r="AE323" s="261" t="s">
        <v>418</v>
      </c>
      <c r="AF323" s="261" t="s">
        <v>418</v>
      </c>
      <c r="AG323" s="261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13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88" t="s">
        <v>418</v>
      </c>
      <c r="G324" s="288" t="s">
        <v>418</v>
      </c>
      <c r="H324" s="288" t="s">
        <v>418</v>
      </c>
      <c r="I324" s="288" t="s">
        <v>418</v>
      </c>
      <c r="J324" s="288" t="s">
        <v>418</v>
      </c>
      <c r="K324" s="288" t="s">
        <v>418</v>
      </c>
      <c r="L324" s="288" t="s">
        <v>418</v>
      </c>
      <c r="M324" s="293" t="s">
        <v>418</v>
      </c>
      <c r="N324" s="293" t="s">
        <v>418</v>
      </c>
      <c r="O324" s="293" t="s">
        <v>418</v>
      </c>
      <c r="P324" s="293" t="s">
        <v>418</v>
      </c>
      <c r="Q324" s="293" t="s">
        <v>418</v>
      </c>
      <c r="R324" s="293" t="s">
        <v>418</v>
      </c>
      <c r="S324" s="293" t="s">
        <v>418</v>
      </c>
      <c r="T324" s="260" t="s">
        <v>418</v>
      </c>
      <c r="U324" s="260" t="s">
        <v>418</v>
      </c>
      <c r="V324" s="260" t="s">
        <v>418</v>
      </c>
      <c r="W324" s="260" t="s">
        <v>418</v>
      </c>
      <c r="X324" s="260" t="s">
        <v>418</v>
      </c>
      <c r="Y324" s="260" t="s">
        <v>418</v>
      </c>
      <c r="Z324" s="260" t="s">
        <v>418</v>
      </c>
      <c r="AA324" s="261" t="s">
        <v>418</v>
      </c>
      <c r="AB324" s="261" t="s">
        <v>418</v>
      </c>
      <c r="AC324" s="261" t="s">
        <v>418</v>
      </c>
      <c r="AD324" s="261" t="s">
        <v>418</v>
      </c>
      <c r="AE324" s="261" t="s">
        <v>418</v>
      </c>
      <c r="AF324" s="261" t="s">
        <v>418</v>
      </c>
      <c r="AG324" s="261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13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88" t="s">
        <v>418</v>
      </c>
      <c r="G325" s="288" t="s">
        <v>418</v>
      </c>
      <c r="H325" s="288" t="s">
        <v>418</v>
      </c>
      <c r="I325" s="288" t="s">
        <v>418</v>
      </c>
      <c r="J325" s="288" t="s">
        <v>418</v>
      </c>
      <c r="K325" s="288" t="s">
        <v>418</v>
      </c>
      <c r="L325" s="288" t="s">
        <v>418</v>
      </c>
      <c r="M325" s="293" t="s">
        <v>418</v>
      </c>
      <c r="N325" s="293" t="s">
        <v>418</v>
      </c>
      <c r="O325" s="293" t="s">
        <v>418</v>
      </c>
      <c r="P325" s="293" t="s">
        <v>418</v>
      </c>
      <c r="Q325" s="293" t="s">
        <v>418</v>
      </c>
      <c r="R325" s="293" t="s">
        <v>418</v>
      </c>
      <c r="S325" s="293" t="s">
        <v>418</v>
      </c>
      <c r="T325" s="260" t="s">
        <v>418</v>
      </c>
      <c r="U325" s="260" t="s">
        <v>418</v>
      </c>
      <c r="V325" s="260" t="s">
        <v>418</v>
      </c>
      <c r="W325" s="260" t="s">
        <v>418</v>
      </c>
      <c r="X325" s="260" t="s">
        <v>418</v>
      </c>
      <c r="Y325" s="260" t="s">
        <v>418</v>
      </c>
      <c r="Z325" s="260" t="s">
        <v>418</v>
      </c>
      <c r="AA325" s="261" t="s">
        <v>418</v>
      </c>
      <c r="AB325" s="261" t="s">
        <v>418</v>
      </c>
      <c r="AC325" s="261" t="s">
        <v>418</v>
      </c>
      <c r="AD325" s="261" t="s">
        <v>418</v>
      </c>
      <c r="AE325" s="261" t="s">
        <v>418</v>
      </c>
      <c r="AF325" s="261" t="s">
        <v>418</v>
      </c>
      <c r="AG325" s="261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13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88" t="s">
        <v>418</v>
      </c>
      <c r="G326" s="288" t="s">
        <v>418</v>
      </c>
      <c r="H326" s="288" t="s">
        <v>418</v>
      </c>
      <c r="I326" s="288" t="s">
        <v>418</v>
      </c>
      <c r="J326" s="288" t="s">
        <v>418</v>
      </c>
      <c r="K326" s="288" t="s">
        <v>418</v>
      </c>
      <c r="L326" s="288" t="s">
        <v>418</v>
      </c>
      <c r="M326" s="293" t="s">
        <v>418</v>
      </c>
      <c r="N326" s="293" t="s">
        <v>418</v>
      </c>
      <c r="O326" s="293" t="s">
        <v>418</v>
      </c>
      <c r="P326" s="293" t="s">
        <v>418</v>
      </c>
      <c r="Q326" s="293" t="s">
        <v>418</v>
      </c>
      <c r="R326" s="293" t="s">
        <v>418</v>
      </c>
      <c r="S326" s="293" t="s">
        <v>418</v>
      </c>
      <c r="T326" s="260" t="s">
        <v>418</v>
      </c>
      <c r="U326" s="260" t="s">
        <v>418</v>
      </c>
      <c r="V326" s="260" t="s">
        <v>418</v>
      </c>
      <c r="W326" s="260" t="s">
        <v>418</v>
      </c>
      <c r="X326" s="260" t="s">
        <v>418</v>
      </c>
      <c r="Y326" s="260" t="s">
        <v>418</v>
      </c>
      <c r="Z326" s="260" t="s">
        <v>418</v>
      </c>
      <c r="AA326" s="261" t="s">
        <v>418</v>
      </c>
      <c r="AB326" s="261" t="s">
        <v>418</v>
      </c>
      <c r="AC326" s="261" t="s">
        <v>418</v>
      </c>
      <c r="AD326" s="261" t="s">
        <v>418</v>
      </c>
      <c r="AE326" s="261" t="s">
        <v>418</v>
      </c>
      <c r="AF326" s="261" t="s">
        <v>418</v>
      </c>
      <c r="AG326" s="261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13" t="e">
        <f>('Project Materials'!$P$8*'Project Materials'!$P$9)*'Project Materials'!$P$28</f>
        <v>#VALUE!</v>
      </c>
    </row>
    <row r="365" spans="8:8" x14ac:dyDescent="0.4">
      <c r="H365" s="286" t="s">
        <v>290</v>
      </c>
    </row>
    <row r="396" spans="8:8" x14ac:dyDescent="0.4">
      <c r="H396" s="286" t="s">
        <v>290</v>
      </c>
    </row>
    <row r="413" spans="6:40" s="699" customFormat="1" x14ac:dyDescent="0.4">
      <c r="F413" s="286"/>
      <c r="G413" s="286"/>
      <c r="H413" s="286"/>
      <c r="I413" s="286"/>
      <c r="J413" s="286"/>
      <c r="K413" s="286"/>
      <c r="L413" s="286"/>
      <c r="M413" s="291"/>
      <c r="N413" s="291"/>
      <c r="O413" s="291"/>
      <c r="P413" s="291"/>
      <c r="Q413" s="291"/>
      <c r="R413" s="291"/>
      <c r="S413" s="291"/>
      <c r="T413" s="28"/>
      <c r="U413" s="28"/>
      <c r="V413" s="28"/>
      <c r="W413" s="28"/>
      <c r="X413" s="28"/>
      <c r="Y413" s="28"/>
      <c r="Z413" s="28"/>
      <c r="AA413" s="213"/>
      <c r="AB413" s="213"/>
      <c r="AC413" s="213"/>
      <c r="AD413" s="213"/>
      <c r="AE413" s="213"/>
      <c r="AF413" s="213"/>
      <c r="AG413" s="213"/>
      <c r="AH413" s="30"/>
      <c r="AI413" s="27"/>
      <c r="AJ413" s="28"/>
      <c r="AK413" s="213"/>
      <c r="AN413" s="22"/>
    </row>
    <row r="414" spans="6:40" s="699" customFormat="1" x14ac:dyDescent="0.4">
      <c r="F414" s="286"/>
      <c r="G414" s="286"/>
      <c r="H414" s="286"/>
      <c r="I414" s="286"/>
      <c r="J414" s="286"/>
      <c r="K414" s="286"/>
      <c r="L414" s="286"/>
      <c r="M414" s="291"/>
      <c r="N414" s="291"/>
      <c r="O414" s="291"/>
      <c r="P414" s="291"/>
      <c r="Q414" s="291"/>
      <c r="R414" s="291"/>
      <c r="S414" s="291"/>
      <c r="T414" s="28"/>
      <c r="U414" s="28"/>
      <c r="V414" s="28"/>
      <c r="W414" s="28"/>
      <c r="X414" s="28"/>
      <c r="Y414" s="28"/>
      <c r="Z414" s="28"/>
      <c r="AA414" s="213"/>
      <c r="AB414" s="213"/>
      <c r="AC414" s="213"/>
      <c r="AD414" s="213"/>
      <c r="AE414" s="213"/>
      <c r="AF414" s="213"/>
      <c r="AG414" s="213"/>
      <c r="AH414" s="30"/>
      <c r="AI414" s="27"/>
      <c r="AJ414" s="28"/>
      <c r="AK414" s="213"/>
      <c r="AN414" s="22"/>
    </row>
    <row r="415" spans="6:40" s="699" customFormat="1" x14ac:dyDescent="0.4">
      <c r="F415" s="286"/>
      <c r="G415" s="286"/>
      <c r="H415" s="286"/>
      <c r="I415" s="286"/>
      <c r="J415" s="286"/>
      <c r="K415" s="286"/>
      <c r="L415" s="286"/>
      <c r="M415" s="291"/>
      <c r="N415" s="291"/>
      <c r="O415" s="291"/>
      <c r="P415" s="291"/>
      <c r="Q415" s="291"/>
      <c r="R415" s="291"/>
      <c r="S415" s="291"/>
      <c r="T415" s="28"/>
      <c r="U415" s="28"/>
      <c r="V415" s="28"/>
      <c r="W415" s="28"/>
      <c r="X415" s="28"/>
      <c r="Y415" s="28"/>
      <c r="Z415" s="28"/>
      <c r="AA415" s="213"/>
      <c r="AB415" s="213"/>
      <c r="AC415" s="213"/>
      <c r="AD415" s="213"/>
      <c r="AE415" s="213"/>
      <c r="AF415" s="213"/>
      <c r="AG415" s="213"/>
      <c r="AH415" s="30"/>
      <c r="AI415" s="27"/>
      <c r="AJ415" s="28"/>
      <c r="AK415" s="213"/>
      <c r="AN415" s="22"/>
    </row>
    <row r="416" spans="6:40" s="699" customFormat="1" x14ac:dyDescent="0.4">
      <c r="F416" s="286"/>
      <c r="G416" s="286"/>
      <c r="H416" s="286"/>
      <c r="I416" s="286"/>
      <c r="J416" s="286"/>
      <c r="K416" s="286"/>
      <c r="L416" s="286"/>
      <c r="M416" s="291"/>
      <c r="N416" s="291"/>
      <c r="O416" s="291"/>
      <c r="P416" s="291"/>
      <c r="Q416" s="291"/>
      <c r="R416" s="291"/>
      <c r="S416" s="291"/>
      <c r="T416" s="28"/>
      <c r="U416" s="28"/>
      <c r="V416" s="28"/>
      <c r="W416" s="28"/>
      <c r="X416" s="28"/>
      <c r="Y416" s="28"/>
      <c r="Z416" s="28"/>
      <c r="AA416" s="213"/>
      <c r="AB416" s="213"/>
      <c r="AC416" s="213"/>
      <c r="AD416" s="213"/>
      <c r="AE416" s="213"/>
      <c r="AF416" s="213"/>
      <c r="AG416" s="213"/>
      <c r="AH416" s="30"/>
      <c r="AI416" s="27"/>
      <c r="AJ416" s="28"/>
      <c r="AK416" s="213"/>
      <c r="AN416" s="22"/>
    </row>
    <row r="417" spans="6:40" s="699" customFormat="1" x14ac:dyDescent="0.4">
      <c r="F417" s="286"/>
      <c r="G417" s="286"/>
      <c r="H417" s="286"/>
      <c r="I417" s="286"/>
      <c r="J417" s="286"/>
      <c r="K417" s="286"/>
      <c r="L417" s="286"/>
      <c r="M417" s="291"/>
      <c r="N417" s="291"/>
      <c r="O417" s="291"/>
      <c r="P417" s="291"/>
      <c r="Q417" s="291"/>
      <c r="R417" s="291"/>
      <c r="S417" s="291"/>
      <c r="T417" s="28"/>
      <c r="U417" s="28"/>
      <c r="V417" s="28"/>
      <c r="W417" s="28"/>
      <c r="X417" s="28"/>
      <c r="Y417" s="28"/>
      <c r="Z417" s="28"/>
      <c r="AA417" s="213"/>
      <c r="AB417" s="213"/>
      <c r="AC417" s="213"/>
      <c r="AD417" s="213"/>
      <c r="AE417" s="213"/>
      <c r="AF417" s="213"/>
      <c r="AG417" s="213"/>
      <c r="AH417" s="30"/>
      <c r="AI417" s="27"/>
      <c r="AJ417" s="28"/>
      <c r="AK417" s="213"/>
      <c r="AN417" s="22"/>
    </row>
    <row r="418" spans="6:40" s="699" customFormat="1" x14ac:dyDescent="0.4">
      <c r="F418" s="286"/>
      <c r="G418" s="286"/>
      <c r="H418" s="286"/>
      <c r="I418" s="286"/>
      <c r="J418" s="286"/>
      <c r="K418" s="286"/>
      <c r="L418" s="286"/>
      <c r="M418" s="291"/>
      <c r="N418" s="291"/>
      <c r="O418" s="291"/>
      <c r="P418" s="291"/>
      <c r="Q418" s="291"/>
      <c r="R418" s="291"/>
      <c r="S418" s="291"/>
      <c r="T418" s="28"/>
      <c r="U418" s="28"/>
      <c r="V418" s="28"/>
      <c r="W418" s="28"/>
      <c r="X418" s="28"/>
      <c r="Y418" s="28"/>
      <c r="Z418" s="28"/>
      <c r="AA418" s="213"/>
      <c r="AB418" s="213"/>
      <c r="AC418" s="213"/>
      <c r="AD418" s="213"/>
      <c r="AE418" s="213"/>
      <c r="AF418" s="213"/>
      <c r="AG418" s="213"/>
      <c r="AH418" s="30"/>
      <c r="AI418" s="27"/>
      <c r="AJ418" s="28"/>
      <c r="AK418" s="213"/>
      <c r="AN418" s="22"/>
    </row>
    <row r="419" spans="6:40" s="699" customFormat="1" x14ac:dyDescent="0.4">
      <c r="F419" s="286"/>
      <c r="G419" s="286"/>
      <c r="H419" s="286"/>
      <c r="I419" s="286"/>
      <c r="J419" s="286"/>
      <c r="K419" s="286"/>
      <c r="L419" s="286"/>
      <c r="M419" s="291"/>
      <c r="N419" s="291"/>
      <c r="O419" s="291"/>
      <c r="P419" s="291"/>
      <c r="Q419" s="291"/>
      <c r="R419" s="291"/>
      <c r="S419" s="291"/>
      <c r="T419" s="28"/>
      <c r="U419" s="28"/>
      <c r="V419" s="28"/>
      <c r="W419" s="28"/>
      <c r="X419" s="28"/>
      <c r="Y419" s="28"/>
      <c r="Z419" s="28"/>
      <c r="AA419" s="213"/>
      <c r="AB419" s="213"/>
      <c r="AC419" s="213"/>
      <c r="AD419" s="213"/>
      <c r="AE419" s="213"/>
      <c r="AF419" s="213"/>
      <c r="AG419" s="213"/>
      <c r="AH419" s="30"/>
      <c r="AI419" s="27"/>
      <c r="AJ419" s="28"/>
      <c r="AK419" s="213"/>
      <c r="AN419" s="22"/>
    </row>
    <row r="420" spans="6:40" s="699" customFormat="1" x14ac:dyDescent="0.4">
      <c r="F420" s="286"/>
      <c r="G420" s="286"/>
      <c r="H420" s="286"/>
      <c r="I420" s="286"/>
      <c r="J420" s="286"/>
      <c r="K420" s="286"/>
      <c r="L420" s="286"/>
      <c r="M420" s="291"/>
      <c r="N420" s="291"/>
      <c r="O420" s="291"/>
      <c r="P420" s="291"/>
      <c r="Q420" s="291"/>
      <c r="R420" s="291"/>
      <c r="S420" s="291"/>
      <c r="T420" s="28"/>
      <c r="U420" s="28"/>
      <c r="V420" s="28"/>
      <c r="W420" s="28"/>
      <c r="X420" s="28"/>
      <c r="Y420" s="28"/>
      <c r="Z420" s="28"/>
      <c r="AA420" s="213"/>
      <c r="AB420" s="213"/>
      <c r="AC420" s="213"/>
      <c r="AD420" s="213"/>
      <c r="AE420" s="213"/>
      <c r="AF420" s="213"/>
      <c r="AG420" s="213"/>
      <c r="AH420" s="30"/>
      <c r="AI420" s="27"/>
      <c r="AJ420" s="28"/>
      <c r="AK420" s="213"/>
      <c r="AN420" s="22"/>
    </row>
    <row r="421" spans="6:40" s="699" customFormat="1" x14ac:dyDescent="0.4">
      <c r="F421" s="286"/>
      <c r="G421" s="286"/>
      <c r="H421" s="286"/>
      <c r="I421" s="286"/>
      <c r="J421" s="286"/>
      <c r="K421" s="286"/>
      <c r="L421" s="286"/>
      <c r="M421" s="291"/>
      <c r="N421" s="291"/>
      <c r="O421" s="291"/>
      <c r="P421" s="291"/>
      <c r="Q421" s="291"/>
      <c r="R421" s="291"/>
      <c r="S421" s="291"/>
      <c r="T421" s="28"/>
      <c r="U421" s="28"/>
      <c r="V421" s="28"/>
      <c r="W421" s="28"/>
      <c r="X421" s="28"/>
      <c r="Y421" s="28"/>
      <c r="Z421" s="28"/>
      <c r="AA421" s="213"/>
      <c r="AB421" s="213"/>
      <c r="AC421" s="213"/>
      <c r="AD421" s="213"/>
      <c r="AE421" s="213"/>
      <c r="AF421" s="213"/>
      <c r="AG421" s="213"/>
      <c r="AH421" s="30"/>
      <c r="AI421" s="27"/>
      <c r="AJ421" s="28"/>
      <c r="AK421" s="213"/>
      <c r="AN421" s="22"/>
    </row>
    <row r="422" spans="6:40" s="699" customFormat="1" x14ac:dyDescent="0.4">
      <c r="F422" s="286"/>
      <c r="G422" s="286"/>
      <c r="H422" s="286"/>
      <c r="I422" s="286"/>
      <c r="J422" s="286"/>
      <c r="K422" s="286"/>
      <c r="L422" s="286"/>
      <c r="M422" s="291"/>
      <c r="N422" s="291"/>
      <c r="O422" s="291"/>
      <c r="P422" s="291"/>
      <c r="Q422" s="291"/>
      <c r="R422" s="291"/>
      <c r="S422" s="291"/>
      <c r="T422" s="28"/>
      <c r="U422" s="28"/>
      <c r="V422" s="28"/>
      <c r="W422" s="28"/>
      <c r="X422" s="28"/>
      <c r="Y422" s="28"/>
      <c r="Z422" s="28"/>
      <c r="AA422" s="213"/>
      <c r="AB422" s="213"/>
      <c r="AC422" s="213"/>
      <c r="AD422" s="213"/>
      <c r="AE422" s="213"/>
      <c r="AF422" s="213"/>
      <c r="AG422" s="213"/>
      <c r="AH422" s="30"/>
      <c r="AI422" s="27"/>
      <c r="AJ422" s="28"/>
      <c r="AK422" s="213"/>
      <c r="AN422" s="22"/>
    </row>
    <row r="427" spans="6:40" x14ac:dyDescent="0.4">
      <c r="H427" s="286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709" bestFit="1" customWidth="1"/>
    <col min="2" max="2" width="12.69140625" style="709" bestFit="1" customWidth="1"/>
    <col min="3" max="3" width="28" style="709" bestFit="1" customWidth="1"/>
    <col min="4" max="4" width="102" style="709" bestFit="1" customWidth="1"/>
    <col min="5" max="5" width="6.3046875" style="709" bestFit="1" customWidth="1"/>
    <col min="6" max="6" width="9" style="720" bestFit="1" customWidth="1"/>
    <col min="7" max="7" width="21.69140625" style="709" bestFit="1" customWidth="1"/>
    <col min="8" max="8" width="28.84375" style="709" bestFit="1" customWidth="1"/>
    <col min="9" max="9" width="16.69140625" style="709" customWidth="1"/>
    <col min="10" max="10" width="16.53515625" style="709" customWidth="1"/>
    <col min="11" max="11" width="14.53515625" style="709" bestFit="1" customWidth="1"/>
    <col min="12" max="12" width="14.53515625" style="709" customWidth="1"/>
    <col min="13" max="15" width="12" style="709" customWidth="1"/>
    <col min="16" max="16384" width="9.15234375" style="709"/>
  </cols>
  <sheetData>
    <row r="1" spans="1:17" x14ac:dyDescent="0.35">
      <c r="C1" s="709">
        <v>1</v>
      </c>
      <c r="D1" s="709">
        <v>2</v>
      </c>
      <c r="E1" s="709">
        <v>3</v>
      </c>
      <c r="F1" s="720">
        <v>4</v>
      </c>
      <c r="G1" s="709">
        <v>5</v>
      </c>
      <c r="H1" s="709">
        <v>6</v>
      </c>
      <c r="I1" s="709">
        <v>7</v>
      </c>
      <c r="J1" s="709">
        <v>8</v>
      </c>
      <c r="K1" s="709">
        <v>9</v>
      </c>
      <c r="L1" s="709">
        <v>10</v>
      </c>
      <c r="M1" s="709">
        <v>11</v>
      </c>
      <c r="N1" s="709">
        <v>12</v>
      </c>
      <c r="O1" s="709">
        <v>13</v>
      </c>
      <c r="P1" s="709">
        <v>14</v>
      </c>
      <c r="Q1" s="709">
        <v>15</v>
      </c>
    </row>
    <row r="2" spans="1:17" x14ac:dyDescent="0.35">
      <c r="A2" s="710" t="s">
        <v>416</v>
      </c>
      <c r="B2" s="710" t="s">
        <v>1028</v>
      </c>
      <c r="C2" s="710"/>
      <c r="D2" s="710"/>
      <c r="E2" s="710"/>
      <c r="F2" s="721"/>
      <c r="G2" s="710" t="s">
        <v>949</v>
      </c>
      <c r="H2" s="710" t="s">
        <v>956</v>
      </c>
      <c r="I2" s="710" t="s">
        <v>957</v>
      </c>
      <c r="J2" s="710" t="s">
        <v>950</v>
      </c>
      <c r="K2" s="710" t="s">
        <v>993</v>
      </c>
      <c r="L2" s="710" t="s">
        <v>994</v>
      </c>
      <c r="M2" s="710" t="s">
        <v>954</v>
      </c>
      <c r="N2" s="710" t="s">
        <v>955</v>
      </c>
      <c r="O2" s="710" t="s">
        <v>958</v>
      </c>
      <c r="P2" s="710" t="s">
        <v>997</v>
      </c>
      <c r="Q2" s="710" t="s">
        <v>997</v>
      </c>
    </row>
    <row r="3" spans="1:17" x14ac:dyDescent="0.35">
      <c r="A3" s="712" t="s">
        <v>951</v>
      </c>
      <c r="B3" s="712"/>
      <c r="C3" s="716" t="s">
        <v>999</v>
      </c>
      <c r="D3" s="716" t="s">
        <v>1000</v>
      </c>
      <c r="E3" s="711"/>
      <c r="F3" s="718">
        <v>12.58</v>
      </c>
      <c r="G3" s="712"/>
      <c r="H3" s="712"/>
      <c r="I3" s="712"/>
      <c r="J3" s="712"/>
      <c r="K3" s="716" t="s">
        <v>959</v>
      </c>
      <c r="L3" s="716" t="s">
        <v>237</v>
      </c>
      <c r="M3" s="712" t="s">
        <v>146</v>
      </c>
      <c r="N3" s="716" t="s">
        <v>111</v>
      </c>
      <c r="O3" s="712"/>
      <c r="P3" s="712"/>
      <c r="Q3" s="712"/>
    </row>
    <row r="4" spans="1:17" x14ac:dyDescent="0.35">
      <c r="A4" s="712" t="s">
        <v>952</v>
      </c>
      <c r="B4" s="712" t="s">
        <v>940</v>
      </c>
      <c r="C4" s="716" t="s">
        <v>1001</v>
      </c>
      <c r="D4" s="716" t="s">
        <v>1002</v>
      </c>
      <c r="E4" s="711"/>
      <c r="F4" s="718">
        <v>14.98</v>
      </c>
      <c r="G4" s="712"/>
      <c r="H4" s="712"/>
      <c r="I4" s="712"/>
      <c r="J4" s="712"/>
      <c r="K4" s="712"/>
      <c r="L4" s="712"/>
      <c r="M4" s="712"/>
      <c r="N4" s="712"/>
      <c r="O4" s="712"/>
      <c r="P4" s="712"/>
      <c r="Q4" s="712"/>
    </row>
    <row r="5" spans="1:17" x14ac:dyDescent="0.35">
      <c r="A5" s="712" t="s">
        <v>952</v>
      </c>
      <c r="B5" s="712" t="s">
        <v>939</v>
      </c>
      <c r="C5" s="716" t="s">
        <v>1045</v>
      </c>
      <c r="D5" s="716" t="s">
        <v>1003</v>
      </c>
      <c r="E5" s="711"/>
      <c r="F5" s="718">
        <v>15.9</v>
      </c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</row>
    <row r="6" spans="1:17" x14ac:dyDescent="0.35">
      <c r="A6" s="712" t="s">
        <v>952</v>
      </c>
      <c r="B6" s="712" t="s">
        <v>941</v>
      </c>
      <c r="C6" s="716" t="s">
        <v>1046</v>
      </c>
      <c r="D6" s="716" t="s">
        <v>1004</v>
      </c>
      <c r="E6" s="711"/>
      <c r="F6" s="718">
        <v>14.98</v>
      </c>
      <c r="G6" s="712"/>
      <c r="H6" s="712"/>
      <c r="I6" s="712"/>
      <c r="J6" s="712"/>
      <c r="K6" s="712"/>
      <c r="L6" s="712"/>
      <c r="M6" s="712"/>
      <c r="N6" s="712"/>
      <c r="O6" s="712"/>
      <c r="P6" s="712"/>
      <c r="Q6" s="712"/>
    </row>
    <row r="7" spans="1:17" x14ac:dyDescent="0.35">
      <c r="A7" s="712" t="s">
        <v>955</v>
      </c>
      <c r="B7" s="712"/>
      <c r="C7" s="716" t="s">
        <v>111</v>
      </c>
      <c r="D7" s="716" t="s">
        <v>112</v>
      </c>
      <c r="E7" s="717"/>
      <c r="F7" s="718">
        <v>0.11799999999999999</v>
      </c>
      <c r="G7" s="712"/>
      <c r="H7" s="712"/>
      <c r="I7" s="712"/>
      <c r="J7" s="712"/>
      <c r="K7" s="712"/>
      <c r="L7" s="712"/>
      <c r="M7" s="712"/>
      <c r="N7" s="712"/>
      <c r="O7" s="712"/>
      <c r="P7" s="713">
        <f>'Grab Rail'!$E$31</f>
        <v>0</v>
      </c>
      <c r="Q7" s="712"/>
    </row>
    <row r="8" spans="1:17" x14ac:dyDescent="0.35">
      <c r="A8" s="712" t="s">
        <v>417</v>
      </c>
      <c r="B8" s="712" t="s">
        <v>942</v>
      </c>
      <c r="C8" s="716" t="s">
        <v>237</v>
      </c>
      <c r="D8" s="716" t="s">
        <v>238</v>
      </c>
      <c r="E8" s="717"/>
      <c r="F8" s="718">
        <v>2.8</v>
      </c>
      <c r="G8" s="712"/>
      <c r="H8" s="712"/>
      <c r="I8" s="712"/>
      <c r="J8" s="712"/>
      <c r="K8" s="712"/>
      <c r="L8" s="712"/>
      <c r="M8" s="712"/>
      <c r="N8" s="712"/>
      <c r="O8" s="712"/>
      <c r="P8" s="712">
        <f>'Grab Rail'!$E$31*2</f>
        <v>0</v>
      </c>
      <c r="Q8" s="712"/>
    </row>
    <row r="9" spans="1:17" x14ac:dyDescent="0.35">
      <c r="A9" s="712" t="s">
        <v>417</v>
      </c>
      <c r="B9" s="712" t="s">
        <v>943</v>
      </c>
      <c r="C9" s="716" t="s">
        <v>239</v>
      </c>
      <c r="D9" s="716" t="s">
        <v>240</v>
      </c>
      <c r="E9" s="717"/>
      <c r="F9" s="718">
        <v>8.1199999999999994E-2</v>
      </c>
      <c r="G9" s="712"/>
      <c r="H9" s="712"/>
      <c r="I9" s="712"/>
      <c r="J9" s="712"/>
      <c r="K9" s="712"/>
      <c r="L9" s="712"/>
      <c r="M9" s="712"/>
      <c r="N9" s="712"/>
      <c r="O9" s="712"/>
      <c r="P9" s="712">
        <f>'Grab Rail'!$E$31*2</f>
        <v>0</v>
      </c>
      <c r="Q9" s="712"/>
    </row>
    <row r="10" spans="1:17" x14ac:dyDescent="0.35">
      <c r="A10" s="712" t="s">
        <v>417</v>
      </c>
      <c r="B10" s="712" t="s">
        <v>1029</v>
      </c>
      <c r="C10" s="716" t="s">
        <v>290</v>
      </c>
      <c r="D10" s="716" t="s">
        <v>393</v>
      </c>
      <c r="E10" s="717"/>
      <c r="F10" s="718">
        <v>9.5000000000000001E-2</v>
      </c>
      <c r="G10" s="712"/>
      <c r="H10" s="712"/>
      <c r="I10" s="712"/>
      <c r="J10" s="712"/>
      <c r="K10" s="712"/>
      <c r="L10" s="712"/>
      <c r="M10" s="712"/>
      <c r="N10" s="712"/>
      <c r="O10" s="712"/>
      <c r="P10" s="712">
        <f>'Grab Rail'!$E$31*2</f>
        <v>0</v>
      </c>
      <c r="Q10" s="712"/>
    </row>
    <row r="11" spans="1:17" x14ac:dyDescent="0.35">
      <c r="A11" s="712" t="s">
        <v>417</v>
      </c>
      <c r="B11" s="712" t="s">
        <v>945</v>
      </c>
      <c r="C11" s="716" t="s">
        <v>290</v>
      </c>
      <c r="D11" s="716" t="s">
        <v>393</v>
      </c>
      <c r="E11" s="717"/>
      <c r="F11" s="718">
        <v>9.5000000000000001E-2</v>
      </c>
      <c r="G11" s="712"/>
      <c r="H11" s="712"/>
      <c r="I11" s="712"/>
      <c r="J11" s="712"/>
      <c r="K11" s="712"/>
      <c r="L11" s="712"/>
      <c r="M11" s="712"/>
      <c r="N11" s="712"/>
      <c r="O11" s="712"/>
      <c r="P11" s="712">
        <f>'Grab Rail'!$E$31*2</f>
        <v>0</v>
      </c>
      <c r="Q11" s="712"/>
    </row>
    <row r="12" spans="1:17" x14ac:dyDescent="0.35">
      <c r="A12" s="712" t="s">
        <v>417</v>
      </c>
      <c r="B12" s="712" t="s">
        <v>946</v>
      </c>
      <c r="C12" s="716" t="s">
        <v>241</v>
      </c>
      <c r="D12" s="716" t="s">
        <v>242</v>
      </c>
      <c r="E12" s="717"/>
      <c r="F12" s="718">
        <v>8.1199999999999994E-2</v>
      </c>
      <c r="G12" s="712"/>
      <c r="H12" s="712"/>
      <c r="I12" s="712"/>
      <c r="J12" s="712"/>
      <c r="K12" s="712"/>
      <c r="L12" s="712"/>
      <c r="M12" s="712"/>
      <c r="N12" s="712"/>
      <c r="O12" s="712"/>
      <c r="P12" s="712">
        <f>'Grab Rail'!$E$31*2</f>
        <v>0</v>
      </c>
      <c r="Q12" s="712"/>
    </row>
    <row r="13" spans="1:17" x14ac:dyDescent="0.35">
      <c r="A13" s="712" t="s">
        <v>954</v>
      </c>
      <c r="B13" s="712" t="s">
        <v>942</v>
      </c>
      <c r="C13" s="712" t="s">
        <v>146</v>
      </c>
      <c r="D13" s="712" t="s">
        <v>147</v>
      </c>
      <c r="E13" s="711"/>
      <c r="F13" s="714">
        <v>7.1279999999999996E-2</v>
      </c>
      <c r="G13" s="712"/>
      <c r="H13" s="712"/>
      <c r="I13" s="712"/>
      <c r="J13" s="712"/>
      <c r="K13" s="712"/>
      <c r="L13" s="712"/>
      <c r="M13" s="712"/>
      <c r="N13" s="712"/>
      <c r="O13" s="712"/>
      <c r="P13" s="713">
        <f>'Grab Rail'!$E$31</f>
        <v>0</v>
      </c>
      <c r="Q13" s="712">
        <f>'Grab Rail'!$E$32*4</f>
        <v>0</v>
      </c>
    </row>
    <row r="14" spans="1:17" x14ac:dyDescent="0.35">
      <c r="A14" s="712" t="s">
        <v>954</v>
      </c>
      <c r="B14" s="712" t="s">
        <v>943</v>
      </c>
      <c r="C14" s="712" t="s">
        <v>148</v>
      </c>
      <c r="D14" s="712" t="s">
        <v>149</v>
      </c>
      <c r="E14" s="711"/>
      <c r="F14" s="714">
        <v>7.2800000000000004E-2</v>
      </c>
      <c r="G14" s="712"/>
      <c r="H14" s="712"/>
      <c r="I14" s="712"/>
      <c r="J14" s="712"/>
      <c r="K14" s="712"/>
      <c r="L14" s="712"/>
      <c r="M14" s="712"/>
      <c r="N14" s="712"/>
      <c r="O14" s="712"/>
      <c r="P14" s="713">
        <f>'Grab Rail'!$E$31</f>
        <v>0</v>
      </c>
      <c r="Q14" s="712">
        <f>'Grab Rail'!$E$32*4</f>
        <v>0</v>
      </c>
    </row>
    <row r="15" spans="1:17" x14ac:dyDescent="0.35">
      <c r="A15" s="712" t="s">
        <v>954</v>
      </c>
      <c r="B15" s="712" t="s">
        <v>1029</v>
      </c>
      <c r="C15" s="712" t="s">
        <v>150</v>
      </c>
      <c r="D15" s="712" t="s">
        <v>151</v>
      </c>
      <c r="E15" s="711"/>
      <c r="F15" s="714">
        <v>6.028E-2</v>
      </c>
      <c r="G15" s="712"/>
      <c r="H15" s="712"/>
      <c r="I15" s="712"/>
      <c r="J15" s="712"/>
      <c r="K15" s="712"/>
      <c r="L15" s="712"/>
      <c r="M15" s="712"/>
      <c r="N15" s="712"/>
      <c r="O15" s="712"/>
      <c r="P15" s="713">
        <f>'Grab Rail'!$E$31</f>
        <v>0</v>
      </c>
      <c r="Q15" s="712">
        <f>'Grab Rail'!$E$32*4</f>
        <v>0</v>
      </c>
    </row>
    <row r="16" spans="1:17" x14ac:dyDescent="0.35">
      <c r="A16" s="712" t="s">
        <v>954</v>
      </c>
      <c r="B16" s="712" t="s">
        <v>945</v>
      </c>
      <c r="C16" s="712" t="s">
        <v>150</v>
      </c>
      <c r="D16" s="712" t="s">
        <v>151</v>
      </c>
      <c r="E16" s="711"/>
      <c r="F16" s="714">
        <v>6.028E-2</v>
      </c>
      <c r="G16" s="712"/>
      <c r="H16" s="712"/>
      <c r="I16" s="712"/>
      <c r="J16" s="712"/>
      <c r="K16" s="712"/>
      <c r="L16" s="712"/>
      <c r="M16" s="712"/>
      <c r="N16" s="712"/>
      <c r="O16" s="712"/>
      <c r="P16" s="713">
        <f>'Grab Rail'!$E$31</f>
        <v>0</v>
      </c>
      <c r="Q16" s="712">
        <f>'Grab Rail'!$E$32*4</f>
        <v>0</v>
      </c>
    </row>
    <row r="17" spans="1:17" x14ac:dyDescent="0.35">
      <c r="A17" s="712" t="s">
        <v>954</v>
      </c>
      <c r="B17" s="712" t="s">
        <v>946</v>
      </c>
      <c r="C17" s="712" t="s">
        <v>152</v>
      </c>
      <c r="D17" s="712" t="s">
        <v>153</v>
      </c>
      <c r="E17" s="711"/>
      <c r="F17" s="714">
        <v>7.5399999999999995E-2</v>
      </c>
      <c r="G17" s="712"/>
      <c r="H17" s="712"/>
      <c r="I17" s="712"/>
      <c r="J17" s="712"/>
      <c r="K17" s="712"/>
      <c r="L17" s="712"/>
      <c r="M17" s="712"/>
      <c r="N17" s="712"/>
      <c r="O17" s="712"/>
      <c r="P17" s="713">
        <f>'Grab Rail'!$E$31</f>
        <v>0</v>
      </c>
      <c r="Q17" s="712">
        <f>'Grab Rail'!$E$32*4</f>
        <v>0</v>
      </c>
    </row>
    <row r="18" spans="1:17" x14ac:dyDescent="0.35">
      <c r="A18" s="712" t="s">
        <v>956</v>
      </c>
      <c r="B18" s="712"/>
      <c r="C18" s="712" t="s">
        <v>418</v>
      </c>
      <c r="D18" s="712" t="s">
        <v>418</v>
      </c>
      <c r="E18" s="711"/>
      <c r="F18" s="714">
        <v>0</v>
      </c>
      <c r="G18" s="712"/>
      <c r="H18" s="712"/>
      <c r="I18" s="712"/>
      <c r="J18" s="712"/>
      <c r="K18" s="712"/>
      <c r="L18" s="712"/>
      <c r="M18" s="712"/>
      <c r="N18" s="712"/>
      <c r="O18" s="712"/>
      <c r="P18" s="712"/>
      <c r="Q18" s="712"/>
    </row>
    <row r="19" spans="1:17" x14ac:dyDescent="0.35">
      <c r="A19" s="712" t="s">
        <v>956</v>
      </c>
      <c r="B19" s="712" t="s">
        <v>940</v>
      </c>
      <c r="C19" s="716" t="s">
        <v>1005</v>
      </c>
      <c r="D19" s="712" t="s">
        <v>1006</v>
      </c>
      <c r="E19" s="711">
        <v>3</v>
      </c>
      <c r="F19" s="714">
        <v>58.56</v>
      </c>
      <c r="G19" s="712"/>
      <c r="H19" s="712"/>
      <c r="I19" s="712"/>
      <c r="J19" s="712"/>
      <c r="K19" s="712"/>
      <c r="L19" s="712"/>
      <c r="M19" s="712"/>
      <c r="N19" s="712"/>
      <c r="O19" s="712"/>
      <c r="P19" s="712"/>
      <c r="Q19" s="712"/>
    </row>
    <row r="20" spans="1:17" x14ac:dyDescent="0.35">
      <c r="A20" s="712" t="s">
        <v>956</v>
      </c>
      <c r="B20" s="712" t="s">
        <v>939</v>
      </c>
      <c r="C20" s="716" t="s">
        <v>1025</v>
      </c>
      <c r="D20" s="712" t="s">
        <v>1007</v>
      </c>
      <c r="E20" s="711">
        <v>3</v>
      </c>
      <c r="F20" s="714">
        <v>59.94</v>
      </c>
      <c r="G20" s="712"/>
      <c r="H20" s="712"/>
      <c r="I20" s="712"/>
      <c r="J20" s="712"/>
      <c r="K20" s="712"/>
      <c r="L20" s="712"/>
      <c r="M20" s="712"/>
      <c r="N20" s="712"/>
      <c r="O20" s="712"/>
      <c r="P20" s="712"/>
      <c r="Q20" s="712"/>
    </row>
    <row r="21" spans="1:17" x14ac:dyDescent="0.35">
      <c r="A21" s="712" t="s">
        <v>956</v>
      </c>
      <c r="B21" s="712" t="s">
        <v>941</v>
      </c>
      <c r="C21" s="716" t="s">
        <v>1026</v>
      </c>
      <c r="D21" s="712" t="s">
        <v>1008</v>
      </c>
      <c r="E21" s="711">
        <v>3</v>
      </c>
      <c r="F21" s="714">
        <f>F12*3</f>
        <v>0.24359999999999998</v>
      </c>
      <c r="G21" s="712"/>
      <c r="H21" s="712"/>
      <c r="I21" s="712"/>
      <c r="J21" s="712"/>
      <c r="K21" s="712"/>
      <c r="L21" s="712"/>
      <c r="M21" s="712"/>
      <c r="N21" s="712"/>
      <c r="O21" s="712"/>
      <c r="P21" s="712"/>
      <c r="Q21" s="712"/>
    </row>
    <row r="22" spans="1:17" x14ac:dyDescent="0.35">
      <c r="A22" s="712" t="s">
        <v>948</v>
      </c>
      <c r="B22" s="712"/>
      <c r="C22" s="716" t="s">
        <v>418</v>
      </c>
      <c r="D22" s="712" t="s">
        <v>418</v>
      </c>
      <c r="E22" s="711"/>
      <c r="F22" s="714">
        <v>0</v>
      </c>
      <c r="G22" s="712"/>
      <c r="H22" s="712"/>
      <c r="I22" s="712"/>
      <c r="J22" s="712"/>
      <c r="K22" s="712"/>
      <c r="L22" s="712"/>
      <c r="M22" s="712"/>
      <c r="N22" s="712"/>
      <c r="O22" s="712"/>
      <c r="P22" s="712"/>
      <c r="Q22" s="712"/>
    </row>
    <row r="23" spans="1:17" x14ac:dyDescent="0.35">
      <c r="A23" s="712" t="s">
        <v>948</v>
      </c>
      <c r="B23" s="712" t="s">
        <v>940</v>
      </c>
      <c r="C23" s="716" t="s">
        <v>1062</v>
      </c>
      <c r="D23" s="716" t="s">
        <v>1063</v>
      </c>
      <c r="E23" s="711">
        <v>20</v>
      </c>
      <c r="F23" s="718">
        <v>60.510150000000003</v>
      </c>
      <c r="G23" s="716" t="s">
        <v>1013</v>
      </c>
      <c r="H23" s="716" t="s">
        <v>1005</v>
      </c>
      <c r="I23" s="716" t="s">
        <v>999</v>
      </c>
      <c r="J23" s="716" t="s">
        <v>930</v>
      </c>
      <c r="K23" s="716"/>
      <c r="L23" s="716"/>
      <c r="M23" s="712"/>
      <c r="N23" s="716" t="s">
        <v>111</v>
      </c>
      <c r="O23" s="712"/>
      <c r="P23" s="712"/>
      <c r="Q23" s="712"/>
    </row>
    <row r="24" spans="1:17" x14ac:dyDescent="0.35">
      <c r="A24" s="712" t="s">
        <v>948</v>
      </c>
      <c r="B24" s="712" t="s">
        <v>939</v>
      </c>
      <c r="C24" s="716" t="s">
        <v>1009</v>
      </c>
      <c r="D24" s="716" t="s">
        <v>1011</v>
      </c>
      <c r="E24" s="711">
        <v>20</v>
      </c>
      <c r="F24" s="718">
        <v>56.62</v>
      </c>
      <c r="G24" s="716" t="s">
        <v>1015</v>
      </c>
      <c r="H24" s="716" t="s">
        <v>1025</v>
      </c>
      <c r="I24" s="716" t="s">
        <v>999</v>
      </c>
      <c r="J24" s="716" t="s">
        <v>932</v>
      </c>
      <c r="K24" s="716"/>
      <c r="L24" s="716"/>
      <c r="M24" s="712"/>
      <c r="N24" s="716" t="s">
        <v>111</v>
      </c>
      <c r="O24" s="712"/>
      <c r="P24" s="712"/>
      <c r="Q24" s="712"/>
    </row>
    <row r="25" spans="1:17" x14ac:dyDescent="0.35">
      <c r="A25" s="712" t="s">
        <v>948</v>
      </c>
      <c r="B25" s="712" t="s">
        <v>941</v>
      </c>
      <c r="C25" s="716" t="s">
        <v>1010</v>
      </c>
      <c r="D25" s="716" t="s">
        <v>1012</v>
      </c>
      <c r="E25" s="711">
        <v>20</v>
      </c>
      <c r="F25" s="718">
        <v>47.42</v>
      </c>
      <c r="G25" s="716" t="s">
        <v>1017</v>
      </c>
      <c r="H25" s="716" t="s">
        <v>1026</v>
      </c>
      <c r="I25" s="716" t="s">
        <v>999</v>
      </c>
      <c r="J25" s="716" t="s">
        <v>934</v>
      </c>
      <c r="K25" s="716"/>
      <c r="L25" s="716"/>
      <c r="M25" s="712"/>
      <c r="N25" s="716" t="s">
        <v>111</v>
      </c>
      <c r="O25" s="712"/>
      <c r="P25" s="712"/>
      <c r="Q25" s="712"/>
    </row>
    <row r="26" spans="1:17" x14ac:dyDescent="0.35">
      <c r="A26" s="712" t="s">
        <v>949</v>
      </c>
      <c r="B26" s="712"/>
      <c r="C26" s="716" t="s">
        <v>418</v>
      </c>
      <c r="D26" s="716" t="s">
        <v>418</v>
      </c>
      <c r="E26" s="711"/>
      <c r="F26" s="718">
        <v>0</v>
      </c>
      <c r="G26" s="716"/>
      <c r="H26" s="716"/>
      <c r="I26" s="716"/>
      <c r="J26" s="716"/>
      <c r="K26" s="716"/>
      <c r="L26" s="716"/>
      <c r="M26" s="712"/>
      <c r="N26" s="716"/>
      <c r="O26" s="712"/>
      <c r="P26" s="712"/>
      <c r="Q26" s="712"/>
    </row>
    <row r="27" spans="1:17" x14ac:dyDescent="0.35">
      <c r="A27" s="712" t="s">
        <v>949</v>
      </c>
      <c r="B27" s="712" t="s">
        <v>940</v>
      </c>
      <c r="C27" s="716" t="s">
        <v>1013</v>
      </c>
      <c r="D27" s="716" t="s">
        <v>1019</v>
      </c>
      <c r="E27" s="711">
        <v>1</v>
      </c>
      <c r="F27" s="718">
        <v>13.04</v>
      </c>
      <c r="G27" s="712"/>
      <c r="H27" s="712"/>
      <c r="I27" s="712"/>
      <c r="J27" s="712"/>
      <c r="K27" s="712"/>
      <c r="L27" s="712"/>
      <c r="M27" s="712"/>
      <c r="N27" s="712"/>
      <c r="O27" s="712"/>
      <c r="P27" s="712"/>
      <c r="Q27" s="712"/>
    </row>
    <row r="28" spans="1:17" x14ac:dyDescent="0.35">
      <c r="A28" s="712" t="s">
        <v>949</v>
      </c>
      <c r="B28" s="712" t="s">
        <v>940</v>
      </c>
      <c r="C28" s="716" t="s">
        <v>1014</v>
      </c>
      <c r="D28" s="716" t="s">
        <v>1020</v>
      </c>
      <c r="E28" s="711">
        <v>0.5</v>
      </c>
      <c r="F28" s="718">
        <v>11.85</v>
      </c>
      <c r="G28" s="712"/>
      <c r="H28" s="712"/>
      <c r="I28" s="712"/>
      <c r="J28" s="712"/>
      <c r="K28" s="712"/>
      <c r="L28" s="712"/>
      <c r="M28" s="712"/>
      <c r="N28" s="712"/>
      <c r="O28" s="712"/>
      <c r="P28" s="712"/>
      <c r="Q28" s="712"/>
    </row>
    <row r="29" spans="1:17" x14ac:dyDescent="0.35">
      <c r="A29" s="712" t="s">
        <v>949</v>
      </c>
      <c r="B29" s="712" t="s">
        <v>939</v>
      </c>
      <c r="C29" s="716" t="s">
        <v>1015</v>
      </c>
      <c r="D29" s="716" t="s">
        <v>1021</v>
      </c>
      <c r="E29" s="711">
        <v>1</v>
      </c>
      <c r="F29" s="718">
        <v>13.5</v>
      </c>
      <c r="G29" s="712"/>
      <c r="H29" s="712"/>
      <c r="I29" s="712"/>
      <c r="J29" s="712"/>
      <c r="K29" s="712"/>
      <c r="L29" s="712"/>
      <c r="M29" s="712"/>
      <c r="N29" s="712"/>
      <c r="O29" s="712"/>
      <c r="P29" s="712"/>
      <c r="Q29" s="712"/>
    </row>
    <row r="30" spans="1:17" x14ac:dyDescent="0.35">
      <c r="A30" s="712" t="s">
        <v>949</v>
      </c>
      <c r="B30" s="712" t="s">
        <v>939</v>
      </c>
      <c r="C30" s="716" t="s">
        <v>1016</v>
      </c>
      <c r="D30" s="716" t="s">
        <v>1022</v>
      </c>
      <c r="E30" s="711">
        <v>0.5</v>
      </c>
      <c r="F30" s="718">
        <v>12.08</v>
      </c>
      <c r="G30" s="712"/>
      <c r="H30" s="712"/>
      <c r="I30" s="712"/>
      <c r="J30" s="712"/>
      <c r="K30" s="712"/>
      <c r="L30" s="712"/>
      <c r="M30" s="712"/>
      <c r="N30" s="712"/>
      <c r="O30" s="712"/>
      <c r="P30" s="712"/>
      <c r="Q30" s="712"/>
    </row>
    <row r="31" spans="1:17" x14ac:dyDescent="0.35">
      <c r="A31" s="712" t="s">
        <v>949</v>
      </c>
      <c r="B31" s="712" t="s">
        <v>941</v>
      </c>
      <c r="C31" s="716" t="s">
        <v>1017</v>
      </c>
      <c r="D31" s="716" t="s">
        <v>1023</v>
      </c>
      <c r="E31" s="711">
        <v>1</v>
      </c>
      <c r="F31" s="718">
        <v>13.04</v>
      </c>
      <c r="G31" s="712"/>
      <c r="H31" s="712"/>
      <c r="I31" s="712"/>
      <c r="J31" s="712"/>
      <c r="K31" s="712"/>
      <c r="L31" s="712"/>
      <c r="M31" s="712"/>
      <c r="N31" s="712"/>
      <c r="O31" s="712"/>
      <c r="P31" s="712"/>
      <c r="Q31" s="712"/>
    </row>
    <row r="32" spans="1:17" x14ac:dyDescent="0.35">
      <c r="A32" s="712" t="s">
        <v>949</v>
      </c>
      <c r="B32" s="712" t="s">
        <v>941</v>
      </c>
      <c r="C32" s="716" t="s">
        <v>1018</v>
      </c>
      <c r="D32" s="716" t="s">
        <v>1024</v>
      </c>
      <c r="E32" s="711">
        <v>0.5</v>
      </c>
      <c r="F32" s="718">
        <v>11.85</v>
      </c>
      <c r="G32" s="712"/>
      <c r="H32" s="712"/>
      <c r="I32" s="712"/>
      <c r="J32" s="712"/>
      <c r="K32" s="712"/>
      <c r="L32" s="712"/>
      <c r="M32" s="712"/>
      <c r="N32" s="712"/>
      <c r="O32" s="712"/>
      <c r="P32" s="712"/>
      <c r="Q32" s="712"/>
    </row>
    <row r="33" spans="1:17" x14ac:dyDescent="0.35">
      <c r="A33" s="712" t="s">
        <v>950</v>
      </c>
      <c r="B33" s="712" t="s">
        <v>940</v>
      </c>
      <c r="C33" s="716" t="s">
        <v>930</v>
      </c>
      <c r="D33" s="716" t="s">
        <v>931</v>
      </c>
      <c r="E33" s="711"/>
      <c r="F33" s="718">
        <v>5.66</v>
      </c>
      <c r="G33" s="712"/>
      <c r="H33" s="712"/>
      <c r="I33" s="712"/>
      <c r="J33" s="712"/>
      <c r="K33" s="712"/>
      <c r="L33" s="712"/>
      <c r="M33" s="712"/>
      <c r="N33" s="712"/>
      <c r="O33" s="712"/>
      <c r="P33" s="712"/>
      <c r="Q33" s="712"/>
    </row>
    <row r="34" spans="1:17" x14ac:dyDescent="0.35">
      <c r="A34" s="712" t="s">
        <v>950</v>
      </c>
      <c r="B34" s="712" t="s">
        <v>939</v>
      </c>
      <c r="C34" s="716" t="s">
        <v>932</v>
      </c>
      <c r="D34" s="716" t="s">
        <v>933</v>
      </c>
      <c r="E34" s="711"/>
      <c r="F34" s="718">
        <v>2.06</v>
      </c>
      <c r="G34" s="712"/>
      <c r="H34" s="712"/>
      <c r="I34" s="712"/>
      <c r="J34" s="712"/>
      <c r="K34" s="712"/>
      <c r="L34" s="712"/>
      <c r="M34" s="712"/>
      <c r="N34" s="712"/>
      <c r="O34" s="712"/>
      <c r="P34" s="712"/>
      <c r="Q34" s="712"/>
    </row>
    <row r="35" spans="1:17" x14ac:dyDescent="0.35">
      <c r="A35" s="712" t="s">
        <v>950</v>
      </c>
      <c r="B35" s="712" t="s">
        <v>941</v>
      </c>
      <c r="C35" s="716" t="s">
        <v>934</v>
      </c>
      <c r="D35" s="716" t="s">
        <v>935</v>
      </c>
      <c r="E35" s="711"/>
      <c r="F35" s="718">
        <v>5.66</v>
      </c>
      <c r="G35" s="712"/>
      <c r="H35" s="712"/>
      <c r="I35" s="712"/>
      <c r="J35" s="712"/>
      <c r="K35" s="712"/>
      <c r="L35" s="712"/>
      <c r="M35" s="712"/>
      <c r="N35" s="712"/>
      <c r="O35" s="712"/>
      <c r="P35" s="712"/>
      <c r="Q35" s="712"/>
    </row>
    <row r="36" spans="1:17" x14ac:dyDescent="0.35">
      <c r="A36" s="712" t="s">
        <v>417</v>
      </c>
      <c r="B36" s="712" t="s">
        <v>1064</v>
      </c>
      <c r="C36" s="716" t="s">
        <v>959</v>
      </c>
      <c r="D36" s="716" t="s">
        <v>960</v>
      </c>
      <c r="E36" s="711"/>
      <c r="F36" s="718">
        <v>2.12</v>
      </c>
      <c r="G36" s="712"/>
      <c r="H36" s="712"/>
      <c r="I36" s="712"/>
      <c r="J36" s="712"/>
      <c r="K36" s="712"/>
      <c r="L36" s="712"/>
      <c r="M36" s="712"/>
      <c r="N36" s="712"/>
      <c r="O36" s="712"/>
      <c r="P36" s="713">
        <f>'Grab Rail'!$E$31</f>
        <v>0</v>
      </c>
      <c r="Q36" s="712">
        <f>'Grab Rail'!E32*4</f>
        <v>0</v>
      </c>
    </row>
    <row r="37" spans="1:17" x14ac:dyDescent="0.35">
      <c r="A37" s="712" t="s">
        <v>417</v>
      </c>
      <c r="B37" s="712" t="s">
        <v>1065</v>
      </c>
      <c r="C37" s="716" t="s">
        <v>370</v>
      </c>
      <c r="D37" s="712" t="s">
        <v>962</v>
      </c>
      <c r="E37" s="712"/>
      <c r="F37" s="718">
        <v>0.75</v>
      </c>
      <c r="G37" s="712"/>
      <c r="H37" s="712"/>
      <c r="I37" s="712"/>
      <c r="J37" s="712"/>
      <c r="K37" s="712"/>
      <c r="L37" s="712"/>
      <c r="M37" s="712"/>
      <c r="N37" s="712"/>
      <c r="O37" s="712"/>
      <c r="P37" s="713">
        <f>'Grab Rail'!$E$31</f>
        <v>0</v>
      </c>
      <c r="Q37" s="712"/>
    </row>
    <row r="38" spans="1:17" x14ac:dyDescent="0.35">
      <c r="A38" s="712" t="s">
        <v>987</v>
      </c>
      <c r="B38" s="712"/>
      <c r="C38" s="716" t="s">
        <v>418</v>
      </c>
      <c r="D38" s="712" t="s">
        <v>418</v>
      </c>
      <c r="E38" s="712"/>
      <c r="F38" s="718">
        <v>0</v>
      </c>
      <c r="G38" s="712"/>
      <c r="H38" s="712"/>
      <c r="I38" s="712"/>
      <c r="J38" s="712"/>
      <c r="K38" s="712"/>
      <c r="L38" s="712"/>
      <c r="M38" s="712"/>
      <c r="N38" s="712"/>
      <c r="O38" s="712"/>
      <c r="P38" s="712"/>
      <c r="Q38" s="712"/>
    </row>
    <row r="39" spans="1:17" x14ac:dyDescent="0.35">
      <c r="A39" s="715" t="s">
        <v>987</v>
      </c>
      <c r="B39" s="715"/>
      <c r="C39" s="719" t="s">
        <v>1060</v>
      </c>
      <c r="D39" s="719" t="s">
        <v>1099</v>
      </c>
      <c r="E39" s="715"/>
      <c r="F39" s="722">
        <f>28.875/(36)</f>
        <v>0.80208333333333337</v>
      </c>
      <c r="G39" s="715"/>
      <c r="H39" s="715"/>
      <c r="I39" s="715"/>
      <c r="J39" s="715"/>
      <c r="K39" s="719" t="s">
        <v>959</v>
      </c>
      <c r="L39" s="712"/>
      <c r="M39" s="712"/>
      <c r="N39" s="712"/>
      <c r="O39" s="712"/>
      <c r="P39" s="712"/>
      <c r="Q39" s="712"/>
    </row>
    <row r="40" spans="1:17" x14ac:dyDescent="0.35">
      <c r="A40" s="715" t="s">
        <v>987</v>
      </c>
      <c r="B40" s="715"/>
      <c r="C40" s="719" t="s">
        <v>442</v>
      </c>
      <c r="D40" s="719" t="s">
        <v>996</v>
      </c>
      <c r="E40" s="715">
        <v>6</v>
      </c>
      <c r="F40" s="722">
        <f>15*E40</f>
        <v>90</v>
      </c>
      <c r="G40" s="715"/>
      <c r="H40" s="715"/>
      <c r="I40" s="715"/>
      <c r="J40" s="715"/>
      <c r="K40" s="719" t="s">
        <v>995</v>
      </c>
      <c r="L40" s="712"/>
      <c r="M40" s="712"/>
      <c r="N40" s="712"/>
      <c r="O40" s="712"/>
      <c r="P40" s="712"/>
      <c r="Q40" s="712"/>
    </row>
    <row r="41" spans="1:17" x14ac:dyDescent="0.35">
      <c r="A41" s="715" t="s">
        <v>442</v>
      </c>
      <c r="B41" s="715"/>
      <c r="C41" s="719" t="s">
        <v>995</v>
      </c>
      <c r="D41" s="719" t="s">
        <v>1059</v>
      </c>
      <c r="E41" s="715">
        <v>0.25</v>
      </c>
      <c r="F41" s="722">
        <v>70.900000000000006</v>
      </c>
      <c r="G41" s="715"/>
      <c r="H41" s="715"/>
      <c r="I41" s="715"/>
      <c r="J41" s="715"/>
      <c r="K41" s="715"/>
      <c r="L41" s="712"/>
      <c r="M41" s="712"/>
      <c r="N41" s="712"/>
      <c r="O41" s="712"/>
      <c r="P41" s="712"/>
      <c r="Q41" s="712">
        <f>'Grab Rail'!E32/4</f>
        <v>0</v>
      </c>
    </row>
    <row r="42" spans="1:17" x14ac:dyDescent="0.35">
      <c r="A42" s="715" t="s">
        <v>1043</v>
      </c>
      <c r="B42" s="715" t="s">
        <v>942</v>
      </c>
      <c r="C42" s="719" t="s">
        <v>1031</v>
      </c>
      <c r="D42" s="719" t="s">
        <v>1036</v>
      </c>
      <c r="E42" s="715"/>
      <c r="F42" s="722">
        <v>5</v>
      </c>
      <c r="G42" s="715"/>
      <c r="H42" s="715"/>
      <c r="I42" s="715"/>
      <c r="J42" s="715"/>
      <c r="K42" s="715"/>
      <c r="L42" s="712"/>
      <c r="M42" s="712"/>
      <c r="N42" s="712"/>
      <c r="O42" s="712"/>
      <c r="P42" s="712"/>
      <c r="Q42" s="712"/>
    </row>
    <row r="43" spans="1:17" x14ac:dyDescent="0.35">
      <c r="A43" s="715" t="s">
        <v>1043</v>
      </c>
      <c r="B43" s="715" t="s">
        <v>943</v>
      </c>
      <c r="C43" s="719" t="s">
        <v>1032</v>
      </c>
      <c r="D43" s="719" t="s">
        <v>1037</v>
      </c>
      <c r="E43" s="715"/>
      <c r="F43" s="722">
        <v>5</v>
      </c>
      <c r="G43" s="715"/>
      <c r="H43" s="715"/>
      <c r="I43" s="715"/>
      <c r="J43" s="715"/>
      <c r="K43" s="715"/>
      <c r="L43" s="712"/>
      <c r="M43" s="712"/>
      <c r="N43" s="712"/>
      <c r="O43" s="712"/>
      <c r="P43" s="712"/>
      <c r="Q43" s="712"/>
    </row>
    <row r="44" spans="1:17" x14ac:dyDescent="0.35">
      <c r="A44" s="715" t="s">
        <v>1043</v>
      </c>
      <c r="B44" s="715" t="s">
        <v>1029</v>
      </c>
      <c r="C44" s="719" t="s">
        <v>1033</v>
      </c>
      <c r="D44" s="719" t="s">
        <v>1038</v>
      </c>
      <c r="E44" s="715"/>
      <c r="F44" s="722">
        <v>5</v>
      </c>
      <c r="G44" s="715"/>
      <c r="H44" s="715"/>
      <c r="I44" s="715"/>
      <c r="J44" s="715"/>
      <c r="K44" s="715"/>
      <c r="L44" s="712"/>
      <c r="M44" s="712"/>
      <c r="N44" s="712"/>
      <c r="O44" s="712"/>
      <c r="P44" s="712"/>
      <c r="Q44" s="712"/>
    </row>
    <row r="45" spans="1:17" x14ac:dyDescent="0.35">
      <c r="A45" s="715" t="s">
        <v>1043</v>
      </c>
      <c r="B45" s="715" t="s">
        <v>945</v>
      </c>
      <c r="C45" s="719" t="s">
        <v>418</v>
      </c>
      <c r="D45" s="715" t="s">
        <v>418</v>
      </c>
      <c r="E45" s="715"/>
      <c r="F45" s="722">
        <v>0</v>
      </c>
      <c r="G45" s="715"/>
      <c r="H45" s="715"/>
      <c r="I45" s="715"/>
      <c r="J45" s="715"/>
      <c r="K45" s="715"/>
      <c r="L45" s="712"/>
      <c r="M45" s="712"/>
      <c r="N45" s="712"/>
      <c r="O45" s="712"/>
      <c r="P45" s="712"/>
      <c r="Q45" s="712"/>
    </row>
    <row r="46" spans="1:17" x14ac:dyDescent="0.35">
      <c r="A46" s="715" t="s">
        <v>1043</v>
      </c>
      <c r="B46" s="715" t="s">
        <v>946</v>
      </c>
      <c r="C46" s="719" t="s">
        <v>1034</v>
      </c>
      <c r="D46" s="719" t="s">
        <v>1039</v>
      </c>
      <c r="E46" s="715"/>
      <c r="F46" s="722">
        <v>5</v>
      </c>
      <c r="G46" s="715"/>
      <c r="H46" s="715"/>
      <c r="I46" s="715"/>
      <c r="J46" s="715"/>
      <c r="K46" s="715"/>
      <c r="L46" s="712"/>
      <c r="M46" s="712"/>
      <c r="N46" s="712"/>
      <c r="O46" s="712"/>
      <c r="P46" s="712"/>
      <c r="Q46" s="712"/>
    </row>
    <row r="47" spans="1:17" x14ac:dyDescent="0.35">
      <c r="A47" s="715" t="s">
        <v>1043</v>
      </c>
      <c r="B47" s="715" t="s">
        <v>947</v>
      </c>
      <c r="C47" s="719" t="s">
        <v>1035</v>
      </c>
      <c r="D47" s="719" t="s">
        <v>1040</v>
      </c>
      <c r="E47" s="715"/>
      <c r="F47" s="722">
        <v>5</v>
      </c>
      <c r="G47" s="715"/>
      <c r="H47" s="715"/>
      <c r="I47" s="715"/>
      <c r="J47" s="715"/>
      <c r="K47" s="715"/>
      <c r="L47" s="712"/>
      <c r="M47" s="712"/>
      <c r="N47" s="712"/>
      <c r="O47" s="712"/>
      <c r="P47" s="712"/>
      <c r="Q47" s="712"/>
    </row>
    <row r="52" spans="1:1" x14ac:dyDescent="0.35">
      <c r="A52" s="710" t="s">
        <v>419</v>
      </c>
    </row>
    <row r="53" spans="1:1" x14ac:dyDescent="0.35">
      <c r="A53" s="710" t="s">
        <v>420</v>
      </c>
    </row>
    <row r="54" spans="1:1" x14ac:dyDescent="0.35">
      <c r="A54" s="710" t="s">
        <v>937</v>
      </c>
    </row>
    <row r="55" spans="1:1" x14ac:dyDescent="0.35">
      <c r="A55" s="710" t="s">
        <v>938</v>
      </c>
    </row>
    <row r="56" spans="1:1" x14ac:dyDescent="0.35">
      <c r="A56" s="710" t="s">
        <v>418</v>
      </c>
    </row>
    <row r="57" spans="1:1" x14ac:dyDescent="0.35">
      <c r="A57" s="710" t="s">
        <v>987</v>
      </c>
    </row>
    <row r="58" spans="1:1" x14ac:dyDescent="0.35">
      <c r="A58" s="710" t="s">
        <v>442</v>
      </c>
    </row>
    <row r="59" spans="1:1" x14ac:dyDescent="0.35">
      <c r="A59" s="710" t="s">
        <v>939</v>
      </c>
    </row>
    <row r="60" spans="1:1" x14ac:dyDescent="0.35">
      <c r="A60" s="710" t="s">
        <v>940</v>
      </c>
    </row>
    <row r="61" spans="1:1" x14ac:dyDescent="0.35">
      <c r="A61" s="710" t="s">
        <v>941</v>
      </c>
    </row>
    <row r="62" spans="1:1" x14ac:dyDescent="0.35">
      <c r="A62" s="710" t="s">
        <v>942</v>
      </c>
    </row>
    <row r="63" spans="1:1" x14ac:dyDescent="0.35">
      <c r="A63" s="710" t="s">
        <v>943</v>
      </c>
    </row>
    <row r="64" spans="1:1" x14ac:dyDescent="0.35">
      <c r="A64" s="710" t="s">
        <v>944</v>
      </c>
    </row>
    <row r="65" spans="1:1" x14ac:dyDescent="0.35">
      <c r="A65" s="710" t="s">
        <v>945</v>
      </c>
    </row>
    <row r="66" spans="1:1" x14ac:dyDescent="0.35">
      <c r="A66" s="710" t="s">
        <v>946</v>
      </c>
    </row>
    <row r="67" spans="1:1" x14ac:dyDescent="0.35">
      <c r="A67" s="710" t="s">
        <v>947</v>
      </c>
    </row>
    <row r="68" spans="1:1" x14ac:dyDescent="0.35">
      <c r="A68" s="710" t="s">
        <v>1064</v>
      </c>
    </row>
    <row r="69" spans="1:1" x14ac:dyDescent="0.35">
      <c r="A69" s="710" t="s">
        <v>1065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/>
  <dimension ref="A1:K14"/>
  <sheetViews>
    <sheetView tabSelected="1" workbookViewId="0">
      <selection activeCell="C20" sqref="C20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1149</v>
      </c>
      <c r="B1" t="s">
        <v>1155</v>
      </c>
      <c r="C1" s="1175" t="s">
        <v>1166</v>
      </c>
      <c r="D1" t="s">
        <v>1159</v>
      </c>
      <c r="E1" t="s">
        <v>1160</v>
      </c>
      <c r="G1" t="s">
        <v>1161</v>
      </c>
      <c r="H1" t="s">
        <v>1162</v>
      </c>
      <c r="I1" t="s">
        <v>1163</v>
      </c>
      <c r="J1" t="s">
        <v>1164</v>
      </c>
      <c r="K1" t="s">
        <v>1165</v>
      </c>
    </row>
    <row r="2" spans="1:11" ht="22.3" customHeight="1" x14ac:dyDescent="0.4">
      <c r="A2" t="s">
        <v>1150</v>
      </c>
      <c r="B2" t="s">
        <v>1156</v>
      </c>
      <c r="D2">
        <v>60</v>
      </c>
      <c r="E2" s="89">
        <v>126</v>
      </c>
      <c r="F2" t="s">
        <v>1172</v>
      </c>
      <c r="G2">
        <v>1</v>
      </c>
      <c r="H2">
        <v>0</v>
      </c>
      <c r="I2">
        <v>0</v>
      </c>
      <c r="J2">
        <v>0</v>
      </c>
      <c r="K2">
        <v>0</v>
      </c>
    </row>
    <row r="3" spans="1:11" ht="29.15" x14ac:dyDescent="0.4">
      <c r="A3" t="s">
        <v>1151</v>
      </c>
      <c r="B3" t="s">
        <v>1157</v>
      </c>
      <c r="D3">
        <v>120</v>
      </c>
      <c r="E3" s="89">
        <v>36</v>
      </c>
      <c r="F3" s="874" t="s">
        <v>1171</v>
      </c>
      <c r="G3">
        <v>0</v>
      </c>
      <c r="H3">
        <v>1</v>
      </c>
      <c r="I3">
        <v>0</v>
      </c>
      <c r="J3">
        <v>0</v>
      </c>
      <c r="K3">
        <v>0</v>
      </c>
    </row>
    <row r="4" spans="1:11" ht="51" customHeight="1" x14ac:dyDescent="0.4">
      <c r="A4" s="873" t="s">
        <v>1152</v>
      </c>
      <c r="B4" t="s">
        <v>1158</v>
      </c>
      <c r="D4">
        <v>1</v>
      </c>
      <c r="E4" s="89">
        <v>1</v>
      </c>
      <c r="F4" s="874" t="s">
        <v>1170</v>
      </c>
      <c r="G4">
        <v>0</v>
      </c>
      <c r="H4">
        <v>0</v>
      </c>
      <c r="I4">
        <v>1</v>
      </c>
      <c r="J4">
        <v>0</v>
      </c>
      <c r="K4">
        <v>0</v>
      </c>
    </row>
    <row r="5" spans="1:11" ht="45.45" customHeight="1" x14ac:dyDescent="0.4">
      <c r="A5" s="873" t="s">
        <v>1153</v>
      </c>
      <c r="B5" t="s">
        <v>1158</v>
      </c>
      <c r="D5">
        <v>1</v>
      </c>
      <c r="E5" s="89">
        <v>2</v>
      </c>
      <c r="F5" s="874" t="s">
        <v>1169</v>
      </c>
      <c r="G5">
        <v>0</v>
      </c>
      <c r="H5">
        <v>0</v>
      </c>
      <c r="I5">
        <v>0</v>
      </c>
      <c r="J5">
        <v>1</v>
      </c>
      <c r="K5">
        <v>0</v>
      </c>
    </row>
    <row r="6" spans="1:11" ht="44.15" customHeight="1" x14ac:dyDescent="0.4">
      <c r="A6" s="873" t="s">
        <v>1154</v>
      </c>
      <c r="B6" t="s">
        <v>1158</v>
      </c>
      <c r="F6" s="874" t="s">
        <v>1168</v>
      </c>
      <c r="G6">
        <v>0</v>
      </c>
      <c r="H6">
        <v>0</v>
      </c>
      <c r="I6">
        <v>0</v>
      </c>
      <c r="J6">
        <v>0</v>
      </c>
      <c r="K6">
        <v>1</v>
      </c>
    </row>
    <row r="7" spans="1:11" ht="37.75" customHeight="1" x14ac:dyDescent="0.4">
      <c r="A7" s="873"/>
      <c r="F7" s="874" t="s">
        <v>1174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4">
      <c r="A8" s="873"/>
      <c r="B8" s="89"/>
      <c r="F8" s="874" t="s">
        <v>1167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4">
      <c r="A9" s="873"/>
      <c r="F9" s="874" t="s">
        <v>1173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4">
      <c r="A10" s="873"/>
    </row>
    <row r="11" spans="1:11" x14ac:dyDescent="0.4">
      <c r="A11" s="873"/>
    </row>
    <row r="12" spans="1:11" x14ac:dyDescent="0.4">
      <c r="A12" s="873"/>
    </row>
    <row r="13" spans="1:11" x14ac:dyDescent="0.4">
      <c r="A13" s="873"/>
    </row>
    <row r="14" spans="1:11" x14ac:dyDescent="0.4">
      <c r="A14" s="873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8" customWidth="1"/>
    <col min="3" max="3" width="14.15234375" style="68" customWidth="1"/>
    <col min="4" max="4" width="15.84375" style="68" customWidth="1"/>
    <col min="5" max="5" width="11.84375" style="68" customWidth="1"/>
    <col min="6" max="6" width="15.84375" style="68" bestFit="1" customWidth="1"/>
    <col min="7" max="7" width="7.15234375" style="68" customWidth="1"/>
    <col min="8" max="8" width="11.3046875" style="68" bestFit="1" customWidth="1"/>
    <col min="9" max="9" width="10.53515625" style="68" customWidth="1"/>
    <col min="10" max="10" width="15.53515625" style="68" customWidth="1"/>
    <col min="11" max="12" width="14" style="68" customWidth="1"/>
    <col min="13" max="13" width="15.84375" style="68" bestFit="1" customWidth="1"/>
    <col min="14" max="14" width="7.84375" style="68" customWidth="1"/>
    <col min="15" max="15" width="11.3046875" style="68" bestFit="1" customWidth="1"/>
    <col min="16" max="16" width="10.53515625" style="68" customWidth="1"/>
    <col min="17" max="17" width="15.15234375" style="68" customWidth="1"/>
    <col min="18" max="18" width="16.3046875" style="68" bestFit="1" customWidth="1"/>
    <col min="19" max="19" width="14" style="68" customWidth="1"/>
    <col min="20" max="20" width="15.84375" style="68" bestFit="1" customWidth="1"/>
    <col min="21" max="16384" width="9.15234375" style="68"/>
  </cols>
  <sheetData>
    <row r="1" spans="1:20" x14ac:dyDescent="0.4">
      <c r="A1" s="67" t="s">
        <v>432</v>
      </c>
      <c r="B1" s="67"/>
      <c r="C1" s="67"/>
      <c r="D1" s="67"/>
      <c r="E1" s="67"/>
      <c r="F1" s="67"/>
      <c r="H1" s="69" t="s">
        <v>433</v>
      </c>
      <c r="I1" s="69"/>
      <c r="J1" s="69"/>
      <c r="K1" s="69"/>
      <c r="L1" s="69"/>
      <c r="M1" s="69"/>
      <c r="O1" s="70" t="s">
        <v>434</v>
      </c>
      <c r="P1" s="70"/>
      <c r="Q1" s="70"/>
      <c r="R1" s="70"/>
      <c r="S1" s="70"/>
      <c r="T1" s="70"/>
    </row>
    <row r="2" spans="1:20" x14ac:dyDescent="0.4">
      <c r="A2" s="82"/>
      <c r="B2" s="82"/>
      <c r="C2" s="82"/>
      <c r="D2" s="82" t="s">
        <v>530</v>
      </c>
      <c r="E2" s="82" t="s">
        <v>531</v>
      </c>
      <c r="F2" s="82" t="s">
        <v>532</v>
      </c>
      <c r="G2" s="82"/>
      <c r="H2" s="82"/>
      <c r="I2" s="82"/>
      <c r="J2" s="82"/>
      <c r="K2" s="82" t="s">
        <v>530</v>
      </c>
      <c r="L2" s="82" t="s">
        <v>531</v>
      </c>
      <c r="M2" s="82" t="s">
        <v>532</v>
      </c>
      <c r="N2" s="82"/>
      <c r="O2" s="82"/>
      <c r="P2" s="82"/>
      <c r="Q2" s="82"/>
      <c r="R2" s="82" t="s">
        <v>530</v>
      </c>
      <c r="S2" s="82" t="s">
        <v>531</v>
      </c>
      <c r="T2" s="82" t="s">
        <v>532</v>
      </c>
    </row>
    <row r="3" spans="1:20" x14ac:dyDescent="0.4">
      <c r="A3" s="82"/>
      <c r="B3" s="82"/>
      <c r="C3" s="82"/>
      <c r="D3" s="82" t="s">
        <v>0</v>
      </c>
      <c r="E3" s="82" t="str">
        <f>'Area A'!B5</f>
        <v>TR200 Blk</v>
      </c>
      <c r="F3" s="82">
        <f>VLOOKUP(E3,'Item List'!$B:$D,3,FALSE)</f>
        <v>20</v>
      </c>
      <c r="G3" s="82"/>
      <c r="H3" s="82"/>
      <c r="I3" s="82"/>
      <c r="J3" s="82"/>
      <c r="K3" s="82" t="s">
        <v>0</v>
      </c>
      <c r="L3" s="82" t="e">
        <f>#REF!</f>
        <v>#REF!</v>
      </c>
      <c r="M3" s="82" t="e">
        <f>VLOOKUP(L3,'Item List'!$B:$D,3,FALSE)</f>
        <v>#REF!</v>
      </c>
      <c r="N3" s="82"/>
      <c r="O3" s="82"/>
      <c r="P3" s="82"/>
      <c r="Q3" s="82"/>
      <c r="R3" s="82" t="s">
        <v>0</v>
      </c>
      <c r="S3" s="82" t="e">
        <f>#REF!</f>
        <v>#REF!</v>
      </c>
      <c r="T3" s="82" t="e">
        <f>VLOOKUP(S3,'Item List'!$B:$D,3,FALSE)</f>
        <v>#REF!</v>
      </c>
    </row>
    <row r="4" spans="1:20" x14ac:dyDescent="0.4">
      <c r="A4" s="82"/>
      <c r="B4" s="82"/>
      <c r="C4" s="82"/>
      <c r="D4" s="82" t="s">
        <v>413</v>
      </c>
      <c r="E4" s="82" t="str">
        <f>'Area A'!B6</f>
        <v>BR100- Blk</v>
      </c>
      <c r="F4" s="82">
        <f>VLOOKUP(E4,'Item List'!$B:$D,3,FALSE)</f>
        <v>20</v>
      </c>
      <c r="G4" s="82"/>
      <c r="H4" s="82"/>
      <c r="I4" s="82"/>
      <c r="J4" s="82"/>
      <c r="K4" s="82" t="s">
        <v>413</v>
      </c>
      <c r="L4" s="82" t="e">
        <f>#REF!</f>
        <v>#REF!</v>
      </c>
      <c r="M4" s="82" t="e">
        <f>VLOOKUP(L4,'Item List'!$B:$D,3,FALSE)</f>
        <v>#REF!</v>
      </c>
      <c r="N4" s="82"/>
      <c r="O4" s="82"/>
      <c r="P4" s="82"/>
      <c r="Q4" s="82"/>
      <c r="R4" s="82" t="s">
        <v>413</v>
      </c>
      <c r="S4" s="82" t="e">
        <f>#REF!</f>
        <v>#REF!</v>
      </c>
      <c r="T4" s="82" t="e">
        <f>VLOOKUP(S4,'Item List'!$B:$D,3,FALSE)</f>
        <v>#REF!</v>
      </c>
    </row>
    <row r="5" spans="1:20" x14ac:dyDescent="0.4">
      <c r="A5" s="82"/>
      <c r="B5" s="82"/>
      <c r="C5" s="82"/>
      <c r="D5" s="84" t="s">
        <v>533</v>
      </c>
      <c r="E5" s="82"/>
      <c r="F5" s="85">
        <f>'Project Materials'!P25</f>
        <v>0</v>
      </c>
      <c r="G5" s="82"/>
      <c r="H5" s="82"/>
      <c r="I5" s="82"/>
      <c r="J5" s="82"/>
      <c r="K5" s="84" t="s">
        <v>533</v>
      </c>
      <c r="L5" s="82"/>
      <c r="M5" s="85">
        <f>'Project Materials'!P26</f>
        <v>0</v>
      </c>
      <c r="N5" s="82"/>
      <c r="O5" s="82"/>
      <c r="P5" s="82"/>
      <c r="Q5" s="82"/>
      <c r="R5" s="84" t="s">
        <v>533</v>
      </c>
      <c r="S5" s="82"/>
      <c r="T5" s="85">
        <f>'Project Materials'!P27</f>
        <v>0</v>
      </c>
    </row>
    <row r="6" spans="1:20" ht="3.75" customHeight="1" x14ac:dyDescent="0.4">
      <c r="A6" s="86"/>
      <c r="B6" s="86"/>
      <c r="C6" s="86"/>
      <c r="D6" s="86"/>
      <c r="E6" s="86"/>
      <c r="F6" s="86"/>
      <c r="G6" s="82"/>
      <c r="H6" s="87"/>
      <c r="I6" s="87"/>
      <c r="J6" s="87"/>
      <c r="K6" s="87"/>
      <c r="L6" s="87"/>
      <c r="M6" s="87"/>
      <c r="N6" s="82"/>
      <c r="O6" s="88"/>
      <c r="P6" s="88"/>
      <c r="Q6" s="88"/>
      <c r="R6" s="88"/>
      <c r="S6" s="88"/>
      <c r="T6" s="88"/>
    </row>
    <row r="7" spans="1:20" ht="16.5" customHeight="1" x14ac:dyDescent="0.4">
      <c r="A7" s="71" t="s">
        <v>0</v>
      </c>
      <c r="B7" s="71"/>
      <c r="C7" s="71"/>
      <c r="D7" s="71"/>
      <c r="E7" s="71"/>
      <c r="F7" s="71"/>
      <c r="H7" s="72" t="s">
        <v>0</v>
      </c>
      <c r="I7" s="72"/>
      <c r="J7" s="72"/>
      <c r="K7" s="72"/>
      <c r="L7" s="72"/>
      <c r="M7" s="72"/>
      <c r="O7" s="73" t="s">
        <v>0</v>
      </c>
      <c r="P7" s="73"/>
      <c r="Q7" s="73"/>
      <c r="R7" s="73"/>
      <c r="S7" s="73"/>
      <c r="T7" s="73"/>
    </row>
    <row r="8" spans="1:20" s="74" customFormat="1" x14ac:dyDescent="0.4">
      <c r="A8" s="74" t="s">
        <v>534</v>
      </c>
      <c r="B8" s="74" t="s">
        <v>535</v>
      </c>
      <c r="C8" s="81" t="s">
        <v>536</v>
      </c>
      <c r="D8" s="81" t="s">
        <v>537</v>
      </c>
      <c r="E8" s="81" t="s">
        <v>538</v>
      </c>
      <c r="F8" s="81" t="s">
        <v>539</v>
      </c>
      <c r="H8" s="74" t="s">
        <v>534</v>
      </c>
      <c r="I8" s="74" t="s">
        <v>535</v>
      </c>
      <c r="J8" s="74" t="s">
        <v>536</v>
      </c>
      <c r="K8" s="74" t="s">
        <v>537</v>
      </c>
      <c r="L8" s="74" t="s">
        <v>538</v>
      </c>
      <c r="M8" s="74" t="s">
        <v>539</v>
      </c>
      <c r="O8" s="74" t="s">
        <v>534</v>
      </c>
      <c r="P8" s="74" t="s">
        <v>535</v>
      </c>
      <c r="Q8" s="74" t="s">
        <v>536</v>
      </c>
      <c r="R8" s="74" t="s">
        <v>537</v>
      </c>
      <c r="S8" s="74" t="s">
        <v>538</v>
      </c>
      <c r="T8" s="74" t="s">
        <v>539</v>
      </c>
    </row>
    <row r="9" spans="1:20" x14ac:dyDescent="0.4">
      <c r="A9" s="68" t="s">
        <v>540</v>
      </c>
      <c r="B9" s="75"/>
      <c r="C9" s="79">
        <f>ROUNDUP(B9/$F$3,0)</f>
        <v>0</v>
      </c>
      <c r="D9" s="102">
        <f>($F$3*C9)-B9</f>
        <v>0</v>
      </c>
      <c r="E9" s="80" t="s">
        <v>541</v>
      </c>
      <c r="F9" s="79">
        <f>D9</f>
        <v>0</v>
      </c>
      <c r="H9" s="68" t="s">
        <v>540</v>
      </c>
      <c r="I9" s="75"/>
      <c r="J9" s="79" t="e">
        <f>ROUNDUP(I9/$M$3,0)</f>
        <v>#REF!</v>
      </c>
      <c r="K9" s="79" t="e">
        <f>($M$3*J9)-I9</f>
        <v>#REF!</v>
      </c>
      <c r="L9" s="80" t="s">
        <v>541</v>
      </c>
      <c r="M9" s="79" t="e">
        <f>K9</f>
        <v>#REF!</v>
      </c>
      <c r="O9" s="68" t="s">
        <v>540</v>
      </c>
      <c r="P9" s="75"/>
      <c r="Q9" s="79" t="e">
        <f>ROUNDUP(P9/$T$3,0)</f>
        <v>#REF!</v>
      </c>
      <c r="R9" s="79" t="e">
        <f>($T$3*Q9)-P9</f>
        <v>#REF!</v>
      </c>
      <c r="S9" s="80" t="s">
        <v>541</v>
      </c>
      <c r="T9" s="79" t="e">
        <f>R9</f>
        <v>#REF!</v>
      </c>
    </row>
    <row r="10" spans="1:20" x14ac:dyDescent="0.4">
      <c r="A10" s="68" t="s">
        <v>542</v>
      </c>
      <c r="B10" s="75"/>
      <c r="C10" s="79">
        <f>IF(B10&lt;=F9,0,ROUNDUP(B10/$F$3,0))</f>
        <v>0</v>
      </c>
      <c r="D10" s="79">
        <f>IF(C10=0,F9-B10,($F$3*C10)-B10)</f>
        <v>0</v>
      </c>
      <c r="E10" s="79">
        <f>IF(B10&lt;=D9,B10,0)</f>
        <v>0</v>
      </c>
      <c r="F10" s="79">
        <f>IF(C10=0,F9-E10,F9+D10-E10)</f>
        <v>0</v>
      </c>
      <c r="H10" s="68" t="s">
        <v>542</v>
      </c>
      <c r="I10" s="75"/>
      <c r="J10" s="79" t="e">
        <f>IF(I10&lt;=M9,0,ROUNDUP(I10/$M$3,0))</f>
        <v>#REF!</v>
      </c>
      <c r="K10" s="79" t="e">
        <f>IF(J10=0,M9-I10,($M$3*J10)-I10)</f>
        <v>#REF!</v>
      </c>
      <c r="L10" s="79" t="e">
        <f>IF(I10&lt;=K9,I10,0)</f>
        <v>#REF!</v>
      </c>
      <c r="M10" s="79" t="e">
        <f>IF(J10=0,M9-L10,M9+K10-L10)</f>
        <v>#REF!</v>
      </c>
      <c r="O10" s="68" t="s">
        <v>542</v>
      </c>
      <c r="P10" s="75"/>
      <c r="Q10" s="79" t="e">
        <f>IF(P10&lt;=T9,0,ROUNDUP(P10/$T$3,0))</f>
        <v>#REF!</v>
      </c>
      <c r="R10" s="79" t="e">
        <f>IF(Q10=0,T9-P10,($T$3*Q10)-P10)</f>
        <v>#REF!</v>
      </c>
      <c r="S10" s="79" t="e">
        <f>IF(P10&lt;=R9,P10,0)</f>
        <v>#REF!</v>
      </c>
      <c r="T10" s="79" t="e">
        <f>IF(Q10=0,T9-S10,T9+R10-S10)</f>
        <v>#REF!</v>
      </c>
    </row>
    <row r="11" spans="1:20" x14ac:dyDescent="0.4">
      <c r="A11" s="68" t="s">
        <v>543</v>
      </c>
      <c r="B11" s="75"/>
      <c r="C11" s="79">
        <f>IF(B11&lt;=F10,0,ROUNDUP(B11/$F$3,0))</f>
        <v>0</v>
      </c>
      <c r="D11" s="79">
        <f>IF(C11=0,F10-B11,($F$3*C11)-B11)</f>
        <v>0</v>
      </c>
      <c r="E11" s="79">
        <f>IF(B11&lt;=F10,B11,0)</f>
        <v>0</v>
      </c>
      <c r="F11" s="79">
        <f>IF(C11=0,F10-E11,F10+D11-E11)</f>
        <v>0</v>
      </c>
      <c r="H11" s="68" t="s">
        <v>543</v>
      </c>
      <c r="I11" s="75"/>
      <c r="J11" s="79" t="e">
        <f>IF(I11&lt;=M10,0,ROUNDUP(I11/$M$3,0))</f>
        <v>#REF!</v>
      </c>
      <c r="K11" s="79" t="e">
        <f>IF(J11=0,M10-I11,($M$3*J11)-I11)</f>
        <v>#REF!</v>
      </c>
      <c r="L11" s="79" t="e">
        <f>IF(I11&lt;=M10,I11,0)</f>
        <v>#REF!</v>
      </c>
      <c r="M11" s="79" t="e">
        <f>IF(J11=0,M10-L11,M10+K11-L11)</f>
        <v>#REF!</v>
      </c>
      <c r="O11" s="68" t="s">
        <v>543</v>
      </c>
      <c r="P11" s="75"/>
      <c r="Q11" s="79" t="e">
        <f>IF(P11&lt;=T10,0,ROUNDUP(P11/$T$3,0))</f>
        <v>#REF!</v>
      </c>
      <c r="R11" s="79" t="e">
        <f>IF(Q11=0,T10-P11,($T$3*Q11)-P11)</f>
        <v>#REF!</v>
      </c>
      <c r="S11" s="79" t="e">
        <f>IF(P11&lt;=T10,P11,0)</f>
        <v>#REF!</v>
      </c>
      <c r="T11" s="79" t="e">
        <f>IF(Q11=0,T10-S11,T10+R11-S11)</f>
        <v>#REF!</v>
      </c>
    </row>
    <row r="12" spans="1:20" x14ac:dyDescent="0.4">
      <c r="A12" s="68" t="s">
        <v>544</v>
      </c>
      <c r="B12" s="75"/>
      <c r="C12" s="79">
        <f>IF(B12&lt;=F11,0,ROUNDUP(B12/$F$3,0))</f>
        <v>0</v>
      </c>
      <c r="D12" s="79">
        <f>IF(C12=0,F11-B12,($F$3*C12)-B12)</f>
        <v>0</v>
      </c>
      <c r="E12" s="79">
        <f>IF(B12&lt;=F11,B12,0)</f>
        <v>0</v>
      </c>
      <c r="F12" s="79">
        <f>IF(C12=0,F11-E12,F11+D12-E12)</f>
        <v>0</v>
      </c>
      <c r="H12" s="68" t="s">
        <v>544</v>
      </c>
      <c r="I12" s="75"/>
      <c r="J12" s="79" t="e">
        <f>IF(I12&lt;=M11,0,ROUNDUP(I12/$M$3,0))</f>
        <v>#REF!</v>
      </c>
      <c r="K12" s="79" t="e">
        <f>IF(J12=0,M11-I12,($M$3*J12)-I12)</f>
        <v>#REF!</v>
      </c>
      <c r="L12" s="79" t="e">
        <f>IF(I12&lt;=M11,I12,0)</f>
        <v>#REF!</v>
      </c>
      <c r="M12" s="79" t="e">
        <f>IF(J12=0,M11-L12,M11+K12-L12)</f>
        <v>#REF!</v>
      </c>
      <c r="O12" s="68" t="s">
        <v>544</v>
      </c>
      <c r="P12" s="75"/>
      <c r="Q12" s="79" t="e">
        <f>IF(P12&lt;=T11,0,ROUNDUP(P12/$T$3,0))</f>
        <v>#REF!</v>
      </c>
      <c r="R12" s="79" t="e">
        <f>IF(Q12=0,T11-P12,($T$3*Q12)-P12)</f>
        <v>#REF!</v>
      </c>
      <c r="S12" s="79" t="e">
        <f>IF(P12&lt;=T11,P12,0)</f>
        <v>#REF!</v>
      </c>
      <c r="T12" s="79" t="e">
        <f>IF(Q12=0,T11-S12,T11+R12-S12)</f>
        <v>#REF!</v>
      </c>
    </row>
    <row r="13" spans="1:20" x14ac:dyDescent="0.4">
      <c r="A13" s="68" t="s">
        <v>545</v>
      </c>
      <c r="B13" s="75"/>
      <c r="C13" s="79">
        <f>IF(B13&lt;=F12,0,ROUNDUP(B13/$F$3,0))</f>
        <v>0</v>
      </c>
      <c r="D13" s="79">
        <f>IF(C13=0,F12-B13,($F$3*C13)-B13)</f>
        <v>0</v>
      </c>
      <c r="E13" s="79">
        <f>IF(B13&lt;=F12,B13,0)</f>
        <v>0</v>
      </c>
      <c r="F13" s="79">
        <f>IF(C13=0,F12-E13,F12+D13-E13)</f>
        <v>0</v>
      </c>
      <c r="H13" s="68" t="s">
        <v>545</v>
      </c>
      <c r="I13" s="75"/>
      <c r="J13" s="79" t="e">
        <f>IF(I13&lt;=M12,0,ROUNDUP(I13/$M$3,0))</f>
        <v>#REF!</v>
      </c>
      <c r="K13" s="79" t="e">
        <f>IF(J13=0,M12-I13,($M$3*J13)-I13)</f>
        <v>#REF!</v>
      </c>
      <c r="L13" s="79" t="e">
        <f>IF(I13&lt;=M12,I13,0)</f>
        <v>#REF!</v>
      </c>
      <c r="M13" s="79" t="e">
        <f>IF(J13=0,M12-L13,M12+K13-L13)</f>
        <v>#REF!</v>
      </c>
      <c r="O13" s="68" t="s">
        <v>545</v>
      </c>
      <c r="P13" s="75"/>
      <c r="Q13" s="79" t="e">
        <f>IF(P13&lt;=T12,0,ROUNDUP(P13/$T$3,0))</f>
        <v>#REF!</v>
      </c>
      <c r="R13" s="79" t="e">
        <f>IF(Q13=0,T12-P13,($T$3*Q13)-P13)</f>
        <v>#REF!</v>
      </c>
      <c r="S13" s="79" t="e">
        <f>IF(P13&lt;=T12,P13,0)</f>
        <v>#REF!</v>
      </c>
      <c r="T13" s="79" t="e">
        <f>IF(Q13=0,T12-S13,T12+R13-S13)</f>
        <v>#REF!</v>
      </c>
    </row>
    <row r="14" spans="1:20" x14ac:dyDescent="0.4">
      <c r="A14" s="68" t="s">
        <v>367</v>
      </c>
      <c r="C14" s="79">
        <f>SUM(C9:C13)</f>
        <v>0</v>
      </c>
      <c r="D14" s="82"/>
      <c r="E14" s="82"/>
      <c r="F14" s="82"/>
      <c r="H14" s="68" t="s">
        <v>367</v>
      </c>
      <c r="J14" s="79" t="e">
        <f>SUM(J9:J13)</f>
        <v>#REF!</v>
      </c>
      <c r="K14" s="82"/>
      <c r="L14" s="82"/>
      <c r="M14" s="82"/>
      <c r="O14" s="68" t="s">
        <v>367</v>
      </c>
      <c r="Q14" s="79" t="e">
        <f>SUM(Q9:Q13)</f>
        <v>#REF!</v>
      </c>
      <c r="R14" s="82"/>
      <c r="S14" s="82"/>
      <c r="T14" s="82"/>
    </row>
    <row r="15" spans="1:20" x14ac:dyDescent="0.4">
      <c r="A15" s="1169" t="s">
        <v>662</v>
      </c>
      <c r="B15" s="1169"/>
      <c r="C15" s="1169"/>
      <c r="D15" s="1169"/>
      <c r="E15" s="1169"/>
      <c r="F15" s="83" t="e">
        <f>(F13/(C14*$F$3))</f>
        <v>#DIV/0!</v>
      </c>
      <c r="H15" s="1169" t="s">
        <v>662</v>
      </c>
      <c r="I15" s="1169"/>
      <c r="J15" s="1169"/>
      <c r="K15" s="1169"/>
      <c r="L15" s="1169"/>
      <c r="M15" s="83" t="e">
        <f>(M13/(J14*$M$3))</f>
        <v>#REF!</v>
      </c>
      <c r="O15" s="1169" t="s">
        <v>662</v>
      </c>
      <c r="P15" s="1169"/>
      <c r="Q15" s="1169"/>
      <c r="R15" s="1169"/>
      <c r="S15" s="1169"/>
      <c r="T15" s="83" t="e">
        <f>(T13/(Q14*$T$3))</f>
        <v>#REF!</v>
      </c>
    </row>
    <row r="16" spans="1:20" s="77" customFormat="1" x14ac:dyDescent="0.4">
      <c r="C16" s="78"/>
      <c r="J16" s="78"/>
      <c r="Q16" s="78"/>
    </row>
    <row r="17" spans="1:20" ht="15.75" customHeight="1" x14ac:dyDescent="0.4">
      <c r="A17" s="71" t="s">
        <v>413</v>
      </c>
      <c r="B17" s="71"/>
      <c r="C17" s="71"/>
      <c r="D17" s="71"/>
      <c r="E17" s="71"/>
      <c r="H17" s="72" t="s">
        <v>413</v>
      </c>
      <c r="I17" s="72"/>
      <c r="J17" s="72"/>
      <c r="K17" s="72"/>
      <c r="L17" s="72"/>
      <c r="O17" s="73" t="s">
        <v>413</v>
      </c>
      <c r="P17" s="73"/>
      <c r="Q17" s="73"/>
      <c r="R17" s="73"/>
      <c r="S17" s="73"/>
    </row>
    <row r="18" spans="1:20" ht="29.15" x14ac:dyDescent="0.4">
      <c r="A18" s="74" t="s">
        <v>534</v>
      </c>
      <c r="B18" s="74" t="s">
        <v>535</v>
      </c>
      <c r="C18" s="81" t="s">
        <v>536</v>
      </c>
      <c r="D18" s="74" t="s">
        <v>546</v>
      </c>
      <c r="E18" s="74" t="s">
        <v>538</v>
      </c>
      <c r="H18" s="74" t="s">
        <v>534</v>
      </c>
      <c r="I18" s="74" t="s">
        <v>535</v>
      </c>
      <c r="J18" s="81" t="s">
        <v>536</v>
      </c>
      <c r="K18" s="74" t="s">
        <v>546</v>
      </c>
      <c r="L18" s="74" t="s">
        <v>538</v>
      </c>
      <c r="O18" s="74" t="s">
        <v>534</v>
      </c>
      <c r="P18" s="74" t="s">
        <v>535</v>
      </c>
      <c r="Q18" s="81" t="s">
        <v>536</v>
      </c>
      <c r="R18" s="74" t="s">
        <v>546</v>
      </c>
      <c r="S18" s="74" t="s">
        <v>538</v>
      </c>
    </row>
    <row r="19" spans="1:20" x14ac:dyDescent="0.4">
      <c r="A19" s="68" t="s">
        <v>540</v>
      </c>
      <c r="B19" s="75"/>
      <c r="C19" s="79">
        <f>ROUNDUP(B19/$F$4,0)</f>
        <v>0</v>
      </c>
      <c r="D19" s="79">
        <f>($F$4*C19)-B19</f>
        <v>0</v>
      </c>
      <c r="E19" s="80" t="s">
        <v>541</v>
      </c>
      <c r="F19" s="79">
        <f>D19</f>
        <v>0</v>
      </c>
      <c r="H19" s="68" t="s">
        <v>540</v>
      </c>
      <c r="I19" s="75"/>
      <c r="J19" s="79" t="e">
        <f>ROUNDUP(I19/$M$4,0)</f>
        <v>#REF!</v>
      </c>
      <c r="K19" s="79" t="e">
        <f>($M$4*J19)-I19</f>
        <v>#REF!</v>
      </c>
      <c r="L19" s="80" t="s">
        <v>541</v>
      </c>
      <c r="M19" s="79" t="e">
        <f>K19</f>
        <v>#REF!</v>
      </c>
      <c r="O19" s="82" t="s">
        <v>540</v>
      </c>
      <c r="P19" s="75"/>
      <c r="Q19" s="76" t="e">
        <f>ROUNDUP(P19/$T$4,0)</f>
        <v>#REF!</v>
      </c>
      <c r="R19" s="79" t="e">
        <f>($T$4*Q19)-P19</f>
        <v>#REF!</v>
      </c>
      <c r="S19" s="80" t="s">
        <v>541</v>
      </c>
      <c r="T19" s="79" t="e">
        <f>R19</f>
        <v>#REF!</v>
      </c>
    </row>
    <row r="20" spans="1:20" x14ac:dyDescent="0.4">
      <c r="A20" s="68" t="s">
        <v>542</v>
      </c>
      <c r="B20" s="75"/>
      <c r="C20" s="79">
        <f>IF(B20&lt;=F19,0,ROUNDUP(B20/$F$4,0))</f>
        <v>0</v>
      </c>
      <c r="D20" s="79">
        <f>IF(C20=0,F19-B20,($F$4*C20)-B20)</f>
        <v>0</v>
      </c>
      <c r="E20" s="79">
        <f>IF(B20&lt;=D19,B20,0)</f>
        <v>0</v>
      </c>
      <c r="F20" s="79">
        <f>IF(C20=0,F19-E20,F19+D20-E20)</f>
        <v>0</v>
      </c>
      <c r="H20" s="68" t="s">
        <v>542</v>
      </c>
      <c r="I20" s="75"/>
      <c r="J20" s="79" t="e">
        <f>IF(I20&lt;=M19,0,ROUNDUP(I20/$M$4,0))</f>
        <v>#REF!</v>
      </c>
      <c r="K20" s="79" t="e">
        <f>IF(J20=0,M19-I20,($M$4*J20)-I20)</f>
        <v>#REF!</v>
      </c>
      <c r="L20" s="79" t="e">
        <f>IF(I20&lt;=K19,I20,0)</f>
        <v>#REF!</v>
      </c>
      <c r="M20" s="79" t="e">
        <f>IF(J20=0,M19-L20,M19+K20-L20)</f>
        <v>#REF!</v>
      </c>
      <c r="O20" s="82" t="s">
        <v>542</v>
      </c>
      <c r="P20" s="75"/>
      <c r="Q20" s="79" t="e">
        <f>IF(P20&lt;=T19,0,ROUNDUP(P20/$T$4,0))</f>
        <v>#REF!</v>
      </c>
      <c r="R20" s="79" t="e">
        <f>IF(Q20=0,T19-P20,($T$4*Q20)-P20)</f>
        <v>#REF!</v>
      </c>
      <c r="S20" s="79" t="e">
        <f>IF(P20&lt;=R19,P20,0)</f>
        <v>#REF!</v>
      </c>
      <c r="T20" s="79" t="e">
        <f>IF(Q20=0,T19-S20,T19+R20-S20)</f>
        <v>#REF!</v>
      </c>
    </row>
    <row r="21" spans="1:20" x14ac:dyDescent="0.4">
      <c r="A21" s="68" t="s">
        <v>543</v>
      </c>
      <c r="B21" s="75"/>
      <c r="C21" s="79">
        <f>IF(B21&lt;=F20,0,ROUNDUP(B21/$F$3,0))</f>
        <v>0</v>
      </c>
      <c r="D21" s="79">
        <f>IF(C21=0,F20-B21,($F$4*C21)-B21)</f>
        <v>0</v>
      </c>
      <c r="E21" s="79">
        <f>IF(B21&lt;=F20,B21,0)</f>
        <v>0</v>
      </c>
      <c r="F21" s="79">
        <f>IF(C21=0,F20-E21,F20+D21-E21)</f>
        <v>0</v>
      </c>
      <c r="H21" s="68" t="s">
        <v>543</v>
      </c>
      <c r="I21" s="75"/>
      <c r="J21" s="79" t="e">
        <f>IF(I21&lt;=M20,0,ROUNDUP(I21/$M$3,0))</f>
        <v>#REF!</v>
      </c>
      <c r="K21" s="79" t="e">
        <f>IF(J21=0,M20-I21,($M$4*J21)-I21)</f>
        <v>#REF!</v>
      </c>
      <c r="L21" s="79" t="e">
        <f>IF(I21&lt;=M20,I21,0)</f>
        <v>#REF!</v>
      </c>
      <c r="M21" s="79" t="e">
        <f>IF(J21=0,M20-L21,M20+K21-L21)</f>
        <v>#REF!</v>
      </c>
      <c r="O21" s="82" t="s">
        <v>543</v>
      </c>
      <c r="P21" s="75"/>
      <c r="Q21" s="79" t="e">
        <f>IF(P21&lt;=T20,0,ROUNDUP(P21/$T$3,0))</f>
        <v>#REF!</v>
      </c>
      <c r="R21" s="79" t="e">
        <f>IF(Q21=0,T20-P21,($T$4*Q21)-P21)</f>
        <v>#REF!</v>
      </c>
      <c r="S21" s="79" t="e">
        <f>IF(P21&lt;=T20,P21,0)</f>
        <v>#REF!</v>
      </c>
      <c r="T21" s="79" t="e">
        <f>IF(Q21=0,T20-S21,T20+R21-S21)</f>
        <v>#REF!</v>
      </c>
    </row>
    <row r="22" spans="1:20" x14ac:dyDescent="0.4">
      <c r="A22" s="68" t="s">
        <v>544</v>
      </c>
      <c r="B22" s="75"/>
      <c r="C22" s="79">
        <f>IF(B22&lt;=F21,0,ROUNDUP(B22/$F$3,0))</f>
        <v>0</v>
      </c>
      <c r="D22" s="79">
        <f>IF(C22=0,F21-B22,($F$4*C22)-B22)</f>
        <v>0</v>
      </c>
      <c r="E22" s="79">
        <f>IF(B22&lt;=F21,B22,0)</f>
        <v>0</v>
      </c>
      <c r="F22" s="79">
        <f>IF(C22=0,F21-E22,F21+D22-E22)</f>
        <v>0</v>
      </c>
      <c r="H22" s="68" t="s">
        <v>544</v>
      </c>
      <c r="I22" s="75"/>
      <c r="J22" s="79" t="e">
        <f>IF(I22&lt;=M21,0,ROUNDUP(I22/$M$3,0))</f>
        <v>#REF!</v>
      </c>
      <c r="K22" s="79" t="e">
        <f>IF(J22=0,M21-I22,($M$4*J22)-I22)</f>
        <v>#REF!</v>
      </c>
      <c r="L22" s="79" t="e">
        <f>IF(I22&lt;=M21,I22,0)</f>
        <v>#REF!</v>
      </c>
      <c r="M22" s="79" t="e">
        <f>IF(J22=0,M21-L22,M21+K22-L22)</f>
        <v>#REF!</v>
      </c>
      <c r="O22" s="82" t="s">
        <v>544</v>
      </c>
      <c r="P22" s="75"/>
      <c r="Q22" s="79" t="e">
        <f>IF(P22&lt;=T21,0,ROUNDUP(P22/$T$3,0))</f>
        <v>#REF!</v>
      </c>
      <c r="R22" s="79" t="e">
        <f>IF(Q22=0,T21-P22,($T$4*Q22)-P22)</f>
        <v>#REF!</v>
      </c>
      <c r="S22" s="79" t="e">
        <f>IF(P22&lt;=T21,P22,0)</f>
        <v>#REF!</v>
      </c>
      <c r="T22" s="79" t="e">
        <f>IF(Q22=0,T21-S22,T21+R22-S22)</f>
        <v>#REF!</v>
      </c>
    </row>
    <row r="23" spans="1:20" x14ac:dyDescent="0.4">
      <c r="A23" s="68" t="s">
        <v>545</v>
      </c>
      <c r="B23" s="75"/>
      <c r="C23" s="79">
        <f>IF(B23&lt;=F22,0,ROUNDUP(B23/$F$3,0))</f>
        <v>0</v>
      </c>
      <c r="D23" s="79">
        <f>IF(C23=0,F22-B23,($F$4*C23)-B23)</f>
        <v>0</v>
      </c>
      <c r="E23" s="79">
        <f>IF(B23&lt;=F22,B23,0)</f>
        <v>0</v>
      </c>
      <c r="F23" s="79">
        <f>IF(C23=0,F22-E23,F22+D23-E23)</f>
        <v>0</v>
      </c>
      <c r="H23" s="68" t="s">
        <v>545</v>
      </c>
      <c r="I23" s="75"/>
      <c r="J23" s="79" t="e">
        <f>IF(I23&lt;=M22,0,ROUNDUP(I23/$M$3,0))</f>
        <v>#REF!</v>
      </c>
      <c r="K23" s="79" t="e">
        <f>IF(J23=0,M22-I23,($M$4*J23)-I23)</f>
        <v>#REF!</v>
      </c>
      <c r="L23" s="79" t="e">
        <f>IF(I23&lt;=M22,I23,0)</f>
        <v>#REF!</v>
      </c>
      <c r="M23" s="79" t="e">
        <f>IF(J23=0,M22-L23,M22+K23-L23)</f>
        <v>#REF!</v>
      </c>
      <c r="O23" s="82" t="s">
        <v>545</v>
      </c>
      <c r="P23" s="75"/>
      <c r="Q23" s="79" t="e">
        <f>IF(P23&lt;=T22,0,ROUNDUP(P23/$T$3,0))</f>
        <v>#REF!</v>
      </c>
      <c r="R23" s="79" t="e">
        <f>IF(Q23=0,T22-P23,($T$4*Q23)-P23)</f>
        <v>#REF!</v>
      </c>
      <c r="S23" s="79" t="e">
        <f>IF(P23&lt;=T22,P23,0)</f>
        <v>#REF!</v>
      </c>
      <c r="T23" s="79" t="e">
        <f>IF(Q23=0,T22-S23,T22+R23-S23)</f>
        <v>#REF!</v>
      </c>
    </row>
    <row r="24" spans="1:20" x14ac:dyDescent="0.4">
      <c r="A24" s="68" t="s">
        <v>367</v>
      </c>
      <c r="C24" s="79">
        <f>SUM(C19:C23)</f>
        <v>0</v>
      </c>
      <c r="D24" s="82"/>
      <c r="E24" s="82"/>
      <c r="F24" s="82"/>
      <c r="H24" s="68" t="s">
        <v>367</v>
      </c>
      <c r="J24" s="79" t="e">
        <f>SUM(J19:J23)</f>
        <v>#REF!</v>
      </c>
      <c r="K24" s="82"/>
      <c r="L24" s="82"/>
      <c r="M24" s="82"/>
      <c r="O24" s="82" t="s">
        <v>367</v>
      </c>
      <c r="P24" s="82"/>
      <c r="Q24" s="79" t="e">
        <f>SUM(Q19:Q23)</f>
        <v>#REF!</v>
      </c>
      <c r="R24" s="82"/>
      <c r="S24" s="82"/>
      <c r="T24" s="82"/>
    </row>
    <row r="25" spans="1:20" x14ac:dyDescent="0.4">
      <c r="A25" s="1169" t="s">
        <v>662</v>
      </c>
      <c r="B25" s="1169"/>
      <c r="C25" s="1169"/>
      <c r="D25" s="1169"/>
      <c r="E25" s="1169"/>
      <c r="F25" s="83" t="e">
        <f>(F23/(C24*$F$3))</f>
        <v>#DIV/0!</v>
      </c>
      <c r="H25" s="1169" t="s">
        <v>662</v>
      </c>
      <c r="I25" s="1169"/>
      <c r="J25" s="1169"/>
      <c r="K25" s="1169"/>
      <c r="L25" s="1169"/>
      <c r="M25" s="83" t="e">
        <f>(M23/(J24*$M$3))</f>
        <v>#REF!</v>
      </c>
      <c r="O25" s="1170" t="s">
        <v>662</v>
      </c>
      <c r="P25" s="1170"/>
      <c r="Q25" s="1170"/>
      <c r="R25" s="1170"/>
      <c r="S25" s="1170"/>
      <c r="T25" s="83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K53" sqref="K53"/>
    </sheetView>
  </sheetViews>
  <sheetFormatPr defaultColWidth="8.84375" defaultRowHeight="14.6" x14ac:dyDescent="0.4"/>
  <cols>
    <col min="1" max="2" width="8.84375" style="111"/>
    <col min="3" max="3" width="29.15234375" style="111" customWidth="1"/>
    <col min="4" max="4" width="8.84375" style="111"/>
    <col min="5" max="5" width="9.53515625" style="111" bestFit="1" customWidth="1"/>
    <col min="6" max="7" width="9.84375" style="111" bestFit="1" customWidth="1"/>
    <col min="8" max="8" width="20.84375" style="111" bestFit="1" customWidth="1"/>
    <col min="9" max="9" width="10.3046875" style="111" customWidth="1"/>
    <col min="10" max="10" width="32.15234375" style="111" customWidth="1"/>
    <col min="11" max="11" width="18" style="111" customWidth="1"/>
    <col min="12" max="12" width="11.3046875" style="111" bestFit="1" customWidth="1"/>
    <col min="13" max="13" width="13.15234375" style="111" customWidth="1"/>
    <col min="14" max="14" width="14.15234375" style="111" bestFit="1" customWidth="1"/>
    <col min="15" max="15" width="12.15234375" style="111" customWidth="1"/>
    <col min="16" max="16" width="12.69140625" style="111" bestFit="1" customWidth="1"/>
    <col min="17" max="17" width="10.15234375" style="111" bestFit="1" customWidth="1"/>
    <col min="18" max="16384" width="8.84375" style="111"/>
  </cols>
  <sheetData>
    <row r="1" spans="1:19" ht="15.45" x14ac:dyDescent="0.4">
      <c r="A1" s="322"/>
      <c r="B1" s="323"/>
      <c r="C1" s="324" t="s">
        <v>795</v>
      </c>
      <c r="D1" s="325">
        <v>1</v>
      </c>
      <c r="E1" s="325">
        <v>2</v>
      </c>
      <c r="F1" s="325">
        <v>3</v>
      </c>
      <c r="G1" s="326"/>
      <c r="H1" s="131"/>
      <c r="L1" s="20" t="s">
        <v>794</v>
      </c>
    </row>
    <row r="2" spans="1:19" ht="15.45" x14ac:dyDescent="0.4">
      <c r="A2" s="327"/>
      <c r="B2" s="321"/>
      <c r="C2" s="321"/>
      <c r="D2" s="321" t="s">
        <v>9</v>
      </c>
      <c r="E2" s="321" t="s">
        <v>793</v>
      </c>
      <c r="F2" s="321"/>
      <c r="G2" s="307"/>
      <c r="H2" s="131"/>
      <c r="I2" s="131"/>
      <c r="J2" s="131"/>
      <c r="K2" s="131"/>
      <c r="L2" s="131"/>
      <c r="M2" s="158" t="s">
        <v>792</v>
      </c>
      <c r="N2" s="157"/>
      <c r="O2" s="131"/>
      <c r="P2" s="131"/>
      <c r="Q2" s="131"/>
      <c r="R2" s="131"/>
    </row>
    <row r="3" spans="1:19" ht="15.45" x14ac:dyDescent="0.4">
      <c r="A3" s="327"/>
      <c r="B3" s="321"/>
      <c r="C3" s="321"/>
      <c r="D3" s="328" t="s">
        <v>725</v>
      </c>
      <c r="E3" s="321" t="s">
        <v>792</v>
      </c>
      <c r="F3" s="321"/>
      <c r="G3" s="307"/>
      <c r="H3" s="131"/>
      <c r="I3" s="131"/>
      <c r="J3" s="131"/>
      <c r="M3" s="131" t="s">
        <v>791</v>
      </c>
      <c r="N3" s="131" t="s">
        <v>790</v>
      </c>
      <c r="O3" s="131"/>
      <c r="P3" s="131"/>
      <c r="Q3" s="131"/>
      <c r="R3" s="131"/>
    </row>
    <row r="4" spans="1:19" ht="15.45" x14ac:dyDescent="0.4">
      <c r="A4" s="327"/>
      <c r="B4" s="321"/>
      <c r="C4" s="321" t="s">
        <v>789</v>
      </c>
      <c r="D4" s="156" t="s">
        <v>788</v>
      </c>
      <c r="E4" s="156" t="s">
        <v>787</v>
      </c>
      <c r="F4" s="156" t="s">
        <v>786</v>
      </c>
      <c r="G4" s="307"/>
      <c r="H4" s="131"/>
      <c r="I4" s="131"/>
      <c r="J4" s="131"/>
      <c r="M4" s="156" t="s">
        <v>785</v>
      </c>
      <c r="N4" s="156" t="s">
        <v>784</v>
      </c>
      <c r="O4" s="131"/>
      <c r="P4" s="131"/>
      <c r="Q4" s="131"/>
      <c r="R4" s="131"/>
    </row>
    <row r="5" spans="1:19" ht="15.45" x14ac:dyDescent="0.4">
      <c r="A5" s="327"/>
      <c r="B5" s="321"/>
      <c r="C5" s="321" t="s">
        <v>783</v>
      </c>
      <c r="D5" s="329">
        <v>30</v>
      </c>
      <c r="E5" s="330">
        <f>+M9</f>
        <v>49.62</v>
      </c>
      <c r="F5" s="330">
        <f>+N9</f>
        <v>49.47</v>
      </c>
      <c r="G5" s="307"/>
      <c r="H5" s="131"/>
      <c r="I5" s="131" t="s">
        <v>9</v>
      </c>
      <c r="J5" s="131"/>
      <c r="M5" s="134">
        <v>37.79</v>
      </c>
      <c r="N5" s="134">
        <v>0</v>
      </c>
      <c r="O5" s="131"/>
      <c r="P5" s="131"/>
      <c r="Q5" s="131"/>
      <c r="R5" s="131"/>
    </row>
    <row r="6" spans="1:19" ht="15.45" x14ac:dyDescent="0.4">
      <c r="A6" s="327"/>
      <c r="B6" s="790">
        <f>+Q23</f>
        <v>0.156</v>
      </c>
      <c r="C6" s="321" t="s">
        <v>782</v>
      </c>
      <c r="D6" s="155">
        <f>+D5*$B$6</f>
        <v>4.68</v>
      </c>
      <c r="E6" s="155">
        <f>+E5*$B$6</f>
        <v>7.7407199999999996</v>
      </c>
      <c r="F6" s="155">
        <f>+F5*$B$6</f>
        <v>7.71732</v>
      </c>
      <c r="G6" s="307"/>
      <c r="H6" s="131"/>
      <c r="I6" s="131" t="s">
        <v>9</v>
      </c>
      <c r="J6" s="131"/>
      <c r="M6" s="154">
        <v>16.829999999999998</v>
      </c>
      <c r="N6" s="154">
        <v>0</v>
      </c>
      <c r="O6" s="131"/>
      <c r="P6" s="131"/>
      <c r="Q6" s="131"/>
      <c r="R6" s="131"/>
    </row>
    <row r="7" spans="1:19" ht="15.9" thickBot="1" x14ac:dyDescent="0.45">
      <c r="A7" s="331"/>
      <c r="B7" s="320"/>
      <c r="C7" s="320"/>
      <c r="D7" s="332">
        <f>SUM(D5:D6)</f>
        <v>34.68</v>
      </c>
      <c r="E7" s="332">
        <f>SUM(E5:E6)</f>
        <v>57.360720000000001</v>
      </c>
      <c r="F7" s="332">
        <f>SUM(F5:F6)</f>
        <v>57.18732</v>
      </c>
      <c r="G7" s="333"/>
      <c r="H7" s="131"/>
      <c r="I7" s="131" t="s">
        <v>9</v>
      </c>
      <c r="J7" s="131"/>
      <c r="M7" s="152">
        <f>SUM(M5:M6)</f>
        <v>54.62</v>
      </c>
      <c r="N7" s="152">
        <v>54.47</v>
      </c>
      <c r="O7" s="131"/>
      <c r="P7" s="131"/>
      <c r="Q7" s="131"/>
      <c r="R7" s="131"/>
    </row>
    <row r="8" spans="1:19" ht="15.45" x14ac:dyDescent="0.4">
      <c r="A8" s="131"/>
      <c r="B8" s="131"/>
      <c r="C8" s="131"/>
      <c r="D8" s="131"/>
      <c r="E8" s="131"/>
      <c r="F8" s="131"/>
      <c r="H8" s="131"/>
      <c r="I8" s="131"/>
      <c r="J8" s="131"/>
      <c r="K8" s="131"/>
      <c r="L8" s="143" t="s">
        <v>781</v>
      </c>
      <c r="M8" s="153">
        <v>5</v>
      </c>
      <c r="N8" s="153">
        <f>+M8</f>
        <v>5</v>
      </c>
      <c r="O8" s="131"/>
      <c r="P8" s="131"/>
      <c r="Q8" s="131"/>
      <c r="R8" s="131"/>
    </row>
    <row r="9" spans="1:19" ht="15.45" x14ac:dyDescent="0.4">
      <c r="A9" s="131"/>
      <c r="B9" s="131"/>
      <c r="C9" s="131" t="s">
        <v>780</v>
      </c>
      <c r="D9" s="139">
        <v>0.2</v>
      </c>
      <c r="E9" s="139">
        <v>0.17499999999999999</v>
      </c>
      <c r="F9" s="139">
        <v>0.15</v>
      </c>
      <c r="K9" s="131"/>
      <c r="L9" s="131"/>
      <c r="M9" s="152">
        <f>+M7-M8</f>
        <v>49.62</v>
      </c>
      <c r="N9" s="152">
        <f>+N7-N8</f>
        <v>49.47</v>
      </c>
      <c r="O9" s="131"/>
      <c r="P9" s="131"/>
      <c r="Q9" s="131"/>
      <c r="R9" s="131"/>
    </row>
    <row r="10" spans="1:19" ht="15.45" x14ac:dyDescent="0.4">
      <c r="A10" s="131"/>
      <c r="B10" s="131"/>
      <c r="C10" s="131" t="s">
        <v>779</v>
      </c>
      <c r="D10" s="151">
        <v>0</v>
      </c>
      <c r="E10" s="151">
        <f>+D10</f>
        <v>0</v>
      </c>
      <c r="F10" s="151">
        <f>+E10</f>
        <v>0</v>
      </c>
      <c r="K10" s="131"/>
      <c r="L10" s="131"/>
      <c r="M10" s="131"/>
      <c r="N10" s="131"/>
      <c r="O10" s="131"/>
      <c r="P10" s="131"/>
      <c r="Q10" s="131"/>
      <c r="R10" s="131"/>
    </row>
    <row r="11" spans="1:19" ht="15.45" x14ac:dyDescent="0.4">
      <c r="A11" s="131"/>
      <c r="B11" s="131"/>
      <c r="C11" s="131" t="s">
        <v>778</v>
      </c>
      <c r="D11" s="150">
        <f>+D10+D9</f>
        <v>0.2</v>
      </c>
      <c r="E11" s="150">
        <f>+E10+E9</f>
        <v>0.17499999999999999</v>
      </c>
      <c r="F11" s="150">
        <f>+F10+F9</f>
        <v>0.15</v>
      </c>
      <c r="K11" s="131"/>
      <c r="L11" s="131" t="s">
        <v>777</v>
      </c>
      <c r="M11" s="131"/>
      <c r="N11" s="131"/>
      <c r="O11" s="131"/>
      <c r="P11" s="131"/>
      <c r="Q11" s="131"/>
      <c r="R11" s="131"/>
    </row>
    <row r="12" spans="1:19" ht="15.45" x14ac:dyDescent="0.4">
      <c r="A12" s="131"/>
      <c r="B12" s="131"/>
      <c r="C12" s="131"/>
      <c r="D12" s="131"/>
      <c r="E12" s="131"/>
      <c r="F12" s="131"/>
      <c r="K12" s="131"/>
      <c r="L12" s="131"/>
      <c r="M12" s="131"/>
      <c r="N12" s="131"/>
      <c r="O12" s="131"/>
      <c r="P12" s="131"/>
      <c r="Q12" s="131"/>
      <c r="R12" s="131"/>
    </row>
    <row r="13" spans="1:19" ht="15.45" x14ac:dyDescent="0.4">
      <c r="A13" s="131"/>
      <c r="B13" s="131"/>
      <c r="C13" s="131" t="s">
        <v>776</v>
      </c>
      <c r="D13" s="150">
        <f>1-D11</f>
        <v>0.8</v>
      </c>
      <c r="E13" s="150">
        <f>1-E11</f>
        <v>0.82499999999999996</v>
      </c>
      <c r="F13" s="150">
        <f>1-F11</f>
        <v>0.85</v>
      </c>
      <c r="K13" s="131"/>
      <c r="L13" s="131"/>
      <c r="M13" s="131"/>
      <c r="N13" s="131"/>
      <c r="O13" s="131"/>
      <c r="P13" s="131"/>
      <c r="Q13" s="131"/>
      <c r="R13" s="131"/>
    </row>
    <row r="14" spans="1:19" ht="15.45" x14ac:dyDescent="0.4">
      <c r="A14" s="131"/>
      <c r="B14" s="131"/>
      <c r="C14" s="131"/>
      <c r="D14" s="131"/>
      <c r="E14" s="131"/>
      <c r="K14" s="131"/>
      <c r="N14" s="20" t="s">
        <v>1069</v>
      </c>
      <c r="O14" s="20"/>
      <c r="Q14" s="20" t="s">
        <v>1076</v>
      </c>
      <c r="R14" s="131"/>
      <c r="S14" s="131"/>
    </row>
    <row r="15" spans="1:19" ht="15.45" x14ac:dyDescent="0.4">
      <c r="A15" s="131"/>
      <c r="B15" s="131"/>
      <c r="C15" s="131"/>
      <c r="D15" s="131"/>
      <c r="E15" s="131"/>
      <c r="K15" s="131"/>
      <c r="L15" s="778"/>
      <c r="M15" s="20" t="s">
        <v>1067</v>
      </c>
      <c r="N15" s="20" t="s">
        <v>1070</v>
      </c>
      <c r="O15" s="20" t="s">
        <v>1080</v>
      </c>
      <c r="P15" s="20" t="s">
        <v>446</v>
      </c>
      <c r="Q15" s="20" t="s">
        <v>1071</v>
      </c>
      <c r="R15" s="20" t="s">
        <v>1087</v>
      </c>
      <c r="S15" s="131"/>
    </row>
    <row r="16" spans="1:19" ht="19.5" customHeight="1" x14ac:dyDescent="0.4">
      <c r="A16" s="131"/>
      <c r="B16" s="131"/>
      <c r="C16" s="149" t="s">
        <v>775</v>
      </c>
      <c r="D16" s="254">
        <f>+Q19</f>
        <v>0.78129999999999999</v>
      </c>
      <c r="E16" s="139">
        <f>+D16</f>
        <v>0.78129999999999999</v>
      </c>
      <c r="J16" s="131"/>
      <c r="K16" s="131"/>
      <c r="L16" s="788" t="s">
        <v>1066</v>
      </c>
      <c r="M16" s="788" t="s">
        <v>1068</v>
      </c>
      <c r="N16" s="788" t="s">
        <v>1068</v>
      </c>
      <c r="O16" s="788" t="s">
        <v>953</v>
      </c>
      <c r="P16" s="788" t="s">
        <v>1080</v>
      </c>
      <c r="Q16" s="788" t="s">
        <v>998</v>
      </c>
      <c r="R16" s="788" t="s">
        <v>1088</v>
      </c>
      <c r="S16" s="131"/>
    </row>
    <row r="17" spans="1:21" ht="15.45" x14ac:dyDescent="0.4">
      <c r="A17" s="131"/>
      <c r="B17" s="131"/>
      <c r="C17" s="131"/>
      <c r="D17" s="131"/>
      <c r="E17" s="131"/>
      <c r="I17" s="138"/>
      <c r="J17" s="138" t="s">
        <v>1079</v>
      </c>
      <c r="K17" s="131"/>
      <c r="L17" s="793">
        <v>1</v>
      </c>
      <c r="M17" s="793">
        <v>2</v>
      </c>
      <c r="N17" s="793">
        <v>3</v>
      </c>
      <c r="O17" s="793">
        <v>4</v>
      </c>
      <c r="P17" s="793">
        <v>5</v>
      </c>
      <c r="Q17" s="795">
        <f>+'Estimate Total'!C32</f>
        <v>2</v>
      </c>
      <c r="R17" s="131"/>
      <c r="S17" s="131"/>
    </row>
    <row r="18" spans="1:21" ht="15.45" x14ac:dyDescent="0.4">
      <c r="A18" s="131"/>
      <c r="B18" s="131"/>
      <c r="C18" s="149" t="s">
        <v>877</v>
      </c>
      <c r="R18" s="131"/>
      <c r="S18" s="131"/>
    </row>
    <row r="19" spans="1:21" ht="15.45" x14ac:dyDescent="0.4">
      <c r="A19" s="131"/>
      <c r="B19" s="131"/>
      <c r="C19" s="131" t="s">
        <v>774</v>
      </c>
      <c r="D19" s="132">
        <v>1</v>
      </c>
      <c r="E19" s="132">
        <f>+D19</f>
        <v>1</v>
      </c>
      <c r="I19" s="131" t="s">
        <v>1082</v>
      </c>
      <c r="J19" s="138"/>
      <c r="K19" s="131"/>
      <c r="L19" s="860">
        <f>+L63</f>
        <v>0.82589999999999997</v>
      </c>
      <c r="M19" s="860">
        <f>+M63</f>
        <v>0.78129999999999999</v>
      </c>
      <c r="N19" s="860">
        <f>+N63</f>
        <v>0.74509999999999998</v>
      </c>
      <c r="O19" s="860">
        <f>+O63</f>
        <v>0.74319999999999997</v>
      </c>
      <c r="P19" s="860">
        <f>+P63</f>
        <v>0.74319999999999997</v>
      </c>
      <c r="Q19" s="789">
        <f>HLOOKUP(+$Q$17,$L$17:$P$25,+S19)</f>
        <v>0.78129999999999999</v>
      </c>
      <c r="R19" s="800">
        <v>0.15</v>
      </c>
      <c r="S19" s="799">
        <v>3</v>
      </c>
    </row>
    <row r="20" spans="1:21" ht="15.45" x14ac:dyDescent="0.4">
      <c r="A20" s="138"/>
      <c r="B20" s="138"/>
      <c r="C20" s="138"/>
      <c r="D20" s="138"/>
      <c r="I20" s="131" t="s">
        <v>1083</v>
      </c>
      <c r="J20" s="138"/>
      <c r="K20" s="131"/>
      <c r="L20" s="860">
        <f>+L64</f>
        <v>0.66490000000000005</v>
      </c>
      <c r="M20" s="860">
        <f>+M64</f>
        <v>0.62329999999999997</v>
      </c>
      <c r="N20" s="860">
        <f t="shared" ref="N20:P20" si="0">+N64</f>
        <v>0.52980000000000005</v>
      </c>
      <c r="O20" s="860">
        <f t="shared" si="0"/>
        <v>0.57130000000000003</v>
      </c>
      <c r="P20" s="860">
        <f t="shared" si="0"/>
        <v>0.57130000000000003</v>
      </c>
      <c r="Q20" s="789">
        <f t="shared" ref="Q20:Q25" si="1">HLOOKUP(+$Q$17,$L$17:$P$25,+S20)</f>
        <v>0.62329999999999997</v>
      </c>
      <c r="R20" s="800">
        <v>0.15</v>
      </c>
      <c r="S20" s="799">
        <f>+S19+1</f>
        <v>4</v>
      </c>
      <c r="T20" s="138"/>
      <c r="U20" s="138"/>
    </row>
    <row r="21" spans="1:21" ht="15.45" x14ac:dyDescent="0.4">
      <c r="A21" s="138"/>
      <c r="B21" s="138"/>
      <c r="C21" s="138"/>
      <c r="D21" s="138"/>
      <c r="E21" s="138"/>
      <c r="F21" s="138"/>
      <c r="G21" s="138"/>
      <c r="I21" s="131" t="s">
        <v>1085</v>
      </c>
      <c r="J21" s="138"/>
      <c r="K21" s="131"/>
      <c r="L21" s="860">
        <f>+L65</f>
        <v>0.47470000000000001</v>
      </c>
      <c r="M21" s="860">
        <f>+M65</f>
        <v>0.44500000000000001</v>
      </c>
      <c r="N21" s="860">
        <f t="shared" ref="N21:P21" si="2">+N65</f>
        <v>0.37830000000000003</v>
      </c>
      <c r="O21" s="860">
        <f t="shared" si="2"/>
        <v>0.40789999999999998</v>
      </c>
      <c r="P21" s="860">
        <f t="shared" si="2"/>
        <v>0.40250000000000002</v>
      </c>
      <c r="Q21" s="789">
        <f t="shared" si="1"/>
        <v>0.44500000000000001</v>
      </c>
      <c r="R21" s="800">
        <v>0.15</v>
      </c>
      <c r="S21" s="799">
        <f t="shared" ref="S21:S22" si="3">+S20+1</f>
        <v>5</v>
      </c>
      <c r="T21" s="138"/>
      <c r="U21" s="138"/>
    </row>
    <row r="22" spans="1:21" ht="15.9" thickBot="1" x14ac:dyDescent="0.45">
      <c r="A22" s="138"/>
      <c r="B22" s="138" t="s">
        <v>9</v>
      </c>
      <c r="C22" s="138" t="s">
        <v>1115</v>
      </c>
      <c r="D22" s="134">
        <v>26.5</v>
      </c>
      <c r="E22" s="138"/>
      <c r="F22" s="138"/>
      <c r="G22" s="138"/>
      <c r="H22" s="138"/>
      <c r="I22" s="131" t="s">
        <v>1086</v>
      </c>
      <c r="J22" s="138"/>
      <c r="K22" s="131"/>
      <c r="L22" s="860">
        <f>+L66</f>
        <v>0.1</v>
      </c>
      <c r="M22" s="860">
        <f t="shared" ref="M22:P22" si="4">+M66</f>
        <v>0.1</v>
      </c>
      <c r="N22" s="860">
        <f t="shared" si="4"/>
        <v>0.1</v>
      </c>
      <c r="O22" s="860">
        <f t="shared" si="4"/>
        <v>0.1</v>
      </c>
      <c r="P22" s="860">
        <f t="shared" si="4"/>
        <v>0.1</v>
      </c>
      <c r="Q22" s="789">
        <f t="shared" si="1"/>
        <v>0.1</v>
      </c>
      <c r="R22" s="800">
        <v>0.23</v>
      </c>
      <c r="S22" s="799">
        <f t="shared" si="3"/>
        <v>6</v>
      </c>
      <c r="T22" s="138"/>
      <c r="U22" s="138"/>
    </row>
    <row r="23" spans="1:21" s="797" customFormat="1" ht="15.9" thickBot="1" x14ac:dyDescent="0.45">
      <c r="A23" s="138"/>
      <c r="B23" s="138"/>
      <c r="C23" s="138" t="s">
        <v>1116</v>
      </c>
      <c r="D23" s="841">
        <f>+D22*(1+$B$6)</f>
        <v>30.633999999999997</v>
      </c>
      <c r="E23" s="138" t="s">
        <v>9</v>
      </c>
      <c r="F23" s="138"/>
      <c r="G23" s="138"/>
      <c r="H23" s="138"/>
      <c r="I23" s="138" t="s">
        <v>1134</v>
      </c>
      <c r="J23" s="138"/>
      <c r="K23" s="131"/>
      <c r="L23" s="800">
        <v>0.156</v>
      </c>
      <c r="M23" s="800">
        <f>+L23</f>
        <v>0.156</v>
      </c>
      <c r="N23" s="800">
        <f>+M23</f>
        <v>0.156</v>
      </c>
      <c r="O23" s="800">
        <f>+N23</f>
        <v>0.156</v>
      </c>
      <c r="P23" s="800">
        <f>+O23</f>
        <v>0.156</v>
      </c>
      <c r="Q23" s="789">
        <f t="shared" si="1"/>
        <v>0.156</v>
      </c>
      <c r="R23" s="816"/>
      <c r="S23" s="799">
        <f>+S22+1</f>
        <v>7</v>
      </c>
      <c r="T23" s="138"/>
      <c r="U23" s="138"/>
    </row>
    <row r="24" spans="1:21" s="797" customFormat="1" ht="15.45" x14ac:dyDescent="0.4">
      <c r="A24" s="138"/>
      <c r="B24" s="138"/>
      <c r="C24" s="138"/>
      <c r="D24" s="138" t="s">
        <v>9</v>
      </c>
      <c r="E24" s="138"/>
      <c r="F24" s="138"/>
      <c r="G24" s="138"/>
      <c r="H24" s="138"/>
      <c r="I24" s="138" t="s">
        <v>750</v>
      </c>
      <c r="J24" s="138"/>
      <c r="K24" s="138"/>
      <c r="L24" s="800">
        <v>5.3999999999999999E-2</v>
      </c>
      <c r="M24" s="800">
        <v>4.3999999999999997E-2</v>
      </c>
      <c r="N24" s="800">
        <v>0.16800000000000001</v>
      </c>
      <c r="O24" s="800">
        <v>0</v>
      </c>
      <c r="P24" s="800">
        <v>0.11</v>
      </c>
      <c r="Q24" s="789">
        <f t="shared" si="1"/>
        <v>4.3999999999999997E-2</v>
      </c>
      <c r="R24" s="816"/>
      <c r="S24" s="799">
        <f>+S23+1</f>
        <v>8</v>
      </c>
      <c r="T24" s="138"/>
      <c r="U24" s="138"/>
    </row>
    <row r="25" spans="1:21" ht="15.45" x14ac:dyDescent="0.4">
      <c r="I25" s="138" t="s">
        <v>746</v>
      </c>
      <c r="J25" s="138"/>
      <c r="K25" s="138"/>
      <c r="L25" s="800">
        <v>0.16</v>
      </c>
      <c r="M25" s="800">
        <v>0.16</v>
      </c>
      <c r="N25" s="800">
        <v>0.16</v>
      </c>
      <c r="O25" s="800">
        <v>0.16</v>
      </c>
      <c r="P25" s="800">
        <v>0.16</v>
      </c>
      <c r="Q25" s="789">
        <f t="shared" si="1"/>
        <v>0.16</v>
      </c>
      <c r="R25" s="816"/>
      <c r="S25" s="799">
        <f>+S24+1</f>
        <v>9</v>
      </c>
    </row>
    <row r="26" spans="1:21" s="285" customFormat="1" ht="15.45" x14ac:dyDescent="0.4">
      <c r="J26" s="131"/>
      <c r="K26" s="131"/>
    </row>
    <row r="27" spans="1:21" ht="15.45" x14ac:dyDescent="0.4">
      <c r="I27" s="131" t="s">
        <v>1082</v>
      </c>
      <c r="J27" s="138"/>
      <c r="K27" s="131"/>
      <c r="L27" s="800">
        <v>0.82589999999999997</v>
      </c>
      <c r="M27" s="800">
        <v>0.78129999999999999</v>
      </c>
      <c r="N27" s="800">
        <v>0.74509999999999998</v>
      </c>
      <c r="O27" s="800">
        <v>0.74319999999999997</v>
      </c>
      <c r="P27" s="800">
        <v>0.74319999999999997</v>
      </c>
      <c r="Q27" s="850"/>
      <c r="R27" s="800">
        <v>0.15</v>
      </c>
    </row>
    <row r="28" spans="1:21" ht="15.45" x14ac:dyDescent="0.4">
      <c r="A28" s="816"/>
      <c r="B28" s="816"/>
      <c r="C28" s="816"/>
      <c r="D28" s="816"/>
      <c r="E28" s="144" t="s">
        <v>9</v>
      </c>
      <c r="F28" s="816"/>
      <c r="G28" s="816"/>
      <c r="H28" s="816"/>
      <c r="I28" s="131" t="s">
        <v>1083</v>
      </c>
      <c r="J28" s="138"/>
      <c r="K28" s="131"/>
      <c r="L28" s="800">
        <v>0.66490000000000005</v>
      </c>
      <c r="M28" s="800">
        <v>0.62329999999999997</v>
      </c>
      <c r="N28" s="800">
        <v>0.52980000000000005</v>
      </c>
      <c r="O28" s="800">
        <v>0.57130000000000003</v>
      </c>
      <c r="P28" s="800">
        <v>0.57130000000000003</v>
      </c>
      <c r="Q28" s="850"/>
      <c r="R28" s="800">
        <v>0.15</v>
      </c>
    </row>
    <row r="29" spans="1:21" ht="15.45" x14ac:dyDescent="0.4">
      <c r="A29" s="816"/>
      <c r="B29" s="816"/>
      <c r="C29" s="816"/>
      <c r="D29" s="816"/>
      <c r="E29" s="816"/>
      <c r="F29" s="816"/>
      <c r="G29" s="816"/>
      <c r="H29" s="816"/>
      <c r="I29" s="131" t="s">
        <v>1085</v>
      </c>
      <c r="J29" s="138"/>
      <c r="K29" s="131"/>
      <c r="L29" s="800">
        <v>0.47470000000000001</v>
      </c>
      <c r="M29" s="800">
        <v>0.44500000000000001</v>
      </c>
      <c r="N29" s="800">
        <v>0.37830000000000003</v>
      </c>
      <c r="O29" s="800">
        <v>0.40789999999999998</v>
      </c>
      <c r="P29" s="800">
        <v>0.40250000000000002</v>
      </c>
      <c r="Q29" s="850"/>
      <c r="R29" s="800">
        <v>0.15</v>
      </c>
    </row>
    <row r="30" spans="1:21" ht="15.45" x14ac:dyDescent="0.4">
      <c r="A30" s="816"/>
      <c r="B30" s="816"/>
      <c r="C30" s="816"/>
      <c r="D30" s="816"/>
      <c r="E30" s="816"/>
      <c r="F30" s="816"/>
      <c r="G30" s="816"/>
      <c r="H30" s="816"/>
      <c r="I30" s="131" t="s">
        <v>1144</v>
      </c>
      <c r="J30" s="138"/>
      <c r="K30" s="131"/>
      <c r="L30" s="800">
        <v>0.1</v>
      </c>
      <c r="M30" s="800">
        <v>0.1</v>
      </c>
      <c r="N30" s="800">
        <v>0.1</v>
      </c>
      <c r="O30" s="800">
        <v>0.1</v>
      </c>
      <c r="P30" s="800">
        <v>0.1</v>
      </c>
      <c r="Q30" s="850"/>
      <c r="R30" s="800">
        <v>0.23</v>
      </c>
    </row>
    <row r="31" spans="1:21" x14ac:dyDescent="0.4">
      <c r="A31" s="816" t="s">
        <v>419</v>
      </c>
      <c r="B31" s="816"/>
      <c r="C31" s="816"/>
      <c r="D31" s="816"/>
      <c r="E31" s="816"/>
      <c r="F31" s="816"/>
      <c r="G31" s="816"/>
      <c r="H31" s="816"/>
      <c r="I31" s="816"/>
      <c r="Q31" s="850"/>
    </row>
    <row r="32" spans="1:21" ht="15.9" thickBot="1" x14ac:dyDescent="0.45">
      <c r="A32" s="816" t="s">
        <v>420</v>
      </c>
      <c r="B32" s="816"/>
      <c r="C32" s="816"/>
      <c r="D32" s="816"/>
      <c r="E32" s="816"/>
      <c r="F32" s="816"/>
      <c r="G32" s="816"/>
      <c r="H32" s="816"/>
      <c r="I32" s="138" t="s">
        <v>1131</v>
      </c>
      <c r="L32" s="800">
        <v>0</v>
      </c>
      <c r="M32" s="800">
        <f>+L32</f>
        <v>0</v>
      </c>
      <c r="N32" s="800">
        <f t="shared" ref="N32:P32" si="5">+M32</f>
        <v>0</v>
      </c>
      <c r="O32" s="800">
        <f t="shared" si="5"/>
        <v>0</v>
      </c>
      <c r="P32" s="800">
        <f t="shared" si="5"/>
        <v>0</v>
      </c>
      <c r="Q32" s="850"/>
    </row>
    <row r="33" spans="1:21" x14ac:dyDescent="0.4">
      <c r="A33" s="817" t="s">
        <v>953</v>
      </c>
      <c r="B33" s="818"/>
      <c r="C33" s="818"/>
      <c r="D33" s="818"/>
      <c r="E33" s="818"/>
      <c r="F33" s="818"/>
      <c r="G33" s="818"/>
      <c r="H33" s="819"/>
      <c r="I33" s="816"/>
    </row>
    <row r="34" spans="1:21" x14ac:dyDescent="0.4">
      <c r="A34" s="303"/>
      <c r="B34" s="305"/>
      <c r="C34" s="305" t="s">
        <v>967</v>
      </c>
      <c r="D34" s="305"/>
      <c r="E34" s="305"/>
      <c r="F34" s="305"/>
      <c r="G34" s="305"/>
      <c r="H34" s="307"/>
      <c r="I34" s="816"/>
    </row>
    <row r="35" spans="1:21" x14ac:dyDescent="0.4">
      <c r="A35" s="303"/>
      <c r="B35" s="305"/>
      <c r="C35" s="305" t="s">
        <v>968</v>
      </c>
      <c r="D35" s="867">
        <v>18</v>
      </c>
      <c r="E35" s="305"/>
      <c r="F35" s="305"/>
      <c r="G35" s="305"/>
      <c r="H35" s="307"/>
      <c r="I35" s="816"/>
    </row>
    <row r="36" spans="1:21" x14ac:dyDescent="0.4">
      <c r="A36" s="303"/>
      <c r="B36" s="701">
        <v>0.16</v>
      </c>
      <c r="C36" s="305" t="s">
        <v>969</v>
      </c>
      <c r="D36" s="703">
        <f>D35*B36</f>
        <v>2.88</v>
      </c>
      <c r="E36" s="305"/>
      <c r="F36" s="305"/>
      <c r="G36" s="305"/>
      <c r="H36" s="307"/>
      <c r="I36" s="816"/>
    </row>
    <row r="37" spans="1:21" x14ac:dyDescent="0.4">
      <c r="A37" s="303"/>
      <c r="B37" s="305"/>
      <c r="C37" s="305" t="s">
        <v>970</v>
      </c>
      <c r="D37" s="703">
        <f>SUM(D35:D36)</f>
        <v>20.88</v>
      </c>
      <c r="E37" s="305"/>
      <c r="F37" s="305"/>
      <c r="G37" s="305"/>
      <c r="H37" s="307"/>
      <c r="I37" s="816"/>
    </row>
    <row r="38" spans="1:21" x14ac:dyDescent="0.4">
      <c r="A38" s="303"/>
      <c r="B38" s="305"/>
      <c r="C38" s="305"/>
      <c r="D38" s="305"/>
      <c r="E38" s="305"/>
      <c r="F38" s="305"/>
      <c r="G38" s="305"/>
      <c r="H38" s="307"/>
      <c r="I38" s="816"/>
    </row>
    <row r="39" spans="1:21" ht="29.15" x14ac:dyDescent="0.4">
      <c r="A39" s="303"/>
      <c r="B39" s="305"/>
      <c r="C39" s="702" t="s">
        <v>983</v>
      </c>
      <c r="D39" s="702" t="s">
        <v>985</v>
      </c>
      <c r="E39" s="702" t="s">
        <v>971</v>
      </c>
      <c r="F39" s="702">
        <v>60</v>
      </c>
      <c r="G39" s="704" t="s">
        <v>986</v>
      </c>
      <c r="H39" s="307"/>
      <c r="I39" s="816"/>
    </row>
    <row r="40" spans="1:21" x14ac:dyDescent="0.4">
      <c r="A40" s="303"/>
      <c r="B40" s="305"/>
      <c r="C40" s="305" t="s">
        <v>948</v>
      </c>
      <c r="D40" s="868">
        <v>45</v>
      </c>
      <c r="E40" s="305">
        <f>D40/$F$39</f>
        <v>0.75</v>
      </c>
      <c r="F40" s="305"/>
      <c r="G40" s="868">
        <v>2</v>
      </c>
      <c r="H40" s="307"/>
      <c r="I40" s="816"/>
    </row>
    <row r="41" spans="1:21" x14ac:dyDescent="0.4">
      <c r="A41" s="303"/>
      <c r="B41" s="305"/>
      <c r="C41" s="305" t="s">
        <v>961</v>
      </c>
      <c r="D41" s="868">
        <v>45</v>
      </c>
      <c r="E41" s="305">
        <f>D41/$F$39</f>
        <v>0.75</v>
      </c>
      <c r="F41" s="305"/>
      <c r="G41" s="868">
        <v>1</v>
      </c>
      <c r="H41" s="307"/>
      <c r="I41" s="816"/>
    </row>
    <row r="42" spans="1:21" x14ac:dyDescent="0.4">
      <c r="A42" s="303"/>
      <c r="B42" s="305"/>
      <c r="C42" s="305" t="s">
        <v>984</v>
      </c>
      <c r="D42" s="868">
        <v>135</v>
      </c>
      <c r="E42" s="305">
        <f>D42/$F$39</f>
        <v>2.25</v>
      </c>
      <c r="F42" s="305"/>
      <c r="G42" s="868">
        <v>3</v>
      </c>
      <c r="H42" s="307"/>
      <c r="I42" s="816"/>
    </row>
    <row r="43" spans="1:21" x14ac:dyDescent="0.4">
      <c r="A43" s="303"/>
      <c r="B43" s="305"/>
      <c r="C43" s="253" t="s">
        <v>5</v>
      </c>
      <c r="D43" s="869">
        <v>45</v>
      </c>
      <c r="E43" s="305">
        <f>D43/$F$39</f>
        <v>0.75</v>
      </c>
      <c r="F43" s="305"/>
      <c r="G43" s="869">
        <v>2</v>
      </c>
      <c r="H43" s="307"/>
      <c r="I43" s="816"/>
    </row>
    <row r="44" spans="1:21" x14ac:dyDescent="0.4">
      <c r="A44" s="303"/>
      <c r="B44" s="305"/>
      <c r="C44" s="253" t="s">
        <v>987</v>
      </c>
      <c r="D44" s="869">
        <v>30</v>
      </c>
      <c r="E44" s="305">
        <f>D44/$F$39</f>
        <v>0.5</v>
      </c>
      <c r="F44" s="305"/>
      <c r="G44" s="869">
        <v>1</v>
      </c>
      <c r="H44" s="307"/>
      <c r="I44" s="816"/>
    </row>
    <row r="45" spans="1:21" x14ac:dyDescent="0.4">
      <c r="A45" s="303"/>
      <c r="B45" s="305"/>
      <c r="C45" s="253"/>
      <c r="D45" s="253"/>
      <c r="E45" s="305"/>
      <c r="F45" s="305"/>
      <c r="G45" s="305"/>
      <c r="H45" s="307"/>
      <c r="I45" s="816"/>
    </row>
    <row r="46" spans="1:21" x14ac:dyDescent="0.4">
      <c r="A46" s="303"/>
      <c r="B46" s="305"/>
      <c r="C46" s="702" t="s">
        <v>1054</v>
      </c>
      <c r="D46" s="702" t="s">
        <v>985</v>
      </c>
      <c r="E46" s="702" t="s">
        <v>971</v>
      </c>
      <c r="F46" s="702">
        <v>60</v>
      </c>
      <c r="G46" s="305"/>
      <c r="H46" s="307"/>
      <c r="I46" s="816"/>
    </row>
    <row r="47" spans="1:21" ht="15" thickBot="1" x14ac:dyDescent="0.45">
      <c r="A47" s="315"/>
      <c r="B47" s="352"/>
      <c r="C47" s="352" t="s">
        <v>987</v>
      </c>
      <c r="D47" s="870">
        <v>25</v>
      </c>
      <c r="E47" s="352">
        <f>D47/$F$39</f>
        <v>0.41666666666666669</v>
      </c>
      <c r="F47" s="352"/>
      <c r="G47" s="870">
        <v>1</v>
      </c>
      <c r="H47" s="333"/>
      <c r="I47" s="816"/>
    </row>
    <row r="48" spans="1:21" ht="15.45" x14ac:dyDescent="0.4">
      <c r="A48" s="816"/>
      <c r="B48" s="816"/>
      <c r="C48" s="816"/>
      <c r="D48" s="816"/>
      <c r="E48" s="816"/>
      <c r="F48" s="816"/>
      <c r="G48" s="816"/>
      <c r="H48" s="816"/>
      <c r="I48" s="816"/>
      <c r="J48" s="18" t="s">
        <v>1135</v>
      </c>
      <c r="R48" s="851"/>
      <c r="S48" s="851"/>
      <c r="T48" s="851"/>
      <c r="U48" s="851"/>
    </row>
    <row r="49" spans="1:21" ht="15.45" x14ac:dyDescent="0.4">
      <c r="A49" s="816"/>
      <c r="B49" s="816"/>
      <c r="C49" s="816"/>
      <c r="D49" s="816"/>
      <c r="E49" s="816"/>
      <c r="F49" s="816"/>
      <c r="G49" s="816"/>
      <c r="H49" s="816"/>
      <c r="I49" s="816"/>
      <c r="K49" s="131"/>
      <c r="L49" s="851"/>
      <c r="M49" s="851"/>
      <c r="N49" s="20" t="s">
        <v>1069</v>
      </c>
      <c r="O49" s="20"/>
      <c r="P49" s="851"/>
      <c r="Q49" s="20" t="s">
        <v>1076</v>
      </c>
      <c r="R49" s="131"/>
      <c r="S49" s="851"/>
      <c r="T49" s="851"/>
      <c r="U49" s="851"/>
    </row>
    <row r="50" spans="1:21" ht="15.45" x14ac:dyDescent="0.4">
      <c r="L50" s="852"/>
      <c r="M50" s="20" t="s">
        <v>1067</v>
      </c>
      <c r="N50" s="20" t="s">
        <v>1070</v>
      </c>
      <c r="O50" s="20" t="s">
        <v>1080</v>
      </c>
      <c r="P50" s="20" t="s">
        <v>446</v>
      </c>
      <c r="Q50" s="20" t="s">
        <v>1071</v>
      </c>
      <c r="R50" s="20" t="s">
        <v>1087</v>
      </c>
      <c r="S50" s="851"/>
      <c r="T50" s="851"/>
      <c r="U50" s="851"/>
    </row>
    <row r="51" spans="1:21" ht="15.45" x14ac:dyDescent="0.4">
      <c r="L51" s="788" t="s">
        <v>1066</v>
      </c>
      <c r="M51" s="788" t="s">
        <v>1068</v>
      </c>
      <c r="N51" s="788" t="s">
        <v>1068</v>
      </c>
      <c r="O51" s="788" t="s">
        <v>953</v>
      </c>
      <c r="P51" s="788" t="s">
        <v>1080</v>
      </c>
      <c r="Q51" s="788" t="s">
        <v>998</v>
      </c>
      <c r="R51" s="788" t="s">
        <v>1088</v>
      </c>
      <c r="S51" s="851"/>
      <c r="T51" s="851"/>
      <c r="U51" s="851"/>
    </row>
    <row r="52" spans="1:21" ht="15.45" x14ac:dyDescent="0.4">
      <c r="J52" s="131"/>
      <c r="K52" s="131"/>
      <c r="L52" s="793">
        <v>1</v>
      </c>
      <c r="M52" s="793">
        <v>2</v>
      </c>
      <c r="N52" s="793">
        <v>3</v>
      </c>
      <c r="O52" s="793">
        <v>4</v>
      </c>
      <c r="P52" s="793">
        <v>5</v>
      </c>
      <c r="Q52" s="795">
        <f>+'Estimate Total'!C68</f>
        <v>0</v>
      </c>
      <c r="R52" s="131"/>
      <c r="S52" s="851"/>
      <c r="T52" s="851"/>
      <c r="U52" s="851"/>
    </row>
    <row r="53" spans="1:21" ht="15.45" x14ac:dyDescent="0.4">
      <c r="J53" s="131" t="s">
        <v>1147</v>
      </c>
      <c r="K53" s="862">
        <f>IF('Estimate Total'!C35=0,0,'Work Area'!K54)</f>
        <v>0</v>
      </c>
      <c r="L53" s="851"/>
      <c r="S53" s="851"/>
      <c r="T53" s="851"/>
      <c r="U53" s="851"/>
    </row>
    <row r="54" spans="1:21" ht="15.45" x14ac:dyDescent="0.4">
      <c r="J54" s="131" t="s">
        <v>1148</v>
      </c>
      <c r="K54" s="872">
        <v>0.33</v>
      </c>
      <c r="S54" s="851"/>
      <c r="T54" s="851"/>
      <c r="U54" s="851"/>
    </row>
    <row r="55" spans="1:21" ht="15.45" x14ac:dyDescent="0.4">
      <c r="J55" s="131" t="s">
        <v>1138</v>
      </c>
      <c r="K55" s="265">
        <f>1-K53</f>
        <v>1</v>
      </c>
      <c r="S55" s="851"/>
      <c r="T55" s="851"/>
      <c r="U55" s="851"/>
    </row>
    <row r="56" spans="1:21" ht="15.45" x14ac:dyDescent="0.4">
      <c r="J56" s="131" t="s">
        <v>1136</v>
      </c>
      <c r="K56" s="861">
        <v>0.04</v>
      </c>
      <c r="L56" s="131"/>
      <c r="M56" s="131"/>
      <c r="N56" s="131"/>
      <c r="Q56" s="851"/>
      <c r="R56" s="851"/>
      <c r="S56" s="851"/>
      <c r="T56" s="851"/>
      <c r="U56" s="851"/>
    </row>
    <row r="57" spans="1:21" ht="15.45" x14ac:dyDescent="0.4">
      <c r="J57" s="131"/>
      <c r="K57" s="137"/>
      <c r="L57" s="131"/>
      <c r="M57" s="131"/>
      <c r="N57" s="131"/>
      <c r="Q57" s="851"/>
      <c r="R57" s="851"/>
      <c r="S57" s="851"/>
      <c r="T57" s="851"/>
      <c r="U57" s="851"/>
    </row>
    <row r="58" spans="1:21" s="755" customFormat="1" ht="15.45" x14ac:dyDescent="0.4">
      <c r="J58" s="131" t="s">
        <v>1137</v>
      </c>
      <c r="K58" s="861">
        <v>0.3</v>
      </c>
      <c r="M58" s="131"/>
      <c r="N58" s="131"/>
      <c r="O58" s="111"/>
      <c r="P58" s="111"/>
      <c r="Q58" s="851"/>
      <c r="R58" s="851"/>
      <c r="S58" s="851"/>
      <c r="T58" s="851"/>
      <c r="U58" s="851"/>
    </row>
    <row r="59" spans="1:21" s="755" customFormat="1" ht="15.45" x14ac:dyDescent="0.4">
      <c r="J59" s="131" t="s">
        <v>1141</v>
      </c>
      <c r="K59" s="265">
        <f>+K58*K53</f>
        <v>0</v>
      </c>
      <c r="L59" s="265" t="s">
        <v>9</v>
      </c>
      <c r="M59" s="131"/>
      <c r="N59" s="131"/>
      <c r="O59" s="111"/>
      <c r="P59" s="111"/>
      <c r="Q59" s="851"/>
      <c r="R59" s="851"/>
      <c r="S59" s="851"/>
      <c r="T59" s="851"/>
      <c r="U59" s="851"/>
    </row>
    <row r="60" spans="1:21" s="755" customFormat="1" x14ac:dyDescent="0.4">
      <c r="L60" s="863" t="s">
        <v>9</v>
      </c>
      <c r="Q60" s="851"/>
      <c r="R60" s="851"/>
      <c r="S60" s="851"/>
      <c r="T60" s="851"/>
      <c r="U60" s="851"/>
    </row>
    <row r="61" spans="1:21" s="755" customFormat="1" x14ac:dyDescent="0.4">
      <c r="S61" s="851"/>
      <c r="T61" s="851"/>
      <c r="U61" s="851"/>
    </row>
    <row r="62" spans="1:21" ht="15.45" x14ac:dyDescent="0.4">
      <c r="J62" s="864" t="s">
        <v>1142</v>
      </c>
    </row>
    <row r="63" spans="1:21" ht="15.45" x14ac:dyDescent="0.4">
      <c r="J63" s="131" t="s">
        <v>1082</v>
      </c>
      <c r="K63" s="138"/>
      <c r="L63" s="265">
        <f t="shared" ref="L63:P66" si="6">+$K$55*L27+$K$59</f>
        <v>0.82589999999999997</v>
      </c>
      <c r="M63" s="265">
        <f t="shared" si="6"/>
        <v>0.78129999999999999</v>
      </c>
      <c r="N63" s="265">
        <f t="shared" si="6"/>
        <v>0.74509999999999998</v>
      </c>
      <c r="O63" s="265">
        <f t="shared" si="6"/>
        <v>0.74319999999999997</v>
      </c>
      <c r="P63" s="265">
        <f t="shared" si="6"/>
        <v>0.74319999999999997</v>
      </c>
    </row>
    <row r="64" spans="1:21" ht="15.45" x14ac:dyDescent="0.4">
      <c r="J64" s="131" t="s">
        <v>1083</v>
      </c>
      <c r="K64" s="138"/>
      <c r="L64" s="265">
        <f t="shared" si="6"/>
        <v>0.66490000000000005</v>
      </c>
      <c r="M64" s="265">
        <f t="shared" si="6"/>
        <v>0.62329999999999997</v>
      </c>
      <c r="N64" s="265">
        <f t="shared" si="6"/>
        <v>0.52980000000000005</v>
      </c>
      <c r="O64" s="265">
        <f t="shared" si="6"/>
        <v>0.57130000000000003</v>
      </c>
      <c r="P64" s="265">
        <f t="shared" si="6"/>
        <v>0.57130000000000003</v>
      </c>
    </row>
    <row r="65" spans="1:18" ht="15.45" x14ac:dyDescent="0.4">
      <c r="J65" s="131" t="s">
        <v>1085</v>
      </c>
      <c r="K65" s="138"/>
      <c r="L65" s="265">
        <f t="shared" si="6"/>
        <v>0.47470000000000001</v>
      </c>
      <c r="M65" s="265">
        <f t="shared" si="6"/>
        <v>0.44500000000000001</v>
      </c>
      <c r="N65" s="265">
        <f t="shared" si="6"/>
        <v>0.37830000000000003</v>
      </c>
      <c r="O65" s="265">
        <f t="shared" si="6"/>
        <v>0.40789999999999998</v>
      </c>
      <c r="P65" s="265">
        <f t="shared" si="6"/>
        <v>0.40250000000000002</v>
      </c>
    </row>
    <row r="66" spans="1:18" ht="15.45" x14ac:dyDescent="0.4">
      <c r="J66" s="131" t="s">
        <v>1086</v>
      </c>
      <c r="K66" s="138"/>
      <c r="L66" s="265">
        <f t="shared" si="6"/>
        <v>0.1</v>
      </c>
      <c r="M66" s="265">
        <f t="shared" si="6"/>
        <v>0.1</v>
      </c>
      <c r="N66" s="265">
        <f t="shared" si="6"/>
        <v>0.1</v>
      </c>
      <c r="O66" s="265">
        <f t="shared" si="6"/>
        <v>0.1</v>
      </c>
      <c r="P66" s="265">
        <f t="shared" si="6"/>
        <v>0.1</v>
      </c>
      <c r="Q66" s="851"/>
      <c r="R66" s="851"/>
    </row>
    <row r="67" spans="1:18" x14ac:dyDescent="0.4">
      <c r="Q67" s="851"/>
      <c r="R67" s="851"/>
    </row>
    <row r="68" spans="1:18" ht="15.45" x14ac:dyDescent="0.4">
      <c r="A68" s="816"/>
      <c r="B68" s="816"/>
      <c r="C68" s="816"/>
      <c r="D68" s="816"/>
      <c r="E68" s="816"/>
      <c r="F68" s="816"/>
      <c r="G68" s="816"/>
      <c r="H68" s="816"/>
      <c r="I68" s="816"/>
      <c r="J68" s="131" t="s">
        <v>1139</v>
      </c>
      <c r="K68" s="135">
        <f>+'Estimate Total'!T9</f>
        <v>0</v>
      </c>
      <c r="L68" s="135" t="str">
        <f>+'Estimate Total'!U9</f>
        <v xml:space="preserve"> </v>
      </c>
      <c r="M68" s="755"/>
      <c r="N68" s="755"/>
      <c r="O68" s="755"/>
      <c r="P68" s="755"/>
      <c r="Q68" s="851"/>
      <c r="R68" s="851"/>
    </row>
    <row r="69" spans="1:18" ht="15.45" x14ac:dyDescent="0.4">
      <c r="A69" s="816"/>
      <c r="B69" s="816"/>
      <c r="C69" s="816"/>
      <c r="D69" s="816"/>
      <c r="E69" s="816"/>
      <c r="F69" s="816"/>
      <c r="G69" s="816"/>
      <c r="H69" s="816"/>
      <c r="I69" s="816"/>
      <c r="J69" s="131" t="s">
        <v>1140</v>
      </c>
      <c r="K69" s="135">
        <f>+'Estimate Total'!T16</f>
        <v>0</v>
      </c>
      <c r="L69" s="131"/>
      <c r="M69" s="755"/>
      <c r="N69" s="755"/>
      <c r="O69" s="755"/>
      <c r="P69" s="755"/>
    </row>
    <row r="70" spans="1:18" ht="15.45" x14ac:dyDescent="0.4">
      <c r="A70" s="816"/>
      <c r="B70" s="816"/>
      <c r="C70" s="816"/>
      <c r="D70" s="816"/>
      <c r="E70" s="816"/>
      <c r="F70" s="816"/>
      <c r="G70" s="816"/>
      <c r="H70" s="816"/>
      <c r="I70" s="816"/>
      <c r="J70" s="851"/>
      <c r="K70" s="866" t="s">
        <v>9</v>
      </c>
      <c r="L70" s="131"/>
      <c r="M70" s="131"/>
      <c r="N70" s="131"/>
      <c r="O70" s="131"/>
      <c r="P70" s="755"/>
    </row>
    <row r="71" spans="1:18" x14ac:dyDescent="0.4">
      <c r="A71" s="816"/>
      <c r="B71" s="816"/>
      <c r="C71" s="816"/>
      <c r="D71" s="816"/>
      <c r="E71" s="816"/>
      <c r="F71" s="816"/>
      <c r="G71" s="816"/>
      <c r="H71" s="816"/>
      <c r="I71" s="816"/>
    </row>
    <row r="72" spans="1:18" ht="15.45" x14ac:dyDescent="0.4">
      <c r="A72" s="816"/>
      <c r="B72" s="816"/>
      <c r="C72" s="816"/>
      <c r="D72" s="816"/>
      <c r="E72" s="816"/>
      <c r="F72" s="816"/>
      <c r="G72" s="816"/>
      <c r="H72" s="816"/>
      <c r="I72" s="816"/>
      <c r="J72" s="864" t="s">
        <v>1143</v>
      </c>
      <c r="Q72" s="143" t="s">
        <v>1105</v>
      </c>
    </row>
    <row r="73" spans="1:18" ht="15.9" thickBot="1" x14ac:dyDescent="0.45">
      <c r="E73" s="148">
        <v>0.224</v>
      </c>
      <c r="F73" s="138" t="s">
        <v>773</v>
      </c>
      <c r="G73" s="138"/>
      <c r="J73" s="131" t="s">
        <v>1082</v>
      </c>
      <c r="L73" s="265">
        <f t="shared" ref="L73:P76" si="7">+L27-L63</f>
        <v>0</v>
      </c>
      <c r="M73" s="265">
        <f t="shared" si="7"/>
        <v>0</v>
      </c>
      <c r="N73" s="265">
        <f t="shared" si="7"/>
        <v>0</v>
      </c>
      <c r="O73" s="265">
        <f t="shared" si="7"/>
        <v>0</v>
      </c>
      <c r="P73" s="265">
        <f t="shared" si="7"/>
        <v>0</v>
      </c>
      <c r="Q73" s="265">
        <f>AVERAGE(L73:P73)</f>
        <v>0</v>
      </c>
    </row>
    <row r="74" spans="1:18" ht="15.45" x14ac:dyDescent="0.4">
      <c r="A74" s="1171" t="s">
        <v>1109</v>
      </c>
      <c r="B74" s="1172"/>
      <c r="C74" s="1172"/>
      <c r="D74" s="1172"/>
      <c r="E74" s="1172"/>
      <c r="F74" s="1172"/>
      <c r="G74" s="1172"/>
      <c r="H74" s="1172"/>
      <c r="I74" s="1173"/>
      <c r="J74" s="131" t="s">
        <v>1083</v>
      </c>
      <c r="L74" s="265">
        <f t="shared" si="7"/>
        <v>0</v>
      </c>
      <c r="M74" s="265">
        <f t="shared" si="7"/>
        <v>0</v>
      </c>
      <c r="N74" s="265">
        <f t="shared" si="7"/>
        <v>0</v>
      </c>
      <c r="O74" s="265">
        <f t="shared" si="7"/>
        <v>0</v>
      </c>
      <c r="P74" s="265">
        <f t="shared" si="7"/>
        <v>0</v>
      </c>
      <c r="Q74" s="265">
        <f t="shared" ref="Q74:Q76" si="8">AVERAGE(L74:P74)</f>
        <v>0</v>
      </c>
    </row>
    <row r="75" spans="1:18" ht="15.45" x14ac:dyDescent="0.4">
      <c r="A75" s="303"/>
      <c r="B75" s="304" t="s">
        <v>772</v>
      </c>
      <c r="C75" s="305"/>
      <c r="D75" s="305"/>
      <c r="E75" s="306"/>
      <c r="F75" s="306" t="s">
        <v>9</v>
      </c>
      <c r="G75" s="305"/>
      <c r="H75" s="305"/>
      <c r="I75" s="307"/>
      <c r="J75" s="131" t="s">
        <v>1085</v>
      </c>
      <c r="L75" s="265">
        <f t="shared" si="7"/>
        <v>0</v>
      </c>
      <c r="M75" s="265">
        <f t="shared" si="7"/>
        <v>0</v>
      </c>
      <c r="N75" s="265">
        <f t="shared" si="7"/>
        <v>0</v>
      </c>
      <c r="O75" s="265">
        <f t="shared" si="7"/>
        <v>0</v>
      </c>
      <c r="P75" s="265">
        <f t="shared" si="7"/>
        <v>0</v>
      </c>
      <c r="Q75" s="265">
        <f t="shared" si="8"/>
        <v>0</v>
      </c>
    </row>
    <row r="76" spans="1:18" ht="19.5" customHeight="1" x14ac:dyDescent="0.4">
      <c r="A76" s="303"/>
      <c r="B76" s="146" t="s">
        <v>771</v>
      </c>
      <c r="C76" s="146" t="s">
        <v>770</v>
      </c>
      <c r="D76" s="147" t="s">
        <v>1107</v>
      </c>
      <c r="E76" s="146" t="s">
        <v>769</v>
      </c>
      <c r="F76" s="145" t="s">
        <v>768</v>
      </c>
      <c r="G76" s="145" t="s">
        <v>767</v>
      </c>
      <c r="H76" s="145" t="s">
        <v>766</v>
      </c>
      <c r="I76" s="308" t="s">
        <v>765</v>
      </c>
      <c r="J76" s="131" t="s">
        <v>1086</v>
      </c>
      <c r="L76" s="265">
        <f t="shared" si="7"/>
        <v>0</v>
      </c>
      <c r="M76" s="265">
        <f t="shared" si="7"/>
        <v>0</v>
      </c>
      <c r="N76" s="265">
        <f t="shared" si="7"/>
        <v>0</v>
      </c>
      <c r="O76" s="265">
        <f t="shared" si="7"/>
        <v>0</v>
      </c>
      <c r="P76" s="265">
        <f t="shared" si="7"/>
        <v>0</v>
      </c>
      <c r="Q76" s="265">
        <f t="shared" si="8"/>
        <v>0</v>
      </c>
    </row>
    <row r="77" spans="1:18" ht="15.45" x14ac:dyDescent="0.4">
      <c r="A77" s="303"/>
      <c r="B77" s="309">
        <v>0</v>
      </c>
      <c r="C77" s="309">
        <v>1</v>
      </c>
      <c r="D77" s="305"/>
      <c r="E77" s="310">
        <v>1200</v>
      </c>
      <c r="F77" s="309">
        <f t="shared" ref="F77:F88" si="9">+(C77+B77)/2*1000</f>
        <v>500</v>
      </c>
      <c r="G77" s="309">
        <v>0</v>
      </c>
      <c r="H77" s="311">
        <f>+H78</f>
        <v>0.42857142857142855</v>
      </c>
      <c r="I77" s="312">
        <f t="shared" ref="I77:I88" si="10">+E77</f>
        <v>1200</v>
      </c>
      <c r="K77" s="851"/>
      <c r="L77" s="851"/>
      <c r="M77" s="851"/>
      <c r="N77" s="851"/>
      <c r="O77" s="851"/>
      <c r="P77" s="851"/>
    </row>
    <row r="78" spans="1:18" ht="15.45" x14ac:dyDescent="0.4">
      <c r="A78" s="303"/>
      <c r="B78" s="309">
        <v>0</v>
      </c>
      <c r="C78" s="309">
        <v>25</v>
      </c>
      <c r="D78" s="309" t="s">
        <v>764</v>
      </c>
      <c r="E78" s="313">
        <v>1200</v>
      </c>
      <c r="F78" s="309">
        <f t="shared" si="9"/>
        <v>12500</v>
      </c>
      <c r="G78" s="309">
        <f t="shared" ref="G78:G88" si="11">+F78*$E$73</f>
        <v>2800</v>
      </c>
      <c r="H78" s="311">
        <f t="shared" ref="H78:H88" si="12">+E78/G78</f>
        <v>0.42857142857142855</v>
      </c>
      <c r="I78" s="312">
        <f t="shared" si="10"/>
        <v>1200</v>
      </c>
      <c r="J78" s="851"/>
      <c r="K78" s="851"/>
      <c r="L78" s="851"/>
      <c r="M78" s="851"/>
      <c r="N78" s="851"/>
      <c r="O78" s="851"/>
      <c r="P78" s="851"/>
    </row>
    <row r="79" spans="1:18" ht="15.45" x14ac:dyDescent="0.4">
      <c r="A79" s="303"/>
      <c r="B79" s="309">
        <v>26</v>
      </c>
      <c r="C79" s="309">
        <v>75</v>
      </c>
      <c r="D79" s="309" t="s">
        <v>763</v>
      </c>
      <c r="E79" s="313">
        <v>2200</v>
      </c>
      <c r="F79" s="309">
        <f t="shared" si="9"/>
        <v>50500</v>
      </c>
      <c r="G79" s="309">
        <f t="shared" si="11"/>
        <v>11312</v>
      </c>
      <c r="H79" s="311">
        <f t="shared" si="12"/>
        <v>0.19448373408769448</v>
      </c>
      <c r="I79" s="314">
        <f t="shared" si="10"/>
        <v>2200</v>
      </c>
      <c r="J79" s="851"/>
      <c r="K79" s="851"/>
      <c r="L79" s="851"/>
      <c r="M79" s="851"/>
      <c r="N79" s="851"/>
      <c r="O79" s="851"/>
      <c r="P79" s="851"/>
    </row>
    <row r="80" spans="1:18" ht="15.45" x14ac:dyDescent="0.4">
      <c r="A80" s="303"/>
      <c r="B80" s="309">
        <v>76</v>
      </c>
      <c r="C80" s="309">
        <v>100</v>
      </c>
      <c r="D80" s="309" t="s">
        <v>762</v>
      </c>
      <c r="E80" s="313">
        <v>2500</v>
      </c>
      <c r="F80" s="309">
        <f t="shared" si="9"/>
        <v>88000</v>
      </c>
      <c r="G80" s="309">
        <f t="shared" si="11"/>
        <v>19712</v>
      </c>
      <c r="H80" s="311">
        <f t="shared" si="12"/>
        <v>0.12682629870129869</v>
      </c>
      <c r="I80" s="314">
        <f t="shared" si="10"/>
        <v>2500</v>
      </c>
      <c r="J80" s="851"/>
      <c r="K80" s="851"/>
      <c r="L80" s="851"/>
      <c r="M80" s="851"/>
      <c r="N80" s="851"/>
      <c r="O80" s="851"/>
      <c r="P80" s="851"/>
    </row>
    <row r="81" spans="1:16" ht="15.45" x14ac:dyDescent="0.4">
      <c r="A81" s="303"/>
      <c r="B81" s="309">
        <v>100</v>
      </c>
      <c r="C81" s="309">
        <v>150</v>
      </c>
      <c r="D81" s="309" t="s">
        <v>761</v>
      </c>
      <c r="E81" s="313">
        <v>3000</v>
      </c>
      <c r="F81" s="309">
        <f t="shared" si="9"/>
        <v>125000</v>
      </c>
      <c r="G81" s="309">
        <f t="shared" si="11"/>
        <v>28000</v>
      </c>
      <c r="H81" s="311">
        <f t="shared" si="12"/>
        <v>0.10714285714285714</v>
      </c>
      <c r="I81" s="314">
        <f t="shared" si="10"/>
        <v>3000</v>
      </c>
      <c r="J81" s="851"/>
      <c r="K81" s="851"/>
      <c r="L81" s="851"/>
      <c r="M81" s="851"/>
      <c r="N81" s="851"/>
      <c r="O81" s="851"/>
      <c r="P81" s="851"/>
    </row>
    <row r="82" spans="1:16" ht="15.45" x14ac:dyDescent="0.4">
      <c r="A82" s="303"/>
      <c r="B82" s="309">
        <v>151</v>
      </c>
      <c r="C82" s="309">
        <v>200</v>
      </c>
      <c r="D82" s="309" t="s">
        <v>760</v>
      </c>
      <c r="E82" s="313">
        <v>3500</v>
      </c>
      <c r="F82" s="309">
        <f t="shared" si="9"/>
        <v>175500</v>
      </c>
      <c r="G82" s="309">
        <f t="shared" si="11"/>
        <v>39312</v>
      </c>
      <c r="H82" s="311">
        <f t="shared" si="12"/>
        <v>8.903133903133903E-2</v>
      </c>
      <c r="I82" s="314">
        <f t="shared" si="10"/>
        <v>3500</v>
      </c>
      <c r="J82" s="851"/>
      <c r="K82" s="851"/>
      <c r="L82" s="851"/>
      <c r="M82" s="851"/>
      <c r="N82" s="851"/>
      <c r="O82" s="851"/>
      <c r="P82" s="851"/>
    </row>
    <row r="83" spans="1:16" ht="15.45" x14ac:dyDescent="0.4">
      <c r="A83" s="303"/>
      <c r="B83" s="309">
        <v>201</v>
      </c>
      <c r="C83" s="309">
        <v>250</v>
      </c>
      <c r="D83" s="309" t="s">
        <v>759</v>
      </c>
      <c r="E83" s="313">
        <v>3700</v>
      </c>
      <c r="F83" s="309">
        <f t="shared" si="9"/>
        <v>225500</v>
      </c>
      <c r="G83" s="309">
        <f t="shared" si="11"/>
        <v>50512</v>
      </c>
      <c r="H83" s="311">
        <f t="shared" si="12"/>
        <v>7.3249920810896416E-2</v>
      </c>
      <c r="I83" s="314">
        <f t="shared" si="10"/>
        <v>3700</v>
      </c>
      <c r="J83" s="851"/>
      <c r="K83" s="851"/>
      <c r="L83" s="851"/>
      <c r="M83" s="851"/>
      <c r="N83" s="851"/>
      <c r="O83" s="851"/>
      <c r="P83" s="851"/>
    </row>
    <row r="84" spans="1:16" ht="15.45" x14ac:dyDescent="0.4">
      <c r="A84" s="303"/>
      <c r="B84" s="309">
        <v>251</v>
      </c>
      <c r="C84" s="309">
        <v>300</v>
      </c>
      <c r="D84" s="309" t="s">
        <v>758</v>
      </c>
      <c r="E84" s="313">
        <v>3900</v>
      </c>
      <c r="F84" s="309">
        <f t="shared" si="9"/>
        <v>275500</v>
      </c>
      <c r="G84" s="309">
        <f t="shared" si="11"/>
        <v>61712</v>
      </c>
      <c r="H84" s="311">
        <f t="shared" si="12"/>
        <v>6.3196785066113564E-2</v>
      </c>
      <c r="I84" s="314">
        <f t="shared" si="10"/>
        <v>3900</v>
      </c>
      <c r="J84" s="851"/>
      <c r="K84" s="851"/>
      <c r="L84" s="851"/>
      <c r="M84" s="851"/>
      <c r="N84" s="851"/>
      <c r="O84" s="851"/>
      <c r="P84" s="851"/>
    </row>
    <row r="85" spans="1:16" ht="15.45" x14ac:dyDescent="0.4">
      <c r="A85" s="303"/>
      <c r="B85" s="309">
        <v>301</v>
      </c>
      <c r="C85" s="309">
        <v>400</v>
      </c>
      <c r="D85" s="309" t="s">
        <v>757</v>
      </c>
      <c r="E85" s="313">
        <v>4200</v>
      </c>
      <c r="F85" s="309">
        <f t="shared" si="9"/>
        <v>350500</v>
      </c>
      <c r="G85" s="309">
        <f t="shared" si="11"/>
        <v>78512</v>
      </c>
      <c r="H85" s="311">
        <f t="shared" si="12"/>
        <v>5.3495007132667617E-2</v>
      </c>
      <c r="I85" s="314">
        <f t="shared" si="10"/>
        <v>4200</v>
      </c>
      <c r="J85" s="851"/>
      <c r="K85" s="851"/>
      <c r="L85" s="851"/>
      <c r="M85" s="851"/>
      <c r="N85" s="851"/>
      <c r="O85" s="851"/>
      <c r="P85" s="851"/>
    </row>
    <row r="86" spans="1:16" ht="15.45" x14ac:dyDescent="0.4">
      <c r="A86" s="303"/>
      <c r="B86" s="309">
        <v>401</v>
      </c>
      <c r="C86" s="309">
        <v>500</v>
      </c>
      <c r="D86" s="309" t="s">
        <v>756</v>
      </c>
      <c r="E86" s="313">
        <v>4500</v>
      </c>
      <c r="F86" s="309">
        <f t="shared" si="9"/>
        <v>450500</v>
      </c>
      <c r="G86" s="309">
        <f t="shared" si="11"/>
        <v>100912</v>
      </c>
      <c r="H86" s="311">
        <f t="shared" si="12"/>
        <v>4.45933090217219E-2</v>
      </c>
      <c r="I86" s="314">
        <f t="shared" si="10"/>
        <v>4500</v>
      </c>
      <c r="J86" s="851"/>
      <c r="K86" s="851"/>
      <c r="L86" s="851"/>
      <c r="M86" s="851"/>
      <c r="N86" s="851"/>
      <c r="O86" s="851"/>
      <c r="P86" s="851"/>
    </row>
    <row r="87" spans="1:16" ht="15.45" x14ac:dyDescent="0.4">
      <c r="A87" s="303"/>
      <c r="B87" s="309">
        <v>501</v>
      </c>
      <c r="C87" s="309">
        <v>600</v>
      </c>
      <c r="D87" s="309" t="s">
        <v>755</v>
      </c>
      <c r="E87" s="313">
        <v>5000</v>
      </c>
      <c r="F87" s="309">
        <f t="shared" si="9"/>
        <v>550500</v>
      </c>
      <c r="G87" s="309">
        <f t="shared" si="11"/>
        <v>123312</v>
      </c>
      <c r="H87" s="311">
        <f t="shared" si="12"/>
        <v>4.0547554171532371E-2</v>
      </c>
      <c r="I87" s="314">
        <f t="shared" si="10"/>
        <v>5000</v>
      </c>
      <c r="J87" s="851"/>
      <c r="K87" s="851"/>
      <c r="L87" s="851"/>
      <c r="M87" s="851"/>
      <c r="N87" s="851"/>
      <c r="O87" s="851"/>
      <c r="P87" s="851"/>
    </row>
    <row r="88" spans="1:16" ht="15.9" thickBot="1" x14ac:dyDescent="0.45">
      <c r="A88" s="315"/>
      <c r="B88" s="316">
        <v>601</v>
      </c>
      <c r="C88" s="316">
        <v>601</v>
      </c>
      <c r="D88" s="316" t="s">
        <v>754</v>
      </c>
      <c r="E88" s="317">
        <v>6000</v>
      </c>
      <c r="F88" s="316">
        <f t="shared" si="9"/>
        <v>601000</v>
      </c>
      <c r="G88" s="316">
        <f t="shared" si="11"/>
        <v>134624</v>
      </c>
      <c r="H88" s="318">
        <f t="shared" si="12"/>
        <v>4.4568576182552888E-2</v>
      </c>
      <c r="I88" s="319">
        <f t="shared" si="10"/>
        <v>6000</v>
      </c>
      <c r="J88" s="851"/>
      <c r="K88" s="851"/>
      <c r="L88" s="851"/>
      <c r="M88" s="851"/>
      <c r="N88" s="851"/>
      <c r="O88" s="851"/>
      <c r="P88" s="851"/>
    </row>
    <row r="89" spans="1:16" x14ac:dyDescent="0.4">
      <c r="A89" s="816"/>
      <c r="B89" s="816"/>
      <c r="C89" s="816"/>
      <c r="D89" s="816"/>
      <c r="E89" s="816"/>
      <c r="F89" s="816"/>
      <c r="G89" s="816"/>
      <c r="H89" s="816"/>
      <c r="I89" s="816"/>
      <c r="J89" s="851"/>
      <c r="K89" s="851"/>
      <c r="L89" s="851"/>
      <c r="M89" s="851"/>
      <c r="N89" s="851"/>
      <c r="O89" s="851"/>
      <c r="P89" s="851"/>
    </row>
    <row r="90" spans="1:16" x14ac:dyDescent="0.4">
      <c r="J90" s="851"/>
      <c r="K90" s="851"/>
      <c r="L90" s="851"/>
      <c r="M90" s="851"/>
      <c r="N90" s="851"/>
      <c r="O90" s="851"/>
      <c r="P90" s="851"/>
    </row>
    <row r="91" spans="1:16" x14ac:dyDescent="0.4">
      <c r="J91" s="851"/>
      <c r="K91" s="851"/>
      <c r="L91" s="851"/>
      <c r="M91" s="851"/>
      <c r="N91" s="851"/>
      <c r="O91" s="851"/>
      <c r="P91" s="851"/>
    </row>
    <row r="92" spans="1:16" x14ac:dyDescent="0.4">
      <c r="J92" s="851"/>
      <c r="K92" s="851"/>
      <c r="L92" s="851"/>
      <c r="M92" s="851"/>
      <c r="N92" s="851"/>
      <c r="O92" s="851"/>
      <c r="P92" s="851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29" t="s">
        <v>818</v>
      </c>
      <c r="B1" s="224" t="s">
        <v>819</v>
      </c>
      <c r="C1" s="224" t="s">
        <v>820</v>
      </c>
      <c r="D1" s="224" t="s">
        <v>842</v>
      </c>
      <c r="F1" s="224" t="s">
        <v>829</v>
      </c>
      <c r="G1" s="224" t="s">
        <v>830</v>
      </c>
      <c r="H1" s="224" t="s">
        <v>831</v>
      </c>
      <c r="I1" s="224" t="s">
        <v>832</v>
      </c>
      <c r="J1" s="224" t="s">
        <v>833</v>
      </c>
      <c r="K1" s="224" t="s">
        <v>834</v>
      </c>
      <c r="L1" s="224" t="s">
        <v>835</v>
      </c>
      <c r="M1" s="224" t="s">
        <v>836</v>
      </c>
      <c r="N1" s="224" t="s">
        <v>837</v>
      </c>
      <c r="O1" s="224" t="s">
        <v>838</v>
      </c>
      <c r="P1" s="224" t="s">
        <v>839</v>
      </c>
      <c r="Q1" s="224" t="s">
        <v>840</v>
      </c>
      <c r="R1" s="224"/>
      <c r="S1" s="224"/>
      <c r="T1" s="224"/>
    </row>
    <row r="2" spans="1:20" s="111" customFormat="1" ht="18.45" x14ac:dyDescent="0.5">
      <c r="A2" s="229" t="s">
        <v>841</v>
      </c>
      <c r="B2" s="227">
        <v>0</v>
      </c>
      <c r="C2" s="227">
        <v>0</v>
      </c>
      <c r="D2" s="230">
        <f>B2+C2</f>
        <v>0</v>
      </c>
      <c r="F2" s="227">
        <v>0</v>
      </c>
      <c r="G2" s="227">
        <v>0</v>
      </c>
      <c r="H2" s="227">
        <v>0</v>
      </c>
      <c r="I2" s="227">
        <v>0</v>
      </c>
      <c r="J2" s="227">
        <v>0</v>
      </c>
      <c r="K2" s="227">
        <v>0</v>
      </c>
      <c r="L2" s="227">
        <v>0</v>
      </c>
      <c r="M2" s="227">
        <v>0</v>
      </c>
      <c r="N2" s="227">
        <v>0</v>
      </c>
      <c r="O2" s="227">
        <v>0</v>
      </c>
      <c r="P2" s="227">
        <v>0</v>
      </c>
      <c r="Q2" s="227">
        <v>0</v>
      </c>
      <c r="R2" s="224"/>
      <c r="S2" s="224"/>
      <c r="T2" s="224"/>
    </row>
    <row r="3" spans="1:20" ht="18.45" x14ac:dyDescent="0.5">
      <c r="A3" s="229" t="s">
        <v>853</v>
      </c>
      <c r="B3" s="227">
        <f t="shared" ref="B3:B8" si="0">AVERAGE(F3:Q3)</f>
        <v>96</v>
      </c>
      <c r="C3" s="227">
        <v>55</v>
      </c>
      <c r="D3" s="230">
        <f t="shared" ref="D3:D16" si="1">B3+C3</f>
        <v>151</v>
      </c>
      <c r="F3" s="228">
        <v>96</v>
      </c>
      <c r="G3" s="228">
        <v>96</v>
      </c>
      <c r="H3" s="228">
        <v>96</v>
      </c>
      <c r="I3" s="228">
        <v>96</v>
      </c>
      <c r="J3" s="228">
        <v>96</v>
      </c>
      <c r="K3" s="228">
        <v>96</v>
      </c>
      <c r="L3" s="228">
        <v>96</v>
      </c>
      <c r="M3" s="228">
        <v>96</v>
      </c>
      <c r="N3" s="228">
        <v>96</v>
      </c>
      <c r="O3" s="228">
        <v>96</v>
      </c>
      <c r="P3" s="228">
        <v>96</v>
      </c>
      <c r="Q3" s="228">
        <v>96</v>
      </c>
    </row>
    <row r="4" spans="1:20" ht="18.45" x14ac:dyDescent="0.5">
      <c r="A4" s="229" t="s">
        <v>814</v>
      </c>
      <c r="B4" s="227">
        <f t="shared" si="0"/>
        <v>126.5</v>
      </c>
      <c r="C4" s="227">
        <v>61</v>
      </c>
      <c r="D4" s="230">
        <f t="shared" si="1"/>
        <v>187.5</v>
      </c>
      <c r="F4" s="228">
        <v>115</v>
      </c>
      <c r="G4" s="228">
        <v>115</v>
      </c>
      <c r="H4" s="228">
        <v>115</v>
      </c>
      <c r="I4" s="228">
        <v>115</v>
      </c>
      <c r="J4" s="228">
        <v>115</v>
      </c>
      <c r="K4" s="228">
        <v>115</v>
      </c>
      <c r="L4" s="228">
        <v>115</v>
      </c>
      <c r="M4" s="228">
        <v>115</v>
      </c>
      <c r="N4" s="228">
        <v>161</v>
      </c>
      <c r="O4" s="228">
        <v>161</v>
      </c>
      <c r="P4" s="228">
        <v>161</v>
      </c>
      <c r="Q4" s="228">
        <v>115</v>
      </c>
    </row>
    <row r="5" spans="1:20" ht="18.45" x14ac:dyDescent="0.5">
      <c r="A5" s="229" t="s">
        <v>815</v>
      </c>
      <c r="B5" s="227">
        <f t="shared" si="0"/>
        <v>109</v>
      </c>
      <c r="C5" s="227">
        <v>61</v>
      </c>
      <c r="D5" s="230">
        <f t="shared" si="1"/>
        <v>170</v>
      </c>
      <c r="F5" s="228">
        <v>109</v>
      </c>
      <c r="G5" s="228">
        <v>109</v>
      </c>
      <c r="H5" s="228">
        <v>109</v>
      </c>
      <c r="I5" s="228">
        <v>109</v>
      </c>
      <c r="J5" s="228">
        <v>109</v>
      </c>
      <c r="K5" s="228">
        <v>109</v>
      </c>
      <c r="L5" s="228">
        <v>109</v>
      </c>
      <c r="M5" s="228">
        <v>109</v>
      </c>
      <c r="N5" s="228">
        <v>109</v>
      </c>
      <c r="O5" s="228">
        <v>109</v>
      </c>
      <c r="P5" s="228">
        <v>109</v>
      </c>
      <c r="Q5" s="228">
        <v>109</v>
      </c>
    </row>
    <row r="6" spans="1:20" ht="18.45" x14ac:dyDescent="0.5">
      <c r="A6" s="229" t="s">
        <v>816</v>
      </c>
      <c r="B6" s="227">
        <f t="shared" si="0"/>
        <v>121.66666666666667</v>
      </c>
      <c r="C6" s="227">
        <v>66</v>
      </c>
      <c r="D6" s="230">
        <f t="shared" si="1"/>
        <v>187.66666666666669</v>
      </c>
      <c r="F6" s="228">
        <v>114</v>
      </c>
      <c r="G6" s="228">
        <v>114</v>
      </c>
      <c r="H6" s="228">
        <v>114</v>
      </c>
      <c r="I6" s="228">
        <v>114</v>
      </c>
      <c r="J6" s="228">
        <v>114</v>
      </c>
      <c r="K6" s="228">
        <v>114</v>
      </c>
      <c r="L6" s="228">
        <v>114</v>
      </c>
      <c r="M6" s="228">
        <v>114</v>
      </c>
      <c r="N6" s="228">
        <v>114</v>
      </c>
      <c r="O6" s="228">
        <v>160</v>
      </c>
      <c r="P6" s="228">
        <v>160</v>
      </c>
      <c r="Q6" s="228">
        <v>114</v>
      </c>
    </row>
    <row r="7" spans="1:20" ht="18.45" x14ac:dyDescent="0.5">
      <c r="A7" s="229" t="s">
        <v>817</v>
      </c>
      <c r="B7" s="227">
        <f t="shared" si="0"/>
        <v>124.5</v>
      </c>
      <c r="C7" s="227">
        <v>71</v>
      </c>
      <c r="D7" s="230">
        <f t="shared" si="1"/>
        <v>195.5</v>
      </c>
      <c r="F7" s="228">
        <v>112</v>
      </c>
      <c r="G7" s="228">
        <v>112</v>
      </c>
      <c r="H7" s="228">
        <v>112</v>
      </c>
      <c r="I7" s="228">
        <v>112</v>
      </c>
      <c r="J7" s="228">
        <v>112</v>
      </c>
      <c r="K7" s="228">
        <v>112</v>
      </c>
      <c r="L7" s="228">
        <v>112</v>
      </c>
      <c r="M7" s="228">
        <v>112</v>
      </c>
      <c r="N7" s="228">
        <v>112</v>
      </c>
      <c r="O7" s="228">
        <v>187</v>
      </c>
      <c r="P7" s="228">
        <v>187</v>
      </c>
      <c r="Q7" s="228">
        <v>112</v>
      </c>
    </row>
    <row r="8" spans="1:20" ht="18.45" x14ac:dyDescent="0.5">
      <c r="A8" s="229" t="s">
        <v>854</v>
      </c>
      <c r="B8" s="227">
        <f t="shared" si="0"/>
        <v>96</v>
      </c>
      <c r="C8" s="227">
        <v>55</v>
      </c>
      <c r="D8" s="230">
        <f t="shared" si="1"/>
        <v>151</v>
      </c>
      <c r="F8" s="228">
        <v>96</v>
      </c>
      <c r="G8" s="228">
        <v>96</v>
      </c>
      <c r="H8" s="228">
        <v>96</v>
      </c>
      <c r="I8" s="228">
        <v>96</v>
      </c>
      <c r="J8" s="228">
        <v>96</v>
      </c>
      <c r="K8" s="228">
        <v>96</v>
      </c>
      <c r="L8" s="228">
        <v>96</v>
      </c>
      <c r="M8" s="228">
        <v>96</v>
      </c>
      <c r="N8" s="228">
        <v>96</v>
      </c>
      <c r="O8" s="228">
        <v>96</v>
      </c>
      <c r="P8" s="228">
        <v>96</v>
      </c>
      <c r="Q8" s="228">
        <v>96</v>
      </c>
    </row>
    <row r="9" spans="1:20" ht="18.45" x14ac:dyDescent="0.5">
      <c r="A9" s="229" t="s">
        <v>821</v>
      </c>
      <c r="B9" s="227">
        <f t="shared" ref="B9:B16" si="2">AVERAGE(F9:Q9)</f>
        <v>121.5</v>
      </c>
      <c r="C9" s="227">
        <v>66</v>
      </c>
      <c r="D9" s="230">
        <f t="shared" si="1"/>
        <v>187.5</v>
      </c>
      <c r="F9" s="228">
        <v>115</v>
      </c>
      <c r="G9" s="228">
        <v>115</v>
      </c>
      <c r="H9" s="228">
        <v>115</v>
      </c>
      <c r="I9" s="228">
        <v>115</v>
      </c>
      <c r="J9" s="228">
        <v>115</v>
      </c>
      <c r="K9" s="228">
        <v>115</v>
      </c>
      <c r="L9" s="228">
        <v>115</v>
      </c>
      <c r="M9" s="228">
        <v>115</v>
      </c>
      <c r="N9" s="228">
        <v>141</v>
      </c>
      <c r="O9" s="228">
        <v>141</v>
      </c>
      <c r="P9" s="228">
        <v>141</v>
      </c>
      <c r="Q9" s="228">
        <v>115</v>
      </c>
    </row>
    <row r="10" spans="1:20" ht="18.45" x14ac:dyDescent="0.5">
      <c r="A10" s="229" t="s">
        <v>822</v>
      </c>
      <c r="B10" s="227">
        <f t="shared" si="2"/>
        <v>106.5</v>
      </c>
      <c r="C10" s="227">
        <v>66</v>
      </c>
      <c r="D10" s="230">
        <f t="shared" si="1"/>
        <v>172.5</v>
      </c>
      <c r="F10" s="228">
        <v>101</v>
      </c>
      <c r="G10" s="228">
        <v>101</v>
      </c>
      <c r="H10" s="228">
        <v>101</v>
      </c>
      <c r="I10" s="228">
        <v>101</v>
      </c>
      <c r="J10" s="228">
        <v>101</v>
      </c>
      <c r="K10" s="228">
        <v>101</v>
      </c>
      <c r="L10" s="228">
        <v>101</v>
      </c>
      <c r="M10" s="228">
        <v>101</v>
      </c>
      <c r="N10" s="228">
        <v>101</v>
      </c>
      <c r="O10" s="228">
        <v>134</v>
      </c>
      <c r="P10" s="228">
        <v>134</v>
      </c>
      <c r="Q10" s="228">
        <v>101</v>
      </c>
    </row>
    <row r="11" spans="1:20" ht="18.45" x14ac:dyDescent="0.5">
      <c r="A11" s="229" t="s">
        <v>823</v>
      </c>
      <c r="B11" s="227">
        <f t="shared" si="2"/>
        <v>126.66666666666667</v>
      </c>
      <c r="C11" s="227">
        <v>66</v>
      </c>
      <c r="D11" s="230">
        <f t="shared" si="1"/>
        <v>192.66666666666669</v>
      </c>
      <c r="F11" s="228">
        <v>110</v>
      </c>
      <c r="G11" s="228">
        <v>130</v>
      </c>
      <c r="H11" s="228">
        <v>130</v>
      </c>
      <c r="I11" s="228">
        <v>130</v>
      </c>
      <c r="J11" s="228">
        <v>130</v>
      </c>
      <c r="K11" s="228">
        <v>130</v>
      </c>
      <c r="L11" s="228">
        <v>130</v>
      </c>
      <c r="M11" s="228">
        <v>130</v>
      </c>
      <c r="N11" s="228">
        <v>130</v>
      </c>
      <c r="O11" s="228">
        <v>130</v>
      </c>
      <c r="P11" s="228">
        <v>130</v>
      </c>
      <c r="Q11" s="228">
        <v>110</v>
      </c>
    </row>
    <row r="12" spans="1:20" ht="18.45" x14ac:dyDescent="0.5">
      <c r="A12" s="229" t="s">
        <v>824</v>
      </c>
      <c r="B12" s="227">
        <f t="shared" si="2"/>
        <v>117.33333333333333</v>
      </c>
      <c r="C12" s="227">
        <v>76</v>
      </c>
      <c r="D12" s="230">
        <f t="shared" si="1"/>
        <v>193.33333333333331</v>
      </c>
      <c r="F12" s="228">
        <v>108</v>
      </c>
      <c r="G12" s="228">
        <v>108</v>
      </c>
      <c r="H12" s="228">
        <v>108</v>
      </c>
      <c r="I12" s="228">
        <v>108</v>
      </c>
      <c r="J12" s="228">
        <v>108</v>
      </c>
      <c r="K12" s="228">
        <v>108</v>
      </c>
      <c r="L12" s="228">
        <v>108</v>
      </c>
      <c r="M12" s="228">
        <v>108</v>
      </c>
      <c r="N12" s="228">
        <v>108</v>
      </c>
      <c r="O12" s="228">
        <v>164</v>
      </c>
      <c r="P12" s="228">
        <v>164</v>
      </c>
      <c r="Q12" s="228">
        <v>108</v>
      </c>
      <c r="T12" s="226"/>
    </row>
    <row r="13" spans="1:20" ht="18.45" x14ac:dyDescent="0.5">
      <c r="A13" s="229" t="s">
        <v>825</v>
      </c>
      <c r="B13" s="227">
        <f t="shared" si="2"/>
        <v>100</v>
      </c>
      <c r="C13" s="227">
        <v>66</v>
      </c>
      <c r="D13" s="230">
        <f t="shared" si="1"/>
        <v>166</v>
      </c>
      <c r="F13" s="228">
        <v>100</v>
      </c>
      <c r="G13" s="228">
        <v>100</v>
      </c>
      <c r="H13" s="228">
        <v>100</v>
      </c>
      <c r="I13" s="228">
        <v>100</v>
      </c>
      <c r="J13" s="228">
        <v>100</v>
      </c>
      <c r="K13" s="228">
        <v>100</v>
      </c>
      <c r="L13" s="228">
        <v>100</v>
      </c>
      <c r="M13" s="228">
        <v>100</v>
      </c>
      <c r="N13" s="228">
        <v>100</v>
      </c>
      <c r="O13" s="228">
        <v>100</v>
      </c>
      <c r="P13" s="228">
        <v>100</v>
      </c>
      <c r="Q13" s="228">
        <v>100</v>
      </c>
    </row>
    <row r="14" spans="1:20" ht="18.45" x14ac:dyDescent="0.5">
      <c r="A14" s="229" t="s">
        <v>826</v>
      </c>
      <c r="B14" s="227">
        <f t="shared" si="2"/>
        <v>214.41666666666666</v>
      </c>
      <c r="C14" s="227">
        <v>76</v>
      </c>
      <c r="D14" s="230">
        <f t="shared" si="1"/>
        <v>290.41666666666663</v>
      </c>
      <c r="F14" s="228">
        <v>184</v>
      </c>
      <c r="G14" s="228">
        <v>184</v>
      </c>
      <c r="H14" s="228">
        <v>184</v>
      </c>
      <c r="I14" s="228">
        <v>184</v>
      </c>
      <c r="J14" s="228">
        <v>184</v>
      </c>
      <c r="K14" s="228">
        <v>184</v>
      </c>
      <c r="L14" s="228">
        <v>184</v>
      </c>
      <c r="M14" s="228">
        <v>257</v>
      </c>
      <c r="N14" s="228">
        <v>257</v>
      </c>
      <c r="O14" s="228">
        <v>257</v>
      </c>
      <c r="P14" s="228">
        <v>257</v>
      </c>
      <c r="Q14" s="228">
        <v>257</v>
      </c>
    </row>
    <row r="15" spans="1:20" ht="18.45" x14ac:dyDescent="0.5">
      <c r="A15" s="229" t="s">
        <v>827</v>
      </c>
      <c r="B15" s="227">
        <f t="shared" si="2"/>
        <v>108</v>
      </c>
      <c r="C15" s="227">
        <v>61</v>
      </c>
      <c r="D15" s="230">
        <f t="shared" si="1"/>
        <v>169</v>
      </c>
      <c r="F15" s="228">
        <v>108</v>
      </c>
      <c r="G15" s="228">
        <v>108</v>
      </c>
      <c r="H15" s="228">
        <v>108</v>
      </c>
      <c r="I15" s="228">
        <v>108</v>
      </c>
      <c r="J15" s="228">
        <v>108</v>
      </c>
      <c r="K15" s="228">
        <v>108</v>
      </c>
      <c r="L15" s="228">
        <v>108</v>
      </c>
      <c r="M15" s="228">
        <v>108</v>
      </c>
      <c r="N15" s="228">
        <v>108</v>
      </c>
      <c r="O15" s="228">
        <v>108</v>
      </c>
      <c r="P15" s="228">
        <v>108</v>
      </c>
      <c r="Q15" s="228">
        <v>108</v>
      </c>
    </row>
    <row r="16" spans="1:20" ht="18.45" x14ac:dyDescent="0.5">
      <c r="A16" s="229" t="s">
        <v>828</v>
      </c>
      <c r="B16" s="227">
        <f t="shared" si="2"/>
        <v>124</v>
      </c>
      <c r="C16" s="227">
        <v>71</v>
      </c>
      <c r="D16" s="230">
        <f t="shared" si="1"/>
        <v>195</v>
      </c>
      <c r="F16" s="228">
        <v>124</v>
      </c>
      <c r="G16" s="228">
        <v>124</v>
      </c>
      <c r="H16" s="228">
        <v>124</v>
      </c>
      <c r="I16" s="228">
        <v>124</v>
      </c>
      <c r="J16" s="228">
        <v>124</v>
      </c>
      <c r="K16" s="228">
        <v>124</v>
      </c>
      <c r="L16" s="228">
        <v>124</v>
      </c>
      <c r="M16" s="228">
        <v>124</v>
      </c>
      <c r="N16" s="228">
        <v>124</v>
      </c>
      <c r="O16" s="228">
        <v>124</v>
      </c>
      <c r="P16" s="228">
        <v>124</v>
      </c>
      <c r="Q16" s="228">
        <v>124</v>
      </c>
    </row>
    <row r="17" spans="1:12" x14ac:dyDescent="0.4">
      <c r="A17" s="224"/>
      <c r="B17" s="224"/>
      <c r="C17" s="224"/>
      <c r="D17" s="224"/>
    </row>
    <row r="18" spans="1:12" x14ac:dyDescent="0.4">
      <c r="A18" s="233" t="s">
        <v>855</v>
      </c>
      <c r="B18" s="224"/>
      <c r="C18" s="224"/>
      <c r="D18" s="224"/>
    </row>
    <row r="19" spans="1:12" x14ac:dyDescent="0.4">
      <c r="A19" s="224"/>
      <c r="B19" s="224"/>
      <c r="C19" s="224"/>
      <c r="D19" s="224"/>
    </row>
    <row r="20" spans="1:12" x14ac:dyDescent="0.4">
      <c r="A20" s="224"/>
      <c r="B20" s="224"/>
      <c r="C20" s="224"/>
      <c r="D20" s="224"/>
    </row>
    <row r="21" spans="1:12" x14ac:dyDescent="0.4">
      <c r="A21" s="224"/>
      <c r="B21" s="224"/>
      <c r="C21" s="224"/>
      <c r="D21" s="224"/>
    </row>
    <row r="22" spans="1:12" x14ac:dyDescent="0.4">
      <c r="B22" s="224"/>
      <c r="C22" s="224"/>
      <c r="D22" s="224"/>
    </row>
    <row r="23" spans="1:12" x14ac:dyDescent="0.4">
      <c r="B23" s="224"/>
      <c r="C23" s="224"/>
      <c r="D23" s="224"/>
      <c r="K23" s="225"/>
      <c r="L23" s="225"/>
    </row>
    <row r="24" spans="1:12" x14ac:dyDescent="0.4">
      <c r="A24" s="224"/>
      <c r="B24" s="224"/>
      <c r="C24" s="224"/>
      <c r="D24" s="224"/>
      <c r="K24" s="225"/>
      <c r="L24" s="225"/>
    </row>
    <row r="25" spans="1:12" x14ac:dyDescent="0.4">
      <c r="A25" s="224"/>
      <c r="B25" s="224"/>
      <c r="C25" s="224"/>
      <c r="D25" s="224"/>
      <c r="K25" s="225"/>
      <c r="L25" s="225"/>
    </row>
    <row r="26" spans="1:12" x14ac:dyDescent="0.4">
      <c r="A26" s="224"/>
      <c r="B26" s="224"/>
      <c r="C26" s="224"/>
      <c r="D26" s="224"/>
      <c r="K26" s="225"/>
      <c r="L26" s="225"/>
    </row>
    <row r="27" spans="1:12" x14ac:dyDescent="0.4">
      <c r="A27" s="224"/>
      <c r="B27" s="224"/>
      <c r="C27" s="224"/>
      <c r="D27" s="224"/>
      <c r="K27" s="225"/>
      <c r="L27" s="225"/>
    </row>
    <row r="28" spans="1:12" x14ac:dyDescent="0.4">
      <c r="A28" s="224"/>
      <c r="B28" s="224"/>
      <c r="C28" s="224"/>
      <c r="D28" s="224"/>
    </row>
    <row r="29" spans="1:12" x14ac:dyDescent="0.4">
      <c r="A29" s="224"/>
      <c r="B29" s="224"/>
      <c r="C29" s="224"/>
      <c r="D29" s="224"/>
      <c r="F29" s="225"/>
      <c r="G29" s="225"/>
    </row>
    <row r="30" spans="1:12" x14ac:dyDescent="0.4">
      <c r="A30" s="224"/>
      <c r="B30" s="224"/>
      <c r="C30" s="224"/>
      <c r="D30" s="224"/>
      <c r="F30" s="225"/>
      <c r="G30" s="225"/>
    </row>
    <row r="31" spans="1:12" x14ac:dyDescent="0.4">
      <c r="A31" s="224"/>
      <c r="B31" s="224"/>
      <c r="C31" s="224"/>
      <c r="D31" s="224"/>
      <c r="F31" s="225"/>
      <c r="G31" s="225"/>
    </row>
    <row r="32" spans="1:12" x14ac:dyDescent="0.4">
      <c r="A32" s="224"/>
      <c r="B32" s="224"/>
      <c r="C32" s="224"/>
      <c r="D32" s="224"/>
      <c r="F32" s="225"/>
      <c r="G32" s="225"/>
    </row>
    <row r="33" spans="1:7" x14ac:dyDescent="0.4">
      <c r="A33" s="224"/>
      <c r="B33" s="224"/>
      <c r="C33" s="224"/>
      <c r="D33" s="224"/>
      <c r="F33" s="225"/>
      <c r="G33" s="225"/>
    </row>
    <row r="34" spans="1:7" x14ac:dyDescent="0.4">
      <c r="A34" s="224"/>
      <c r="B34" s="224"/>
      <c r="C34" s="224"/>
      <c r="D34" s="224"/>
      <c r="F34" s="225"/>
      <c r="G34" s="225"/>
    </row>
    <row r="35" spans="1:7" x14ac:dyDescent="0.4">
      <c r="A35" s="224"/>
      <c r="B35" s="224"/>
      <c r="C35" s="224"/>
      <c r="D35" s="224"/>
      <c r="F35" s="225"/>
      <c r="G35" s="225"/>
    </row>
    <row r="36" spans="1:7" x14ac:dyDescent="0.4">
      <c r="A36" s="224"/>
      <c r="B36" s="224"/>
      <c r="C36" s="224"/>
      <c r="D36" s="224"/>
    </row>
    <row r="65" spans="1:1" x14ac:dyDescent="0.4">
      <c r="A65" s="224"/>
    </row>
    <row r="66" spans="1:1" x14ac:dyDescent="0.4">
      <c r="A66" s="224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7CD8E-3BC1-4281-853A-DC2F41CC3051}">
  <sheetPr codeName="Sheet8"/>
  <dimension ref="A1:T210"/>
  <sheetViews>
    <sheetView workbookViewId="0">
      <selection activeCell="B21" sqref="B21"/>
    </sheetView>
  </sheetViews>
  <sheetFormatPr defaultRowHeight="14.6" x14ac:dyDescent="0.4"/>
  <cols>
    <col min="1" max="1" width="20.15234375" bestFit="1" customWidth="1"/>
    <col min="2" max="2" width="56.53515625" bestFit="1" customWidth="1"/>
    <col min="3" max="3" width="12.15234375" customWidth="1"/>
    <col min="4" max="4" width="12.53515625" customWidth="1"/>
    <col min="5" max="5" width="15" customWidth="1"/>
    <col min="6" max="6" width="14.53515625" customWidth="1"/>
    <col min="8" max="8" width="20.15234375" bestFit="1" customWidth="1"/>
    <col min="9" max="9" width="56.53515625" bestFit="1" customWidth="1"/>
    <col min="10" max="10" width="12.15234375" customWidth="1"/>
    <col min="11" max="11" width="12.53515625" customWidth="1"/>
    <col min="12" max="12" width="15" customWidth="1"/>
    <col min="13" max="13" width="14.53515625" customWidth="1"/>
    <col min="15" max="15" width="20.15234375" bestFit="1" customWidth="1"/>
    <col min="16" max="16" width="56.53515625" bestFit="1" customWidth="1"/>
    <col min="17" max="17" width="12.15234375" customWidth="1"/>
    <col min="18" max="18" width="12.53515625" customWidth="1"/>
    <col min="19" max="19" width="15" customWidth="1"/>
    <col min="20" max="20" width="14.53515625" customWidth="1"/>
  </cols>
  <sheetData>
    <row r="1" spans="1:20" x14ac:dyDescent="0.4">
      <c r="A1" s="1165" t="s">
        <v>432</v>
      </c>
      <c r="B1" s="1165"/>
      <c r="C1" s="1165"/>
      <c r="D1" s="1165"/>
      <c r="E1" s="1165"/>
      <c r="F1" s="1165"/>
      <c r="H1" s="1166" t="s">
        <v>433</v>
      </c>
      <c r="I1" s="1166"/>
      <c r="J1" s="1166"/>
      <c r="K1" s="1166"/>
      <c r="L1" s="1166"/>
      <c r="M1" s="1166"/>
      <c r="O1" s="1174" t="s">
        <v>434</v>
      </c>
      <c r="P1" s="1174"/>
      <c r="Q1" s="1174"/>
      <c r="R1" s="1174"/>
      <c r="S1" s="1174"/>
      <c r="T1" s="1174"/>
    </row>
    <row r="2" spans="1:20" x14ac:dyDescent="0.4">
      <c r="A2" s="66" t="s">
        <v>11</v>
      </c>
      <c r="B2" s="66" t="s">
        <v>12</v>
      </c>
      <c r="C2" s="44" t="s">
        <v>435</v>
      </c>
      <c r="D2" s="45" t="s">
        <v>436</v>
      </c>
      <c r="E2" s="14" t="s">
        <v>501</v>
      </c>
      <c r="F2" s="45" t="s">
        <v>663</v>
      </c>
      <c r="G2" s="14"/>
      <c r="H2" s="90" t="s">
        <v>11</v>
      </c>
      <c r="I2" s="91" t="s">
        <v>12</v>
      </c>
      <c r="J2" s="92" t="s">
        <v>435</v>
      </c>
      <c r="K2" s="93" t="s">
        <v>436</v>
      </c>
      <c r="L2" s="94" t="s">
        <v>501</v>
      </c>
      <c r="M2" s="95" t="s">
        <v>663</v>
      </c>
      <c r="O2" s="96" t="s">
        <v>11</v>
      </c>
      <c r="P2" s="97" t="s">
        <v>12</v>
      </c>
      <c r="Q2" s="98" t="s">
        <v>435</v>
      </c>
      <c r="R2" s="99" t="s">
        <v>436</v>
      </c>
      <c r="S2" s="100" t="s">
        <v>501</v>
      </c>
      <c r="T2" s="101" t="s">
        <v>663</v>
      </c>
    </row>
    <row r="3" spans="1:20" x14ac:dyDescent="0.4">
      <c r="A3" t="str">
        <f>IF('Area A'!B5="None","",'Area A'!B5)</f>
        <v>TR200 Blk</v>
      </c>
      <c r="B3" t="str">
        <f>IF('Area A'!B5="None","",'Area A'!C5)</f>
        <v>Top Rail 200 ( 20' )- Black</v>
      </c>
      <c r="C3">
        <f>IF('Area A'!B5="none","",'Area A'!D5)</f>
        <v>0</v>
      </c>
      <c r="D3">
        <f>IF('Area A'!B5="none","",'Area A'!E5)</f>
        <v>0</v>
      </c>
      <c r="E3">
        <f>IF('Area A'!B5="none","",'Area A'!H5)</f>
        <v>0</v>
      </c>
      <c r="F3">
        <f>IF(Table1[[#This Row],[Item]]="","",Table1[[#This Row],[Unit Count]]+Table1[[#This Row],[Coushion Qty]])</f>
        <v>0</v>
      </c>
      <c r="H3" t="e">
        <f>IF(#REF!="none","",#REF!)</f>
        <v>#REF!</v>
      </c>
      <c r="I3" t="e">
        <f>IF(#REF!="none","",#REF!)</f>
        <v>#REF!</v>
      </c>
      <c r="J3" t="e">
        <f>IF(#REF!="none","",#REF!)</f>
        <v>#REF!</v>
      </c>
      <c r="K3" t="e">
        <f>IF(#REF!="none","",#REF!)</f>
        <v>#REF!</v>
      </c>
      <c r="L3" t="e">
        <f>IF(#REF!="none","",#REF!)</f>
        <v>#REF!</v>
      </c>
      <c r="M3" t="e">
        <f>IF(#REF!="none","",'Take-off Build'!K3+'Take-off Build'!L3)</f>
        <v>#REF!</v>
      </c>
      <c r="O3" t="e">
        <f>IF(#REF!="none","",#REF!)</f>
        <v>#REF!</v>
      </c>
      <c r="P3" t="e">
        <f>IF(#REF!="none","",#REF!)</f>
        <v>#REF!</v>
      </c>
      <c r="Q3" t="e">
        <f>IF(#REF!="none","",#REF!)</f>
        <v>#REF!</v>
      </c>
      <c r="R3" t="e">
        <f>IF(#REF!="none","",#REF!)</f>
        <v>#REF!</v>
      </c>
      <c r="S3" t="e">
        <f>IF(#REF!="none","",#REF!)</f>
        <v>#REF!</v>
      </c>
      <c r="T3" t="e">
        <f>IF(#REF!="none","",'Take-off Build'!S3+'Take-off Build'!R3)</f>
        <v>#REF!</v>
      </c>
    </row>
    <row r="4" spans="1:20" x14ac:dyDescent="0.4">
      <c r="A4" t="str">
        <f>IF('Area A'!B6="None","",'Area A'!B6)</f>
        <v>BR100- Blk</v>
      </c>
      <c r="B4" t="str">
        <f>IF('Area A'!B6="None","",'Area A'!C6)</f>
        <v>Series 100 Bottom Rail (20')- Black</v>
      </c>
      <c r="C4">
        <f>IF('Area A'!B6="none","",'Area A'!D6)</f>
        <v>0</v>
      </c>
      <c r="D4">
        <f>IF('Area A'!B6="none","",'Area A'!E6)</f>
        <v>0</v>
      </c>
      <c r="E4">
        <f>IF('Area A'!B6="none","",'Area A'!H6)</f>
        <v>0</v>
      </c>
      <c r="F4">
        <f>IF(Table1[[#This Row],[Item]]="","",Table1[[#This Row],[Unit Count]]+Table1[[#This Row],[Coushion Qty]])</f>
        <v>0</v>
      </c>
      <c r="H4" t="e">
        <f>IF(#REF!="none","",#REF!)</f>
        <v>#REF!</v>
      </c>
      <c r="I4" t="e">
        <f>IF(#REF!="none","",#REF!)</f>
        <v>#REF!</v>
      </c>
      <c r="J4" t="e">
        <f>IF(#REF!="none","",#REF!)</f>
        <v>#REF!</v>
      </c>
      <c r="K4" t="e">
        <f>IF(#REF!="none","",#REF!)</f>
        <v>#REF!</v>
      </c>
      <c r="L4" t="e">
        <f>IF(#REF!="none","",#REF!)</f>
        <v>#REF!</v>
      </c>
      <c r="M4" t="e">
        <f>IF(#REF!="none","",'Take-off Build'!K4+'Take-off Build'!L4)</f>
        <v>#REF!</v>
      </c>
      <c r="O4" t="e">
        <f>IF(#REF!="none","",#REF!)</f>
        <v>#REF!</v>
      </c>
      <c r="P4" t="e">
        <f>IF(#REF!="none","",#REF!)</f>
        <v>#REF!</v>
      </c>
      <c r="Q4" t="e">
        <f>IF(#REF!="none","",#REF!)</f>
        <v>#REF!</v>
      </c>
      <c r="R4" t="e">
        <f>IF(#REF!="none","",#REF!)</f>
        <v>#REF!</v>
      </c>
      <c r="S4" t="e">
        <f>IF(#REF!="none","",#REF!)</f>
        <v>#REF!</v>
      </c>
      <c r="T4" t="e">
        <f>IF(#REF!="none","",'Take-off Build'!S4+'Take-off Build'!R4)</f>
        <v>#REF!</v>
      </c>
    </row>
    <row r="5" spans="1:20" x14ac:dyDescent="0.4">
      <c r="A5" t="str">
        <f>IF('Area A'!B7="None","",'Area A'!B7)</f>
        <v/>
      </c>
      <c r="B5" t="str">
        <f>IF('Area A'!B7="None","",'Area A'!C7)</f>
        <v/>
      </c>
      <c r="C5" t="str">
        <f>IF('Area A'!B7="none","",'Area A'!D7)</f>
        <v/>
      </c>
      <c r="D5" t="str">
        <f>IF('Area A'!B7="none","",'Area A'!E7)</f>
        <v/>
      </c>
      <c r="E5" t="str">
        <f>IF('Area A'!B7="none","",'Area A'!H7)</f>
        <v/>
      </c>
      <c r="F5" t="str">
        <f>IF(Table1[[#This Row],[Item]]="","",Table1[[#This Row],[Unit Count]]+Table1[[#This Row],[Coushion Qty]])</f>
        <v/>
      </c>
      <c r="H5" t="e">
        <f>IF(#REF!="none","",#REF!)</f>
        <v>#REF!</v>
      </c>
      <c r="I5" t="e">
        <f>IF(#REF!="none","",#REF!)</f>
        <v>#REF!</v>
      </c>
      <c r="J5" t="e">
        <f>IF(#REF!="none","",#REF!)</f>
        <v>#REF!</v>
      </c>
      <c r="K5" t="e">
        <f>IF(#REF!="none","",#REF!)</f>
        <v>#REF!</v>
      </c>
      <c r="L5" t="e">
        <f>IF(#REF!="none","",#REF!)</f>
        <v>#REF!</v>
      </c>
      <c r="M5" t="e">
        <f>IF(#REF!="none","",'Take-off Build'!K5+'Take-off Build'!L5)</f>
        <v>#REF!</v>
      </c>
      <c r="O5" t="e">
        <f>IF(#REF!="none","",#REF!)</f>
        <v>#REF!</v>
      </c>
      <c r="P5" t="e">
        <f>IF(#REF!="none","",#REF!)</f>
        <v>#REF!</v>
      </c>
      <c r="Q5" t="e">
        <f>IF(#REF!="none","",#REF!)</f>
        <v>#REF!</v>
      </c>
      <c r="R5" t="e">
        <f>IF(#REF!="none","",#REF!)</f>
        <v>#REF!</v>
      </c>
      <c r="S5" t="e">
        <f>IF(#REF!="none","",#REF!)</f>
        <v>#REF!</v>
      </c>
      <c r="T5" t="e">
        <f>IF(#REF!="none","",'Take-off Build'!S5+'Take-off Build'!R5)</f>
        <v>#REF!</v>
      </c>
    </row>
    <row r="6" spans="1:20" x14ac:dyDescent="0.4">
      <c r="A6" t="str">
        <f>IF('Area A'!B8="None","",'Area A'!B8)</f>
        <v/>
      </c>
      <c r="B6" t="str">
        <f>IF('Area A'!B8="None","",'Area A'!C8)</f>
        <v/>
      </c>
      <c r="C6" t="str">
        <f>IF('Area A'!B8="none","",'Area A'!D8)</f>
        <v/>
      </c>
      <c r="D6" t="str">
        <f>IF('Area A'!B8="none","",'Area A'!E8)</f>
        <v/>
      </c>
      <c r="E6" t="str">
        <f>IF('Area A'!B8="none","",'Area A'!H8)</f>
        <v/>
      </c>
      <c r="F6" t="str">
        <f>IF(Table1[[#This Row],[Item]]="","",Table1[[#This Row],[Unit Count]]+Table1[[#This Row],[Coushion Qty]])</f>
        <v/>
      </c>
      <c r="H6" t="e">
        <f>IF(#REF!="none","",#REF!)</f>
        <v>#REF!</v>
      </c>
      <c r="I6" t="e">
        <f>IF(#REF!="none","",#REF!)</f>
        <v>#REF!</v>
      </c>
      <c r="J6" t="e">
        <f>IF(#REF!="none","",#REF!)</f>
        <v>#REF!</v>
      </c>
      <c r="K6" t="e">
        <f>IF(#REF!="none","",#REF!)</f>
        <v>#REF!</v>
      </c>
      <c r="L6" t="e">
        <f>IF(#REF!="none","",#REF!)</f>
        <v>#REF!</v>
      </c>
      <c r="M6" t="e">
        <f>IF(#REF!="none","",'Take-off Build'!K6+'Take-off Build'!L6)</f>
        <v>#REF!</v>
      </c>
      <c r="O6" t="e">
        <f>IF(#REF!="none","",#REF!)</f>
        <v>#REF!</v>
      </c>
      <c r="P6" t="e">
        <f>IF(#REF!="none","",#REF!)</f>
        <v>#REF!</v>
      </c>
      <c r="Q6" t="e">
        <f>IF(#REF!="none","",#REF!)</f>
        <v>#REF!</v>
      </c>
      <c r="R6" t="e">
        <f>IF(#REF!="none","",#REF!)</f>
        <v>#REF!</v>
      </c>
      <c r="S6" t="e">
        <f>IF(#REF!="none","",#REF!)</f>
        <v>#REF!</v>
      </c>
      <c r="T6" t="e">
        <f>IF(#REF!="none","",'Take-off Build'!S6+'Take-off Build'!R6)</f>
        <v>#REF!</v>
      </c>
    </row>
    <row r="7" spans="1:20" x14ac:dyDescent="0.4">
      <c r="A7" t="str">
        <f>IF('Area A'!B12="None","",'Area A'!B12)</f>
        <v/>
      </c>
      <c r="B7" t="str">
        <f>IF('Area A'!B12="None","",'Area A'!C12)</f>
        <v/>
      </c>
      <c r="C7" t="str">
        <f>IF('Area A'!B12="none","",'Area A'!D12)</f>
        <v/>
      </c>
      <c r="D7" t="str">
        <f>IF('Area A'!B12="none","",'Area A'!E12)</f>
        <v/>
      </c>
      <c r="E7" t="str">
        <f>IF('Area A'!B12="none","",'Area A'!H12)</f>
        <v/>
      </c>
      <c r="F7" t="str">
        <f>IF(Table1[[#This Row],[Item]]="","",Table1[[#This Row],[Unit Count]]+Table1[[#This Row],[Coushion Qty]])</f>
        <v/>
      </c>
      <c r="H7" t="e">
        <f>IF(#REF!="none","",#REF!)</f>
        <v>#REF!</v>
      </c>
      <c r="I7" t="e">
        <f>IF(#REF!="none","",#REF!)</f>
        <v>#REF!</v>
      </c>
      <c r="J7" t="e">
        <f>IF(#REF!="none","",#REF!)</f>
        <v>#REF!</v>
      </c>
      <c r="K7" t="e">
        <f>IF(#REF!="none","",#REF!)</f>
        <v>#REF!</v>
      </c>
      <c r="L7" t="e">
        <f>IF(#REF!="none","",#REF!)</f>
        <v>#REF!</v>
      </c>
      <c r="M7" t="e">
        <f>IF(#REF!="none","",'Take-off Build'!K7+'Take-off Build'!L7)</f>
        <v>#REF!</v>
      </c>
      <c r="O7" t="e">
        <f>IF(#REF!="none","",#REF!)</f>
        <v>#REF!</v>
      </c>
      <c r="P7" t="e">
        <f>IF(#REF!="none","",#REF!)</f>
        <v>#REF!</v>
      </c>
      <c r="Q7" t="e">
        <f>IF(#REF!="none","",#REF!)</f>
        <v>#REF!</v>
      </c>
      <c r="R7" t="e">
        <f>IF(#REF!="none","",#REF!)</f>
        <v>#REF!</v>
      </c>
      <c r="S7" t="e">
        <f>IF(#REF!="none","",#REF!)</f>
        <v>#REF!</v>
      </c>
      <c r="T7" t="e">
        <f>IF(#REF!="none","",'Take-off Build'!S7+'Take-off Build'!R7)</f>
        <v>#REF!</v>
      </c>
    </row>
    <row r="8" spans="1:20" x14ac:dyDescent="0.4">
      <c r="A8" t="str">
        <f>IF('Area A'!B15="None","",'Area A'!B15)</f>
        <v>FP56- Blk</v>
      </c>
      <c r="B8" t="str">
        <f>IF('Area A'!B15="None","",'Area A'!C15)</f>
        <v>56" Fascia Post- Black</v>
      </c>
      <c r="C8">
        <f>IF('Area A'!B15="none","",'Area A'!D15)</f>
        <v>0</v>
      </c>
      <c r="D8">
        <f>IF('Area A'!B15="none","",'Area A'!E15)</f>
        <v>0</v>
      </c>
      <c r="E8">
        <f>IF('Area A'!B15="none","",'Area A'!H15)</f>
        <v>0</v>
      </c>
      <c r="F8">
        <f>IF(Table1[[#This Row],[Item]]="","",Table1[[#This Row],[Unit Count]]+Table1[[#This Row],[Coushion Qty]])</f>
        <v>0</v>
      </c>
      <c r="H8" t="e">
        <f>IF(#REF!="none","",#REF!)</f>
        <v>#REF!</v>
      </c>
      <c r="I8" t="e">
        <f>IF(#REF!="none","",#REF!)</f>
        <v>#REF!</v>
      </c>
      <c r="J8" t="e">
        <f>IF(#REF!="none","",#REF!)</f>
        <v>#REF!</v>
      </c>
      <c r="K8" t="e">
        <f>IF(#REF!="none","",#REF!)</f>
        <v>#REF!</v>
      </c>
      <c r="L8" t="e">
        <f>IF(#REF!="none","",#REF!)</f>
        <v>#REF!</v>
      </c>
      <c r="M8" t="e">
        <f>IF(#REF!="none","",'Take-off Build'!K8+'Take-off Build'!L8)</f>
        <v>#REF!</v>
      </c>
      <c r="O8" t="e">
        <f>IF(#REF!="none","",#REF!)</f>
        <v>#REF!</v>
      </c>
      <c r="P8" t="e">
        <f>IF(#REF!="none","",#REF!)</f>
        <v>#REF!</v>
      </c>
      <c r="Q8" t="e">
        <f>IF(#REF!="none","",#REF!)</f>
        <v>#REF!</v>
      </c>
      <c r="R8" t="e">
        <f>IF(#REF!="none","",#REF!)</f>
        <v>#REF!</v>
      </c>
      <c r="S8" t="e">
        <f>IF(#REF!="none","",#REF!)</f>
        <v>#REF!</v>
      </c>
      <c r="T8" t="e">
        <f>IF(#REF!="none","",'Take-off Build'!S8+'Take-off Build'!R8)</f>
        <v>#REF!</v>
      </c>
    </row>
    <row r="9" spans="1:20" x14ac:dyDescent="0.4">
      <c r="A9" t="str">
        <f>IF('Area A'!B22="None","",'Area A'!B22)</f>
        <v>FMPBS 1- Blk</v>
      </c>
      <c r="B9" t="str">
        <f>IF('Area A'!B22="None","",'Area A'!C22)</f>
        <v>Intermediate Fascia Mount Bracket 6", with bottom plate, six screws- Black</v>
      </c>
      <c r="C9">
        <f>IF('Area A'!B22="none","",'Area A'!D22)</f>
        <v>0</v>
      </c>
      <c r="D9">
        <f>IF('Area A'!B22="none","",'Area A'!E22)</f>
        <v>0</v>
      </c>
      <c r="E9">
        <f>IF('Area A'!B22="none","",'Area A'!H22)</f>
        <v>0</v>
      </c>
      <c r="F9">
        <f>IF(Table1[[#This Row],[Item]]="","",Table1[[#This Row],[Unit Count]]+Table1[[#This Row],[Coushion Qty]])</f>
        <v>0</v>
      </c>
      <c r="H9" t="e">
        <f>IF(#REF!="none","",#REF!)</f>
        <v>#REF!</v>
      </c>
      <c r="I9" t="e">
        <f>IF(#REF!="none","",#REF!)</f>
        <v>#REF!</v>
      </c>
      <c r="J9" t="e">
        <f>IF(#REF!="none","",#REF!)</f>
        <v>#REF!</v>
      </c>
      <c r="K9" t="e">
        <f>IF(#REF!="none","",#REF!)</f>
        <v>#REF!</v>
      </c>
      <c r="L9" t="e">
        <f>IF(#REF!="none","",#REF!)</f>
        <v>#REF!</v>
      </c>
      <c r="M9" t="e">
        <f>IF(#REF!="none","",'Take-off Build'!K9+'Take-off Build'!L9)</f>
        <v>#REF!</v>
      </c>
      <c r="O9" t="e">
        <f>IF(#REF!="none","",#REF!)</f>
        <v>#REF!</v>
      </c>
      <c r="P9" t="e">
        <f>IF(#REF!="none","",#REF!)</f>
        <v>#REF!</v>
      </c>
      <c r="Q9" t="e">
        <f>IF(#REF!="none","",#REF!)</f>
        <v>#REF!</v>
      </c>
      <c r="R9" t="e">
        <f>IF(#REF!="none","",#REF!)</f>
        <v>#REF!</v>
      </c>
      <c r="S9" t="e">
        <f>IF(#REF!="none","",#REF!)</f>
        <v>#REF!</v>
      </c>
      <c r="T9" t="e">
        <f>IF(#REF!="none","",'Take-off Build'!S9+'Take-off Build'!R9)</f>
        <v>#REF!</v>
      </c>
    </row>
    <row r="10" spans="1:20" x14ac:dyDescent="0.4">
      <c r="A10" t="str">
        <f>IF('Area A'!B23="None","",'Area A'!B23)</f>
        <v>FMPBS 2- Blk</v>
      </c>
      <c r="B10" t="str">
        <f>IF('Area A'!B23="None","",'Area A'!C23)</f>
        <v>Outside Corner Fascia Mount Bracket 6"- with bottom plate &amp; six screws- Black</v>
      </c>
      <c r="C10">
        <f>IF('Area A'!B23="none","",'Area A'!D23)</f>
        <v>0</v>
      </c>
      <c r="D10">
        <f>IF('Area A'!B23="none","",'Area A'!E23)</f>
        <v>0</v>
      </c>
      <c r="E10">
        <f>IF('Area A'!B23="none","",'Area A'!H23)</f>
        <v>0</v>
      </c>
      <c r="F10">
        <f>IF(Table1[[#This Row],[Item]]="","",Table1[[#This Row],[Unit Count]]+Table1[[#This Row],[Coushion Qty]])</f>
        <v>0</v>
      </c>
      <c r="H10" t="e">
        <f>IF(#REF!="none","",#REF!)</f>
        <v>#REF!</v>
      </c>
      <c r="I10" t="e">
        <f>IF(#REF!="none","",#REF!)</f>
        <v>#REF!</v>
      </c>
      <c r="J10" t="e">
        <f>IF(#REF!="none","",#REF!)</f>
        <v>#REF!</v>
      </c>
      <c r="K10" t="e">
        <f>IF(#REF!="none","",#REF!)</f>
        <v>#REF!</v>
      </c>
      <c r="L10" t="e">
        <f>IF(#REF!="none","",#REF!)</f>
        <v>#REF!</v>
      </c>
      <c r="M10" t="e">
        <f>IF(#REF!="none","",'Take-off Build'!K10+'Take-off Build'!L10)</f>
        <v>#REF!</v>
      </c>
      <c r="O10" t="e">
        <f>IF(#REF!="none","",#REF!)</f>
        <v>#REF!</v>
      </c>
      <c r="P10" t="e">
        <f>IF(#REF!="none","",#REF!)</f>
        <v>#REF!</v>
      </c>
      <c r="Q10" t="e">
        <f>IF(#REF!="none","",#REF!)</f>
        <v>#REF!</v>
      </c>
      <c r="R10" t="e">
        <f>IF(#REF!="none","",#REF!)</f>
        <v>#REF!</v>
      </c>
      <c r="S10" t="e">
        <f>IF(#REF!="none","",#REF!)</f>
        <v>#REF!</v>
      </c>
      <c r="T10" t="e">
        <f>IF(#REF!="none","",'Take-off Build'!S10+'Take-off Build'!R10)</f>
        <v>#REF!</v>
      </c>
    </row>
    <row r="11" spans="1:20" x14ac:dyDescent="0.4">
      <c r="A11" t="str">
        <f>IF('Area A'!B24="None","",'Area A'!B24)</f>
        <v/>
      </c>
      <c r="B11" t="str">
        <f>IF('Area A'!B24="None","",'Area A'!C24)</f>
        <v/>
      </c>
      <c r="C11" t="str">
        <f>IF('Area A'!B24="none","",'Area A'!D24)</f>
        <v/>
      </c>
      <c r="D11" t="str">
        <f>IF('Area A'!B24="none","",'Area A'!E24)</f>
        <v/>
      </c>
      <c r="E11" t="str">
        <f>IF('Area A'!B24="none","",'Area A'!H24)</f>
        <v/>
      </c>
      <c r="F11" t="str">
        <f>IF(Table1[[#This Row],[Item]]="","",Table1[[#This Row],[Unit Count]]+Table1[[#This Row],[Coushion Qty]])</f>
        <v/>
      </c>
      <c r="H11" t="e">
        <f>IF(#REF!="none","",#REF!)</f>
        <v>#REF!</v>
      </c>
      <c r="I11" t="e">
        <f>IF(#REF!="none","",#REF!)</f>
        <v>#REF!</v>
      </c>
      <c r="J11" t="e">
        <f>IF(#REF!="none","",#REF!)</f>
        <v>#REF!</v>
      </c>
      <c r="K11" t="e">
        <f>IF(#REF!="none","",#REF!)</f>
        <v>#REF!</v>
      </c>
      <c r="L11" t="e">
        <f>IF(#REF!="none","",#REF!)</f>
        <v>#REF!</v>
      </c>
      <c r="M11" t="e">
        <f>IF(#REF!="none","",'Take-off Build'!K11+'Take-off Build'!L11)</f>
        <v>#REF!</v>
      </c>
      <c r="O11" t="e">
        <f>IF(#REF!="none","",#REF!)</f>
        <v>#REF!</v>
      </c>
      <c r="P11" t="e">
        <f>IF(#REF!="none","",#REF!)</f>
        <v>#REF!</v>
      </c>
      <c r="Q11" t="e">
        <f>IF(#REF!="none","",#REF!)</f>
        <v>#REF!</v>
      </c>
      <c r="R11" t="e">
        <f>IF(#REF!="none","",#REF!)</f>
        <v>#REF!</v>
      </c>
      <c r="S11" t="e">
        <f>IF(#REF!="none","",#REF!)</f>
        <v>#REF!</v>
      </c>
      <c r="T11" t="e">
        <f>IF(#REF!="none","",'Take-off Build'!S11+'Take-off Build'!R11)</f>
        <v>#REF!</v>
      </c>
    </row>
    <row r="12" spans="1:20" x14ac:dyDescent="0.4">
      <c r="A12" t="str">
        <f>IF('Area A'!B25="None","",'Area A'!B25)</f>
        <v/>
      </c>
      <c r="B12" t="str">
        <f>IF('Area A'!B25="None","",'Area A'!C25)</f>
        <v/>
      </c>
      <c r="C12" t="str">
        <f>IF('Area A'!B25="none","",'Area A'!D25)</f>
        <v/>
      </c>
      <c r="D12" t="str">
        <f>IF('Area A'!B25="none","",'Area A'!E25)</f>
        <v/>
      </c>
      <c r="E12" t="str">
        <f>IF('Area A'!B25="none","",'Area A'!H25)</f>
        <v/>
      </c>
      <c r="F12" t="str">
        <f>IF(Table1[[#This Row],[Item]]="","",Table1[[#This Row],[Unit Count]]+Table1[[#This Row],[Coushion Qty]])</f>
        <v/>
      </c>
      <c r="H12" t="e">
        <f>IF(#REF!="none","",#REF!)</f>
        <v>#REF!</v>
      </c>
      <c r="I12" t="e">
        <f>IF(#REF!="none","",#REF!)</f>
        <v>#REF!</v>
      </c>
      <c r="J12" t="e">
        <f>IF(#REF!="none","",#REF!)</f>
        <v>#REF!</v>
      </c>
      <c r="K12" t="e">
        <f>IF(#REF!="none","",#REF!)</f>
        <v>#REF!</v>
      </c>
      <c r="L12" t="e">
        <f>IF(#REF!="none","",#REF!)</f>
        <v>#REF!</v>
      </c>
      <c r="M12" t="e">
        <f>IF(#REF!="none","",'Take-off Build'!K12+'Take-off Build'!L12)</f>
        <v>#REF!</v>
      </c>
      <c r="O12" t="e">
        <f>IF(#REF!="none","",#REF!)</f>
        <v>#REF!</v>
      </c>
      <c r="P12" t="e">
        <f>IF(#REF!="none","",#REF!)</f>
        <v>#REF!</v>
      </c>
      <c r="Q12" t="e">
        <f>IF(#REF!="none","",#REF!)</f>
        <v>#REF!</v>
      </c>
      <c r="R12" t="e">
        <f>IF(#REF!="none","",#REF!)</f>
        <v>#REF!</v>
      </c>
      <c r="S12" t="e">
        <f>IF(#REF!="none","",#REF!)</f>
        <v>#REF!</v>
      </c>
      <c r="T12" t="e">
        <f>IF(#REF!="none","",'Take-off Build'!S12+'Take-off Build'!R12)</f>
        <v>#REF!</v>
      </c>
    </row>
    <row r="13" spans="1:20" x14ac:dyDescent="0.4">
      <c r="A13" t="str">
        <f>IF('Area A'!B29="None","",'Area A'!B29)</f>
        <v>PT1-420- Blk</v>
      </c>
      <c r="B13" t="str">
        <f>IF('Area A'!B29="None","",'Area A'!C29)</f>
        <v>5/8" X 5/8" Picket - 36 1/8"-  For 42" High Top Rails- Black</v>
      </c>
      <c r="C13">
        <f>IF('Area A'!B29="none","",'Area A'!D29)</f>
        <v>0</v>
      </c>
      <c r="D13">
        <f>IF('Area A'!B29="none","",'Area A'!E29)</f>
        <v>0</v>
      </c>
      <c r="E13">
        <f>IF('Area A'!B29="none","",'Area A'!H29)</f>
        <v>0</v>
      </c>
      <c r="F13">
        <f>IF(Table1[[#This Row],[Item]]="","",Table1[[#This Row],[Unit Count]]+Table1[[#This Row],[Coushion Qty]])</f>
        <v>0</v>
      </c>
      <c r="H13" t="e">
        <f>IF(#REF!="none","",#REF!)</f>
        <v>#REF!</v>
      </c>
      <c r="I13" t="e">
        <f>IF(#REF!="none","",#REF!)</f>
        <v>#REF!</v>
      </c>
      <c r="J13" t="e">
        <f>IF(#REF!="none","",#REF!)</f>
        <v>#REF!</v>
      </c>
      <c r="K13" t="e">
        <f>IF(#REF!="none","",#REF!)</f>
        <v>#REF!</v>
      </c>
      <c r="L13" t="e">
        <f>IF(#REF!="none","",#REF!)</f>
        <v>#REF!</v>
      </c>
      <c r="M13" t="e">
        <f>IF(#REF!="none","",'Take-off Build'!K13+'Take-off Build'!L13)</f>
        <v>#REF!</v>
      </c>
      <c r="O13" t="e">
        <f>IF(#REF!="none","",#REF!)</f>
        <v>#REF!</v>
      </c>
      <c r="P13" t="e">
        <f>IF(#REF!="none","",#REF!)</f>
        <v>#REF!</v>
      </c>
      <c r="Q13" t="e">
        <f>IF(#REF!="none","",#REF!)</f>
        <v>#REF!</v>
      </c>
      <c r="R13" t="e">
        <f>IF(#REF!="none","",#REF!)</f>
        <v>#REF!</v>
      </c>
      <c r="S13" t="e">
        <f>IF(#REF!="none","",#REF!)</f>
        <v>#REF!</v>
      </c>
      <c r="T13" t="e">
        <f>IF(#REF!="none","",'Take-off Build'!S13+'Take-off Build'!R13)</f>
        <v>#REF!</v>
      </c>
    </row>
    <row r="14" spans="1:20" x14ac:dyDescent="0.4">
      <c r="A14" t="str">
        <f>IF('Area A'!B30="None","",'Area A'!B30)</f>
        <v/>
      </c>
      <c r="B14" t="str">
        <f>IF('Area A'!B30="None","",'Area A'!C30)</f>
        <v/>
      </c>
      <c r="C14" t="str">
        <f>IF('Area A'!B30="none","",'Area A'!D30)</f>
        <v/>
      </c>
      <c r="D14" t="str">
        <f>IF('Area A'!B30="none","",'Area A'!E30)</f>
        <v/>
      </c>
      <c r="E14" t="str">
        <f>IF('Area A'!B30="none","",'Area A'!H30)</f>
        <v/>
      </c>
      <c r="F14" t="str">
        <f>IF(Table1[[#This Row],[Item]]="","",Table1[[#This Row],[Unit Count]]+Table1[[#This Row],[Coushion Qty]])</f>
        <v/>
      </c>
      <c r="H14" t="e">
        <f>IF(#REF!="none","",#REF!)</f>
        <v>#REF!</v>
      </c>
      <c r="I14" t="e">
        <f>IF(#REF!="none","",#REF!)</f>
        <v>#REF!</v>
      </c>
      <c r="J14" t="e">
        <f>IF(#REF!="none","",#REF!)</f>
        <v>#REF!</v>
      </c>
      <c r="K14" t="e">
        <f>IF(#REF!="none","",#REF!)</f>
        <v>#REF!</v>
      </c>
      <c r="L14" t="e">
        <f>IF(#REF!="none","",#REF!)</f>
        <v>#REF!</v>
      </c>
      <c r="M14" t="e">
        <f>IF(#REF!="none","",'Take-off Build'!K14+'Take-off Build'!L14)</f>
        <v>#REF!</v>
      </c>
      <c r="O14" t="e">
        <f>IF(#REF!="none","",#REF!)</f>
        <v>#REF!</v>
      </c>
      <c r="P14" t="e">
        <f>IF(#REF!="none","",#REF!)</f>
        <v>#REF!</v>
      </c>
      <c r="Q14" t="e">
        <f>IF(#REF!="none","",#REF!)</f>
        <v>#REF!</v>
      </c>
      <c r="R14" t="e">
        <f>IF(#REF!="none","",#REF!)</f>
        <v>#REF!</v>
      </c>
      <c r="S14" t="e">
        <f>IF(#REF!="none","",#REF!)</f>
        <v>#REF!</v>
      </c>
      <c r="T14" t="e">
        <f>IF(#REF!="none","",'Take-off Build'!S14+'Take-off Build'!R14)</f>
        <v>#REF!</v>
      </c>
    </row>
    <row r="15" spans="1:20" x14ac:dyDescent="0.4">
      <c r="A15" t="str">
        <f>IF('Area A'!B31="None","",'Area A'!B31)</f>
        <v/>
      </c>
      <c r="B15" t="str">
        <f>IF('Area A'!B31="None","",'Area A'!C31)</f>
        <v/>
      </c>
      <c r="C15" t="str">
        <f>IF('Area A'!B31="none","",'Area A'!D31)</f>
        <v/>
      </c>
      <c r="D15" t="str">
        <f>IF('Area A'!B31="none","",'Area A'!E31)</f>
        <v/>
      </c>
      <c r="E15" t="str">
        <f>IF('Area A'!B31="none","",'Area A'!H31)</f>
        <v/>
      </c>
      <c r="F15" t="str">
        <f>IF(Table1[[#This Row],[Item]]="","",Table1[[#This Row],[Unit Count]]+Table1[[#This Row],[Coushion Qty]])</f>
        <v/>
      </c>
      <c r="H15" t="e">
        <f>IF(#REF!="none","",#REF!)</f>
        <v>#REF!</v>
      </c>
      <c r="I15" t="e">
        <f>IF(#REF!="none","",#REF!)</f>
        <v>#REF!</v>
      </c>
      <c r="J15" t="e">
        <f>IF(#REF!="none","",#REF!)</f>
        <v>#REF!</v>
      </c>
      <c r="K15" t="e">
        <f>IF(#REF!="none","",#REF!)</f>
        <v>#REF!</v>
      </c>
      <c r="L15" t="e">
        <f>IF(#REF!="none","",#REF!)</f>
        <v>#REF!</v>
      </c>
      <c r="M15" t="e">
        <f>IF(#REF!="none","",'Take-off Build'!K15+'Take-off Build'!L15)</f>
        <v>#REF!</v>
      </c>
      <c r="O15" t="e">
        <f>IF(#REF!="none","",#REF!)</f>
        <v>#REF!</v>
      </c>
      <c r="P15" t="e">
        <f>IF(#REF!="none","",#REF!)</f>
        <v>#REF!</v>
      </c>
      <c r="Q15" t="e">
        <f>IF(#REF!="none","",#REF!)</f>
        <v>#REF!</v>
      </c>
      <c r="R15" t="e">
        <f>IF(#REF!="none","",#REF!)</f>
        <v>#REF!</v>
      </c>
      <c r="S15" t="e">
        <f>IF(#REF!="none","",#REF!)</f>
        <v>#REF!</v>
      </c>
      <c r="T15" t="e">
        <f>IF(#REF!="none","",'Take-off Build'!S15+'Take-off Build'!R15)</f>
        <v>#REF!</v>
      </c>
    </row>
    <row r="16" spans="1:20" x14ac:dyDescent="0.4">
      <c r="A16" t="str">
        <f>IF('Area A'!B32="None","",'Area A'!B32)</f>
        <v/>
      </c>
      <c r="B16" t="str">
        <f>IF('Area A'!B32="None","",'Area A'!C32)</f>
        <v/>
      </c>
      <c r="C16" t="str">
        <f>IF('Area A'!B32="none","",'Area A'!D32)</f>
        <v/>
      </c>
      <c r="D16" t="str">
        <f>IF('Area A'!B32="none","",'Area A'!E32)</f>
        <v/>
      </c>
      <c r="E16" t="str">
        <f>IF('Area A'!B32="none","",'Area A'!H32)</f>
        <v/>
      </c>
      <c r="F16" t="str">
        <f>IF(Table1[[#This Row],[Item]]="","",Table1[[#This Row],[Unit Count]]+Table1[[#This Row],[Coushion Qty]])</f>
        <v/>
      </c>
      <c r="H16" t="e">
        <f>IF(#REF!="none","",#REF!)</f>
        <v>#REF!</v>
      </c>
      <c r="I16" t="e">
        <f>IF(#REF!="none","",#REF!)</f>
        <v>#REF!</v>
      </c>
      <c r="J16" t="e">
        <f>IF(#REF!="none","",#REF!)</f>
        <v>#REF!</v>
      </c>
      <c r="K16" t="e">
        <f>IF(#REF!="none","",#REF!)</f>
        <v>#REF!</v>
      </c>
      <c r="L16" t="e">
        <f>IF(#REF!="none","",#REF!)</f>
        <v>#REF!</v>
      </c>
      <c r="M16" t="e">
        <f>IF(#REF!="none","",'Take-off Build'!K16+'Take-off Build'!L16)</f>
        <v>#REF!</v>
      </c>
      <c r="O16" t="e">
        <f>IF(#REF!="none","",#REF!)</f>
        <v>#REF!</v>
      </c>
      <c r="P16" t="e">
        <f>IF(#REF!="none","",#REF!)</f>
        <v>#REF!</v>
      </c>
      <c r="Q16" t="e">
        <f>IF(#REF!="none","",#REF!)</f>
        <v>#REF!</v>
      </c>
      <c r="R16" t="e">
        <f>IF(#REF!="none","",#REF!)</f>
        <v>#REF!</v>
      </c>
      <c r="S16" t="e">
        <f>IF(#REF!="none","",#REF!)</f>
        <v>#REF!</v>
      </c>
      <c r="T16" t="e">
        <f>IF(#REF!="none","",'Take-off Build'!S16+'Take-off Build'!R16)</f>
        <v>#REF!</v>
      </c>
    </row>
    <row r="17" spans="1:20" x14ac:dyDescent="0.4">
      <c r="A17" t="str">
        <f>IF('Area A'!B33="None","",'Area A'!B33)</f>
        <v/>
      </c>
      <c r="B17" t="str">
        <f>IF('Area A'!B33="None","",'Area A'!C33)</f>
        <v/>
      </c>
      <c r="C17" t="str">
        <f>IF('Area A'!B33="none","",'Area A'!D33)</f>
        <v/>
      </c>
      <c r="D17" t="str">
        <f>IF('Area A'!B33="none","",'Area A'!E33)</f>
        <v/>
      </c>
      <c r="E17" t="str">
        <f>IF('Area A'!B33="none","",'Area A'!H33)</f>
        <v/>
      </c>
      <c r="F17" t="str">
        <f>IF(Table1[[#This Row],[Item]]="","",Table1[[#This Row],[Unit Count]]+Table1[[#This Row],[Coushion Qty]])</f>
        <v/>
      </c>
      <c r="H17" t="e">
        <f>IF(#REF!="none","",#REF!)</f>
        <v>#REF!</v>
      </c>
      <c r="I17" t="e">
        <f>IF(#REF!="none","",#REF!)</f>
        <v>#REF!</v>
      </c>
      <c r="J17" t="e">
        <f>IF(#REF!="none","",#REF!)</f>
        <v>#REF!</v>
      </c>
      <c r="K17" t="e">
        <f>IF(#REF!="none","",#REF!)</f>
        <v>#REF!</v>
      </c>
      <c r="L17" t="e">
        <f>IF(#REF!="none","",#REF!)</f>
        <v>#REF!</v>
      </c>
      <c r="M17" t="e">
        <f>IF(#REF!="none","",'Take-off Build'!K17+'Take-off Build'!L17)</f>
        <v>#REF!</v>
      </c>
      <c r="O17" t="e">
        <f>IF(#REF!="none","",#REF!)</f>
        <v>#REF!</v>
      </c>
      <c r="P17" t="e">
        <f>IF(#REF!="none","",#REF!)</f>
        <v>#REF!</v>
      </c>
      <c r="Q17" t="e">
        <f>IF(#REF!="none","",#REF!)</f>
        <v>#REF!</v>
      </c>
      <c r="R17" t="e">
        <f>IF(#REF!="none","",#REF!)</f>
        <v>#REF!</v>
      </c>
      <c r="S17" t="e">
        <f>IF(#REF!="none","",#REF!)</f>
        <v>#REF!</v>
      </c>
      <c r="T17" t="e">
        <f>IF(#REF!="none","",'Take-off Build'!S17+'Take-off Build'!R17)</f>
        <v>#REF!</v>
      </c>
    </row>
    <row r="18" spans="1:20" x14ac:dyDescent="0.4">
      <c r="A18" t="str">
        <f>IF('Area A'!B34="None","",'Area A'!B34)</f>
        <v/>
      </c>
      <c r="B18" t="str">
        <f>IF('Area A'!B34="None","",'Area A'!C34)</f>
        <v/>
      </c>
      <c r="C18" t="str">
        <f>IF('Area A'!B34="none","",'Area A'!D34)</f>
        <v/>
      </c>
      <c r="D18" t="str">
        <f>IF('Area A'!B34="none","",'Area A'!E34)</f>
        <v/>
      </c>
      <c r="E18" t="str">
        <f>IF('Area A'!B34="none","",'Area A'!H34)</f>
        <v/>
      </c>
      <c r="F18" t="str">
        <f>IF(Table1[[#This Row],[Item]]="","",Table1[[#This Row],[Unit Count]]+Table1[[#This Row],[Coushion Qty]])</f>
        <v/>
      </c>
      <c r="H18" t="e">
        <f>IF(#REF!="none","",#REF!)</f>
        <v>#REF!</v>
      </c>
      <c r="I18" t="e">
        <f>IF(#REF!="none","",#REF!)</f>
        <v>#REF!</v>
      </c>
      <c r="J18" t="e">
        <f>IF(#REF!="none","",#REF!)</f>
        <v>#REF!</v>
      </c>
      <c r="K18" t="e">
        <f>IF(#REF!="none","",#REF!)</f>
        <v>#REF!</v>
      </c>
      <c r="L18" t="e">
        <f>IF(#REF!="none","",#REF!)</f>
        <v>#REF!</v>
      </c>
      <c r="M18" t="e">
        <f>IF(#REF!="none","",'Take-off Build'!K18+'Take-off Build'!L18)</f>
        <v>#REF!</v>
      </c>
      <c r="O18" t="e">
        <f>IF(#REF!="none","",#REF!)</f>
        <v>#REF!</v>
      </c>
      <c r="P18" t="e">
        <f>IF(#REF!="none","",#REF!)</f>
        <v>#REF!</v>
      </c>
      <c r="Q18" t="e">
        <f>IF(#REF!="none","",#REF!)</f>
        <v>#REF!</v>
      </c>
      <c r="R18" t="e">
        <f>IF(#REF!="none","",#REF!)</f>
        <v>#REF!</v>
      </c>
      <c r="S18" t="e">
        <f>IF(#REF!="none","",#REF!)</f>
        <v>#REF!</v>
      </c>
      <c r="T18" t="e">
        <f>IF(#REF!="none","",'Take-off Build'!S18+'Take-off Build'!R18)</f>
        <v>#REF!</v>
      </c>
    </row>
    <row r="19" spans="1:20" x14ac:dyDescent="0.4">
      <c r="A19" t="str">
        <f>IF('Area A'!B35="None","",'Area A'!B35)</f>
        <v/>
      </c>
      <c r="B19" t="str">
        <f>IF('Area A'!B35="None","",'Area A'!C35)</f>
        <v/>
      </c>
      <c r="C19" t="str">
        <f>IF('Area A'!B35="none","",'Area A'!D35)</f>
        <v/>
      </c>
      <c r="D19" t="str">
        <f>IF('Area A'!B35="none","",'Area A'!E35)</f>
        <v/>
      </c>
      <c r="E19" t="str">
        <f>IF('Area A'!B35="none","",'Area A'!H35)</f>
        <v/>
      </c>
      <c r="F19" t="str">
        <f>IF(Table1[[#This Row],[Item]]="","",Table1[[#This Row],[Unit Count]]+Table1[[#This Row],[Coushion Qty]])</f>
        <v/>
      </c>
      <c r="H19" t="e">
        <f>IF(#REF!="none","",#REF!)</f>
        <v>#REF!</v>
      </c>
      <c r="I19" t="e">
        <f>IF(#REF!="none","",#REF!)</f>
        <v>#REF!</v>
      </c>
      <c r="J19" t="e">
        <f>IF(#REF!="none","",#REF!)</f>
        <v>#REF!</v>
      </c>
      <c r="K19" t="e">
        <f>IF(#REF!="none","",#REF!)</f>
        <v>#REF!</v>
      </c>
      <c r="L19" t="e">
        <f>IF(#REF!="none","",#REF!)</f>
        <v>#REF!</v>
      </c>
      <c r="M19" t="e">
        <f>IF(#REF!="none","",'Take-off Build'!K19+'Take-off Build'!L19)</f>
        <v>#REF!</v>
      </c>
      <c r="O19" t="e">
        <f>IF(#REF!="none","",#REF!)</f>
        <v>#REF!</v>
      </c>
      <c r="P19" t="e">
        <f>IF(#REF!="none","",#REF!)</f>
        <v>#REF!</v>
      </c>
      <c r="Q19" t="e">
        <f>IF(#REF!="none","",#REF!)</f>
        <v>#REF!</v>
      </c>
      <c r="R19" t="e">
        <f>IF(#REF!="none","",#REF!)</f>
        <v>#REF!</v>
      </c>
      <c r="S19" t="e">
        <f>IF(#REF!="none","",#REF!)</f>
        <v>#REF!</v>
      </c>
      <c r="T19" t="e">
        <f>IF(#REF!="none","",'Take-off Build'!S19+'Take-off Build'!R19)</f>
        <v>#REF!</v>
      </c>
    </row>
    <row r="20" spans="1:20" x14ac:dyDescent="0.4">
      <c r="A20" t="str">
        <f>IF('Area A'!B36="None","",'Area A'!B36)</f>
        <v/>
      </c>
      <c r="B20" t="str">
        <f>IF('Area A'!B36="None","",'Area A'!C36)</f>
        <v/>
      </c>
      <c r="C20" t="str">
        <f>IF('Area A'!B36="none","",'Area A'!D36)</f>
        <v/>
      </c>
      <c r="D20" t="str">
        <f>IF('Area A'!B36="none","",'Area A'!E36)</f>
        <v/>
      </c>
      <c r="E20" t="str">
        <f>IF('Area A'!B36="none","",'Area A'!H36)</f>
        <v/>
      </c>
      <c r="F20" t="str">
        <f>IF(Table1[[#This Row],[Item]]="","",Table1[[#This Row],[Unit Count]]+Table1[[#This Row],[Coushion Qty]])</f>
        <v/>
      </c>
      <c r="H20" t="e">
        <f>IF(#REF!="none","",#REF!)</f>
        <v>#REF!</v>
      </c>
      <c r="I20" t="e">
        <f>IF(#REF!="none","",#REF!)</f>
        <v>#REF!</v>
      </c>
      <c r="J20" t="e">
        <f>IF(#REF!="none","",#REF!)</f>
        <v>#REF!</v>
      </c>
      <c r="K20" t="e">
        <f>IF(#REF!="none","",#REF!)</f>
        <v>#REF!</v>
      </c>
      <c r="L20" t="e">
        <f>IF(#REF!="none","",#REF!)</f>
        <v>#REF!</v>
      </c>
      <c r="M20" t="e">
        <f>IF(#REF!="none","",'Take-off Build'!K20+'Take-off Build'!L20)</f>
        <v>#REF!</v>
      </c>
      <c r="O20" t="e">
        <f>IF(#REF!="none","",#REF!)</f>
        <v>#REF!</v>
      </c>
      <c r="P20" t="e">
        <f>IF(#REF!="none","",#REF!)</f>
        <v>#REF!</v>
      </c>
      <c r="Q20" t="e">
        <f>IF(#REF!="none","",#REF!)</f>
        <v>#REF!</v>
      </c>
      <c r="R20" t="e">
        <f>IF(#REF!="none","",#REF!)</f>
        <v>#REF!</v>
      </c>
      <c r="S20" t="e">
        <f>IF(#REF!="none","",#REF!)</f>
        <v>#REF!</v>
      </c>
      <c r="T20" t="e">
        <f>IF(#REF!="none","",'Take-off Build'!S20+'Take-off Build'!R20)</f>
        <v>#REF!</v>
      </c>
    </row>
    <row r="21" spans="1:20" x14ac:dyDescent="0.4">
      <c r="A21" t="str">
        <f>IF('Area A'!B41="None","",'Area A'!B41)</f>
        <v/>
      </c>
      <c r="B21" t="str">
        <f>IF('Area A'!B41="None","",'Area A'!C41)</f>
        <v/>
      </c>
      <c r="C21" t="str">
        <f>IF('Area A'!B41="none","",'Area A'!D41)</f>
        <v/>
      </c>
      <c r="D21" t="str">
        <f>IF('Area A'!B41="none","",'Area A'!E41)</f>
        <v/>
      </c>
      <c r="E21" t="str">
        <f>IF('Area A'!B41="none","",'Area A'!H41)</f>
        <v/>
      </c>
      <c r="F21" t="str">
        <f>IF(Table1[[#This Row],[Item]]="","",Table1[[#This Row],[Unit Count]]+Table1[[#This Row],[Coushion Qty]])</f>
        <v/>
      </c>
      <c r="H21" t="e">
        <f>IF(#REF!="none","",#REF!)</f>
        <v>#REF!</v>
      </c>
      <c r="I21" t="e">
        <f>IF(#REF!="none","",#REF!)</f>
        <v>#REF!</v>
      </c>
      <c r="J21" t="e">
        <f>IF(#REF!="none","",#REF!)</f>
        <v>#REF!</v>
      </c>
      <c r="K21" t="e">
        <f>IF(#REF!="none","",#REF!)</f>
        <v>#REF!</v>
      </c>
      <c r="L21" t="e">
        <f>IF(#REF!="none","",#REF!)</f>
        <v>#REF!</v>
      </c>
      <c r="M21" t="e">
        <f>IF(#REF!="none","",'Take-off Build'!K21+'Take-off Build'!L21)</f>
        <v>#REF!</v>
      </c>
      <c r="O21" t="e">
        <f>IF(#REF!="none","",#REF!)</f>
        <v>#REF!</v>
      </c>
      <c r="P21" t="e">
        <f>IF(#REF!="none","",#REF!)</f>
        <v>#REF!</v>
      </c>
      <c r="Q21" t="e">
        <f>IF(#REF!="none","",#REF!)</f>
        <v>#REF!</v>
      </c>
      <c r="R21" t="e">
        <f>IF(#REF!="none","",#REF!)</f>
        <v>#REF!</v>
      </c>
      <c r="S21" t="e">
        <f>IF(#REF!="none","",#REF!)</f>
        <v>#REF!</v>
      </c>
      <c r="T21" t="e">
        <f>IF(#REF!="none","",'Take-off Build'!S21+'Take-off Build'!R21)</f>
        <v>#REF!</v>
      </c>
    </row>
    <row r="22" spans="1:20" x14ac:dyDescent="0.4">
      <c r="A22" t="str">
        <f>IF('Area A'!B42="None","",'Area A'!B42)</f>
        <v/>
      </c>
      <c r="B22" t="str">
        <f>IF('Area A'!B42="None","",'Area A'!C42)</f>
        <v/>
      </c>
      <c r="C22" t="str">
        <f>IF('Area A'!B42="none","",'Area A'!D42)</f>
        <v/>
      </c>
      <c r="D22" t="str">
        <f>IF('Area A'!B42="none","",'Area A'!E42)</f>
        <v/>
      </c>
      <c r="E22" t="str">
        <f>IF('Area A'!B42="none","",'Area A'!H42)</f>
        <v/>
      </c>
      <c r="F22" t="str">
        <f>IF(Table1[[#This Row],[Item]]="","",Table1[[#This Row],[Unit Count]]+Table1[[#This Row],[Coushion Qty]])</f>
        <v/>
      </c>
      <c r="H22" t="e">
        <f>IF(#REF!="none","",#REF!)</f>
        <v>#REF!</v>
      </c>
      <c r="I22" t="e">
        <f>IF(#REF!="none","",#REF!)</f>
        <v>#REF!</v>
      </c>
      <c r="J22" t="e">
        <f>IF(#REF!="none","",#REF!)</f>
        <v>#REF!</v>
      </c>
      <c r="K22" t="e">
        <f>IF(#REF!="none","",#REF!)</f>
        <v>#REF!</v>
      </c>
      <c r="L22" t="e">
        <f>IF(#REF!="none","",#REF!)</f>
        <v>#REF!</v>
      </c>
      <c r="M22" t="e">
        <f>IF(#REF!="none","",'Take-off Build'!K22+'Take-off Build'!L22)</f>
        <v>#REF!</v>
      </c>
      <c r="O22" t="e">
        <f>IF(#REF!="none","",#REF!)</f>
        <v>#REF!</v>
      </c>
      <c r="P22" t="e">
        <f>IF(#REF!="none","",#REF!)</f>
        <v>#REF!</v>
      </c>
      <c r="Q22" t="e">
        <f>IF(#REF!="none","",#REF!)</f>
        <v>#REF!</v>
      </c>
      <c r="R22" t="e">
        <f>IF(#REF!="none","",#REF!)</f>
        <v>#REF!</v>
      </c>
      <c r="S22" t="e">
        <f>IF(#REF!="none","",#REF!)</f>
        <v>#REF!</v>
      </c>
      <c r="T22" t="e">
        <f>IF(#REF!="none","",'Take-off Build'!S22+'Take-off Build'!R22)</f>
        <v>#REF!</v>
      </c>
    </row>
    <row r="23" spans="1:20" x14ac:dyDescent="0.4">
      <c r="A23" t="str">
        <f>IF('Area A'!B43="None","",'Area A'!B43)</f>
        <v/>
      </c>
      <c r="B23" t="str">
        <f>IF('Area A'!B43="None","",'Area A'!C43)</f>
        <v/>
      </c>
      <c r="C23" t="str">
        <f>IF('Area A'!B43="none","",'Area A'!D43)</f>
        <v/>
      </c>
      <c r="D23" t="str">
        <f>IF('Area A'!B43="none","",'Area A'!E43)</f>
        <v/>
      </c>
      <c r="E23" t="str">
        <f>IF('Area A'!B43="none","",'Area A'!H43)</f>
        <v/>
      </c>
      <c r="F23" t="str">
        <f>IF(Table1[[#This Row],[Item]]="","",Table1[[#This Row],[Unit Count]]+Table1[[#This Row],[Coushion Qty]])</f>
        <v/>
      </c>
      <c r="H23" t="e">
        <f>IF(#REF!="none","",#REF!)</f>
        <v>#REF!</v>
      </c>
      <c r="I23" t="e">
        <f>IF(#REF!="none","",#REF!)</f>
        <v>#REF!</v>
      </c>
      <c r="J23" t="e">
        <f>IF(#REF!="none","",#REF!)</f>
        <v>#REF!</v>
      </c>
      <c r="K23" t="e">
        <f>IF(#REF!="none","",#REF!)</f>
        <v>#REF!</v>
      </c>
      <c r="L23" t="e">
        <f>IF(#REF!="none","",#REF!)</f>
        <v>#REF!</v>
      </c>
      <c r="M23" t="e">
        <f>IF(#REF!="none","",'Take-off Build'!K23+'Take-off Build'!L23)</f>
        <v>#REF!</v>
      </c>
      <c r="O23" t="e">
        <f>IF(#REF!="none","",#REF!)</f>
        <v>#REF!</v>
      </c>
      <c r="P23" t="e">
        <f>IF(#REF!="none","",#REF!)</f>
        <v>#REF!</v>
      </c>
      <c r="Q23" t="e">
        <f>IF(#REF!="none","",#REF!)</f>
        <v>#REF!</v>
      </c>
      <c r="R23" t="e">
        <f>IF(#REF!="none","",#REF!)</f>
        <v>#REF!</v>
      </c>
      <c r="S23" t="e">
        <f>IF(#REF!="none","",#REF!)</f>
        <v>#REF!</v>
      </c>
      <c r="T23" t="e">
        <f>IF(#REF!="none","",'Take-off Build'!S23+'Take-off Build'!R23)</f>
        <v>#REF!</v>
      </c>
    </row>
    <row r="24" spans="1:20" x14ac:dyDescent="0.4">
      <c r="A24" t="str">
        <f>IF('Area A'!B47="None","",'Area A'!B47)</f>
        <v/>
      </c>
      <c r="B24" t="str">
        <f>IF('Area A'!B47="None","",'Area A'!C47)</f>
        <v/>
      </c>
      <c r="C24" t="str">
        <f>IF('Area A'!B47="none","",'Area A'!D47)</f>
        <v/>
      </c>
      <c r="D24" t="str">
        <f>IF('Area A'!B47="none","",'Area A'!E47)</f>
        <v/>
      </c>
      <c r="E24" t="str">
        <f>IF('Area A'!B47="none","",'Area A'!H47)</f>
        <v/>
      </c>
      <c r="F24" t="str">
        <f>IF(Table1[[#This Row],[Item]]="","",Table1[[#This Row],[Unit Count]]+Table1[[#This Row],[Coushion Qty]])</f>
        <v/>
      </c>
      <c r="H24" t="e">
        <f>IF(#REF!="none","",#REF!)</f>
        <v>#REF!</v>
      </c>
      <c r="I24" t="e">
        <f>IF(#REF!="none","",#REF!)</f>
        <v>#REF!</v>
      </c>
      <c r="J24" t="e">
        <f>IF(#REF!="none","",#REF!)</f>
        <v>#REF!</v>
      </c>
      <c r="K24" t="e">
        <f>IF(#REF!="none","",#REF!)</f>
        <v>#REF!</v>
      </c>
      <c r="L24" t="e">
        <f>IF(#REF!="none","",#REF!)</f>
        <v>#REF!</v>
      </c>
      <c r="M24" t="e">
        <f>IF(#REF!="none","",'Take-off Build'!K24+'Take-off Build'!L24)</f>
        <v>#REF!</v>
      </c>
      <c r="O24" t="e">
        <f>IF(#REF!="none","",#REF!)</f>
        <v>#REF!</v>
      </c>
      <c r="P24" t="e">
        <f>IF(#REF!="none","",#REF!)</f>
        <v>#REF!</v>
      </c>
      <c r="Q24" t="e">
        <f>IF(#REF!="none","",#REF!)</f>
        <v>#REF!</v>
      </c>
      <c r="R24" t="e">
        <f>IF(#REF!="none","",#REF!)</f>
        <v>#REF!</v>
      </c>
      <c r="S24" t="e">
        <f>IF(#REF!="none","",#REF!)</f>
        <v>#REF!</v>
      </c>
      <c r="T24" t="e">
        <f>IF(#REF!="none","",'Take-off Build'!S24+'Take-off Build'!R24)</f>
        <v>#REF!</v>
      </c>
    </row>
    <row r="25" spans="1:20" x14ac:dyDescent="0.4">
      <c r="A25" t="str">
        <f>IF('Area A'!B48="None","",'Area A'!B48)</f>
        <v/>
      </c>
      <c r="B25" t="str">
        <f>IF('Area A'!B48="None","",'Area A'!C48)</f>
        <v/>
      </c>
      <c r="C25" t="str">
        <f>IF('Area A'!B48="none","",'Area A'!D48)</f>
        <v/>
      </c>
      <c r="D25" t="str">
        <f>IF('Area A'!B48="none","",'Area A'!E48)</f>
        <v/>
      </c>
      <c r="E25" t="str">
        <f>IF('Area A'!B48="none","",'Area A'!H48)</f>
        <v/>
      </c>
      <c r="F25" t="str">
        <f>IF(Table1[[#This Row],[Item]]="","",Table1[[#This Row],[Unit Count]]+Table1[[#This Row],[Coushion Qty]])</f>
        <v/>
      </c>
      <c r="H25" t="e">
        <f>IF(#REF!="none","",#REF!)</f>
        <v>#REF!</v>
      </c>
      <c r="I25" t="e">
        <f>IF(#REF!="none","",#REF!)</f>
        <v>#REF!</v>
      </c>
      <c r="J25" t="e">
        <f>IF(#REF!="none","",#REF!)</f>
        <v>#REF!</v>
      </c>
      <c r="K25" t="e">
        <f>IF(#REF!="none","",#REF!)</f>
        <v>#REF!</v>
      </c>
      <c r="L25" t="e">
        <f>IF(#REF!="none","",#REF!)</f>
        <v>#REF!</v>
      </c>
      <c r="M25" t="e">
        <f>IF(#REF!="none","",'Take-off Build'!K25+'Take-off Build'!L25)</f>
        <v>#REF!</v>
      </c>
      <c r="O25" t="e">
        <f>IF(#REF!="none","",#REF!)</f>
        <v>#REF!</v>
      </c>
      <c r="P25" t="e">
        <f>IF(#REF!="none","",#REF!)</f>
        <v>#REF!</v>
      </c>
      <c r="Q25" t="e">
        <f>IF(#REF!="none","",#REF!)</f>
        <v>#REF!</v>
      </c>
      <c r="R25" t="e">
        <f>IF(#REF!="none","",#REF!)</f>
        <v>#REF!</v>
      </c>
      <c r="S25" t="e">
        <f>IF(#REF!="none","",#REF!)</f>
        <v>#REF!</v>
      </c>
      <c r="T25" t="e">
        <f>IF(#REF!="none","",'Take-off Build'!S25+'Take-off Build'!R25)</f>
        <v>#REF!</v>
      </c>
    </row>
    <row r="26" spans="1:20" x14ac:dyDescent="0.4">
      <c r="A26" t="str">
        <f>IF('Area A'!B49="None","",'Area A'!B49)</f>
        <v/>
      </c>
      <c r="B26" t="str">
        <f>IF('Area A'!B49="None","",'Area A'!C49)</f>
        <v/>
      </c>
      <c r="C26" t="str">
        <f>IF('Area A'!B49="none","",'Area A'!D49)</f>
        <v/>
      </c>
      <c r="D26" t="str">
        <f>IF('Area A'!B49="none","",'Area A'!E49)</f>
        <v/>
      </c>
      <c r="E26" t="str">
        <f>IF('Area A'!B49="none","",'Area A'!H49)</f>
        <v/>
      </c>
      <c r="F26" t="str">
        <f>IF(Table1[[#This Row],[Item]]="","",Table1[[#This Row],[Unit Count]]+Table1[[#This Row],[Coushion Qty]])</f>
        <v/>
      </c>
      <c r="H26" t="e">
        <f>IF(#REF!="none","",#REF!)</f>
        <v>#REF!</v>
      </c>
      <c r="I26" t="e">
        <f>IF(#REF!="none","",#REF!)</f>
        <v>#REF!</v>
      </c>
      <c r="J26" t="e">
        <f>IF(#REF!="none","",#REF!)</f>
        <v>#REF!</v>
      </c>
      <c r="K26" t="e">
        <f>IF(#REF!="none","",#REF!)</f>
        <v>#REF!</v>
      </c>
      <c r="L26" t="e">
        <f>IF(#REF!="none","",#REF!)</f>
        <v>#REF!</v>
      </c>
      <c r="M26" t="e">
        <f>IF(#REF!="none","",'Take-off Build'!K26+'Take-off Build'!L26)</f>
        <v>#REF!</v>
      </c>
      <c r="O26" t="e">
        <f>IF(#REF!="none","",#REF!)</f>
        <v>#REF!</v>
      </c>
      <c r="P26" t="e">
        <f>IF(#REF!="none","",#REF!)</f>
        <v>#REF!</v>
      </c>
      <c r="Q26" t="e">
        <f>IF(#REF!="none","",#REF!)</f>
        <v>#REF!</v>
      </c>
      <c r="R26" t="e">
        <f>IF(#REF!="none","",#REF!)</f>
        <v>#REF!</v>
      </c>
      <c r="S26" t="e">
        <f>IF(#REF!="none","",#REF!)</f>
        <v>#REF!</v>
      </c>
      <c r="T26" t="e">
        <f>IF(#REF!="none","",'Take-off Build'!S26+'Take-off Build'!R26)</f>
        <v>#REF!</v>
      </c>
    </row>
    <row r="27" spans="1:20" x14ac:dyDescent="0.4">
      <c r="A27" t="str">
        <f>IF('Area A'!B50="None","",'Area A'!B50)</f>
        <v/>
      </c>
      <c r="B27" t="str">
        <f>IF('Area A'!B50="None","",'Area A'!C50)</f>
        <v/>
      </c>
      <c r="C27" t="str">
        <f>IF('Area A'!B50="none","",'Area A'!D50)</f>
        <v/>
      </c>
      <c r="D27" t="str">
        <f>IF('Area A'!B50="none","",'Area A'!E50)</f>
        <v/>
      </c>
      <c r="E27" t="str">
        <f>IF('Area A'!B50="none","",'Area A'!H50)</f>
        <v/>
      </c>
      <c r="F27" t="str">
        <f>IF(Table1[[#This Row],[Item]]="","",Table1[[#This Row],[Unit Count]]+Table1[[#This Row],[Coushion Qty]])</f>
        <v/>
      </c>
      <c r="H27" t="e">
        <f>IF(#REF!="none","",#REF!)</f>
        <v>#REF!</v>
      </c>
      <c r="I27" t="e">
        <f>IF(#REF!="none","",#REF!)</f>
        <v>#REF!</v>
      </c>
      <c r="J27" t="e">
        <f>IF(#REF!="none","",#REF!)</f>
        <v>#REF!</v>
      </c>
      <c r="K27" t="e">
        <f>IF(#REF!="none","",#REF!)</f>
        <v>#REF!</v>
      </c>
      <c r="L27" t="e">
        <f>IF(#REF!="none","",#REF!)</f>
        <v>#REF!</v>
      </c>
      <c r="M27" t="e">
        <f>IF(#REF!="none","",'Take-off Build'!K27+'Take-off Build'!L27)</f>
        <v>#REF!</v>
      </c>
      <c r="O27" t="e">
        <f>IF(#REF!="none","",#REF!)</f>
        <v>#REF!</v>
      </c>
      <c r="P27" t="e">
        <f>IF(#REF!="none","",#REF!)</f>
        <v>#REF!</v>
      </c>
      <c r="Q27" t="e">
        <f>IF(#REF!="none","",#REF!)</f>
        <v>#REF!</v>
      </c>
      <c r="R27" t="e">
        <f>IF(#REF!="none","",#REF!)</f>
        <v>#REF!</v>
      </c>
      <c r="S27" t="e">
        <f>IF(#REF!="none","",#REF!)</f>
        <v>#REF!</v>
      </c>
      <c r="T27" t="e">
        <f>IF(#REF!="none","",'Take-off Build'!S27+'Take-off Build'!R27)</f>
        <v>#REF!</v>
      </c>
    </row>
    <row r="28" spans="1:20" x14ac:dyDescent="0.4">
      <c r="A28" t="str">
        <f>IF('Area A'!B52="None","",'Area A'!B52)</f>
        <v/>
      </c>
      <c r="B28" t="str">
        <f>IF('Area A'!B52="None","",'Area A'!C52)</f>
        <v/>
      </c>
      <c r="C28" t="str">
        <f>IF('Area A'!B52="none","",'Area A'!D52)</f>
        <v/>
      </c>
      <c r="D28" t="str">
        <f>IF('Area A'!B52="none","",'Area A'!E52)</f>
        <v/>
      </c>
      <c r="E28" t="str">
        <f>IF('Area A'!B52="none","",'Area A'!H52)</f>
        <v/>
      </c>
      <c r="F28" t="str">
        <f>IF(Table1[[#This Row],[Item]]="","",Table1[[#This Row],[Unit Count]]+Table1[[#This Row],[Coushion Qty]])</f>
        <v/>
      </c>
      <c r="H28" t="e">
        <f>IF(#REF!="none","",#REF!)</f>
        <v>#REF!</v>
      </c>
      <c r="I28" t="e">
        <f>IF(#REF!="none","",#REF!)</f>
        <v>#REF!</v>
      </c>
      <c r="J28" t="e">
        <f>IF(#REF!="none","",#REF!)</f>
        <v>#REF!</v>
      </c>
      <c r="K28" t="e">
        <f>IF(#REF!="none","",#REF!)</f>
        <v>#REF!</v>
      </c>
      <c r="L28" t="e">
        <f>IF(#REF!="none","",#REF!)</f>
        <v>#REF!</v>
      </c>
      <c r="M28" t="e">
        <f>IF(#REF!="none","",'Take-off Build'!K28+'Take-off Build'!L28)</f>
        <v>#REF!</v>
      </c>
      <c r="O28" t="e">
        <f>IF(#REF!="none","",#REF!)</f>
        <v>#REF!</v>
      </c>
      <c r="P28" t="e">
        <f>IF(#REF!="none","",#REF!)</f>
        <v>#REF!</v>
      </c>
      <c r="Q28" t="e">
        <f>IF(#REF!="none","",#REF!)</f>
        <v>#REF!</v>
      </c>
      <c r="R28" t="e">
        <f>IF(#REF!="none","",#REF!)</f>
        <v>#REF!</v>
      </c>
      <c r="S28" t="e">
        <f>IF(#REF!="none","",#REF!)</f>
        <v>#REF!</v>
      </c>
      <c r="T28" t="e">
        <f>IF(#REF!="none","",'Take-off Build'!S28+'Take-off Build'!R28)</f>
        <v>#REF!</v>
      </c>
    </row>
    <row r="29" spans="1:20" x14ac:dyDescent="0.4">
      <c r="A29" t="str">
        <f>IF('Area A'!B53="None","",'Area A'!B53)</f>
        <v/>
      </c>
      <c r="B29" t="str">
        <f>IF('Area A'!B53="None","",'Area A'!C53)</f>
        <v/>
      </c>
      <c r="C29" t="str">
        <f>IF('Area A'!B53="none","",'Area A'!D53)</f>
        <v/>
      </c>
      <c r="D29" t="str">
        <f>IF('Area A'!B53="none","",'Area A'!E53)</f>
        <v/>
      </c>
      <c r="E29" t="str">
        <f>IF('Area A'!B53="none","",'Area A'!H53)</f>
        <v/>
      </c>
      <c r="F29" t="str">
        <f>IF(Table1[[#This Row],[Item]]="","",Table1[[#This Row],[Unit Count]]+Table1[[#This Row],[Coushion Qty]])</f>
        <v/>
      </c>
      <c r="H29" t="e">
        <f>IF(#REF!="none","",#REF!)</f>
        <v>#REF!</v>
      </c>
      <c r="I29" t="e">
        <f>IF(#REF!="none","",#REF!)</f>
        <v>#REF!</v>
      </c>
      <c r="J29" t="e">
        <f>IF(#REF!="none","",#REF!)</f>
        <v>#REF!</v>
      </c>
      <c r="K29" t="e">
        <f>IF(#REF!="none","",#REF!)</f>
        <v>#REF!</v>
      </c>
      <c r="L29" t="e">
        <f>IF(#REF!="none","",#REF!)</f>
        <v>#REF!</v>
      </c>
      <c r="M29" t="e">
        <f>IF(#REF!="none","",'Take-off Build'!K29+'Take-off Build'!L29)</f>
        <v>#REF!</v>
      </c>
      <c r="O29" t="e">
        <f>IF(#REF!="none","",#REF!)</f>
        <v>#REF!</v>
      </c>
      <c r="P29" t="e">
        <f>IF(#REF!="none","",#REF!)</f>
        <v>#REF!</v>
      </c>
      <c r="Q29" t="e">
        <f>IF(#REF!="none","",#REF!)</f>
        <v>#REF!</v>
      </c>
      <c r="R29" t="e">
        <f>IF(#REF!="none","",#REF!)</f>
        <v>#REF!</v>
      </c>
      <c r="S29" t="e">
        <f>IF(#REF!="none","",#REF!)</f>
        <v>#REF!</v>
      </c>
      <c r="T29" t="e">
        <f>IF(#REF!="none","",'Take-off Build'!S29+'Take-off Build'!R29)</f>
        <v>#REF!</v>
      </c>
    </row>
    <row r="30" spans="1:20" x14ac:dyDescent="0.4">
      <c r="A30" t="str">
        <f>IF('Area A'!B54="None","",'Area A'!B54)</f>
        <v/>
      </c>
      <c r="B30" t="str">
        <f>IF('Area A'!B54="None","",'Area A'!C54)</f>
        <v/>
      </c>
      <c r="C30" t="str">
        <f>IF('Area A'!B54="none","",'Area A'!D54)</f>
        <v/>
      </c>
      <c r="D30" t="str">
        <f>IF('Area A'!B54="none","",'Area A'!E54)</f>
        <v/>
      </c>
      <c r="E30" t="str">
        <f>IF('Area A'!B54="none","",'Area A'!H54)</f>
        <v/>
      </c>
      <c r="F30" t="str">
        <f>IF(Table1[[#This Row],[Item]]="","",Table1[[#This Row],[Unit Count]]+Table1[[#This Row],[Coushion Qty]])</f>
        <v/>
      </c>
      <c r="H30" t="e">
        <f>IF(#REF!="none","",#REF!)</f>
        <v>#REF!</v>
      </c>
      <c r="I30" t="e">
        <f>IF(#REF!="none","",#REF!)</f>
        <v>#REF!</v>
      </c>
      <c r="J30" t="e">
        <f>IF(#REF!="none","",#REF!)</f>
        <v>#REF!</v>
      </c>
      <c r="K30" t="e">
        <f>IF(#REF!="none","",#REF!)</f>
        <v>#REF!</v>
      </c>
      <c r="L30" t="e">
        <f>IF(#REF!="none","",#REF!)</f>
        <v>#REF!</v>
      </c>
      <c r="M30" t="e">
        <f>IF(#REF!="none","",'Take-off Build'!K30+'Take-off Build'!L30)</f>
        <v>#REF!</v>
      </c>
      <c r="O30" t="e">
        <f>IF(#REF!="none","",#REF!)</f>
        <v>#REF!</v>
      </c>
      <c r="P30" t="e">
        <f>IF(#REF!="none","",#REF!)</f>
        <v>#REF!</v>
      </c>
      <c r="Q30" t="e">
        <f>IF(#REF!="none","",#REF!)</f>
        <v>#REF!</v>
      </c>
      <c r="R30" t="e">
        <f>IF(#REF!="none","",#REF!)</f>
        <v>#REF!</v>
      </c>
      <c r="S30" t="e">
        <f>IF(#REF!="none","",#REF!)</f>
        <v>#REF!</v>
      </c>
      <c r="T30" t="e">
        <f>IF(#REF!="none","",'Take-off Build'!S30+'Take-off Build'!R30)</f>
        <v>#REF!</v>
      </c>
    </row>
    <row r="31" spans="1:20" x14ac:dyDescent="0.4">
      <c r="A31" t="str">
        <f>IF('Area A'!B55="None","",'Area A'!B55)</f>
        <v/>
      </c>
      <c r="B31" t="str">
        <f>IF('Area A'!B55="None","",'Area A'!C55)</f>
        <v/>
      </c>
      <c r="C31" t="str">
        <f>IF('Area A'!B55="none","",'Area A'!D55)</f>
        <v/>
      </c>
      <c r="D31" t="str">
        <f>IF('Area A'!B55="none","",'Area A'!E55)</f>
        <v/>
      </c>
      <c r="E31" t="str">
        <f>IF('Area A'!B55="none","",'Area A'!H55)</f>
        <v/>
      </c>
      <c r="F31" t="str">
        <f>IF(Table1[[#This Row],[Item]]="","",Table1[[#This Row],[Unit Count]]+Table1[[#This Row],[Coushion Qty]])</f>
        <v/>
      </c>
      <c r="H31" t="e">
        <f>IF(#REF!="none","",#REF!)</f>
        <v>#REF!</v>
      </c>
      <c r="I31" t="e">
        <f>IF(#REF!="none","",#REF!)</f>
        <v>#REF!</v>
      </c>
      <c r="J31" t="e">
        <f>IF(#REF!="none","",#REF!)</f>
        <v>#REF!</v>
      </c>
      <c r="K31" t="e">
        <f>IF(#REF!="none","",#REF!)</f>
        <v>#REF!</v>
      </c>
      <c r="L31" t="e">
        <f>IF(#REF!="none","",#REF!)</f>
        <v>#REF!</v>
      </c>
      <c r="M31" t="e">
        <f>IF(#REF!="none","",'Take-off Build'!K31+'Take-off Build'!L31)</f>
        <v>#REF!</v>
      </c>
      <c r="O31" t="e">
        <f>IF(#REF!="none","",#REF!)</f>
        <v>#REF!</v>
      </c>
      <c r="P31" t="e">
        <f>IF(#REF!="none","",#REF!)</f>
        <v>#REF!</v>
      </c>
      <c r="Q31" t="e">
        <f>IF(#REF!="none","",#REF!)</f>
        <v>#REF!</v>
      </c>
      <c r="R31" t="e">
        <f>IF(#REF!="none","",#REF!)</f>
        <v>#REF!</v>
      </c>
      <c r="S31" t="e">
        <f>IF(#REF!="none","",#REF!)</f>
        <v>#REF!</v>
      </c>
      <c r="T31" t="e">
        <f>IF(#REF!="none","",'Take-off Build'!S31+'Take-off Build'!R31)</f>
        <v>#REF!</v>
      </c>
    </row>
    <row r="32" spans="1:20" x14ac:dyDescent="0.4">
      <c r="A32" t="e">
        <f>IF('Area A'!#REF!="None","",'Area A'!#REF!)</f>
        <v>#REF!</v>
      </c>
      <c r="B32" t="e">
        <f>IF('Area A'!#REF!="None","",'Area A'!#REF!)</f>
        <v>#REF!</v>
      </c>
      <c r="C32" t="e">
        <f>IF('Area A'!#REF!="none","",'Area A'!#REF!)</f>
        <v>#REF!</v>
      </c>
      <c r="D32" t="e">
        <f>IF('Area A'!#REF!="none","",'Area A'!#REF!)</f>
        <v>#REF!</v>
      </c>
      <c r="E32" t="e">
        <f>IF('Area A'!#REF!="none","",'Area A'!#REF!)</f>
        <v>#REF!</v>
      </c>
      <c r="F32" t="e">
        <f>IF(Table1[[#This Row],[Item]]="","",Table1[[#This Row],[Unit Count]]+Table1[[#This Row],[Coushion Qty]])</f>
        <v>#REF!</v>
      </c>
      <c r="H32" t="e">
        <f>IF(#REF!="none","",#REF!)</f>
        <v>#REF!</v>
      </c>
      <c r="I32" t="e">
        <f>IF(#REF!="none","",#REF!)</f>
        <v>#REF!</v>
      </c>
      <c r="J32" t="e">
        <f>IF(#REF!="none","",#REF!)</f>
        <v>#REF!</v>
      </c>
      <c r="K32" t="e">
        <f>IF(#REF!="none","",#REF!)</f>
        <v>#REF!</v>
      </c>
      <c r="L32" t="e">
        <f>IF(#REF!="none","",#REF!)</f>
        <v>#REF!</v>
      </c>
      <c r="M32" t="e">
        <f>IF(#REF!="none","",'Take-off Build'!K32+'Take-off Build'!L32)</f>
        <v>#REF!</v>
      </c>
      <c r="O32" t="e">
        <f>IF(#REF!="none","",#REF!)</f>
        <v>#REF!</v>
      </c>
      <c r="P32" t="e">
        <f>IF(#REF!="none","",#REF!)</f>
        <v>#REF!</v>
      </c>
      <c r="Q32" t="e">
        <f>IF(#REF!="none","",#REF!)</f>
        <v>#REF!</v>
      </c>
      <c r="R32" t="e">
        <f>IF(#REF!="none","",#REF!)</f>
        <v>#REF!</v>
      </c>
      <c r="S32" t="e">
        <f>IF(#REF!="none","",#REF!)</f>
        <v>#REF!</v>
      </c>
      <c r="T32" t="e">
        <f>IF(#REF!="none","",'Take-off Build'!S32+'Take-off Build'!R32)</f>
        <v>#REF!</v>
      </c>
    </row>
    <row r="33" spans="1:20" x14ac:dyDescent="0.4">
      <c r="A33" t="e">
        <f>IF('Area A'!#REF!="None","",'Area A'!#REF!)</f>
        <v>#REF!</v>
      </c>
      <c r="B33" t="e">
        <f>IF('Area A'!#REF!="None","",'Area A'!#REF!)</f>
        <v>#REF!</v>
      </c>
      <c r="C33" t="e">
        <f>IF('Area A'!#REF!="none","",'Area A'!#REF!)</f>
        <v>#REF!</v>
      </c>
      <c r="D33" t="e">
        <f>IF('Area A'!#REF!="none","",'Area A'!#REF!)</f>
        <v>#REF!</v>
      </c>
      <c r="E33" t="e">
        <f>IF('Area A'!#REF!="none","",'Area A'!#REF!)</f>
        <v>#REF!</v>
      </c>
      <c r="F33" t="e">
        <f>IF(Table1[[#This Row],[Item]]="","",Table1[[#This Row],[Unit Count]]+Table1[[#This Row],[Coushion Qty]])</f>
        <v>#REF!</v>
      </c>
      <c r="H33" t="e">
        <f>IF(#REF!="none","",#REF!)</f>
        <v>#REF!</v>
      </c>
      <c r="I33" t="e">
        <f>IF(#REF!="none","",#REF!)</f>
        <v>#REF!</v>
      </c>
      <c r="J33" t="e">
        <f>IF(#REF!="none","",#REF!)</f>
        <v>#REF!</v>
      </c>
      <c r="K33" t="e">
        <f>IF(#REF!="none","",#REF!)</f>
        <v>#REF!</v>
      </c>
      <c r="L33" t="e">
        <f>IF(#REF!="none","",#REF!)</f>
        <v>#REF!</v>
      </c>
      <c r="M33" t="e">
        <f>IF(#REF!="none","",'Take-off Build'!K33+'Take-off Build'!L33)</f>
        <v>#REF!</v>
      </c>
      <c r="O33" t="e">
        <f>IF(#REF!="none","",#REF!)</f>
        <v>#REF!</v>
      </c>
      <c r="P33" t="e">
        <f>IF(#REF!="none","",#REF!)</f>
        <v>#REF!</v>
      </c>
      <c r="Q33" t="e">
        <f>IF(#REF!="none","",#REF!)</f>
        <v>#REF!</v>
      </c>
      <c r="R33" t="e">
        <f>IF(#REF!="none","",#REF!)</f>
        <v>#REF!</v>
      </c>
      <c r="S33" t="e">
        <f>IF(#REF!="none","",#REF!)</f>
        <v>#REF!</v>
      </c>
      <c r="T33" t="e">
        <f>IF(#REF!="none","",'Take-off Build'!S33+'Take-off Build'!R33)</f>
        <v>#REF!</v>
      </c>
    </row>
    <row r="34" spans="1:20" x14ac:dyDescent="0.4">
      <c r="A34" t="e">
        <f>IF('Area A'!#REF!="None","",'Area A'!#REF!)</f>
        <v>#REF!</v>
      </c>
      <c r="B34" t="e">
        <f>IF('Area A'!#REF!="None","",'Area A'!#REF!)</f>
        <v>#REF!</v>
      </c>
      <c r="C34" t="e">
        <f>IF('Area A'!#REF!="none","",'Area A'!#REF!)</f>
        <v>#REF!</v>
      </c>
      <c r="D34" t="e">
        <f>IF('Area A'!#REF!="none","",'Area A'!#REF!)</f>
        <v>#REF!</v>
      </c>
      <c r="E34" t="e">
        <f>IF('Area A'!#REF!="none","",'Area A'!#REF!)</f>
        <v>#REF!</v>
      </c>
      <c r="F34" t="e">
        <f>IF(Table1[[#This Row],[Item]]="","",Table1[[#This Row],[Unit Count]]+Table1[[#This Row],[Coushion Qty]])</f>
        <v>#REF!</v>
      </c>
      <c r="H34" t="e">
        <f>IF(#REF!="none","",#REF!)</f>
        <v>#REF!</v>
      </c>
      <c r="I34" t="e">
        <f>IF(#REF!="none","",#REF!)</f>
        <v>#REF!</v>
      </c>
      <c r="J34" t="e">
        <f>IF(#REF!="none","",#REF!)</f>
        <v>#REF!</v>
      </c>
      <c r="K34" t="e">
        <f>IF(#REF!="none","",#REF!)</f>
        <v>#REF!</v>
      </c>
      <c r="L34" t="e">
        <f>IF(#REF!="none","",#REF!)</f>
        <v>#REF!</v>
      </c>
      <c r="M34" t="e">
        <f>IF(#REF!="none","",'Take-off Build'!K34+'Take-off Build'!L34)</f>
        <v>#REF!</v>
      </c>
      <c r="O34" t="e">
        <f>IF(#REF!="none","",#REF!)</f>
        <v>#REF!</v>
      </c>
      <c r="P34" t="e">
        <f>IF(#REF!="none","",#REF!)</f>
        <v>#REF!</v>
      </c>
      <c r="Q34" t="e">
        <f>IF(#REF!="none","",#REF!)</f>
        <v>#REF!</v>
      </c>
      <c r="R34" t="e">
        <f>IF(#REF!="none","",#REF!)</f>
        <v>#REF!</v>
      </c>
      <c r="S34" t="e">
        <f>IF(#REF!="none","",#REF!)</f>
        <v>#REF!</v>
      </c>
      <c r="T34" t="e">
        <f>IF(#REF!="none","",'Take-off Build'!S34+'Take-off Build'!R34)</f>
        <v>#REF!</v>
      </c>
    </row>
    <row r="35" spans="1:20" x14ac:dyDescent="0.4">
      <c r="A35" t="e">
        <f>IF('Area A'!#REF!="None","",'Area A'!#REF!)</f>
        <v>#REF!</v>
      </c>
      <c r="B35" t="e">
        <f>IF('Area A'!#REF!="None","",'Area A'!#REF!)</f>
        <v>#REF!</v>
      </c>
      <c r="C35" t="e">
        <f>IF('Area A'!#REF!="none","",'Area A'!#REF!)</f>
        <v>#REF!</v>
      </c>
      <c r="D35" t="e">
        <f>IF('Area A'!#REF!="none","",'Area A'!#REF!)</f>
        <v>#REF!</v>
      </c>
      <c r="E35" t="e">
        <f>IF('Area A'!#REF!="none","",'Area A'!#REF!)</f>
        <v>#REF!</v>
      </c>
      <c r="F35" t="e">
        <f>IF(Table1[[#This Row],[Item]]="","",Table1[[#This Row],[Unit Count]]+Table1[[#This Row],[Coushion Qty]])</f>
        <v>#REF!</v>
      </c>
      <c r="H35" t="e">
        <f>IF(#REF!="none","",#REF!)</f>
        <v>#REF!</v>
      </c>
      <c r="I35" t="e">
        <f>IF(#REF!="none","",#REF!)</f>
        <v>#REF!</v>
      </c>
      <c r="J35" t="e">
        <f>IF(#REF!="none","",#REF!)</f>
        <v>#REF!</v>
      </c>
      <c r="K35" t="e">
        <f>IF(#REF!="none","",#REF!)</f>
        <v>#REF!</v>
      </c>
      <c r="L35" t="e">
        <f>IF(#REF!="none","",#REF!)</f>
        <v>#REF!</v>
      </c>
      <c r="M35" t="e">
        <f>IF(#REF!="none","",'Take-off Build'!K35+'Take-off Build'!L35)</f>
        <v>#REF!</v>
      </c>
      <c r="O35" t="e">
        <f>IF(#REF!="none","",#REF!)</f>
        <v>#REF!</v>
      </c>
      <c r="P35" t="e">
        <f>IF(#REF!="none","",#REF!)</f>
        <v>#REF!</v>
      </c>
      <c r="Q35" t="e">
        <f>IF(#REF!="none","",#REF!)</f>
        <v>#REF!</v>
      </c>
      <c r="R35" t="e">
        <f>IF(#REF!="none","",#REF!)</f>
        <v>#REF!</v>
      </c>
      <c r="S35" t="e">
        <f>IF(#REF!="none","",#REF!)</f>
        <v>#REF!</v>
      </c>
      <c r="T35" t="e">
        <f>IF(#REF!="none","",'Take-off Build'!S35+'Take-off Build'!R35)</f>
        <v>#REF!</v>
      </c>
    </row>
    <row r="36" spans="1:20" x14ac:dyDescent="0.4">
      <c r="A36" t="e">
        <f>IF('Area A'!#REF!="None","",'Area A'!#REF!)</f>
        <v>#REF!</v>
      </c>
      <c r="B36" t="e">
        <f>IF('Area A'!#REF!="None","",'Area A'!#REF!)</f>
        <v>#REF!</v>
      </c>
      <c r="C36" t="e">
        <f>IF('Area A'!#REF!="none","",'Area A'!#REF!)</f>
        <v>#REF!</v>
      </c>
      <c r="D36" t="e">
        <f>IF('Area A'!#REF!="none","",'Area A'!#REF!)</f>
        <v>#REF!</v>
      </c>
      <c r="E36" t="e">
        <f>IF('Area A'!#REF!="none","",'Area A'!#REF!)</f>
        <v>#REF!</v>
      </c>
      <c r="F36" t="e">
        <f>IF(Table1[[#This Row],[Item]]="","",Table1[[#This Row],[Unit Count]]+Table1[[#This Row],[Coushion Qty]])</f>
        <v>#REF!</v>
      </c>
      <c r="H36" t="e">
        <f>IF(#REF!="none","",#REF!)</f>
        <v>#REF!</v>
      </c>
      <c r="I36" t="e">
        <f>IF(#REF!="none","",#REF!)</f>
        <v>#REF!</v>
      </c>
      <c r="J36" t="e">
        <f>IF(#REF!="none","",#REF!)</f>
        <v>#REF!</v>
      </c>
      <c r="K36" t="e">
        <f>IF(#REF!="none","",#REF!)</f>
        <v>#REF!</v>
      </c>
      <c r="L36" t="e">
        <f>IF(#REF!="none","",#REF!)</f>
        <v>#REF!</v>
      </c>
      <c r="M36" t="e">
        <f>IF(#REF!="none","",'Take-off Build'!K36+'Take-off Build'!L36)</f>
        <v>#REF!</v>
      </c>
      <c r="O36" t="e">
        <f>IF(#REF!="none","",#REF!)</f>
        <v>#REF!</v>
      </c>
      <c r="P36" t="e">
        <f>IF(#REF!="none","",#REF!)</f>
        <v>#REF!</v>
      </c>
      <c r="Q36" t="e">
        <f>IF(#REF!="none","",#REF!)</f>
        <v>#REF!</v>
      </c>
      <c r="R36" t="e">
        <f>IF(#REF!="none","",#REF!)</f>
        <v>#REF!</v>
      </c>
      <c r="S36" t="e">
        <f>IF(#REF!="none","",#REF!)</f>
        <v>#REF!</v>
      </c>
      <c r="T36" t="e">
        <f>IF(#REF!="none","",'Take-off Build'!S36+'Take-off Build'!R36)</f>
        <v>#REF!</v>
      </c>
    </row>
    <row r="37" spans="1:20" x14ac:dyDescent="0.4">
      <c r="A37" t="e">
        <f>IF('Area A'!#REF!="None","",'Area A'!#REF!)</f>
        <v>#REF!</v>
      </c>
      <c r="B37" t="e">
        <f>IF('Area A'!#REF!="None","",'Area A'!#REF!)</f>
        <v>#REF!</v>
      </c>
      <c r="C37" t="e">
        <f>IF('Area A'!#REF!="none","",'Area A'!#REF!)</f>
        <v>#REF!</v>
      </c>
      <c r="D37" t="e">
        <f>IF('Area A'!#REF!="none","",'Area A'!#REF!)</f>
        <v>#REF!</v>
      </c>
      <c r="E37" t="e">
        <f>IF('Area A'!#REF!="none","",'Area A'!#REF!)</f>
        <v>#REF!</v>
      </c>
      <c r="F37" t="e">
        <f>IF(Table1[[#This Row],[Item]]="","",Table1[[#This Row],[Unit Count]]+Table1[[#This Row],[Coushion Qty]])</f>
        <v>#REF!</v>
      </c>
      <c r="H37" t="e">
        <f>IF(#REF!="none","",#REF!)</f>
        <v>#REF!</v>
      </c>
      <c r="I37" t="e">
        <f>IF(#REF!="none","",#REF!)</f>
        <v>#REF!</v>
      </c>
      <c r="J37" t="e">
        <f>IF(#REF!="none","",#REF!)</f>
        <v>#REF!</v>
      </c>
      <c r="K37" t="e">
        <f>IF(#REF!="none","",#REF!)</f>
        <v>#REF!</v>
      </c>
      <c r="L37" t="e">
        <f>IF(#REF!="none","",#REF!)</f>
        <v>#REF!</v>
      </c>
      <c r="M37" t="e">
        <f>IF(#REF!="none","",'Take-off Build'!K37+'Take-off Build'!L37)</f>
        <v>#REF!</v>
      </c>
      <c r="O37" t="e">
        <f>IF(#REF!="none","",#REF!)</f>
        <v>#REF!</v>
      </c>
      <c r="P37" t="e">
        <f>IF(#REF!="none","",#REF!)</f>
        <v>#REF!</v>
      </c>
      <c r="Q37" t="e">
        <f>IF(#REF!="none","",#REF!)</f>
        <v>#REF!</v>
      </c>
      <c r="R37" t="e">
        <f>IF(#REF!="none","",#REF!)</f>
        <v>#REF!</v>
      </c>
      <c r="S37" t="e">
        <f>IF(#REF!="none","",#REF!)</f>
        <v>#REF!</v>
      </c>
      <c r="T37" t="e">
        <f>IF(#REF!="none","",'Take-off Build'!S37+'Take-off Build'!R37)</f>
        <v>#REF!</v>
      </c>
    </row>
    <row r="38" spans="1:20" x14ac:dyDescent="0.4">
      <c r="A38" t="e">
        <f>IF('Area A'!#REF!="None","",'Area A'!#REF!)</f>
        <v>#REF!</v>
      </c>
      <c r="B38" t="e">
        <f>IF('Area A'!#REF!="None","",'Area A'!#REF!)</f>
        <v>#REF!</v>
      </c>
      <c r="C38" t="e">
        <f>IF('Area A'!#REF!="none","",'Area A'!#REF!)</f>
        <v>#REF!</v>
      </c>
      <c r="D38" t="e">
        <f>IF('Area A'!#REF!="none","",'Area A'!#REF!)</f>
        <v>#REF!</v>
      </c>
      <c r="E38" t="e">
        <f>IF('Area A'!#REF!="none","",'Area A'!#REF!)</f>
        <v>#REF!</v>
      </c>
      <c r="F38" t="e">
        <f>IF(Table1[[#This Row],[Item]]="","",Table1[[#This Row],[Unit Count]]+Table1[[#This Row],[Coushion Qty]])</f>
        <v>#REF!</v>
      </c>
      <c r="H38" t="e">
        <f>IF(#REF!="none","",#REF!)</f>
        <v>#REF!</v>
      </c>
      <c r="I38" t="e">
        <f>IF(#REF!="none","",#REF!)</f>
        <v>#REF!</v>
      </c>
      <c r="J38" t="e">
        <f>IF(#REF!="none","",#REF!)</f>
        <v>#REF!</v>
      </c>
      <c r="K38" t="e">
        <f>IF(#REF!="none","",#REF!)</f>
        <v>#REF!</v>
      </c>
      <c r="L38" t="e">
        <f>IF(#REF!="none","",#REF!)</f>
        <v>#REF!</v>
      </c>
      <c r="M38" t="e">
        <f>IF(#REF!="none","",'Take-off Build'!K38+'Take-off Build'!L38)</f>
        <v>#REF!</v>
      </c>
      <c r="O38" t="e">
        <f>IF(#REF!="none","",#REF!)</f>
        <v>#REF!</v>
      </c>
      <c r="P38" t="e">
        <f>IF(#REF!="none","",#REF!)</f>
        <v>#REF!</v>
      </c>
      <c r="Q38" t="e">
        <f>IF(#REF!="none","",#REF!)</f>
        <v>#REF!</v>
      </c>
      <c r="R38" t="e">
        <f>IF(#REF!="none","",#REF!)</f>
        <v>#REF!</v>
      </c>
      <c r="S38" t="e">
        <f>IF(#REF!="none","",#REF!)</f>
        <v>#REF!</v>
      </c>
      <c r="T38" t="e">
        <f>IF(#REF!="none","",'Take-off Build'!S38+'Take-off Build'!R38)</f>
        <v>#REF!</v>
      </c>
    </row>
    <row r="39" spans="1:20" x14ac:dyDescent="0.4">
      <c r="A39" t="e">
        <f>IF('Area A'!#REF!="None","",'Area A'!#REF!)</f>
        <v>#REF!</v>
      </c>
      <c r="B39" t="e">
        <f>IF('Area A'!#REF!="None","",'Area A'!#REF!)</f>
        <v>#REF!</v>
      </c>
      <c r="C39" t="e">
        <f>IF('Area A'!#REF!="none","",'Area A'!#REF!)</f>
        <v>#REF!</v>
      </c>
      <c r="D39" t="e">
        <f>IF('Area A'!#REF!="none","",'Area A'!#REF!)</f>
        <v>#REF!</v>
      </c>
      <c r="E39" t="e">
        <f>IF('Area A'!#REF!="none","",'Area A'!#REF!)</f>
        <v>#REF!</v>
      </c>
      <c r="F39" t="e">
        <f>IF(Table1[[#This Row],[Item]]="","",Table1[[#This Row],[Unit Count]]+Table1[[#This Row],[Coushion Qty]])</f>
        <v>#REF!</v>
      </c>
      <c r="H39" t="e">
        <f>IF(#REF!="none","",#REF!)</f>
        <v>#REF!</v>
      </c>
      <c r="I39" t="e">
        <f>IF(#REF!="none","",#REF!)</f>
        <v>#REF!</v>
      </c>
      <c r="J39" t="e">
        <f>IF(#REF!="none","",#REF!)</f>
        <v>#REF!</v>
      </c>
      <c r="K39" t="e">
        <f>IF(#REF!="none","",#REF!)</f>
        <v>#REF!</v>
      </c>
      <c r="L39" t="e">
        <f>IF(#REF!="none","",#REF!)</f>
        <v>#REF!</v>
      </c>
      <c r="M39" t="e">
        <f>IF(#REF!="none","",'Take-off Build'!K39+'Take-off Build'!L39)</f>
        <v>#REF!</v>
      </c>
      <c r="O39" t="e">
        <f>IF(#REF!="none","",#REF!)</f>
        <v>#REF!</v>
      </c>
      <c r="P39" t="e">
        <f>IF(#REF!="none","",#REF!)</f>
        <v>#REF!</v>
      </c>
      <c r="Q39" t="e">
        <f>IF(#REF!="none","",#REF!)</f>
        <v>#REF!</v>
      </c>
      <c r="R39" t="e">
        <f>IF(#REF!="none","",#REF!)</f>
        <v>#REF!</v>
      </c>
      <c r="S39" t="e">
        <f>IF(#REF!="none","",#REF!)</f>
        <v>#REF!</v>
      </c>
      <c r="T39" t="e">
        <f>IF(#REF!="none","",'Take-off Build'!S39+'Take-off Build'!R39)</f>
        <v>#REF!</v>
      </c>
    </row>
    <row r="40" spans="1:20" x14ac:dyDescent="0.4">
      <c r="A40" t="e">
        <f>IF('Area A'!#REF!="None","",'Area A'!#REF!)</f>
        <v>#REF!</v>
      </c>
      <c r="B40" t="e">
        <f>IF('Area A'!#REF!="None","",'Area A'!#REF!)</f>
        <v>#REF!</v>
      </c>
      <c r="C40" t="e">
        <f>IF('Area A'!#REF!="none","",'Area A'!#REF!)</f>
        <v>#REF!</v>
      </c>
      <c r="D40" t="e">
        <f>IF('Area A'!#REF!="none","",'Area A'!#REF!)</f>
        <v>#REF!</v>
      </c>
      <c r="E40" t="e">
        <f>IF('Area A'!#REF!="none","",'Area A'!#REF!)</f>
        <v>#REF!</v>
      </c>
      <c r="F40" t="e">
        <f>IF(Table1[[#This Row],[Item]]="","",Table1[[#This Row],[Unit Count]]+Table1[[#This Row],[Coushion Qty]])</f>
        <v>#REF!</v>
      </c>
      <c r="H40" t="e">
        <f>IF(#REF!="none","",#REF!)</f>
        <v>#REF!</v>
      </c>
      <c r="I40" t="e">
        <f>IF(#REF!="none","",#REF!)</f>
        <v>#REF!</v>
      </c>
      <c r="J40" t="e">
        <f>IF(#REF!="none","",#REF!)</f>
        <v>#REF!</v>
      </c>
      <c r="K40" t="e">
        <f>IF(#REF!="none","",#REF!)</f>
        <v>#REF!</v>
      </c>
      <c r="L40" t="e">
        <f>IF(#REF!="none","",#REF!)</f>
        <v>#REF!</v>
      </c>
      <c r="M40" t="e">
        <f>IF(#REF!="none","",'Take-off Build'!K40+'Take-off Build'!L40)</f>
        <v>#REF!</v>
      </c>
      <c r="O40" t="e">
        <f>IF(#REF!="none","",#REF!)</f>
        <v>#REF!</v>
      </c>
      <c r="P40" t="e">
        <f>IF(#REF!="none","",#REF!)</f>
        <v>#REF!</v>
      </c>
      <c r="Q40" t="e">
        <f>IF(#REF!="none","",#REF!)</f>
        <v>#REF!</v>
      </c>
      <c r="R40" t="e">
        <f>IF(#REF!="none","",#REF!)</f>
        <v>#REF!</v>
      </c>
      <c r="S40" t="e">
        <f>IF(#REF!="none","",#REF!)</f>
        <v>#REF!</v>
      </c>
      <c r="T40" t="e">
        <f>IF(#REF!="none","",'Take-off Build'!S40+'Take-off Build'!R40)</f>
        <v>#REF!</v>
      </c>
    </row>
    <row r="41" spans="1:20" x14ac:dyDescent="0.4">
      <c r="A41" t="e">
        <f>IF('Area A'!#REF!="None","",'Area A'!#REF!)</f>
        <v>#REF!</v>
      </c>
      <c r="B41" t="e">
        <f>IF('Area A'!#REF!="None","",'Area A'!#REF!)</f>
        <v>#REF!</v>
      </c>
      <c r="C41" t="e">
        <f>IF('Area A'!#REF!="none","",'Area A'!#REF!)</f>
        <v>#REF!</v>
      </c>
      <c r="D41" t="e">
        <f>IF('Area A'!#REF!="none","",'Area A'!#REF!)</f>
        <v>#REF!</v>
      </c>
      <c r="E41" t="e">
        <f>IF('Area A'!#REF!="none","",'Area A'!#REF!)</f>
        <v>#REF!</v>
      </c>
      <c r="F41" t="e">
        <f>IF(Table1[[#This Row],[Item]]="","",Table1[[#This Row],[Unit Count]]+Table1[[#This Row],[Coushion Qty]])</f>
        <v>#REF!</v>
      </c>
      <c r="H41" t="e">
        <f>IF(#REF!="none","",#REF!)</f>
        <v>#REF!</v>
      </c>
      <c r="I41" t="e">
        <f>IF(#REF!="none","",#REF!)</f>
        <v>#REF!</v>
      </c>
      <c r="J41" t="e">
        <f>IF(#REF!="none","",#REF!)</f>
        <v>#REF!</v>
      </c>
      <c r="K41" t="e">
        <f>IF(#REF!="none","",#REF!)</f>
        <v>#REF!</v>
      </c>
      <c r="L41" t="e">
        <f>IF(#REF!="none","",#REF!)</f>
        <v>#REF!</v>
      </c>
      <c r="M41" t="e">
        <f>IF(#REF!="none","",'Take-off Build'!K41+'Take-off Build'!L41)</f>
        <v>#REF!</v>
      </c>
      <c r="O41" t="e">
        <f>IF(#REF!="none","",#REF!)</f>
        <v>#REF!</v>
      </c>
      <c r="P41" t="e">
        <f>IF(#REF!="none","",#REF!)</f>
        <v>#REF!</v>
      </c>
      <c r="Q41" t="e">
        <f>IF(#REF!="none","",#REF!)</f>
        <v>#REF!</v>
      </c>
      <c r="R41" t="e">
        <f>IF(#REF!="none","",#REF!)</f>
        <v>#REF!</v>
      </c>
      <c r="S41" t="e">
        <f>IF(#REF!="none","",#REF!)</f>
        <v>#REF!</v>
      </c>
      <c r="T41" t="e">
        <f>IF(#REF!="none","",'Take-off Build'!S41+'Take-off Build'!R41)</f>
        <v>#REF!</v>
      </c>
    </row>
    <row r="42" spans="1:20" x14ac:dyDescent="0.4">
      <c r="A42" t="e">
        <f>IF('Area A'!#REF!="None","",'Area A'!#REF!)</f>
        <v>#REF!</v>
      </c>
      <c r="B42" t="e">
        <f>IF('Area A'!#REF!="None","",'Area A'!#REF!)</f>
        <v>#REF!</v>
      </c>
      <c r="C42" t="e">
        <f>IF('Area A'!#REF!="none","",'Area A'!#REF!)</f>
        <v>#REF!</v>
      </c>
      <c r="D42" t="e">
        <f>IF('Area A'!#REF!="none","",'Area A'!#REF!)</f>
        <v>#REF!</v>
      </c>
      <c r="E42" t="e">
        <f>IF('Area A'!#REF!="none","",'Area A'!#REF!)</f>
        <v>#REF!</v>
      </c>
      <c r="F42" t="e">
        <f>IF(Table1[[#This Row],[Item]]="","",Table1[[#This Row],[Unit Count]]+Table1[[#This Row],[Coushion Qty]])</f>
        <v>#REF!</v>
      </c>
      <c r="H42" t="e">
        <f>IF(#REF!="none","",#REF!)</f>
        <v>#REF!</v>
      </c>
      <c r="I42" t="e">
        <f>IF(#REF!="none","",#REF!)</f>
        <v>#REF!</v>
      </c>
      <c r="J42" t="e">
        <f>IF(#REF!="none","",#REF!)</f>
        <v>#REF!</v>
      </c>
      <c r="K42" t="e">
        <f>IF(#REF!="none","",#REF!)</f>
        <v>#REF!</v>
      </c>
      <c r="L42" t="e">
        <f>IF(#REF!="none","",#REF!)</f>
        <v>#REF!</v>
      </c>
      <c r="M42" t="e">
        <f>IF(#REF!="none","",'Take-off Build'!K42+'Take-off Build'!L42)</f>
        <v>#REF!</v>
      </c>
      <c r="O42" t="e">
        <f>IF(#REF!="none","",#REF!)</f>
        <v>#REF!</v>
      </c>
      <c r="P42" t="e">
        <f>IF(#REF!="none","",#REF!)</f>
        <v>#REF!</v>
      </c>
      <c r="Q42" t="e">
        <f>IF(#REF!="none","",#REF!)</f>
        <v>#REF!</v>
      </c>
      <c r="R42" t="e">
        <f>IF(#REF!="none","",#REF!)</f>
        <v>#REF!</v>
      </c>
      <c r="S42" t="e">
        <f>IF(#REF!="none","",#REF!)</f>
        <v>#REF!</v>
      </c>
      <c r="T42" t="e">
        <f>IF(#REF!="none","",'Take-off Build'!S42+'Take-off Build'!R42)</f>
        <v>#REF!</v>
      </c>
    </row>
    <row r="43" spans="1:20" x14ac:dyDescent="0.4">
      <c r="A43" t="e">
        <f>IF('Area A'!#REF!="None","",'Area A'!#REF!)</f>
        <v>#REF!</v>
      </c>
      <c r="B43" t="e">
        <f>IF('Area A'!#REF!="None","",'Area A'!#REF!)</f>
        <v>#REF!</v>
      </c>
      <c r="C43" t="e">
        <f>IF('Area A'!#REF!="none","",'Area A'!#REF!)</f>
        <v>#REF!</v>
      </c>
      <c r="D43" t="e">
        <f>IF('Area A'!#REF!="none","",'Area A'!#REF!)</f>
        <v>#REF!</v>
      </c>
      <c r="E43" t="e">
        <f>IF('Area A'!#REF!="none","",'Area A'!#REF!)</f>
        <v>#REF!</v>
      </c>
      <c r="F43" t="e">
        <f>IF(Table1[[#This Row],[Item]]="","",Table1[[#This Row],[Unit Count]]+Table1[[#This Row],[Coushion Qty]])</f>
        <v>#REF!</v>
      </c>
      <c r="H43" t="e">
        <f>IF(#REF!="none","",#REF!)</f>
        <v>#REF!</v>
      </c>
      <c r="I43" t="e">
        <f>IF(#REF!="none","",#REF!)</f>
        <v>#REF!</v>
      </c>
      <c r="J43" t="e">
        <f>IF(#REF!="none","",#REF!)</f>
        <v>#REF!</v>
      </c>
      <c r="K43" t="e">
        <f>IF(#REF!="none","",#REF!)</f>
        <v>#REF!</v>
      </c>
      <c r="L43" t="e">
        <f>IF(#REF!="none","",#REF!)</f>
        <v>#REF!</v>
      </c>
      <c r="M43" t="e">
        <f>IF(#REF!="none","",'Take-off Build'!K43+'Take-off Build'!L43)</f>
        <v>#REF!</v>
      </c>
      <c r="O43" t="e">
        <f>IF(#REF!="none","",#REF!)</f>
        <v>#REF!</v>
      </c>
      <c r="P43" t="e">
        <f>IF(#REF!="none","",#REF!)</f>
        <v>#REF!</v>
      </c>
      <c r="Q43" t="e">
        <f>IF(#REF!="none","",#REF!)</f>
        <v>#REF!</v>
      </c>
      <c r="R43" t="e">
        <f>IF(#REF!="none","",#REF!)</f>
        <v>#REF!</v>
      </c>
      <c r="S43" t="e">
        <f>IF(#REF!="none","",#REF!)</f>
        <v>#REF!</v>
      </c>
      <c r="T43" t="e">
        <f>IF(#REF!="none","",'Take-off Build'!S43+'Take-off Build'!R43)</f>
        <v>#REF!</v>
      </c>
    </row>
    <row r="44" spans="1:20" x14ac:dyDescent="0.4">
      <c r="A44" t="e">
        <f>IF('Area A'!#REF!="None","",'Area A'!#REF!)</f>
        <v>#REF!</v>
      </c>
      <c r="B44" t="e">
        <f>IF('Area A'!#REF!="None","",'Area A'!#REF!)</f>
        <v>#REF!</v>
      </c>
      <c r="C44" t="e">
        <f>IF('Area A'!#REF!="none","",'Area A'!#REF!)</f>
        <v>#REF!</v>
      </c>
      <c r="D44" t="e">
        <f>IF('Area A'!#REF!="none","",'Area A'!#REF!)</f>
        <v>#REF!</v>
      </c>
      <c r="E44" t="e">
        <f>IF('Area A'!#REF!="none","",'Area A'!#REF!)</f>
        <v>#REF!</v>
      </c>
      <c r="F44" t="e">
        <f>IF(Table1[[#This Row],[Item]]="","",Table1[[#This Row],[Unit Count]]+Table1[[#This Row],[Coushion Qty]])</f>
        <v>#REF!</v>
      </c>
      <c r="H44" t="e">
        <f>IF(#REF!="none","",#REF!)</f>
        <v>#REF!</v>
      </c>
      <c r="I44" t="e">
        <f>IF(#REF!="none","",#REF!)</f>
        <v>#REF!</v>
      </c>
      <c r="J44" t="e">
        <f>IF(#REF!="none","",#REF!)</f>
        <v>#REF!</v>
      </c>
      <c r="K44" t="e">
        <f>IF(#REF!="none","",#REF!)</f>
        <v>#REF!</v>
      </c>
      <c r="L44" t="e">
        <f>IF(#REF!="none","",#REF!)</f>
        <v>#REF!</v>
      </c>
      <c r="M44" t="e">
        <f>IF(#REF!="none","",'Take-off Build'!K44+'Take-off Build'!L44)</f>
        <v>#REF!</v>
      </c>
      <c r="O44" t="e">
        <f>IF(#REF!="none","",#REF!)</f>
        <v>#REF!</v>
      </c>
      <c r="P44" t="e">
        <f>IF(#REF!="none","",#REF!)</f>
        <v>#REF!</v>
      </c>
      <c r="Q44" t="e">
        <f>IF(#REF!="none","",#REF!)</f>
        <v>#REF!</v>
      </c>
      <c r="R44" t="e">
        <f>IF(#REF!="none","",#REF!)</f>
        <v>#REF!</v>
      </c>
      <c r="S44" t="e">
        <f>IF(#REF!="none","",#REF!)</f>
        <v>#REF!</v>
      </c>
      <c r="T44" t="e">
        <f>IF(#REF!="none","",'Take-off Build'!S44+'Take-off Build'!R44)</f>
        <v>#REF!</v>
      </c>
    </row>
    <row r="45" spans="1:20" x14ac:dyDescent="0.4">
      <c r="A45" t="e">
        <f>IF('Area A'!#REF!="None","",'Area A'!#REF!)</f>
        <v>#REF!</v>
      </c>
      <c r="B45" t="e">
        <f>IF('Area A'!#REF!="None","",'Area A'!#REF!)</f>
        <v>#REF!</v>
      </c>
      <c r="C45" t="e">
        <f>IF('Area A'!#REF!="none","",'Area A'!#REF!)</f>
        <v>#REF!</v>
      </c>
      <c r="D45" t="e">
        <f>IF('Area A'!#REF!="none","",'Area A'!#REF!)</f>
        <v>#REF!</v>
      </c>
      <c r="E45" t="e">
        <f>IF('Area A'!#REF!="none","",'Area A'!#REF!)</f>
        <v>#REF!</v>
      </c>
      <c r="F45" t="e">
        <f>IF(Table1[[#This Row],[Item]]="","",Table1[[#This Row],[Unit Count]]+Table1[[#This Row],[Coushion Qty]])</f>
        <v>#REF!</v>
      </c>
      <c r="H45" t="e">
        <f>IF(#REF!="none","",#REF!)</f>
        <v>#REF!</v>
      </c>
      <c r="I45" t="e">
        <f>IF(#REF!="none","",#REF!)</f>
        <v>#REF!</v>
      </c>
      <c r="J45" t="e">
        <f>IF(#REF!="none","",#REF!)</f>
        <v>#REF!</v>
      </c>
      <c r="K45" t="e">
        <f>IF(#REF!="none","",#REF!)</f>
        <v>#REF!</v>
      </c>
      <c r="L45" t="e">
        <f>IF(#REF!="none","",#REF!)</f>
        <v>#REF!</v>
      </c>
      <c r="M45" t="e">
        <f>IF(#REF!="none","",'Take-off Build'!K45+'Take-off Build'!L45)</f>
        <v>#REF!</v>
      </c>
      <c r="O45" t="e">
        <f>IF(#REF!="none","",#REF!)</f>
        <v>#REF!</v>
      </c>
      <c r="P45" t="e">
        <f>IF(#REF!="none","",#REF!)</f>
        <v>#REF!</v>
      </c>
      <c r="Q45" t="e">
        <f>IF(#REF!="none","",#REF!)</f>
        <v>#REF!</v>
      </c>
      <c r="R45" t="e">
        <f>IF(#REF!="none","",#REF!)</f>
        <v>#REF!</v>
      </c>
      <c r="S45" t="e">
        <f>IF(#REF!="none","",#REF!)</f>
        <v>#REF!</v>
      </c>
      <c r="T45" t="e">
        <f>IF(#REF!="none","",'Take-off Build'!S45+'Take-off Build'!R45)</f>
        <v>#REF!</v>
      </c>
    </row>
    <row r="46" spans="1:20" x14ac:dyDescent="0.4">
      <c r="A46" t="e">
        <f>IF('Area A'!#REF!="None","",'Area A'!#REF!)</f>
        <v>#REF!</v>
      </c>
      <c r="B46" t="e">
        <f>IF('Area A'!#REF!="None","",'Area A'!#REF!)</f>
        <v>#REF!</v>
      </c>
      <c r="C46" t="e">
        <f>IF('Area A'!#REF!="none","",'Area A'!#REF!)</f>
        <v>#REF!</v>
      </c>
      <c r="D46" t="e">
        <f>IF('Area A'!#REF!="none","",'Area A'!#REF!)</f>
        <v>#REF!</v>
      </c>
      <c r="E46" t="e">
        <f>IF('Area A'!#REF!="none","",'Area A'!#REF!)</f>
        <v>#REF!</v>
      </c>
      <c r="F46" t="e">
        <f>IF(Table1[[#This Row],[Item]]="","",Table1[[#This Row],[Unit Count]]+Table1[[#This Row],[Coushion Qty]])</f>
        <v>#REF!</v>
      </c>
      <c r="H46" t="e">
        <f>IF(#REF!="none","",#REF!)</f>
        <v>#REF!</v>
      </c>
      <c r="I46" t="e">
        <f>IF(#REF!="none","",#REF!)</f>
        <v>#REF!</v>
      </c>
      <c r="J46" t="e">
        <f>IF(#REF!="none","",#REF!)</f>
        <v>#REF!</v>
      </c>
      <c r="K46" t="e">
        <f>IF(#REF!="none","",#REF!)</f>
        <v>#REF!</v>
      </c>
      <c r="L46" t="e">
        <f>IF(#REF!="none","",#REF!)</f>
        <v>#REF!</v>
      </c>
      <c r="M46" t="e">
        <f>IF(#REF!="none","",'Take-off Build'!K46+'Take-off Build'!L46)</f>
        <v>#REF!</v>
      </c>
      <c r="O46" t="e">
        <f>IF(#REF!="none","",#REF!)</f>
        <v>#REF!</v>
      </c>
      <c r="P46" t="e">
        <f>IF(#REF!="none","",#REF!)</f>
        <v>#REF!</v>
      </c>
      <c r="Q46" t="e">
        <f>IF(#REF!="none","",#REF!)</f>
        <v>#REF!</v>
      </c>
      <c r="R46" t="e">
        <f>IF(#REF!="none","",#REF!)</f>
        <v>#REF!</v>
      </c>
      <c r="S46" t="e">
        <f>IF(#REF!="none","",#REF!)</f>
        <v>#REF!</v>
      </c>
      <c r="T46" t="e">
        <f>IF(#REF!="none","",'Take-off Build'!S46+'Take-off Build'!R46)</f>
        <v>#REF!</v>
      </c>
    </row>
    <row r="47" spans="1:20" x14ac:dyDescent="0.4">
      <c r="A47" t="e">
        <f>IF('Area A'!#REF!="None","",'Area A'!#REF!)</f>
        <v>#REF!</v>
      </c>
      <c r="B47" t="e">
        <f>IF('Area A'!#REF!="None","",'Area A'!#REF!)</f>
        <v>#REF!</v>
      </c>
      <c r="C47" t="e">
        <f>IF('Area A'!#REF!="none","",'Area A'!#REF!)</f>
        <v>#REF!</v>
      </c>
      <c r="D47" t="e">
        <f>IF('Area A'!#REF!="none","",'Area A'!#REF!)</f>
        <v>#REF!</v>
      </c>
      <c r="E47" t="e">
        <f>IF('Area A'!#REF!="none","",'Area A'!#REF!)</f>
        <v>#REF!</v>
      </c>
      <c r="F47" t="e">
        <f>IF(Table1[[#This Row],[Item]]="","",Table1[[#This Row],[Unit Count]]+Table1[[#This Row],[Coushion Qty]])</f>
        <v>#REF!</v>
      </c>
      <c r="H47" t="e">
        <f>IF(#REF!="none","",#REF!)</f>
        <v>#REF!</v>
      </c>
      <c r="I47" t="e">
        <f>IF(#REF!="none","",#REF!)</f>
        <v>#REF!</v>
      </c>
      <c r="J47" t="e">
        <f>IF(#REF!="none","",#REF!)</f>
        <v>#REF!</v>
      </c>
      <c r="K47" t="e">
        <f>IF(#REF!="none","",#REF!)</f>
        <v>#REF!</v>
      </c>
      <c r="L47" t="e">
        <f>IF(#REF!="none","",#REF!)</f>
        <v>#REF!</v>
      </c>
      <c r="M47" t="e">
        <f>IF(#REF!="none","",'Take-off Build'!K47+'Take-off Build'!L47)</f>
        <v>#REF!</v>
      </c>
      <c r="O47" t="e">
        <f>IF(#REF!="none","",#REF!)</f>
        <v>#REF!</v>
      </c>
      <c r="P47" t="e">
        <f>IF(#REF!="none","",#REF!)</f>
        <v>#REF!</v>
      </c>
      <c r="Q47" t="e">
        <f>IF(#REF!="none","",#REF!)</f>
        <v>#REF!</v>
      </c>
      <c r="R47" t="e">
        <f>IF(#REF!="none","",#REF!)</f>
        <v>#REF!</v>
      </c>
      <c r="S47" t="e">
        <f>IF(#REF!="none","",#REF!)</f>
        <v>#REF!</v>
      </c>
      <c r="T47" t="e">
        <f>IF(#REF!="none","",'Take-off Build'!S47+'Take-off Build'!R47)</f>
        <v>#REF!</v>
      </c>
    </row>
    <row r="48" spans="1:20" x14ac:dyDescent="0.4">
      <c r="A48" t="e">
        <f>IF('Area A'!#REF!="None","",'Area A'!#REF!)</f>
        <v>#REF!</v>
      </c>
      <c r="B48" t="e">
        <f>IF('Area A'!#REF!="None","",'Area A'!#REF!)</f>
        <v>#REF!</v>
      </c>
      <c r="C48" t="e">
        <f>IF('Area A'!#REF!="none","",'Area A'!#REF!)</f>
        <v>#REF!</v>
      </c>
      <c r="D48" t="e">
        <f>IF('Area A'!#REF!="none","",'Area A'!#REF!)</f>
        <v>#REF!</v>
      </c>
      <c r="E48" t="e">
        <f>IF('Area A'!#REF!="none","",'Area A'!#REF!)</f>
        <v>#REF!</v>
      </c>
      <c r="F48" t="e">
        <f>IF(Table1[[#This Row],[Item]]="","",Table1[[#This Row],[Unit Count]]+Table1[[#This Row],[Coushion Qty]])</f>
        <v>#REF!</v>
      </c>
      <c r="H48" t="e">
        <f>IF(#REF!="none","",#REF!)</f>
        <v>#REF!</v>
      </c>
      <c r="I48" t="e">
        <f>IF(#REF!="none","",#REF!)</f>
        <v>#REF!</v>
      </c>
      <c r="J48" t="e">
        <f>IF(#REF!="none","",#REF!)</f>
        <v>#REF!</v>
      </c>
      <c r="K48" t="e">
        <f>IF(#REF!="none","",#REF!)</f>
        <v>#REF!</v>
      </c>
      <c r="L48" t="e">
        <f>IF(#REF!="none","",#REF!)</f>
        <v>#REF!</v>
      </c>
      <c r="M48" t="e">
        <f>IF(#REF!="none","",'Take-off Build'!K48+'Take-off Build'!L48)</f>
        <v>#REF!</v>
      </c>
      <c r="O48" t="e">
        <f>IF(#REF!="none","",#REF!)</f>
        <v>#REF!</v>
      </c>
      <c r="P48" t="e">
        <f>IF(#REF!="none","",#REF!)</f>
        <v>#REF!</v>
      </c>
      <c r="Q48" t="e">
        <f>IF(#REF!="none","",#REF!)</f>
        <v>#REF!</v>
      </c>
      <c r="R48" t="e">
        <f>IF(#REF!="none","",#REF!)</f>
        <v>#REF!</v>
      </c>
      <c r="S48" t="e">
        <f>IF(#REF!="none","",#REF!)</f>
        <v>#REF!</v>
      </c>
      <c r="T48" t="e">
        <f>IF(#REF!="none","",'Take-off Build'!S48+'Take-off Build'!R48)</f>
        <v>#REF!</v>
      </c>
    </row>
    <row r="49" spans="1:20" x14ac:dyDescent="0.4">
      <c r="A49" t="str">
        <f>IF('Area A'!B128="None","",'Area A'!B128)</f>
        <v>SS End Plate Screw</v>
      </c>
      <c r="B49" t="str">
        <f>IF('Area A'!B128="None","",'Area A'!C128)</f>
        <v>#8 X 3/4 Philips Flat Self Drilling18-8 S/S</v>
      </c>
      <c r="C49">
        <f>IF('Area A'!B128="none","",'Area A'!D128)</f>
        <v>0</v>
      </c>
      <c r="D49">
        <f>IF('Area A'!B128="none","",'Area A'!E128)</f>
        <v>0</v>
      </c>
      <c r="E49">
        <f>IF('Area A'!B128="none","",'Area A'!H128)</f>
        <v>0</v>
      </c>
      <c r="F49">
        <f>IF(Table1[[#This Row],[Item]]="","",Table1[[#This Row],[Unit Count]]+Table1[[#This Row],[Coushion Qty]])</f>
        <v>0</v>
      </c>
      <c r="H49" t="e">
        <f>IF(#REF!="none","",#REF!)</f>
        <v>#REF!</v>
      </c>
      <c r="I49" t="e">
        <f>IF(#REF!="none","",#REF!)</f>
        <v>#REF!</v>
      </c>
      <c r="J49" t="e">
        <f>IF(#REF!="none","",#REF!)</f>
        <v>#REF!</v>
      </c>
      <c r="K49" t="e">
        <f>IF(#REF!="none","",#REF!)</f>
        <v>#REF!</v>
      </c>
      <c r="L49" t="e">
        <f>IF(#REF!="none","",#REF!)</f>
        <v>#REF!</v>
      </c>
      <c r="M49" t="e">
        <f>IF(#REF!="none","",'Take-off Build'!K49+'Take-off Build'!L49)</f>
        <v>#REF!</v>
      </c>
      <c r="O49" t="e">
        <f>IF(#REF!="none","",#REF!)</f>
        <v>#REF!</v>
      </c>
      <c r="P49" t="e">
        <f>IF(#REF!="none","",#REF!)</f>
        <v>#REF!</v>
      </c>
      <c r="Q49" t="e">
        <f>IF(#REF!="none","",#REF!)</f>
        <v>#REF!</v>
      </c>
      <c r="R49" t="e">
        <f>IF(#REF!="none","",#REF!)</f>
        <v>#REF!</v>
      </c>
      <c r="S49" t="e">
        <f>IF(#REF!="none","",#REF!)</f>
        <v>#REF!</v>
      </c>
      <c r="T49" t="e">
        <f>IF(#REF!="none","",'Take-off Build'!S49+'Take-off Build'!R49)</f>
        <v>#REF!</v>
      </c>
    </row>
    <row r="50" spans="1:20" x14ac:dyDescent="0.4">
      <c r="A50" t="str">
        <f>IF('Area A'!B129="None","",'Area A'!B129)</f>
        <v/>
      </c>
      <c r="B50" t="str">
        <f>IF('Area A'!B129="None","",'Area A'!C129)</f>
        <v/>
      </c>
      <c r="C50" t="str">
        <f>IF('Area A'!B129="none","",'Area A'!D129)</f>
        <v/>
      </c>
      <c r="D50" t="str">
        <f>IF('Area A'!B129="none","",'Area A'!E129)</f>
        <v/>
      </c>
      <c r="E50" t="str">
        <f>IF('Area A'!B129="none","",'Area A'!H129)</f>
        <v/>
      </c>
      <c r="F50" t="str">
        <f>IF(Table1[[#This Row],[Item]]="","",Table1[[#This Row],[Unit Count]]+Table1[[#This Row],[Coushion Qty]])</f>
        <v/>
      </c>
      <c r="H50" t="e">
        <f>IF(#REF!="none","",#REF!)</f>
        <v>#REF!</v>
      </c>
      <c r="I50" t="e">
        <f>IF(#REF!="none","",#REF!)</f>
        <v>#REF!</v>
      </c>
      <c r="J50" t="e">
        <f>IF(#REF!="none","",#REF!)</f>
        <v>#REF!</v>
      </c>
      <c r="K50" t="e">
        <f>IF(#REF!="none","",#REF!)</f>
        <v>#REF!</v>
      </c>
      <c r="L50" t="e">
        <f>IF(#REF!="none","",#REF!)</f>
        <v>#REF!</v>
      </c>
      <c r="M50" t="e">
        <f>IF(#REF!="none","",'Take-off Build'!K50+'Take-off Build'!L50)</f>
        <v>#REF!</v>
      </c>
      <c r="O50" t="e">
        <f>IF(#REF!="none","",#REF!)</f>
        <v>#REF!</v>
      </c>
      <c r="P50" t="e">
        <f>IF(#REF!="none","",#REF!)</f>
        <v>#REF!</v>
      </c>
      <c r="Q50" t="e">
        <f>IF(#REF!="none","",#REF!)</f>
        <v>#REF!</v>
      </c>
      <c r="R50" t="e">
        <f>IF(#REF!="none","",#REF!)</f>
        <v>#REF!</v>
      </c>
      <c r="S50" t="e">
        <f>IF(#REF!="none","",#REF!)</f>
        <v>#REF!</v>
      </c>
      <c r="T50" t="e">
        <f>IF(#REF!="none","",'Take-off Build'!S50+'Take-off Build'!R50)</f>
        <v>#REF!</v>
      </c>
    </row>
    <row r="51" spans="1:20" x14ac:dyDescent="0.4">
      <c r="A51" t="str">
        <f>IF('Area A'!B120="None","",'Area A'!B120)</f>
        <v/>
      </c>
      <c r="B51" t="str">
        <f>IF('Area A'!B120="None","",'Area A'!C120)</f>
        <v/>
      </c>
      <c r="C51" t="str">
        <f>IF('Area A'!B120="none","",'Area A'!D120)</f>
        <v/>
      </c>
      <c r="D51" t="str">
        <f>IF('Area A'!B120="none","",'Area A'!E120)</f>
        <v/>
      </c>
      <c r="E51" t="str">
        <f>IF('Area A'!B120="none","",'Area A'!H120)</f>
        <v/>
      </c>
      <c r="F51" t="str">
        <f>IF(Table1[[#This Row],[Item]]="","",Table1[[#This Row],[Unit Count]]+Table1[[#This Row],[Coushion Qty]])</f>
        <v/>
      </c>
      <c r="H51" t="e">
        <f>IF(#REF!="none","",#REF!)</f>
        <v>#REF!</v>
      </c>
      <c r="I51" t="e">
        <f>IF(#REF!="none","",#REF!)</f>
        <v>#REF!</v>
      </c>
      <c r="J51" t="e">
        <f>IF(#REF!="none","",#REF!)</f>
        <v>#REF!</v>
      </c>
      <c r="K51" t="e">
        <f>IF(#REF!="none","",#REF!)</f>
        <v>#REF!</v>
      </c>
      <c r="L51" t="e">
        <f>IF(#REF!="none","",#REF!)</f>
        <v>#REF!</v>
      </c>
      <c r="M51" t="e">
        <f>IF(#REF!="none","",'Take-off Build'!K51+'Take-off Build'!L51)</f>
        <v>#REF!</v>
      </c>
      <c r="O51" t="e">
        <f>IF(#REF!="none","",#REF!)</f>
        <v>#REF!</v>
      </c>
      <c r="P51" t="e">
        <f>IF(#REF!="none","",#REF!)</f>
        <v>#REF!</v>
      </c>
      <c r="Q51" t="e">
        <f>IF(#REF!="none","",#REF!)</f>
        <v>#REF!</v>
      </c>
      <c r="R51" t="e">
        <f>IF(#REF!="none","",#REF!)</f>
        <v>#REF!</v>
      </c>
      <c r="S51" t="e">
        <f>IF(#REF!="none","",#REF!)</f>
        <v>#REF!</v>
      </c>
      <c r="T51" t="e">
        <f>IF(#REF!="none","",'Take-off Build'!S51+'Take-off Build'!R51)</f>
        <v>#REF!</v>
      </c>
    </row>
    <row r="52" spans="1:20" x14ac:dyDescent="0.4">
      <c r="A52" t="str">
        <f>IF('Area A'!B121="None","",'Area A'!B121)</f>
        <v/>
      </c>
      <c r="B52" t="str">
        <f>IF('Area A'!B121="None","",'Area A'!C121)</f>
        <v/>
      </c>
      <c r="C52" t="str">
        <f>IF('Area A'!B121="none","",'Area A'!D121)</f>
        <v/>
      </c>
      <c r="D52" t="str">
        <f>IF('Area A'!B121="none","",'Area A'!E121)</f>
        <v/>
      </c>
      <c r="E52" t="str">
        <f>IF('Area A'!B121="none","",'Area A'!H121)</f>
        <v/>
      </c>
      <c r="F52" t="str">
        <f>IF(Table1[[#This Row],[Item]]="","",Table1[[#This Row],[Unit Count]]+Table1[[#This Row],[Coushion Qty]])</f>
        <v/>
      </c>
      <c r="H52" t="e">
        <f>IF(#REF!="none","",#REF!)</f>
        <v>#REF!</v>
      </c>
      <c r="I52" t="e">
        <f>IF(#REF!="none","",#REF!)</f>
        <v>#REF!</v>
      </c>
      <c r="J52" t="e">
        <f>IF(#REF!="none","",#REF!)</f>
        <v>#REF!</v>
      </c>
      <c r="K52" t="e">
        <f>IF(#REF!="none","",#REF!)</f>
        <v>#REF!</v>
      </c>
      <c r="L52" t="e">
        <f>IF(#REF!="none","",#REF!)</f>
        <v>#REF!</v>
      </c>
      <c r="M52" t="e">
        <f>IF(#REF!="none","",'Take-off Build'!K52+'Take-off Build'!L52)</f>
        <v>#REF!</v>
      </c>
      <c r="O52" t="e">
        <f>IF(#REF!="none","",#REF!)</f>
        <v>#REF!</v>
      </c>
      <c r="P52" t="e">
        <f>IF(#REF!="none","",#REF!)</f>
        <v>#REF!</v>
      </c>
      <c r="Q52" t="e">
        <f>IF(#REF!="none","",#REF!)</f>
        <v>#REF!</v>
      </c>
      <c r="R52" t="e">
        <f>IF(#REF!="none","",#REF!)</f>
        <v>#REF!</v>
      </c>
      <c r="S52" t="e">
        <f>IF(#REF!="none","",#REF!)</f>
        <v>#REF!</v>
      </c>
      <c r="T52" t="e">
        <f>IF(#REF!="none","",'Take-off Build'!S52+'Take-off Build'!R52)</f>
        <v>#REF!</v>
      </c>
    </row>
    <row r="53" spans="1:20" x14ac:dyDescent="0.4">
      <c r="A53" t="str">
        <f>IF('Area A'!B122="None","",'Area A'!B122)</f>
        <v/>
      </c>
      <c r="B53" t="str">
        <f>IF('Area A'!B122="None","",'Area A'!C122)</f>
        <v/>
      </c>
      <c r="C53" t="str">
        <f>IF('Area A'!B122="none","",'Area A'!D122)</f>
        <v/>
      </c>
      <c r="D53" t="str">
        <f>IF('Area A'!B122="none","",'Area A'!E122)</f>
        <v/>
      </c>
      <c r="E53" t="str">
        <f>IF('Area A'!B122="none","",'Area A'!H122)</f>
        <v/>
      </c>
      <c r="F53" t="str">
        <f>IF(Table1[[#This Row],[Item]]="","",Table1[[#This Row],[Unit Count]]+Table1[[#This Row],[Coushion Qty]])</f>
        <v/>
      </c>
      <c r="H53" t="e">
        <f>IF(#REF!="none","",#REF!)</f>
        <v>#REF!</v>
      </c>
      <c r="I53" t="e">
        <f>IF(#REF!="none","",#REF!)</f>
        <v>#REF!</v>
      </c>
      <c r="J53" t="e">
        <f>IF(#REF!="none","",#REF!)</f>
        <v>#REF!</v>
      </c>
      <c r="K53" t="e">
        <f>IF(#REF!="none","",#REF!)</f>
        <v>#REF!</v>
      </c>
      <c r="L53" t="e">
        <f>IF(#REF!="none","",#REF!)</f>
        <v>#REF!</v>
      </c>
      <c r="M53" t="e">
        <f>IF(#REF!="none","",'Take-off Build'!K53+'Take-off Build'!L53)</f>
        <v>#REF!</v>
      </c>
      <c r="O53" t="e">
        <f>IF(#REF!="none","",#REF!)</f>
        <v>#REF!</v>
      </c>
      <c r="P53" t="e">
        <f>IF(#REF!="none","",#REF!)</f>
        <v>#REF!</v>
      </c>
      <c r="Q53" t="e">
        <f>IF(#REF!="none","",#REF!)</f>
        <v>#REF!</v>
      </c>
      <c r="R53" t="e">
        <f>IF(#REF!="none","",#REF!)</f>
        <v>#REF!</v>
      </c>
      <c r="S53" t="e">
        <f>IF(#REF!="none","",#REF!)</f>
        <v>#REF!</v>
      </c>
      <c r="T53" t="e">
        <f>IF(#REF!="none","",'Take-off Build'!S53+'Take-off Build'!R53)</f>
        <v>#REF!</v>
      </c>
    </row>
    <row r="54" spans="1:20" x14ac:dyDescent="0.4">
      <c r="A54" t="str">
        <f>IF('Area A'!B123="None","",'Area A'!B123)</f>
        <v/>
      </c>
      <c r="B54" t="str">
        <f>IF('Area A'!B123="None","",'Area A'!C123)</f>
        <v/>
      </c>
      <c r="C54" t="str">
        <f>IF('Area A'!B123="none","",'Area A'!D123)</f>
        <v/>
      </c>
      <c r="D54" t="str">
        <f>IF('Area A'!B123="none","",'Area A'!E123)</f>
        <v/>
      </c>
      <c r="E54" t="str">
        <f>IF('Area A'!B123="none","",'Area A'!H123)</f>
        <v/>
      </c>
      <c r="F54" t="str">
        <f>IF(Table1[[#This Row],[Item]]="","",Table1[[#This Row],[Unit Count]]+Table1[[#This Row],[Coushion Qty]])</f>
        <v/>
      </c>
      <c r="H54" t="e">
        <f>IF(#REF!="none","",#REF!)</f>
        <v>#REF!</v>
      </c>
      <c r="I54" t="e">
        <f>IF(#REF!="none","",#REF!)</f>
        <v>#REF!</v>
      </c>
      <c r="J54" t="e">
        <f>IF(#REF!="none","",#REF!)</f>
        <v>#REF!</v>
      </c>
      <c r="K54" t="e">
        <f>IF(#REF!="none","",#REF!)</f>
        <v>#REF!</v>
      </c>
      <c r="L54" t="e">
        <f>IF(#REF!="none","",#REF!)</f>
        <v>#REF!</v>
      </c>
      <c r="M54" t="e">
        <f>IF(#REF!="none","",'Take-off Build'!K54+'Take-off Build'!L54)</f>
        <v>#REF!</v>
      </c>
      <c r="O54" t="e">
        <f>IF(#REF!="none","",#REF!)</f>
        <v>#REF!</v>
      </c>
      <c r="P54" t="e">
        <f>IF(#REF!="none","",#REF!)</f>
        <v>#REF!</v>
      </c>
      <c r="Q54" t="e">
        <f>IF(#REF!="none","",#REF!)</f>
        <v>#REF!</v>
      </c>
      <c r="R54" t="e">
        <f>IF(#REF!="none","",#REF!)</f>
        <v>#REF!</v>
      </c>
      <c r="S54" t="e">
        <f>IF(#REF!="none","",#REF!)</f>
        <v>#REF!</v>
      </c>
      <c r="T54" t="e">
        <f>IF(#REF!="none","",'Take-off Build'!S54+'Take-off Build'!R54)</f>
        <v>#REF!</v>
      </c>
    </row>
    <row r="55" spans="1:20" x14ac:dyDescent="0.4">
      <c r="A55" t="str">
        <f>IF('Area A'!B124="None","",'Area A'!B124)</f>
        <v/>
      </c>
      <c r="B55" t="str">
        <f>IF('Area A'!B124="None","",'Area A'!C124)</f>
        <v/>
      </c>
      <c r="C55" t="str">
        <f>IF('Area A'!B124="none","",'Area A'!D124)</f>
        <v/>
      </c>
      <c r="D55" t="str">
        <f>IF('Area A'!B124="none","",'Area A'!E124)</f>
        <v/>
      </c>
      <c r="E55" t="str">
        <f>IF('Area A'!B124="none","",'Area A'!H124)</f>
        <v/>
      </c>
      <c r="F55" t="str">
        <f>IF(Table1[[#This Row],[Item]]="","",Table1[[#This Row],[Unit Count]]+Table1[[#This Row],[Coushion Qty]])</f>
        <v/>
      </c>
      <c r="H55" t="e">
        <f>IF(#REF!="none","",#REF!)</f>
        <v>#REF!</v>
      </c>
      <c r="I55" t="e">
        <f>IF(#REF!="none","",#REF!)</f>
        <v>#REF!</v>
      </c>
      <c r="J55" t="e">
        <f>IF(#REF!="none","",#REF!)</f>
        <v>#REF!</v>
      </c>
      <c r="K55" t="e">
        <f>IF(#REF!="none","",#REF!)</f>
        <v>#REF!</v>
      </c>
      <c r="L55" t="e">
        <f>IF(#REF!="none","",#REF!)</f>
        <v>#REF!</v>
      </c>
      <c r="M55" t="e">
        <f>IF(#REF!="none","",'Take-off Build'!K55+'Take-off Build'!L55)</f>
        <v>#REF!</v>
      </c>
      <c r="O55" t="e">
        <f>IF(#REF!="none","",#REF!)</f>
        <v>#REF!</v>
      </c>
      <c r="P55" t="e">
        <f>IF(#REF!="none","",#REF!)</f>
        <v>#REF!</v>
      </c>
      <c r="Q55" t="e">
        <f>IF(#REF!="none","",#REF!)</f>
        <v>#REF!</v>
      </c>
      <c r="R55" t="e">
        <f>IF(#REF!="none","",#REF!)</f>
        <v>#REF!</v>
      </c>
      <c r="S55" t="e">
        <f>IF(#REF!="none","",#REF!)</f>
        <v>#REF!</v>
      </c>
      <c r="T55" t="e">
        <f>IF(#REF!="none","",'Take-off Build'!S55+'Take-off Build'!R55)</f>
        <v>#REF!</v>
      </c>
    </row>
    <row r="56" spans="1:20" x14ac:dyDescent="0.4">
      <c r="A56" t="str">
        <f>IF('Area A'!B125="None","",'Area A'!B125)</f>
        <v/>
      </c>
      <c r="B56" t="str">
        <f>IF('Area A'!B125="None","",'Area A'!C125)</f>
        <v/>
      </c>
      <c r="C56" t="str">
        <f>IF('Area A'!B125="none","",'Area A'!D125)</f>
        <v/>
      </c>
      <c r="D56" t="str">
        <f>IF('Area A'!B125="none","",'Area A'!E125)</f>
        <v/>
      </c>
      <c r="E56" t="str">
        <f>IF('Area A'!B125="none","",'Area A'!H125)</f>
        <v/>
      </c>
      <c r="F56" t="str">
        <f>IF(Table1[[#This Row],[Item]]="","",Table1[[#This Row],[Unit Count]]+Table1[[#This Row],[Coushion Qty]])</f>
        <v/>
      </c>
      <c r="H56" t="e">
        <f>IF(#REF!="none","",#REF!)</f>
        <v>#REF!</v>
      </c>
      <c r="I56" t="e">
        <f>IF(#REF!="none","",#REF!)</f>
        <v>#REF!</v>
      </c>
      <c r="J56" t="e">
        <f>IF(#REF!="none","",#REF!)</f>
        <v>#REF!</v>
      </c>
      <c r="K56" t="e">
        <f>IF(#REF!="none","",#REF!)</f>
        <v>#REF!</v>
      </c>
      <c r="L56" t="e">
        <f>IF(#REF!="none","",#REF!)</f>
        <v>#REF!</v>
      </c>
      <c r="M56" t="e">
        <f>IF(#REF!="none","",'Take-off Build'!K56+'Take-off Build'!L56)</f>
        <v>#REF!</v>
      </c>
      <c r="O56" t="e">
        <f>IF(#REF!="none","",#REF!)</f>
        <v>#REF!</v>
      </c>
      <c r="P56" t="e">
        <f>IF(#REF!="none","",#REF!)</f>
        <v>#REF!</v>
      </c>
      <c r="Q56" t="e">
        <f>IF(#REF!="none","",#REF!)</f>
        <v>#REF!</v>
      </c>
      <c r="R56" t="e">
        <f>IF(#REF!="none","",#REF!)</f>
        <v>#REF!</v>
      </c>
      <c r="S56" t="e">
        <f>IF(#REF!="none","",#REF!)</f>
        <v>#REF!</v>
      </c>
      <c r="T56" t="e">
        <f>IF(#REF!="none","",'Take-off Build'!S56+'Take-off Build'!R56)</f>
        <v>#REF!</v>
      </c>
    </row>
    <row r="57" spans="1:20" x14ac:dyDescent="0.4">
      <c r="A57" t="str">
        <f>IF('Area A'!B126="None","",'Area A'!B126)</f>
        <v/>
      </c>
      <c r="B57" t="str">
        <f>IF('Area A'!B126="None","",'Area A'!C126)</f>
        <v/>
      </c>
      <c r="C57" t="str">
        <f>IF('Area A'!B126="none","",'Area A'!D126)</f>
        <v/>
      </c>
      <c r="D57" t="str">
        <f>IF('Area A'!B126="none","",'Area A'!E126)</f>
        <v/>
      </c>
      <c r="E57" t="str">
        <f>IF('Area A'!B126="none","",'Area A'!H126)</f>
        <v/>
      </c>
      <c r="F57" t="str">
        <f>IF(Table1[[#This Row],[Item]]="","",Table1[[#This Row],[Unit Count]]+Table1[[#This Row],[Coushion Qty]])</f>
        <v/>
      </c>
      <c r="H57" t="e">
        <f>IF(#REF!="none","",#REF!)</f>
        <v>#REF!</v>
      </c>
      <c r="I57" t="e">
        <f>IF(#REF!="none","",#REF!)</f>
        <v>#REF!</v>
      </c>
      <c r="J57" t="e">
        <f>IF(#REF!="none","",#REF!)</f>
        <v>#REF!</v>
      </c>
      <c r="K57" t="e">
        <f>IF(#REF!="none","",#REF!)</f>
        <v>#REF!</v>
      </c>
      <c r="L57" t="e">
        <f>IF(#REF!="none","",#REF!)</f>
        <v>#REF!</v>
      </c>
      <c r="M57" t="e">
        <f>IF(#REF!="none","",'Take-off Build'!K57+'Take-off Build'!L57)</f>
        <v>#REF!</v>
      </c>
      <c r="O57" t="e">
        <f>IF(#REF!="none","",#REF!)</f>
        <v>#REF!</v>
      </c>
      <c r="P57" t="e">
        <f>IF(#REF!="none","",#REF!)</f>
        <v>#REF!</v>
      </c>
      <c r="Q57" t="e">
        <f>IF(#REF!="none","",#REF!)</f>
        <v>#REF!</v>
      </c>
      <c r="R57" t="e">
        <f>IF(#REF!="none","",#REF!)</f>
        <v>#REF!</v>
      </c>
      <c r="S57" t="e">
        <f>IF(#REF!="none","",#REF!)</f>
        <v>#REF!</v>
      </c>
      <c r="T57" t="e">
        <f>IF(#REF!="none","",'Take-off Build'!S57+'Take-off Build'!R57)</f>
        <v>#REF!</v>
      </c>
    </row>
    <row r="58" spans="1:20" x14ac:dyDescent="0.4">
      <c r="A58" t="str">
        <f>IF('Area A'!B127="None","",'Area A'!B127)</f>
        <v/>
      </c>
      <c r="B58" t="str">
        <f>IF('Area A'!B127="None","",'Area A'!C127)</f>
        <v/>
      </c>
      <c r="C58" t="str">
        <f>IF('Area A'!B127="none","",'Area A'!D127)</f>
        <v/>
      </c>
      <c r="D58" t="str">
        <f>IF('Area A'!B127="none","",'Area A'!E127)</f>
        <v/>
      </c>
      <c r="E58" t="str">
        <f>IF('Area A'!B127="none","",'Area A'!H127)</f>
        <v/>
      </c>
      <c r="F58" t="str">
        <f>IF(Table1[[#This Row],[Item]]="","",Table1[[#This Row],[Unit Count]]+Table1[[#This Row],[Coushion Qty]])</f>
        <v/>
      </c>
      <c r="H58" t="e">
        <f>IF(#REF!="none","",#REF!)</f>
        <v>#REF!</v>
      </c>
      <c r="I58" t="e">
        <f>IF(#REF!="none","",#REF!)</f>
        <v>#REF!</v>
      </c>
      <c r="J58" t="e">
        <f>IF(#REF!="none","",#REF!)</f>
        <v>#REF!</v>
      </c>
      <c r="K58" t="e">
        <f>IF(#REF!="none","",#REF!)</f>
        <v>#REF!</v>
      </c>
      <c r="L58" t="e">
        <f>IF(#REF!="none","",#REF!)</f>
        <v>#REF!</v>
      </c>
      <c r="M58" t="e">
        <f>IF(#REF!="none","",'Take-off Build'!K58+'Take-off Build'!L58)</f>
        <v>#REF!</v>
      </c>
      <c r="O58" t="e">
        <f>IF(#REF!="none","",#REF!)</f>
        <v>#REF!</v>
      </c>
      <c r="P58" t="e">
        <f>IF(#REF!="none","",#REF!)</f>
        <v>#REF!</v>
      </c>
      <c r="Q58" t="e">
        <f>IF(#REF!="none","",#REF!)</f>
        <v>#REF!</v>
      </c>
      <c r="R58" t="e">
        <f>IF(#REF!="none","",#REF!)</f>
        <v>#REF!</v>
      </c>
      <c r="S58" t="e">
        <f>IF(#REF!="none","",#REF!)</f>
        <v>#REF!</v>
      </c>
      <c r="T58" t="e">
        <f>IF(#REF!="none","",'Take-off Build'!S58+'Take-off Build'!R58)</f>
        <v>#REF!</v>
      </c>
    </row>
    <row r="59" spans="1:20" x14ac:dyDescent="0.4">
      <c r="A59" t="str">
        <f>IF('Area A'!B130="None","",'Area A'!B130)</f>
        <v/>
      </c>
      <c r="B59" t="str">
        <f>IF('Area A'!B130="None","",'Area A'!C130)</f>
        <v/>
      </c>
      <c r="C59" t="str">
        <f>IF('Area A'!B130="none","",'Area A'!D130)</f>
        <v/>
      </c>
      <c r="D59" t="str">
        <f>IF('Area A'!B130="none","",'Area A'!E130)</f>
        <v/>
      </c>
      <c r="E59" t="str">
        <f>IF('Area A'!B130="none","",'Area A'!H130)</f>
        <v/>
      </c>
      <c r="F59" t="str">
        <f>IF(Table1[[#This Row],[Item]]="","",Table1[[#This Row],[Unit Count]]+Table1[[#This Row],[Coushion Qty]])</f>
        <v/>
      </c>
      <c r="H59" t="e">
        <f>IF(#REF!="none","",#REF!)</f>
        <v>#REF!</v>
      </c>
      <c r="I59" t="e">
        <f>IF(#REF!="none","",#REF!)</f>
        <v>#REF!</v>
      </c>
      <c r="J59" t="e">
        <f>IF(#REF!="none","",#REF!)</f>
        <v>#REF!</v>
      </c>
      <c r="K59" t="e">
        <f>IF(#REF!="none","",#REF!)</f>
        <v>#REF!</v>
      </c>
      <c r="L59" t="e">
        <f>IF(#REF!="none","",#REF!)</f>
        <v>#REF!</v>
      </c>
      <c r="M59" t="e">
        <f>IF(#REF!="none","",'Take-off Build'!K59+'Take-off Build'!L59)</f>
        <v>#REF!</v>
      </c>
      <c r="O59" t="e">
        <f>IF(#REF!="none","",#REF!)</f>
        <v>#REF!</v>
      </c>
      <c r="P59" t="e">
        <f>IF(#REF!="none","",#REF!)</f>
        <v>#REF!</v>
      </c>
      <c r="Q59" t="e">
        <f>IF(#REF!="none","",#REF!)</f>
        <v>#REF!</v>
      </c>
      <c r="R59" t="e">
        <f>IF(#REF!="none","",#REF!)</f>
        <v>#REF!</v>
      </c>
      <c r="S59" t="e">
        <f>IF(#REF!="none","",#REF!)</f>
        <v>#REF!</v>
      </c>
      <c r="T59" t="e">
        <f>IF(#REF!="none","",'Take-off Build'!S59+'Take-off Build'!R59)</f>
        <v>#REF!</v>
      </c>
    </row>
    <row r="60" spans="1:20" x14ac:dyDescent="0.4">
      <c r="A60" t="str">
        <f>IF('Area A'!B131="None","",'Area A'!B131)</f>
        <v/>
      </c>
      <c r="B60" t="str">
        <f>IF('Area A'!B131="None","",'Area A'!C131)</f>
        <v/>
      </c>
      <c r="C60" t="str">
        <f>IF('Area A'!B131="none","",'Area A'!D131)</f>
        <v/>
      </c>
      <c r="D60" t="str">
        <f>IF('Area A'!B131="none","",'Area A'!E131)</f>
        <v/>
      </c>
      <c r="E60" t="str">
        <f>IF('Area A'!B131="none","",'Area A'!H131)</f>
        <v/>
      </c>
      <c r="F60" t="str">
        <f>IF(Table1[[#This Row],[Item]]="","",Table1[[#This Row],[Unit Count]]+Table1[[#This Row],[Coushion Qty]])</f>
        <v/>
      </c>
      <c r="H60" t="e">
        <f>IF(#REF!="none","",#REF!)</f>
        <v>#REF!</v>
      </c>
      <c r="I60" t="e">
        <f>IF(#REF!="none","",#REF!)</f>
        <v>#REF!</v>
      </c>
      <c r="J60" t="e">
        <f>IF(#REF!="none","",#REF!)</f>
        <v>#REF!</v>
      </c>
      <c r="K60" t="e">
        <f>IF(#REF!="none","",#REF!)</f>
        <v>#REF!</v>
      </c>
      <c r="L60" t="e">
        <f>IF(#REF!="none","",#REF!)</f>
        <v>#REF!</v>
      </c>
      <c r="M60" t="e">
        <f>IF(#REF!="none","",'Take-off Build'!K60+'Take-off Build'!L60)</f>
        <v>#REF!</v>
      </c>
      <c r="O60" t="e">
        <f>IF(#REF!="none","",#REF!)</f>
        <v>#REF!</v>
      </c>
      <c r="P60" t="e">
        <f>IF(#REF!="none","",#REF!)</f>
        <v>#REF!</v>
      </c>
      <c r="Q60" t="e">
        <f>IF(#REF!="none","",#REF!)</f>
        <v>#REF!</v>
      </c>
      <c r="R60" t="e">
        <f>IF(#REF!="none","",#REF!)</f>
        <v>#REF!</v>
      </c>
      <c r="S60" t="e">
        <f>IF(#REF!="none","",#REF!)</f>
        <v>#REF!</v>
      </c>
      <c r="T60" t="e">
        <f>IF(#REF!="none","",'Take-off Build'!S60+'Take-off Build'!R60)</f>
        <v>#REF!</v>
      </c>
    </row>
    <row r="61" spans="1:20" x14ac:dyDescent="0.4">
      <c r="A61" t="str">
        <f>IF('Area A'!B132="None","",'Area A'!B132)</f>
        <v/>
      </c>
      <c r="B61" t="str">
        <f>IF('Area A'!B132="None","",'Area A'!C132)</f>
        <v/>
      </c>
      <c r="C61" t="str">
        <f>IF('Area A'!B132="none","",'Area A'!D132)</f>
        <v/>
      </c>
      <c r="D61" t="str">
        <f>IF('Area A'!B132="none","",'Area A'!E132)</f>
        <v/>
      </c>
      <c r="E61" t="str">
        <f>IF('Area A'!B132="none","",'Area A'!H132)</f>
        <v/>
      </c>
      <c r="F61" t="str">
        <f>IF(Table1[[#This Row],[Item]]="","",Table1[[#This Row],[Unit Count]]+Table1[[#This Row],[Coushion Qty]])</f>
        <v/>
      </c>
      <c r="H61" t="e">
        <f>IF(#REF!="none","",#REF!)</f>
        <v>#REF!</v>
      </c>
      <c r="I61" t="e">
        <f>IF(#REF!="none","",#REF!)</f>
        <v>#REF!</v>
      </c>
      <c r="J61" t="e">
        <f>IF(#REF!="none","",#REF!)</f>
        <v>#REF!</v>
      </c>
      <c r="K61" t="e">
        <f>IF(#REF!="none","",#REF!)</f>
        <v>#REF!</v>
      </c>
      <c r="L61" t="e">
        <f>IF(#REF!="none","",#REF!)</f>
        <v>#REF!</v>
      </c>
      <c r="M61" t="e">
        <f>IF(#REF!="none","",'Take-off Build'!K61+'Take-off Build'!L61)</f>
        <v>#REF!</v>
      </c>
      <c r="O61" t="e">
        <f>IF(#REF!="none","",#REF!)</f>
        <v>#REF!</v>
      </c>
      <c r="P61" t="e">
        <f>IF(#REF!="none","",#REF!)</f>
        <v>#REF!</v>
      </c>
      <c r="Q61" t="e">
        <f>IF(#REF!="none","",#REF!)</f>
        <v>#REF!</v>
      </c>
      <c r="R61" t="e">
        <f>IF(#REF!="none","",#REF!)</f>
        <v>#REF!</v>
      </c>
      <c r="S61" t="e">
        <f>IF(#REF!="none","",#REF!)</f>
        <v>#REF!</v>
      </c>
      <c r="T61" t="e">
        <f>IF(#REF!="none","",'Take-off Build'!S61+'Take-off Build'!R61)</f>
        <v>#REF!</v>
      </c>
    </row>
    <row r="62" spans="1:20" x14ac:dyDescent="0.4">
      <c r="A62" t="str">
        <f>IF('Area A'!B133="None","",'Area A'!B133)</f>
        <v/>
      </c>
      <c r="B62" t="str">
        <f>IF('Area A'!B133="None","",'Area A'!C133)</f>
        <v/>
      </c>
      <c r="C62" t="str">
        <f>IF('Area A'!B133="none","",'Area A'!D133)</f>
        <v/>
      </c>
      <c r="D62" t="str">
        <f>IF('Area A'!B133="none","",'Area A'!E133)</f>
        <v/>
      </c>
      <c r="E62" t="str">
        <f>IF('Area A'!B133="none","",'Area A'!H133)</f>
        <v/>
      </c>
      <c r="F62" t="str">
        <f>IF(Table1[[#This Row],[Item]]="","",Table1[[#This Row],[Unit Count]]+Table1[[#This Row],[Coushion Qty]])</f>
        <v/>
      </c>
      <c r="H62" t="e">
        <f>IF(#REF!="none","",#REF!)</f>
        <v>#REF!</v>
      </c>
      <c r="I62" t="e">
        <f>IF(#REF!="none","",#REF!)</f>
        <v>#REF!</v>
      </c>
      <c r="J62" t="e">
        <f>IF(#REF!="none","",#REF!)</f>
        <v>#REF!</v>
      </c>
      <c r="K62" t="e">
        <f>IF(#REF!="none","",#REF!)</f>
        <v>#REF!</v>
      </c>
      <c r="L62" t="e">
        <f>IF(#REF!="none","",#REF!)</f>
        <v>#REF!</v>
      </c>
      <c r="M62" t="e">
        <f>IF(#REF!="none","",'Take-off Build'!K62+'Take-off Build'!L62)</f>
        <v>#REF!</v>
      </c>
      <c r="O62" t="e">
        <f>IF(#REF!="none","",#REF!)</f>
        <v>#REF!</v>
      </c>
      <c r="P62" t="e">
        <f>IF(#REF!="none","",#REF!)</f>
        <v>#REF!</v>
      </c>
      <c r="Q62" t="e">
        <f>IF(#REF!="none","",#REF!)</f>
        <v>#REF!</v>
      </c>
      <c r="R62" t="e">
        <f>IF(#REF!="none","",#REF!)</f>
        <v>#REF!</v>
      </c>
      <c r="S62" t="e">
        <f>IF(#REF!="none","",#REF!)</f>
        <v>#REF!</v>
      </c>
      <c r="T62" t="e">
        <f>IF(#REF!="none","",'Take-off Build'!S62+'Take-off Build'!R62)</f>
        <v>#REF!</v>
      </c>
    </row>
    <row r="63" spans="1:20" x14ac:dyDescent="0.4">
      <c r="A63" t="str">
        <f>IF('Area A'!B134="None","",'Area A'!B134)</f>
        <v/>
      </c>
      <c r="B63" t="str">
        <f>IF('Area A'!B134="None","",'Area A'!C134)</f>
        <v/>
      </c>
      <c r="C63" t="str">
        <f>IF('Area A'!B134="none","",'Area A'!D134)</f>
        <v/>
      </c>
      <c r="D63" t="str">
        <f>IF('Area A'!B134="none","",'Area A'!E134)</f>
        <v/>
      </c>
      <c r="E63" t="str">
        <f>IF('Area A'!B134="none","",'Area A'!H134)</f>
        <v/>
      </c>
      <c r="F63" t="str">
        <f>IF(Table1[[#This Row],[Item]]="","",Table1[[#This Row],[Unit Count]]+Table1[[#This Row],[Coushion Qty]])</f>
        <v/>
      </c>
      <c r="H63" t="e">
        <f>IF(#REF!="none","",#REF!)</f>
        <v>#REF!</v>
      </c>
      <c r="I63" t="e">
        <f>IF(#REF!="none","",#REF!)</f>
        <v>#REF!</v>
      </c>
      <c r="J63" t="e">
        <f>IF(#REF!="none","",#REF!)</f>
        <v>#REF!</v>
      </c>
      <c r="K63" t="e">
        <f>IF(#REF!="none","",#REF!)</f>
        <v>#REF!</v>
      </c>
      <c r="L63" t="e">
        <f>IF(#REF!="none","",#REF!)</f>
        <v>#REF!</v>
      </c>
      <c r="M63" t="e">
        <f>IF(#REF!="none","",'Take-off Build'!K63+'Take-off Build'!L63)</f>
        <v>#REF!</v>
      </c>
      <c r="O63" t="e">
        <f>IF(#REF!="none","",#REF!)</f>
        <v>#REF!</v>
      </c>
      <c r="P63" t="e">
        <f>IF(#REF!="none","",#REF!)</f>
        <v>#REF!</v>
      </c>
      <c r="Q63" t="e">
        <f>IF(#REF!="none","",#REF!)</f>
        <v>#REF!</v>
      </c>
      <c r="R63" t="e">
        <f>IF(#REF!="none","",#REF!)</f>
        <v>#REF!</v>
      </c>
      <c r="S63" t="e">
        <f>IF(#REF!="none","",#REF!)</f>
        <v>#REF!</v>
      </c>
      <c r="T63" t="e">
        <f>IF(#REF!="none","",'Take-off Build'!S63+'Take-off Build'!R63)</f>
        <v>#REF!</v>
      </c>
    </row>
    <row r="64" spans="1:20" x14ac:dyDescent="0.4">
      <c r="A64" t="str">
        <f>IF('Area A'!B135="None","",'Area A'!B135)</f>
        <v/>
      </c>
      <c r="B64" t="str">
        <f>IF('Area A'!B135="None","",'Area A'!C135)</f>
        <v/>
      </c>
      <c r="C64" t="str">
        <f>IF('Area A'!B135="none","",'Area A'!D135)</f>
        <v/>
      </c>
      <c r="D64" t="str">
        <f>IF('Area A'!B135="none","",'Area A'!E135)</f>
        <v/>
      </c>
      <c r="E64" t="str">
        <f>IF('Area A'!B135="none","",'Area A'!H135)</f>
        <v/>
      </c>
      <c r="F64" t="str">
        <f>IF(Table1[[#This Row],[Item]]="","",Table1[[#This Row],[Unit Count]]+Table1[[#This Row],[Coushion Qty]])</f>
        <v/>
      </c>
      <c r="H64" t="e">
        <f>IF(#REF!="none","",#REF!)</f>
        <v>#REF!</v>
      </c>
      <c r="I64" t="e">
        <f>IF(#REF!="none","",#REF!)</f>
        <v>#REF!</v>
      </c>
      <c r="J64" t="e">
        <f>IF(#REF!="none","",#REF!)</f>
        <v>#REF!</v>
      </c>
      <c r="K64" t="e">
        <f>IF(#REF!="none","",#REF!)</f>
        <v>#REF!</v>
      </c>
      <c r="L64" t="e">
        <f>IF(#REF!="none","",#REF!)</f>
        <v>#REF!</v>
      </c>
      <c r="M64" t="e">
        <f>IF(#REF!="none","",'Take-off Build'!K64+'Take-off Build'!L64)</f>
        <v>#REF!</v>
      </c>
      <c r="O64" t="e">
        <f>IF(#REF!="none","",#REF!)</f>
        <v>#REF!</v>
      </c>
      <c r="P64" t="e">
        <f>IF(#REF!="none","",#REF!)</f>
        <v>#REF!</v>
      </c>
      <c r="Q64" t="e">
        <f>IF(#REF!="none","",#REF!)</f>
        <v>#REF!</v>
      </c>
      <c r="R64" t="e">
        <f>IF(#REF!="none","",#REF!)</f>
        <v>#REF!</v>
      </c>
      <c r="S64" t="e">
        <f>IF(#REF!="none","",#REF!)</f>
        <v>#REF!</v>
      </c>
      <c r="T64" t="e">
        <f>IF(#REF!="none","",'Take-off Build'!S64+'Take-off Build'!R64)</f>
        <v>#REF!</v>
      </c>
    </row>
    <row r="65" spans="1:20" x14ac:dyDescent="0.4">
      <c r="A65" t="str">
        <f>IF('Area A'!B136="None","",'Area A'!B136)</f>
        <v/>
      </c>
      <c r="B65" t="str">
        <f>IF('Area A'!B136="None","",'Area A'!C136)</f>
        <v/>
      </c>
      <c r="C65" t="str">
        <f>IF('Area A'!B136="none","",'Area A'!D136)</f>
        <v/>
      </c>
      <c r="D65" t="str">
        <f>IF('Area A'!B136="none","",'Area A'!E136)</f>
        <v/>
      </c>
      <c r="E65" t="str">
        <f>IF('Area A'!B136="none","",'Area A'!H136)</f>
        <v/>
      </c>
      <c r="F65" t="str">
        <f>IF(Table1[[#This Row],[Item]]="","",Table1[[#This Row],[Unit Count]]+Table1[[#This Row],[Coushion Qty]])</f>
        <v/>
      </c>
      <c r="H65" t="e">
        <f>IF(#REF!="none","",#REF!)</f>
        <v>#REF!</v>
      </c>
      <c r="I65" t="e">
        <f>IF(#REF!="none","",#REF!)</f>
        <v>#REF!</v>
      </c>
      <c r="J65" t="e">
        <f>IF(#REF!="none","",#REF!)</f>
        <v>#REF!</v>
      </c>
      <c r="K65" t="e">
        <f>IF(#REF!="none","",#REF!)</f>
        <v>#REF!</v>
      </c>
      <c r="L65" t="e">
        <f>IF(#REF!="none","",#REF!)</f>
        <v>#REF!</v>
      </c>
      <c r="M65" t="e">
        <f>IF(#REF!="none","",'Take-off Build'!K65+'Take-off Build'!L65)</f>
        <v>#REF!</v>
      </c>
      <c r="O65" t="e">
        <f>IF(#REF!="none","",#REF!)</f>
        <v>#REF!</v>
      </c>
      <c r="P65" t="e">
        <f>IF(#REF!="none","",#REF!)</f>
        <v>#REF!</v>
      </c>
      <c r="Q65" t="e">
        <f>IF(#REF!="none","",#REF!)</f>
        <v>#REF!</v>
      </c>
      <c r="R65" t="e">
        <f>IF(#REF!="none","",#REF!)</f>
        <v>#REF!</v>
      </c>
      <c r="S65" t="e">
        <f>IF(#REF!="none","",#REF!)</f>
        <v>#REF!</v>
      </c>
      <c r="T65" t="e">
        <f>IF(#REF!="none","",'Take-off Build'!S65+'Take-off Build'!R65)</f>
        <v>#REF!</v>
      </c>
    </row>
    <row r="66" spans="1:20" x14ac:dyDescent="0.4">
      <c r="A66" t="str">
        <f>IF('Area A'!B137="None","",'Area A'!B137)</f>
        <v/>
      </c>
      <c r="B66" t="str">
        <f>IF('Area A'!B137="None","",'Area A'!C137)</f>
        <v/>
      </c>
      <c r="C66" t="str">
        <f>IF('Area A'!B137="none","",'Area A'!D137)</f>
        <v/>
      </c>
      <c r="D66" t="str">
        <f>IF('Area A'!B137="none","",'Area A'!E137)</f>
        <v/>
      </c>
      <c r="E66" t="str">
        <f>IF('Area A'!B137="none","",'Area A'!H137)</f>
        <v/>
      </c>
      <c r="F66" t="str">
        <f>IF(Table1[[#This Row],[Item]]="","",Table1[[#This Row],[Unit Count]]+Table1[[#This Row],[Coushion Qty]])</f>
        <v/>
      </c>
      <c r="H66" t="e">
        <f>IF(#REF!="none","",#REF!)</f>
        <v>#REF!</v>
      </c>
      <c r="I66" t="e">
        <f>IF(#REF!="none","",#REF!)</f>
        <v>#REF!</v>
      </c>
      <c r="J66" t="e">
        <f>IF(#REF!="none","",#REF!)</f>
        <v>#REF!</v>
      </c>
      <c r="K66" t="e">
        <f>IF(#REF!="none","",#REF!)</f>
        <v>#REF!</v>
      </c>
      <c r="L66" t="e">
        <f>IF(#REF!="none","",#REF!)</f>
        <v>#REF!</v>
      </c>
      <c r="M66" t="e">
        <f>IF(#REF!="none","",'Take-off Build'!K66+'Take-off Build'!L66)</f>
        <v>#REF!</v>
      </c>
      <c r="O66" t="e">
        <f>IF(#REF!="none","",#REF!)</f>
        <v>#REF!</v>
      </c>
      <c r="P66" t="e">
        <f>IF(#REF!="none","",#REF!)</f>
        <v>#REF!</v>
      </c>
      <c r="Q66" t="e">
        <f>IF(#REF!="none","",#REF!)</f>
        <v>#REF!</v>
      </c>
      <c r="R66" t="e">
        <f>IF(#REF!="none","",#REF!)</f>
        <v>#REF!</v>
      </c>
      <c r="S66" t="e">
        <f>IF(#REF!="none","",#REF!)</f>
        <v>#REF!</v>
      </c>
      <c r="T66" t="e">
        <f>IF(#REF!="none","",'Take-off Build'!S66+'Take-off Build'!R66)</f>
        <v>#REF!</v>
      </c>
    </row>
    <row r="67" spans="1:20" x14ac:dyDescent="0.4">
      <c r="A67" t="str">
        <f>IF('Area A'!B138="None","",'Area A'!B138)</f>
        <v/>
      </c>
      <c r="B67" t="str">
        <f>IF('Area A'!B138="None","",'Area A'!C138)</f>
        <v/>
      </c>
      <c r="C67" t="str">
        <f>IF('Area A'!B138="none","",'Area A'!D138)</f>
        <v/>
      </c>
      <c r="D67" t="str">
        <f>IF('Area A'!B138="none","",'Area A'!E138)</f>
        <v/>
      </c>
      <c r="E67" t="str">
        <f>IF('Area A'!B138="none","",'Area A'!H138)</f>
        <v/>
      </c>
      <c r="F67" t="str">
        <f>IF(Table1[[#This Row],[Item]]="","",Table1[[#This Row],[Unit Count]]+Table1[[#This Row],[Coushion Qty]])</f>
        <v/>
      </c>
      <c r="H67" t="e">
        <f>IF(#REF!="none","",#REF!)</f>
        <v>#REF!</v>
      </c>
      <c r="I67" t="e">
        <f>IF(#REF!="none","",#REF!)</f>
        <v>#REF!</v>
      </c>
      <c r="J67" t="e">
        <f>IF(#REF!="none","",#REF!)</f>
        <v>#REF!</v>
      </c>
      <c r="K67" t="e">
        <f>IF(#REF!="none","",#REF!)</f>
        <v>#REF!</v>
      </c>
      <c r="L67" t="e">
        <f>IF(#REF!="none","",#REF!)</f>
        <v>#REF!</v>
      </c>
      <c r="M67" t="e">
        <f>IF(#REF!="none","",'Take-off Build'!K67+'Take-off Build'!L67)</f>
        <v>#REF!</v>
      </c>
      <c r="O67" t="e">
        <f>IF(#REF!="none","",#REF!)</f>
        <v>#REF!</v>
      </c>
      <c r="P67" t="e">
        <f>IF(#REF!="none","",#REF!)</f>
        <v>#REF!</v>
      </c>
      <c r="Q67" t="e">
        <f>IF(#REF!="none","",#REF!)</f>
        <v>#REF!</v>
      </c>
      <c r="R67" t="e">
        <f>IF(#REF!="none","",#REF!)</f>
        <v>#REF!</v>
      </c>
      <c r="S67" t="e">
        <f>IF(#REF!="none","",#REF!)</f>
        <v>#REF!</v>
      </c>
      <c r="T67" t="e">
        <f>IF(#REF!="none","",'Take-off Build'!S67+'Take-off Build'!R67)</f>
        <v>#REF!</v>
      </c>
    </row>
    <row r="68" spans="1:20" x14ac:dyDescent="0.4">
      <c r="A68" t="str">
        <f>IF('Area A'!B139="None","",'Area A'!B139)</f>
        <v/>
      </c>
      <c r="B68" t="str">
        <f>IF('Area A'!B139="None","",'Area A'!C139)</f>
        <v/>
      </c>
      <c r="C68" t="str">
        <f>IF('Area A'!B139="none","",'Area A'!D139)</f>
        <v/>
      </c>
      <c r="D68" t="str">
        <f>IF('Area A'!B139="none","",'Area A'!E139)</f>
        <v/>
      </c>
      <c r="E68" t="str">
        <f>IF('Area A'!B139="none","",'Area A'!H139)</f>
        <v/>
      </c>
      <c r="F68" t="str">
        <f>IF(Table1[[#This Row],[Item]]="","",Table1[[#This Row],[Unit Count]]+Table1[[#This Row],[Coushion Qty]])</f>
        <v/>
      </c>
      <c r="H68" t="e">
        <f>IF(#REF!="none","",#REF!)</f>
        <v>#REF!</v>
      </c>
      <c r="I68" t="e">
        <f>IF(#REF!="none","",#REF!)</f>
        <v>#REF!</v>
      </c>
      <c r="J68" t="e">
        <f>IF(#REF!="none","",#REF!)</f>
        <v>#REF!</v>
      </c>
      <c r="K68" t="e">
        <f>IF(#REF!="none","",#REF!)</f>
        <v>#REF!</v>
      </c>
      <c r="L68" t="e">
        <f>IF(#REF!="none","",#REF!)</f>
        <v>#REF!</v>
      </c>
      <c r="M68" t="e">
        <f>IF(#REF!="none","",'Take-off Build'!K68+'Take-off Build'!L68)</f>
        <v>#REF!</v>
      </c>
      <c r="O68" t="e">
        <f>IF(#REF!="none","",#REF!)</f>
        <v>#REF!</v>
      </c>
      <c r="P68" t="e">
        <f>IF(#REF!="none","",#REF!)</f>
        <v>#REF!</v>
      </c>
      <c r="Q68" t="e">
        <f>IF(#REF!="none","",#REF!)</f>
        <v>#REF!</v>
      </c>
      <c r="R68" t="e">
        <f>IF(#REF!="none","",#REF!)</f>
        <v>#REF!</v>
      </c>
      <c r="S68" t="e">
        <f>IF(#REF!="none","",#REF!)</f>
        <v>#REF!</v>
      </c>
      <c r="T68" t="e">
        <f>IF(#REF!="none","",'Take-off Build'!S68+'Take-off Build'!R68)</f>
        <v>#REF!</v>
      </c>
    </row>
    <row r="69" spans="1:20" x14ac:dyDescent="0.4">
      <c r="A69" t="str">
        <f>IF('Area A'!B140="None","",'Area A'!B140)</f>
        <v/>
      </c>
      <c r="B69" t="str">
        <f>IF('Area A'!B140="None","",'Area A'!C140)</f>
        <v/>
      </c>
      <c r="C69" t="str">
        <f>IF('Area A'!B140="none","",'Area A'!D140)</f>
        <v/>
      </c>
      <c r="D69" t="str">
        <f>IF('Area A'!B140="none","",'Area A'!E140)</f>
        <v/>
      </c>
      <c r="E69" t="str">
        <f>IF('Area A'!B140="none","",'Area A'!H140)</f>
        <v/>
      </c>
      <c r="F69" t="str">
        <f>IF(Table1[[#This Row],[Item]]="","",Table1[[#This Row],[Unit Count]]+Table1[[#This Row],[Coushion Qty]])</f>
        <v/>
      </c>
      <c r="H69" t="e">
        <f>IF(#REF!="none","",#REF!)</f>
        <v>#REF!</v>
      </c>
      <c r="I69" t="e">
        <f>IF(#REF!="none","",#REF!)</f>
        <v>#REF!</v>
      </c>
      <c r="J69" t="e">
        <f>IF(#REF!="none","",#REF!)</f>
        <v>#REF!</v>
      </c>
      <c r="K69" t="e">
        <f>IF(#REF!="none","",#REF!)</f>
        <v>#REF!</v>
      </c>
      <c r="L69" t="e">
        <f>IF(#REF!="none","",#REF!)</f>
        <v>#REF!</v>
      </c>
      <c r="M69" t="e">
        <f>IF(#REF!="none","",'Take-off Build'!K69+'Take-off Build'!L69)</f>
        <v>#REF!</v>
      </c>
      <c r="O69" t="e">
        <f>IF(#REF!="none","",#REF!)</f>
        <v>#REF!</v>
      </c>
      <c r="P69" t="e">
        <f>IF(#REF!="none","",#REF!)</f>
        <v>#REF!</v>
      </c>
      <c r="Q69" t="e">
        <f>IF(#REF!="none","",#REF!)</f>
        <v>#REF!</v>
      </c>
      <c r="R69" t="e">
        <f>IF(#REF!="none","",#REF!)</f>
        <v>#REF!</v>
      </c>
      <c r="S69" t="e">
        <f>IF(#REF!="none","",#REF!)</f>
        <v>#REF!</v>
      </c>
      <c r="T69" t="e">
        <f>IF(#REF!="none","",'Take-off Build'!S69+'Take-off Build'!R69)</f>
        <v>#REF!</v>
      </c>
    </row>
    <row r="70" spans="1:20" x14ac:dyDescent="0.4">
      <c r="A70" t="str">
        <f>IF('Area A'!B141="None","",'Area A'!B141)</f>
        <v/>
      </c>
      <c r="B70" t="str">
        <f>IF('Area A'!B141="None","",'Area A'!C141)</f>
        <v/>
      </c>
      <c r="C70" t="str">
        <f>IF('Area A'!B141="none","",'Area A'!D141)</f>
        <v/>
      </c>
      <c r="D70" t="str">
        <f>IF('Area A'!B141="none","",'Area A'!E141)</f>
        <v/>
      </c>
      <c r="E70" t="str">
        <f>IF('Area A'!B141="none","",'Area A'!H141)</f>
        <v/>
      </c>
      <c r="F70" t="str">
        <f>IF(Table1[[#This Row],[Item]]="","",Table1[[#This Row],[Unit Count]]+Table1[[#This Row],[Coushion Qty]])</f>
        <v/>
      </c>
      <c r="H70" t="e">
        <f>IF(#REF!="none","",#REF!)</f>
        <v>#REF!</v>
      </c>
      <c r="I70" t="e">
        <f>IF(#REF!="none","",#REF!)</f>
        <v>#REF!</v>
      </c>
      <c r="J70" t="e">
        <f>IF(#REF!="none","",#REF!)</f>
        <v>#REF!</v>
      </c>
      <c r="K70" t="e">
        <f>IF(#REF!="none","",#REF!)</f>
        <v>#REF!</v>
      </c>
      <c r="L70" t="e">
        <f>IF(#REF!="none","",#REF!)</f>
        <v>#REF!</v>
      </c>
      <c r="M70" t="e">
        <f>IF(#REF!="none","",'Take-off Build'!K70+'Take-off Build'!L70)</f>
        <v>#REF!</v>
      </c>
      <c r="O70" t="e">
        <f>IF(#REF!="none","",#REF!)</f>
        <v>#REF!</v>
      </c>
      <c r="P70" t="e">
        <f>IF(#REF!="none","",#REF!)</f>
        <v>#REF!</v>
      </c>
      <c r="Q70" t="e">
        <f>IF(#REF!="none","",#REF!)</f>
        <v>#REF!</v>
      </c>
      <c r="R70" t="e">
        <f>IF(#REF!="none","",#REF!)</f>
        <v>#REF!</v>
      </c>
      <c r="S70" t="e">
        <f>IF(#REF!="none","",#REF!)</f>
        <v>#REF!</v>
      </c>
      <c r="T70" t="e">
        <f>IF(#REF!="none","",'Take-off Build'!S70+'Take-off Build'!R70)</f>
        <v>#REF!</v>
      </c>
    </row>
    <row r="71" spans="1:20" x14ac:dyDescent="0.4">
      <c r="A71" t="str">
        <f>IF('Area A'!B142="None","",'Area A'!B142)</f>
        <v/>
      </c>
      <c r="B71" t="str">
        <f>IF('Area A'!B142="None","",'Area A'!C142)</f>
        <v/>
      </c>
      <c r="C71" t="str">
        <f>IF('Area A'!B142="none","",'Area A'!D142)</f>
        <v/>
      </c>
      <c r="D71" t="str">
        <f>IF('Area A'!B142="none","",'Area A'!E142)</f>
        <v/>
      </c>
      <c r="E71" t="str">
        <f>IF('Area A'!B142="none","",'Area A'!H142)</f>
        <v/>
      </c>
      <c r="F71" t="str">
        <f>IF(Table1[[#This Row],[Item]]="","",Table1[[#This Row],[Unit Count]]+Table1[[#This Row],[Coushion Qty]])</f>
        <v/>
      </c>
      <c r="H71" t="e">
        <f>IF(#REF!="none","",#REF!)</f>
        <v>#REF!</v>
      </c>
      <c r="I71" t="e">
        <f>IF(#REF!="none","",#REF!)</f>
        <v>#REF!</v>
      </c>
      <c r="J71" t="e">
        <f>IF(#REF!="none","",#REF!)</f>
        <v>#REF!</v>
      </c>
      <c r="K71" t="e">
        <f>IF(#REF!="none","",#REF!)</f>
        <v>#REF!</v>
      </c>
      <c r="L71" t="e">
        <f>IF(#REF!="none","",#REF!)</f>
        <v>#REF!</v>
      </c>
      <c r="M71" t="e">
        <f>IF(#REF!="none","",'Take-off Build'!K71+'Take-off Build'!L71)</f>
        <v>#REF!</v>
      </c>
      <c r="O71" t="e">
        <f>IF(#REF!="none","",#REF!)</f>
        <v>#REF!</v>
      </c>
      <c r="P71" t="e">
        <f>IF(#REF!="none","",#REF!)</f>
        <v>#REF!</v>
      </c>
      <c r="Q71" t="e">
        <f>IF(#REF!="none","",#REF!)</f>
        <v>#REF!</v>
      </c>
      <c r="R71" t="e">
        <f>IF(#REF!="none","",#REF!)</f>
        <v>#REF!</v>
      </c>
      <c r="S71" t="e">
        <f>IF(#REF!="none","",#REF!)</f>
        <v>#REF!</v>
      </c>
      <c r="T71" t="e">
        <f>IF(#REF!="none","",'Take-off Build'!S71+'Take-off Build'!R71)</f>
        <v>#REF!</v>
      </c>
    </row>
    <row r="72" spans="1:20" x14ac:dyDescent="0.4">
      <c r="A72" t="str">
        <f>IF('Area A'!B143="None","",'Area A'!B143)</f>
        <v/>
      </c>
      <c r="B72" t="str">
        <f>IF('Area A'!B143="None","",'Area A'!C143)</f>
        <v/>
      </c>
      <c r="C72" t="str">
        <f>IF('Area A'!B143="none","",'Area A'!D143)</f>
        <v/>
      </c>
      <c r="D72" t="str">
        <f>IF('Area A'!B143="none","",'Area A'!E143)</f>
        <v/>
      </c>
      <c r="E72" t="str">
        <f>IF('Area A'!B143="none","",'Area A'!H143)</f>
        <v/>
      </c>
      <c r="F72" t="str">
        <f>IF(Table1[[#This Row],[Item]]="","",Table1[[#This Row],[Unit Count]]+Table1[[#This Row],[Coushion Qty]])</f>
        <v/>
      </c>
      <c r="H72" t="e">
        <f>IF(#REF!="none","",#REF!)</f>
        <v>#REF!</v>
      </c>
      <c r="I72" t="e">
        <f>IF(#REF!="none","",#REF!)</f>
        <v>#REF!</v>
      </c>
      <c r="J72" t="e">
        <f>IF(#REF!="none","",#REF!)</f>
        <v>#REF!</v>
      </c>
      <c r="K72" t="e">
        <f>IF(#REF!="none","",#REF!)</f>
        <v>#REF!</v>
      </c>
      <c r="L72" t="e">
        <f>IF(#REF!="none","",#REF!)</f>
        <v>#REF!</v>
      </c>
      <c r="M72" t="e">
        <f>IF(#REF!="none","",'Take-off Build'!K72+'Take-off Build'!L72)</f>
        <v>#REF!</v>
      </c>
      <c r="O72" t="e">
        <f>IF(#REF!="none","",#REF!)</f>
        <v>#REF!</v>
      </c>
      <c r="P72" t="e">
        <f>IF(#REF!="none","",#REF!)</f>
        <v>#REF!</v>
      </c>
      <c r="Q72" t="e">
        <f>IF(#REF!="none","",#REF!)</f>
        <v>#REF!</v>
      </c>
      <c r="R72" t="e">
        <f>IF(#REF!="none","",#REF!)</f>
        <v>#REF!</v>
      </c>
      <c r="S72" t="e">
        <f>IF(#REF!="none","",#REF!)</f>
        <v>#REF!</v>
      </c>
      <c r="T72" t="e">
        <f>IF(#REF!="none","",'Take-off Build'!S72+'Take-off Build'!R72)</f>
        <v>#REF!</v>
      </c>
    </row>
    <row r="73" spans="1:20" x14ac:dyDescent="0.4">
      <c r="A73" t="str">
        <f>IF('Area A'!B144="None","",'Area A'!B144)</f>
        <v/>
      </c>
      <c r="B73" t="str">
        <f>IF('Area A'!B144="None","",'Area A'!C144)</f>
        <v/>
      </c>
      <c r="C73" t="str">
        <f>IF('Area A'!B144="none","",'Area A'!D144)</f>
        <v/>
      </c>
      <c r="D73" t="str">
        <f>IF('Area A'!B144="none","",'Area A'!E144)</f>
        <v/>
      </c>
      <c r="E73" t="str">
        <f>IF('Area A'!B144="none","",'Area A'!H144)</f>
        <v/>
      </c>
      <c r="F73" t="str">
        <f>IF(Table1[[#This Row],[Item]]="","",Table1[[#This Row],[Unit Count]]+Table1[[#This Row],[Coushion Qty]])</f>
        <v/>
      </c>
      <c r="H73" t="e">
        <f>IF(#REF!="none","",#REF!)</f>
        <v>#REF!</v>
      </c>
      <c r="I73" t="e">
        <f>IF(#REF!="none","",#REF!)</f>
        <v>#REF!</v>
      </c>
      <c r="J73" t="e">
        <f>IF(#REF!="none","",#REF!)</f>
        <v>#REF!</v>
      </c>
      <c r="K73" t="e">
        <f>IF(#REF!="none","",#REF!)</f>
        <v>#REF!</v>
      </c>
      <c r="L73" t="e">
        <f>IF(#REF!="none","",#REF!)</f>
        <v>#REF!</v>
      </c>
      <c r="M73" t="e">
        <f>IF(#REF!="none","",'Take-off Build'!K73+'Take-off Build'!L73)</f>
        <v>#REF!</v>
      </c>
      <c r="O73" t="e">
        <f>IF(#REF!="none","",#REF!)</f>
        <v>#REF!</v>
      </c>
      <c r="P73" t="e">
        <f>IF(#REF!="none","",#REF!)</f>
        <v>#REF!</v>
      </c>
      <c r="Q73" t="e">
        <f>IF(#REF!="none","",#REF!)</f>
        <v>#REF!</v>
      </c>
      <c r="R73" t="e">
        <f>IF(#REF!="none","",#REF!)</f>
        <v>#REF!</v>
      </c>
      <c r="S73" t="e">
        <f>IF(#REF!="none","",#REF!)</f>
        <v>#REF!</v>
      </c>
      <c r="T73" t="e">
        <f>IF(#REF!="none","",'Take-off Build'!S73+'Take-off Build'!R73)</f>
        <v>#REF!</v>
      </c>
    </row>
    <row r="74" spans="1:20" x14ac:dyDescent="0.4">
      <c r="A74" t="str">
        <f>IF('Area A'!B145="None","",'Area A'!B145)</f>
        <v/>
      </c>
      <c r="B74" t="str">
        <f>IF('Area A'!B145="None","",'Area A'!C145)</f>
        <v/>
      </c>
      <c r="C74" t="str">
        <f>IF('Area A'!B145="none","",'Area A'!D145)</f>
        <v/>
      </c>
      <c r="D74" t="str">
        <f>IF('Area A'!B145="none","",'Area A'!E145)</f>
        <v/>
      </c>
      <c r="E74" t="str">
        <f>IF('Area A'!B145="none","",'Area A'!H145)</f>
        <v/>
      </c>
      <c r="F74" t="str">
        <f>IF(Table1[[#This Row],[Item]]="","",Table1[[#This Row],[Unit Count]]+Table1[[#This Row],[Coushion Qty]])</f>
        <v/>
      </c>
      <c r="H74" t="e">
        <f>IF(#REF!="none","",#REF!)</f>
        <v>#REF!</v>
      </c>
      <c r="I74" t="e">
        <f>IF(#REF!="none","",#REF!)</f>
        <v>#REF!</v>
      </c>
      <c r="J74" t="e">
        <f>IF(#REF!="none","",#REF!)</f>
        <v>#REF!</v>
      </c>
      <c r="K74" t="e">
        <f>IF(#REF!="none","",#REF!)</f>
        <v>#REF!</v>
      </c>
      <c r="L74" t="e">
        <f>IF(#REF!="none","",#REF!)</f>
        <v>#REF!</v>
      </c>
      <c r="M74" t="e">
        <f>IF(#REF!="none","",'Take-off Build'!K74+'Take-off Build'!L74)</f>
        <v>#REF!</v>
      </c>
      <c r="O74" t="e">
        <f>IF(#REF!="none","",#REF!)</f>
        <v>#REF!</v>
      </c>
      <c r="P74" t="e">
        <f>IF(#REF!="none","",#REF!)</f>
        <v>#REF!</v>
      </c>
      <c r="Q74" t="e">
        <f>IF(#REF!="none","",#REF!)</f>
        <v>#REF!</v>
      </c>
      <c r="R74" t="e">
        <f>IF(#REF!="none","",#REF!)</f>
        <v>#REF!</v>
      </c>
      <c r="S74" t="e">
        <f>IF(#REF!="none","",#REF!)</f>
        <v>#REF!</v>
      </c>
      <c r="T74" t="e">
        <f>IF(#REF!="none","",'Take-off Build'!S74+'Take-off Build'!R74)</f>
        <v>#REF!</v>
      </c>
    </row>
    <row r="75" spans="1:20" x14ac:dyDescent="0.4">
      <c r="A75" t="str">
        <f>IF('Area A'!B146="None","",'Area A'!B146)</f>
        <v/>
      </c>
      <c r="B75" t="str">
        <f>IF('Area A'!B146="None","",'Area A'!C146)</f>
        <v/>
      </c>
      <c r="C75" t="str">
        <f>IF('Area A'!B146="none","",'Area A'!D146)</f>
        <v/>
      </c>
      <c r="D75" t="str">
        <f>IF('Area A'!B146="none","",'Area A'!E146)</f>
        <v/>
      </c>
      <c r="E75" t="str">
        <f>IF('Area A'!B146="none","",'Area A'!H146)</f>
        <v/>
      </c>
      <c r="F75" t="str">
        <f>IF(Table1[[#This Row],[Item]]="","",Table1[[#This Row],[Unit Count]]+Table1[[#This Row],[Coushion Qty]])</f>
        <v/>
      </c>
      <c r="H75" t="e">
        <f>IF(#REF!="none","",#REF!)</f>
        <v>#REF!</v>
      </c>
      <c r="I75" t="e">
        <f>IF(#REF!="none","",#REF!)</f>
        <v>#REF!</v>
      </c>
      <c r="J75" t="e">
        <f>IF(#REF!="none","",#REF!)</f>
        <v>#REF!</v>
      </c>
      <c r="K75" t="e">
        <f>IF(#REF!="none","",#REF!)</f>
        <v>#REF!</v>
      </c>
      <c r="L75" t="e">
        <f>IF(#REF!="none","",#REF!)</f>
        <v>#REF!</v>
      </c>
      <c r="M75" t="e">
        <f>IF(#REF!="none","",'Take-off Build'!K75+'Take-off Build'!L75)</f>
        <v>#REF!</v>
      </c>
      <c r="O75" t="e">
        <f>IF(#REF!="none","",#REF!)</f>
        <v>#REF!</v>
      </c>
      <c r="P75" t="e">
        <f>IF(#REF!="none","",#REF!)</f>
        <v>#REF!</v>
      </c>
      <c r="Q75" t="e">
        <f>IF(#REF!="none","",#REF!)</f>
        <v>#REF!</v>
      </c>
      <c r="R75" t="e">
        <f>IF(#REF!="none","",#REF!)</f>
        <v>#REF!</v>
      </c>
      <c r="S75" t="e">
        <f>IF(#REF!="none","",#REF!)</f>
        <v>#REF!</v>
      </c>
      <c r="T75" t="e">
        <f>IF(#REF!="none","",'Take-off Build'!S75+'Take-off Build'!R75)</f>
        <v>#REF!</v>
      </c>
    </row>
    <row r="76" spans="1:20" x14ac:dyDescent="0.4">
      <c r="A76" t="str">
        <f>IF('Area A'!B147="None","",'Area A'!B147)</f>
        <v/>
      </c>
      <c r="B76" t="str">
        <f>IF('Area A'!B147="None","",'Area A'!C147)</f>
        <v/>
      </c>
      <c r="C76" t="str">
        <f>IF('Area A'!B147="none","",'Area A'!D147)</f>
        <v/>
      </c>
      <c r="D76" t="str">
        <f>IF('Area A'!B147="none","",'Area A'!E147)</f>
        <v/>
      </c>
      <c r="E76" t="str">
        <f>IF('Area A'!B147="none","",'Area A'!H147)</f>
        <v/>
      </c>
      <c r="F76" t="str">
        <f>IF(Table1[[#This Row],[Item]]="","",Table1[[#This Row],[Unit Count]]+Table1[[#This Row],[Coushion Qty]])</f>
        <v/>
      </c>
      <c r="H76" t="e">
        <f>IF(#REF!="none","",#REF!)</f>
        <v>#REF!</v>
      </c>
      <c r="I76" t="e">
        <f>IF(#REF!="none","",#REF!)</f>
        <v>#REF!</v>
      </c>
      <c r="J76" t="e">
        <f>IF(#REF!="none","",#REF!)</f>
        <v>#REF!</v>
      </c>
      <c r="K76" t="e">
        <f>IF(#REF!="none","",#REF!)</f>
        <v>#REF!</v>
      </c>
      <c r="L76" t="e">
        <f>IF(#REF!="none","",#REF!)</f>
        <v>#REF!</v>
      </c>
      <c r="M76" t="e">
        <f>IF(#REF!="none","",'Take-off Build'!K76+'Take-off Build'!L76)</f>
        <v>#REF!</v>
      </c>
      <c r="O76" t="e">
        <f>IF(#REF!="none","",#REF!)</f>
        <v>#REF!</v>
      </c>
      <c r="P76" t="e">
        <f>IF(#REF!="none","",#REF!)</f>
        <v>#REF!</v>
      </c>
      <c r="Q76" t="e">
        <f>IF(#REF!="none","",#REF!)</f>
        <v>#REF!</v>
      </c>
      <c r="R76" t="e">
        <f>IF(#REF!="none","",#REF!)</f>
        <v>#REF!</v>
      </c>
      <c r="S76" t="e">
        <f>IF(#REF!="none","",#REF!)</f>
        <v>#REF!</v>
      </c>
      <c r="T76" t="e">
        <f>IF(#REF!="none","",'Take-off Build'!S76+'Take-off Build'!R76)</f>
        <v>#REF!</v>
      </c>
    </row>
    <row r="77" spans="1:20" x14ac:dyDescent="0.4">
      <c r="A77" t="str">
        <f>IF('Area A'!B148="None","",'Area A'!B148)</f>
        <v>RCB screws- DP</v>
      </c>
      <c r="B77" t="str">
        <f>IF('Area A'!B148="None","",'Area A'!C148)</f>
        <v>RCB screws- Drill Points  #10 x 2" Phillips Pan SS</v>
      </c>
      <c r="C77">
        <f>IF('Area A'!B148="none","",'Area A'!D148)</f>
        <v>0</v>
      </c>
      <c r="D77">
        <f>IF('Area A'!B148="none","",'Area A'!E148)</f>
        <v>0</v>
      </c>
      <c r="E77">
        <f>IF('Area A'!B148="none","",'Area A'!H148)</f>
        <v>0</v>
      </c>
      <c r="F77">
        <f>IF(Table1[[#This Row],[Item]]="","",Table1[[#This Row],[Unit Count]]+Table1[[#This Row],[Coushion Qty]])</f>
        <v>0</v>
      </c>
      <c r="H77" t="e">
        <f>IF(#REF!="none","",#REF!)</f>
        <v>#REF!</v>
      </c>
      <c r="I77" t="e">
        <f>IF(#REF!="none","",#REF!)</f>
        <v>#REF!</v>
      </c>
      <c r="J77" t="e">
        <f>IF(#REF!="none","",#REF!)</f>
        <v>#REF!</v>
      </c>
      <c r="K77" t="e">
        <f>IF(#REF!="none","",#REF!)</f>
        <v>#REF!</v>
      </c>
      <c r="L77" t="e">
        <f>IF(#REF!="none","",#REF!)</f>
        <v>#REF!</v>
      </c>
      <c r="M77" t="e">
        <f>IF(#REF!="none","",'Take-off Build'!K77+'Take-off Build'!L77)</f>
        <v>#REF!</v>
      </c>
      <c r="O77" t="e">
        <f>IF(#REF!="none","",#REF!)</f>
        <v>#REF!</v>
      </c>
      <c r="P77" t="e">
        <f>IF(#REF!="none","",#REF!)</f>
        <v>#REF!</v>
      </c>
      <c r="Q77" t="e">
        <f>IF(#REF!="none","",#REF!)</f>
        <v>#REF!</v>
      </c>
      <c r="R77" t="e">
        <f>IF(#REF!="none","",#REF!)</f>
        <v>#REF!</v>
      </c>
      <c r="S77" t="e">
        <f>IF(#REF!="none","",#REF!)</f>
        <v>#REF!</v>
      </c>
      <c r="T77" t="e">
        <f>IF(#REF!="none","",'Take-off Build'!S77+'Take-off Build'!R77)</f>
        <v>#REF!</v>
      </c>
    </row>
    <row r="78" spans="1:20" x14ac:dyDescent="0.4">
      <c r="A78" t="str">
        <f>IF('Area A'!B149="None","",'Area A'!B149)</f>
        <v/>
      </c>
      <c r="B78" t="str">
        <f>IF('Area A'!B149="None","",'Area A'!C149)</f>
        <v/>
      </c>
      <c r="C78" t="str">
        <f>IF('Area A'!B149="none","",'Area A'!D149)</f>
        <v/>
      </c>
      <c r="D78" t="str">
        <f>IF('Area A'!B149="none","",'Area A'!E149)</f>
        <v/>
      </c>
      <c r="E78" t="str">
        <f>IF('Area A'!B149="none","",'Area A'!H149)</f>
        <v/>
      </c>
      <c r="F78" t="str">
        <f>IF(Table1[[#This Row],[Item]]="","",Table1[[#This Row],[Unit Count]]+Table1[[#This Row],[Coushion Qty]])</f>
        <v/>
      </c>
      <c r="H78" t="e">
        <f>IF(#REF!="none","",#REF!)</f>
        <v>#REF!</v>
      </c>
      <c r="I78" t="e">
        <f>IF(#REF!="none","",#REF!)</f>
        <v>#REF!</v>
      </c>
      <c r="J78" t="e">
        <f>IF(#REF!="none","",#REF!)</f>
        <v>#REF!</v>
      </c>
      <c r="K78" t="e">
        <f>IF(#REF!="none","",#REF!)</f>
        <v>#REF!</v>
      </c>
      <c r="L78" t="e">
        <f>IF(#REF!="none","",#REF!)</f>
        <v>#REF!</v>
      </c>
      <c r="M78" t="e">
        <f>IF(#REF!="none","",'Take-off Build'!K78+'Take-off Build'!L78)</f>
        <v>#REF!</v>
      </c>
      <c r="O78" t="e">
        <f>IF(#REF!="none","",#REF!)</f>
        <v>#REF!</v>
      </c>
      <c r="P78" t="e">
        <f>IF(#REF!="none","",#REF!)</f>
        <v>#REF!</v>
      </c>
      <c r="Q78" t="e">
        <f>IF(#REF!="none","",#REF!)</f>
        <v>#REF!</v>
      </c>
      <c r="R78" t="e">
        <f>IF(#REF!="none","",#REF!)</f>
        <v>#REF!</v>
      </c>
      <c r="S78" t="e">
        <f>IF(#REF!="none","",#REF!)</f>
        <v>#REF!</v>
      </c>
      <c r="T78" t="e">
        <f>IF(#REF!="none","",'Take-off Build'!S78+'Take-off Build'!R78)</f>
        <v>#REF!</v>
      </c>
    </row>
    <row r="79" spans="1:20" x14ac:dyDescent="0.4">
      <c r="A79" t="str">
        <f>IF('Area A'!B150="None","",'Area A'!B150)</f>
        <v/>
      </c>
      <c r="B79" t="str">
        <f>IF('Area A'!B150="None","",'Area A'!C150)</f>
        <v/>
      </c>
      <c r="C79" t="str">
        <f>IF('Area A'!B150="none","",'Area A'!D150)</f>
        <v/>
      </c>
      <c r="D79" t="str">
        <f>IF('Area A'!B150="none","",'Area A'!E150)</f>
        <v/>
      </c>
      <c r="E79" t="str">
        <f>IF('Area A'!B150="none","",'Area A'!H150)</f>
        <v/>
      </c>
      <c r="F79" t="str">
        <f>IF(Table1[[#This Row],[Item]]="","",Table1[[#This Row],[Unit Count]]+Table1[[#This Row],[Coushion Qty]])</f>
        <v/>
      </c>
      <c r="H79" t="e">
        <f>IF(#REF!="none","",#REF!)</f>
        <v>#REF!</v>
      </c>
      <c r="I79" t="e">
        <f>IF(#REF!="none","",#REF!)</f>
        <v>#REF!</v>
      </c>
      <c r="J79" t="e">
        <f>IF(#REF!="none","",#REF!)</f>
        <v>#REF!</v>
      </c>
      <c r="K79" t="e">
        <f>IF(#REF!="none","",#REF!)</f>
        <v>#REF!</v>
      </c>
      <c r="L79" t="e">
        <f>IF(#REF!="none","",#REF!)</f>
        <v>#REF!</v>
      </c>
      <c r="M79" t="e">
        <f>IF(#REF!="none","",'Take-off Build'!K79+'Take-off Build'!L79)</f>
        <v>#REF!</v>
      </c>
      <c r="O79" t="e">
        <f>IF(#REF!="none","",#REF!)</f>
        <v>#REF!</v>
      </c>
      <c r="P79" t="e">
        <f>IF(#REF!="none","",#REF!)</f>
        <v>#REF!</v>
      </c>
      <c r="Q79" t="e">
        <f>IF(#REF!="none","",#REF!)</f>
        <v>#REF!</v>
      </c>
      <c r="R79" t="e">
        <f>IF(#REF!="none","",#REF!)</f>
        <v>#REF!</v>
      </c>
      <c r="S79" t="e">
        <f>IF(#REF!="none","",#REF!)</f>
        <v>#REF!</v>
      </c>
      <c r="T79" t="e">
        <f>IF(#REF!="none","",'Take-off Build'!S79+'Take-off Build'!R79)</f>
        <v>#REF!</v>
      </c>
    </row>
    <row r="80" spans="1:20" x14ac:dyDescent="0.4">
      <c r="A80" t="str">
        <f>IF('Area A'!B151="None","",'Area A'!B151)</f>
        <v/>
      </c>
      <c r="B80" t="str">
        <f>IF('Area A'!B151="None","",'Area A'!C151)</f>
        <v/>
      </c>
      <c r="C80" t="str">
        <f>IF('Area A'!B151="none","",'Area A'!D151)</f>
        <v/>
      </c>
      <c r="D80" t="str">
        <f>IF('Area A'!B151="none","",'Area A'!E151)</f>
        <v/>
      </c>
      <c r="E80" t="str">
        <f>IF('Area A'!B151="none","",'Area A'!H151)</f>
        <v/>
      </c>
      <c r="F80" t="str">
        <f>IF(Table1[[#This Row],[Item]]="","",Table1[[#This Row],[Unit Count]]+Table1[[#This Row],[Coushion Qty]])</f>
        <v/>
      </c>
      <c r="H80" t="e">
        <f>IF(#REF!="none","",#REF!)</f>
        <v>#REF!</v>
      </c>
      <c r="I80" t="e">
        <f>IF(#REF!="none","",#REF!)</f>
        <v>#REF!</v>
      </c>
      <c r="J80" t="e">
        <f>IF(#REF!="none","",#REF!)</f>
        <v>#REF!</v>
      </c>
      <c r="K80" t="e">
        <f>IF(#REF!="none","",#REF!)</f>
        <v>#REF!</v>
      </c>
      <c r="L80" t="e">
        <f>IF(#REF!="none","",#REF!)</f>
        <v>#REF!</v>
      </c>
      <c r="M80" t="e">
        <f>IF(#REF!="none","",'Take-off Build'!K80+'Take-off Build'!L80)</f>
        <v>#REF!</v>
      </c>
      <c r="O80" t="e">
        <f>IF(#REF!="none","",#REF!)</f>
        <v>#REF!</v>
      </c>
      <c r="P80" t="e">
        <f>IF(#REF!="none","",#REF!)</f>
        <v>#REF!</v>
      </c>
      <c r="Q80" t="e">
        <f>IF(#REF!="none","",#REF!)</f>
        <v>#REF!</v>
      </c>
      <c r="R80" t="e">
        <f>IF(#REF!="none","",#REF!)</f>
        <v>#REF!</v>
      </c>
      <c r="S80" t="e">
        <f>IF(#REF!="none","",#REF!)</f>
        <v>#REF!</v>
      </c>
      <c r="T80" t="e">
        <f>IF(#REF!="none","",'Take-off Build'!S80+'Take-off Build'!R80)</f>
        <v>#REF!</v>
      </c>
    </row>
    <row r="81" spans="1:20" x14ac:dyDescent="0.4">
      <c r="A81" t="str">
        <f>IF('Area A'!B152="None","",'Area A'!B152)</f>
        <v/>
      </c>
      <c r="B81" t="str">
        <f>IF('Area A'!B152="None","",'Area A'!C152)</f>
        <v/>
      </c>
      <c r="C81" t="str">
        <f>IF('Area A'!B152="none","",'Area A'!D152)</f>
        <v/>
      </c>
      <c r="D81" t="str">
        <f>IF('Area A'!B152="none","",'Area A'!E152)</f>
        <v/>
      </c>
      <c r="E81" t="str">
        <f>IF('Area A'!B152="none","",'Area A'!H152)</f>
        <v/>
      </c>
      <c r="F81" t="str">
        <f>IF(Table1[[#This Row],[Item]]="","",Table1[[#This Row],[Unit Count]]+Table1[[#This Row],[Coushion Qty]])</f>
        <v/>
      </c>
      <c r="H81" t="e">
        <f>IF(#REF!="none","",#REF!)</f>
        <v>#REF!</v>
      </c>
      <c r="I81" t="e">
        <f>IF(#REF!="none","",#REF!)</f>
        <v>#REF!</v>
      </c>
      <c r="J81" t="e">
        <f>IF(#REF!="none","",#REF!)</f>
        <v>#REF!</v>
      </c>
      <c r="K81" t="e">
        <f>IF(#REF!="none","",#REF!)</f>
        <v>#REF!</v>
      </c>
      <c r="L81" t="e">
        <f>IF(#REF!="none","",#REF!)</f>
        <v>#REF!</v>
      </c>
      <c r="M81" t="e">
        <f>IF(#REF!="none","",'Take-off Build'!K81+'Take-off Build'!L81)</f>
        <v>#REF!</v>
      </c>
      <c r="O81" t="e">
        <f>IF(#REF!="none","",#REF!)</f>
        <v>#REF!</v>
      </c>
      <c r="P81" t="e">
        <f>IF(#REF!="none","",#REF!)</f>
        <v>#REF!</v>
      </c>
      <c r="Q81" t="e">
        <f>IF(#REF!="none","",#REF!)</f>
        <v>#REF!</v>
      </c>
      <c r="R81" t="e">
        <f>IF(#REF!="none","",#REF!)</f>
        <v>#REF!</v>
      </c>
      <c r="S81" t="e">
        <f>IF(#REF!="none","",#REF!)</f>
        <v>#REF!</v>
      </c>
      <c r="T81" t="e">
        <f>IF(#REF!="none","",'Take-off Build'!S81+'Take-off Build'!R81)</f>
        <v>#REF!</v>
      </c>
    </row>
    <row r="82" spans="1:20" x14ac:dyDescent="0.4">
      <c r="A82" t="str">
        <f>IF('Area A'!B153="None","",'Area A'!B153)</f>
        <v/>
      </c>
      <c r="B82" t="str">
        <f>IF('Area A'!B153="None","",'Area A'!C153)</f>
        <v/>
      </c>
      <c r="C82" t="str">
        <f>IF('Area A'!B153="none","",'Area A'!D153)</f>
        <v/>
      </c>
      <c r="D82" t="str">
        <f>IF('Area A'!B153="none","",'Area A'!E153)</f>
        <v/>
      </c>
      <c r="E82" t="str">
        <f>IF('Area A'!B153="none","",'Area A'!H153)</f>
        <v/>
      </c>
      <c r="F82" t="str">
        <f>IF(Table1[[#This Row],[Item]]="","",Table1[[#This Row],[Unit Count]]+Table1[[#This Row],[Coushion Qty]])</f>
        <v/>
      </c>
      <c r="H82" t="e">
        <f>IF(#REF!="none","",#REF!)</f>
        <v>#REF!</v>
      </c>
      <c r="I82" t="e">
        <f>IF(#REF!="none","",#REF!)</f>
        <v>#REF!</v>
      </c>
      <c r="J82" t="e">
        <f>IF(#REF!="none","",#REF!)</f>
        <v>#REF!</v>
      </c>
      <c r="K82" t="e">
        <f>IF(#REF!="none","",#REF!)</f>
        <v>#REF!</v>
      </c>
      <c r="L82" t="e">
        <f>IF(#REF!="none","",#REF!)</f>
        <v>#REF!</v>
      </c>
      <c r="M82" t="e">
        <f>IF(#REF!="none","",'Take-off Build'!K82+'Take-off Build'!L82)</f>
        <v>#REF!</v>
      </c>
      <c r="O82" t="e">
        <f>IF(#REF!="none","",#REF!)</f>
        <v>#REF!</v>
      </c>
      <c r="P82" t="e">
        <f>IF(#REF!="none","",#REF!)</f>
        <v>#REF!</v>
      </c>
      <c r="Q82" t="e">
        <f>IF(#REF!="none","",#REF!)</f>
        <v>#REF!</v>
      </c>
      <c r="R82" t="e">
        <f>IF(#REF!="none","",#REF!)</f>
        <v>#REF!</v>
      </c>
      <c r="S82" t="e">
        <f>IF(#REF!="none","",#REF!)</f>
        <v>#REF!</v>
      </c>
      <c r="T82" t="e">
        <f>IF(#REF!="none","",'Take-off Build'!S82+'Take-off Build'!R82)</f>
        <v>#REF!</v>
      </c>
    </row>
    <row r="83" spans="1:20" x14ac:dyDescent="0.4">
      <c r="A83" t="str">
        <f>IF('Area A'!B154="None","",'Area A'!B154)</f>
        <v/>
      </c>
      <c r="B83" t="str">
        <f>IF('Area A'!B154="None","",'Area A'!C154)</f>
        <v/>
      </c>
      <c r="C83" t="str">
        <f>IF('Area A'!B154="none","",'Area A'!D154)</f>
        <v/>
      </c>
      <c r="D83" t="str">
        <f>IF('Area A'!B154="none","",'Area A'!E154)</f>
        <v/>
      </c>
      <c r="E83" t="str">
        <f>IF('Area A'!B154="none","",'Area A'!H154)</f>
        <v/>
      </c>
      <c r="F83" t="str">
        <f>IF(Table1[[#This Row],[Item]]="","",Table1[[#This Row],[Unit Count]]+Table1[[#This Row],[Coushion Qty]])</f>
        <v/>
      </c>
      <c r="H83" t="e">
        <f>IF(#REF!="none","",#REF!)</f>
        <v>#REF!</v>
      </c>
      <c r="I83" t="e">
        <f>IF(#REF!="none","",#REF!)</f>
        <v>#REF!</v>
      </c>
      <c r="J83" t="e">
        <f>IF(#REF!="none","",#REF!)</f>
        <v>#REF!</v>
      </c>
      <c r="K83" t="e">
        <f>IF(#REF!="none","",#REF!)</f>
        <v>#REF!</v>
      </c>
      <c r="L83" t="e">
        <f>IF(#REF!="none","",#REF!)</f>
        <v>#REF!</v>
      </c>
      <c r="M83" t="e">
        <f>IF(#REF!="none","",'Take-off Build'!K83+'Take-off Build'!L83)</f>
        <v>#REF!</v>
      </c>
      <c r="O83" t="e">
        <f>IF(#REF!="none","",#REF!)</f>
        <v>#REF!</v>
      </c>
      <c r="P83" t="e">
        <f>IF(#REF!="none","",#REF!)</f>
        <v>#REF!</v>
      </c>
      <c r="Q83" t="e">
        <f>IF(#REF!="none","",#REF!)</f>
        <v>#REF!</v>
      </c>
      <c r="R83" t="e">
        <f>IF(#REF!="none","",#REF!)</f>
        <v>#REF!</v>
      </c>
      <c r="S83" t="e">
        <f>IF(#REF!="none","",#REF!)</f>
        <v>#REF!</v>
      </c>
      <c r="T83" t="e">
        <f>IF(#REF!="none","",'Take-off Build'!S83+'Take-off Build'!R83)</f>
        <v>#REF!</v>
      </c>
    </row>
    <row r="84" spans="1:20" x14ac:dyDescent="0.4">
      <c r="A84" t="str">
        <f>IF('Area A'!B155="None","",'Area A'!B155)</f>
        <v/>
      </c>
      <c r="B84" t="str">
        <f>IF('Area A'!B155="None","",'Area A'!C155)</f>
        <v/>
      </c>
      <c r="C84" t="str">
        <f>IF('Area A'!B155="none","",'Area A'!D155)</f>
        <v/>
      </c>
      <c r="D84" t="str">
        <f>IF('Area A'!B155="none","",'Area A'!E155)</f>
        <v/>
      </c>
      <c r="E84" t="str">
        <f>IF('Area A'!B155="none","",'Area A'!H155)</f>
        <v/>
      </c>
      <c r="F84" t="str">
        <f>IF(Table1[[#This Row],[Item]]="","",Table1[[#This Row],[Unit Count]]+Table1[[#This Row],[Coushion Qty]])</f>
        <v/>
      </c>
      <c r="H84" t="e">
        <f>IF(#REF!="none","",#REF!)</f>
        <v>#REF!</v>
      </c>
      <c r="I84" t="e">
        <f>IF(#REF!="none","",#REF!)</f>
        <v>#REF!</v>
      </c>
      <c r="J84" t="e">
        <f>IF(#REF!="none","",#REF!)</f>
        <v>#REF!</v>
      </c>
      <c r="K84" t="e">
        <f>IF(#REF!="none","",#REF!)</f>
        <v>#REF!</v>
      </c>
      <c r="L84" t="e">
        <f>IF(#REF!="none","",#REF!)</f>
        <v>#REF!</v>
      </c>
      <c r="M84" t="e">
        <f>IF(#REF!="none","",'Take-off Build'!K84+'Take-off Build'!L84)</f>
        <v>#REF!</v>
      </c>
      <c r="O84" t="e">
        <f>IF(#REF!="none","",#REF!)</f>
        <v>#REF!</v>
      </c>
      <c r="P84" t="e">
        <f>IF(#REF!="none","",#REF!)</f>
        <v>#REF!</v>
      </c>
      <c r="Q84" t="e">
        <f>IF(#REF!="none","",#REF!)</f>
        <v>#REF!</v>
      </c>
      <c r="R84" t="e">
        <f>IF(#REF!="none","",#REF!)</f>
        <v>#REF!</v>
      </c>
      <c r="S84" t="e">
        <f>IF(#REF!="none","",#REF!)</f>
        <v>#REF!</v>
      </c>
      <c r="T84" t="e">
        <f>IF(#REF!="none","",'Take-off Build'!S84+'Take-off Build'!R84)</f>
        <v>#REF!</v>
      </c>
    </row>
    <row r="85" spans="1:20" x14ac:dyDescent="0.4">
      <c r="A85" t="str">
        <f>IF('Area A'!B156="None","",'Area A'!B156)</f>
        <v/>
      </c>
      <c r="B85" t="str">
        <f>IF('Area A'!B156="None","",'Area A'!C156)</f>
        <v/>
      </c>
      <c r="C85" t="str">
        <f>IF('Area A'!B156="none","",'Area A'!D156)</f>
        <v/>
      </c>
      <c r="D85" t="str">
        <f>IF('Area A'!B156="none","",'Area A'!E156)</f>
        <v/>
      </c>
      <c r="E85" t="str">
        <f>IF('Area A'!B156="none","",'Area A'!H156)</f>
        <v/>
      </c>
      <c r="F85" t="str">
        <f>IF(Table1[[#This Row],[Item]]="","",Table1[[#This Row],[Unit Count]]+Table1[[#This Row],[Coushion Qty]])</f>
        <v/>
      </c>
      <c r="H85" t="e">
        <f>IF(#REF!="none","",#REF!)</f>
        <v>#REF!</v>
      </c>
      <c r="I85" t="e">
        <f>IF(#REF!="none","",#REF!)</f>
        <v>#REF!</v>
      </c>
      <c r="J85" t="e">
        <f>IF(#REF!="none","",#REF!)</f>
        <v>#REF!</v>
      </c>
      <c r="K85" t="e">
        <f>IF(#REF!="none","",#REF!)</f>
        <v>#REF!</v>
      </c>
      <c r="L85" t="e">
        <f>IF(#REF!="none","",#REF!)</f>
        <v>#REF!</v>
      </c>
      <c r="M85" t="e">
        <f>IF(#REF!="none","",'Take-off Build'!K85+'Take-off Build'!L85)</f>
        <v>#REF!</v>
      </c>
      <c r="O85" t="e">
        <f>IF(#REF!="none","",#REF!)</f>
        <v>#REF!</v>
      </c>
      <c r="P85" t="e">
        <f>IF(#REF!="none","",#REF!)</f>
        <v>#REF!</v>
      </c>
      <c r="Q85" t="e">
        <f>IF(#REF!="none","",#REF!)</f>
        <v>#REF!</v>
      </c>
      <c r="R85" t="e">
        <f>IF(#REF!="none","",#REF!)</f>
        <v>#REF!</v>
      </c>
      <c r="S85" t="e">
        <f>IF(#REF!="none","",#REF!)</f>
        <v>#REF!</v>
      </c>
      <c r="T85" t="e">
        <f>IF(#REF!="none","",'Take-off Build'!S85+'Take-off Build'!R85)</f>
        <v>#REF!</v>
      </c>
    </row>
    <row r="86" spans="1:20" x14ac:dyDescent="0.4">
      <c r="A86" t="str">
        <f>IF('Area A'!B157="None","",'Area A'!B157)</f>
        <v/>
      </c>
      <c r="B86" t="str">
        <f>IF('Area A'!B157="None","",'Area A'!C157)</f>
        <v/>
      </c>
      <c r="C86" t="str">
        <f>IF('Area A'!B157="none","",'Area A'!D157)</f>
        <v/>
      </c>
      <c r="D86" t="str">
        <f>IF('Area A'!B157="none","",'Area A'!E157)</f>
        <v/>
      </c>
      <c r="E86" t="str">
        <f>IF('Area A'!B157="none","",'Area A'!H157)</f>
        <v/>
      </c>
      <c r="F86" t="str">
        <f>IF(Table1[[#This Row],[Item]]="","",Table1[[#This Row],[Unit Count]]+Table1[[#This Row],[Coushion Qty]])</f>
        <v/>
      </c>
      <c r="H86" t="e">
        <f>IF(#REF!="none","",#REF!)</f>
        <v>#REF!</v>
      </c>
      <c r="I86" t="e">
        <f>IF(#REF!="none","",#REF!)</f>
        <v>#REF!</v>
      </c>
      <c r="J86" t="e">
        <f>IF(#REF!="none","",#REF!)</f>
        <v>#REF!</v>
      </c>
      <c r="K86" t="e">
        <f>IF(#REF!="none","",#REF!)</f>
        <v>#REF!</v>
      </c>
      <c r="L86" t="e">
        <f>IF(#REF!="none","",#REF!)</f>
        <v>#REF!</v>
      </c>
      <c r="M86" t="e">
        <f>IF(#REF!="none","",'Take-off Build'!K86+'Take-off Build'!L86)</f>
        <v>#REF!</v>
      </c>
      <c r="O86" t="e">
        <f>IF(#REF!="none","",#REF!)</f>
        <v>#REF!</v>
      </c>
      <c r="P86" t="e">
        <f>IF(#REF!="none","",#REF!)</f>
        <v>#REF!</v>
      </c>
      <c r="Q86" t="e">
        <f>IF(#REF!="none","",#REF!)</f>
        <v>#REF!</v>
      </c>
      <c r="R86" t="e">
        <f>IF(#REF!="none","",#REF!)</f>
        <v>#REF!</v>
      </c>
      <c r="S86" t="e">
        <f>IF(#REF!="none","",#REF!)</f>
        <v>#REF!</v>
      </c>
      <c r="T86" t="e">
        <f>IF(#REF!="none","",'Take-off Build'!S86+'Take-off Build'!R86)</f>
        <v>#REF!</v>
      </c>
    </row>
    <row r="87" spans="1:20" x14ac:dyDescent="0.4">
      <c r="A87" t="str">
        <f>IF('Area A'!B158="None","",'Area A'!B158)</f>
        <v/>
      </c>
      <c r="B87" t="str">
        <f>IF('Area A'!B158="None","",'Area A'!C158)</f>
        <v/>
      </c>
      <c r="C87" t="str">
        <f>IF('Area A'!B158="none","",'Area A'!D158)</f>
        <v/>
      </c>
      <c r="D87" t="str">
        <f>IF('Area A'!B158="none","",'Area A'!E158)</f>
        <v/>
      </c>
      <c r="E87" t="str">
        <f>IF('Area A'!B158="none","",'Area A'!H158)</f>
        <v/>
      </c>
      <c r="F87" t="str">
        <f>IF(Table1[[#This Row],[Item]]="","",Table1[[#This Row],[Unit Count]]+Table1[[#This Row],[Coushion Qty]])</f>
        <v/>
      </c>
      <c r="H87" t="e">
        <f>IF(#REF!="none","",#REF!)</f>
        <v>#REF!</v>
      </c>
      <c r="I87" t="e">
        <f>IF(#REF!="none","",#REF!)</f>
        <v>#REF!</v>
      </c>
      <c r="J87" t="e">
        <f>IF(#REF!="none","",#REF!)</f>
        <v>#REF!</v>
      </c>
      <c r="K87" t="e">
        <f>IF(#REF!="none","",#REF!)</f>
        <v>#REF!</v>
      </c>
      <c r="L87" t="e">
        <f>IF(#REF!="none","",#REF!)</f>
        <v>#REF!</v>
      </c>
      <c r="M87" t="e">
        <f>IF(#REF!="none","",'Take-off Build'!K87+'Take-off Build'!L87)</f>
        <v>#REF!</v>
      </c>
      <c r="O87" t="e">
        <f>IF(#REF!="none","",#REF!)</f>
        <v>#REF!</v>
      </c>
      <c r="P87" t="e">
        <f>IF(#REF!="none","",#REF!)</f>
        <v>#REF!</v>
      </c>
      <c r="Q87" t="e">
        <f>IF(#REF!="none","",#REF!)</f>
        <v>#REF!</v>
      </c>
      <c r="R87" t="e">
        <f>IF(#REF!="none","",#REF!)</f>
        <v>#REF!</v>
      </c>
      <c r="S87" t="e">
        <f>IF(#REF!="none","",#REF!)</f>
        <v>#REF!</v>
      </c>
      <c r="T87" t="e">
        <f>IF(#REF!="none","",'Take-off Build'!S87+'Take-off Build'!R87)</f>
        <v>#REF!</v>
      </c>
    </row>
    <row r="88" spans="1:20" x14ac:dyDescent="0.4">
      <c r="A88" t="str">
        <f>IF('Area A'!B159="None","",'Area A'!B159)</f>
        <v/>
      </c>
      <c r="B88" t="str">
        <f>IF('Area A'!B159="None","",'Area A'!C159)</f>
        <v/>
      </c>
      <c r="C88" t="str">
        <f>IF('Area A'!B159="none","",'Area A'!D159)</f>
        <v/>
      </c>
      <c r="D88" t="str">
        <f>IF('Area A'!B159="none","",'Area A'!E159)</f>
        <v/>
      </c>
      <c r="E88" t="str">
        <f>IF('Area A'!B159="none","",'Area A'!H159)</f>
        <v/>
      </c>
      <c r="F88" t="str">
        <f>IF(Table1[[#This Row],[Item]]="","",Table1[[#This Row],[Unit Count]]+Table1[[#This Row],[Coushion Qty]])</f>
        <v/>
      </c>
      <c r="H88" t="e">
        <f>IF(#REF!="none","",#REF!)</f>
        <v>#REF!</v>
      </c>
      <c r="I88" t="e">
        <f>IF(#REF!="none","",#REF!)</f>
        <v>#REF!</v>
      </c>
      <c r="J88" t="e">
        <f>IF(#REF!="none","",#REF!)</f>
        <v>#REF!</v>
      </c>
      <c r="K88" t="e">
        <f>IF(#REF!="none","",#REF!)</f>
        <v>#REF!</v>
      </c>
      <c r="L88" t="e">
        <f>IF(#REF!="none","",#REF!)</f>
        <v>#REF!</v>
      </c>
      <c r="M88" t="e">
        <f>IF(#REF!="none","",'Take-off Build'!K88+'Take-off Build'!L88)</f>
        <v>#REF!</v>
      </c>
      <c r="O88" t="e">
        <f>IF(#REF!="none","",#REF!)</f>
        <v>#REF!</v>
      </c>
      <c r="P88" t="e">
        <f>IF(#REF!="none","",#REF!)</f>
        <v>#REF!</v>
      </c>
      <c r="Q88" t="e">
        <f>IF(#REF!="none","",#REF!)</f>
        <v>#REF!</v>
      </c>
      <c r="R88" t="e">
        <f>IF(#REF!="none","",#REF!)</f>
        <v>#REF!</v>
      </c>
      <c r="S88" t="e">
        <f>IF(#REF!="none","",#REF!)</f>
        <v>#REF!</v>
      </c>
      <c r="T88" t="e">
        <f>IF(#REF!="none","",'Take-off Build'!S88+'Take-off Build'!R88)</f>
        <v>#REF!</v>
      </c>
    </row>
    <row r="89" spans="1:20" x14ac:dyDescent="0.4">
      <c r="A89" t="str">
        <f>IF('Area A'!B160="None","",'Area A'!B160)</f>
        <v/>
      </c>
      <c r="B89" t="str">
        <f>IF('Area A'!B160="None","",'Area A'!C160)</f>
        <v/>
      </c>
      <c r="C89" t="str">
        <f>IF('Area A'!B160="none","",'Area A'!D160)</f>
        <v/>
      </c>
      <c r="D89" t="str">
        <f>IF('Area A'!B160="none","",'Area A'!E160)</f>
        <v/>
      </c>
      <c r="E89" t="str">
        <f>IF('Area A'!B160="none","",'Area A'!H160)</f>
        <v/>
      </c>
      <c r="F89" t="str">
        <f>IF(Table1[[#This Row],[Item]]="","",Table1[[#This Row],[Unit Count]]+Table1[[#This Row],[Coushion Qty]])</f>
        <v/>
      </c>
      <c r="H89" t="e">
        <f>IF(#REF!="none","",#REF!)</f>
        <v>#REF!</v>
      </c>
      <c r="I89" t="e">
        <f>IF(#REF!="none","",#REF!)</f>
        <v>#REF!</v>
      </c>
      <c r="J89" t="e">
        <f>IF(#REF!="none","",#REF!)</f>
        <v>#REF!</v>
      </c>
      <c r="K89" t="e">
        <f>IF(#REF!="none","",#REF!)</f>
        <v>#REF!</v>
      </c>
      <c r="L89" t="e">
        <f>IF(#REF!="none","",#REF!)</f>
        <v>#REF!</v>
      </c>
      <c r="M89" t="e">
        <f>IF(#REF!="none","",'Take-off Build'!K89+'Take-off Build'!L89)</f>
        <v>#REF!</v>
      </c>
      <c r="O89" t="e">
        <f>IF(#REF!="none","",#REF!)</f>
        <v>#REF!</v>
      </c>
      <c r="P89" t="e">
        <f>IF(#REF!="none","",#REF!)</f>
        <v>#REF!</v>
      </c>
      <c r="Q89" t="e">
        <f>IF(#REF!="none","",#REF!)</f>
        <v>#REF!</v>
      </c>
      <c r="R89" t="e">
        <f>IF(#REF!="none","",#REF!)</f>
        <v>#REF!</v>
      </c>
      <c r="S89" t="e">
        <f>IF(#REF!="none","",#REF!)</f>
        <v>#REF!</v>
      </c>
      <c r="T89" t="e">
        <f>IF(#REF!="none","",'Take-off Build'!S89+'Take-off Build'!R89)</f>
        <v>#REF!</v>
      </c>
    </row>
    <row r="90" spans="1:20" x14ac:dyDescent="0.4">
      <c r="A90" t="str">
        <f>IF('Area A'!B161="None","",'Area A'!B161)</f>
        <v/>
      </c>
      <c r="B90" t="str">
        <f>IF('Area A'!B161="None","",'Area A'!C161)</f>
        <v/>
      </c>
      <c r="C90" t="str">
        <f>IF('Area A'!B161="none","",'Area A'!D161)</f>
        <v/>
      </c>
      <c r="D90" t="str">
        <f>IF('Area A'!B161="none","",'Area A'!E161)</f>
        <v/>
      </c>
      <c r="E90" t="str">
        <f>IF('Area A'!B161="none","",'Area A'!H161)</f>
        <v/>
      </c>
      <c r="F90" t="str">
        <f>IF(Table1[[#This Row],[Item]]="","",Table1[[#This Row],[Unit Count]]+Table1[[#This Row],[Coushion Qty]])</f>
        <v/>
      </c>
      <c r="H90" t="e">
        <f>IF(#REF!="none","",#REF!)</f>
        <v>#REF!</v>
      </c>
      <c r="I90" t="e">
        <f>IF(#REF!="none","",#REF!)</f>
        <v>#REF!</v>
      </c>
      <c r="J90" t="e">
        <f>IF(#REF!="none","",#REF!)</f>
        <v>#REF!</v>
      </c>
      <c r="K90" t="e">
        <f>IF(#REF!="none","",#REF!)</f>
        <v>#REF!</v>
      </c>
      <c r="L90" t="e">
        <f>IF(#REF!="none","",#REF!)</f>
        <v>#REF!</v>
      </c>
      <c r="M90" t="e">
        <f>IF(#REF!="none","",'Take-off Build'!K90+'Take-off Build'!L90)</f>
        <v>#REF!</v>
      </c>
      <c r="O90" t="e">
        <f>IF(#REF!="none","",#REF!)</f>
        <v>#REF!</v>
      </c>
      <c r="P90" t="e">
        <f>IF(#REF!="none","",#REF!)</f>
        <v>#REF!</v>
      </c>
      <c r="Q90" t="e">
        <f>IF(#REF!="none","",#REF!)</f>
        <v>#REF!</v>
      </c>
      <c r="R90" t="e">
        <f>IF(#REF!="none","",#REF!)</f>
        <v>#REF!</v>
      </c>
      <c r="S90" t="e">
        <f>IF(#REF!="none","",#REF!)</f>
        <v>#REF!</v>
      </c>
      <c r="T90" t="e">
        <f>IF(#REF!="none","",'Take-off Build'!S90+'Take-off Build'!R90)</f>
        <v>#REF!</v>
      </c>
    </row>
    <row r="91" spans="1:20" x14ac:dyDescent="0.4">
      <c r="A91" t="str">
        <f>IF('Area A'!B162="None","",'Area A'!B162)</f>
        <v/>
      </c>
      <c r="B91" t="str">
        <f>IF('Area A'!B162="None","",'Area A'!C162)</f>
        <v/>
      </c>
      <c r="C91" t="str">
        <f>IF('Area A'!B162="none","",'Area A'!D162)</f>
        <v/>
      </c>
      <c r="D91" t="str">
        <f>IF('Area A'!B162="none","",'Area A'!E162)</f>
        <v/>
      </c>
      <c r="E91" t="str">
        <f>IF('Area A'!B162="none","",'Area A'!H162)</f>
        <v/>
      </c>
      <c r="F91" t="str">
        <f>IF(Table1[[#This Row],[Item]]="","",Table1[[#This Row],[Unit Count]]+Table1[[#This Row],[Coushion Qty]])</f>
        <v/>
      </c>
      <c r="H91" t="e">
        <f>IF(#REF!="none","",#REF!)</f>
        <v>#REF!</v>
      </c>
      <c r="I91" t="e">
        <f>IF(#REF!="none","",#REF!)</f>
        <v>#REF!</v>
      </c>
      <c r="J91" t="e">
        <f>IF(#REF!="none","",#REF!)</f>
        <v>#REF!</v>
      </c>
      <c r="K91" t="e">
        <f>IF(#REF!="none","",#REF!)</f>
        <v>#REF!</v>
      </c>
      <c r="L91" t="e">
        <f>IF(#REF!="none","",#REF!)</f>
        <v>#REF!</v>
      </c>
      <c r="M91" t="e">
        <f>IF(#REF!="none","",'Take-off Build'!K91+'Take-off Build'!L91)</f>
        <v>#REF!</v>
      </c>
      <c r="O91" t="e">
        <f>IF(#REF!="none","",#REF!)</f>
        <v>#REF!</v>
      </c>
      <c r="P91" t="e">
        <f>IF(#REF!="none","",#REF!)</f>
        <v>#REF!</v>
      </c>
      <c r="Q91" t="e">
        <f>IF(#REF!="none","",#REF!)</f>
        <v>#REF!</v>
      </c>
      <c r="R91" t="e">
        <f>IF(#REF!="none","",#REF!)</f>
        <v>#REF!</v>
      </c>
      <c r="S91" t="e">
        <f>IF(#REF!="none","",#REF!)</f>
        <v>#REF!</v>
      </c>
      <c r="T91" t="e">
        <f>IF(#REF!="none","",'Take-off Build'!S91+'Take-off Build'!R91)</f>
        <v>#REF!</v>
      </c>
    </row>
    <row r="92" spans="1:20" x14ac:dyDescent="0.4">
      <c r="A92" t="str">
        <f>IF('Area A'!B163="None","",'Area A'!B163)</f>
        <v/>
      </c>
      <c r="B92" t="str">
        <f>IF('Area A'!B163="None","",'Area A'!C163)</f>
        <v/>
      </c>
      <c r="C92" t="str">
        <f>IF('Area A'!B163="none","",'Area A'!D163)</f>
        <v/>
      </c>
      <c r="D92" t="str">
        <f>IF('Area A'!B163="none","",'Area A'!E163)</f>
        <v/>
      </c>
      <c r="E92" t="str">
        <f>IF('Area A'!B163="none","",'Area A'!H163)</f>
        <v/>
      </c>
      <c r="F92" t="str">
        <f>IF(Table1[[#This Row],[Item]]="","",Table1[[#This Row],[Unit Count]]+Table1[[#This Row],[Coushion Qty]])</f>
        <v/>
      </c>
      <c r="H92" t="e">
        <f>IF(#REF!="none","",#REF!)</f>
        <v>#REF!</v>
      </c>
      <c r="I92" t="e">
        <f>IF(#REF!="none","",#REF!)</f>
        <v>#REF!</v>
      </c>
      <c r="J92" t="e">
        <f>IF(#REF!="none","",#REF!)</f>
        <v>#REF!</v>
      </c>
      <c r="K92" t="e">
        <f>IF(#REF!="none","",#REF!)</f>
        <v>#REF!</v>
      </c>
      <c r="L92" t="e">
        <f>IF(#REF!="none","",#REF!)</f>
        <v>#REF!</v>
      </c>
      <c r="M92" t="e">
        <f>IF(#REF!="none","",'Take-off Build'!K92+'Take-off Build'!L92)</f>
        <v>#REF!</v>
      </c>
      <c r="O92" t="e">
        <f>IF(#REF!="none","",#REF!)</f>
        <v>#REF!</v>
      </c>
      <c r="P92" t="e">
        <f>IF(#REF!="none","",#REF!)</f>
        <v>#REF!</v>
      </c>
      <c r="Q92" t="e">
        <f>IF(#REF!="none","",#REF!)</f>
        <v>#REF!</v>
      </c>
      <c r="R92" t="e">
        <f>IF(#REF!="none","",#REF!)</f>
        <v>#REF!</v>
      </c>
      <c r="S92" t="e">
        <f>IF(#REF!="none","",#REF!)</f>
        <v>#REF!</v>
      </c>
      <c r="T92" t="e">
        <f>IF(#REF!="none","",'Take-off Build'!S92+'Take-off Build'!R92)</f>
        <v>#REF!</v>
      </c>
    </row>
    <row r="93" spans="1:20" x14ac:dyDescent="0.4">
      <c r="A93" t="str">
        <f>IF('Area A'!B164="None","",'Area A'!B164)</f>
        <v/>
      </c>
      <c r="B93" t="str">
        <f>IF('Area A'!B164="None","",'Area A'!C164)</f>
        <v/>
      </c>
      <c r="C93" t="str">
        <f>IF('Area A'!B164="none","",'Area A'!D164)</f>
        <v/>
      </c>
      <c r="D93" t="str">
        <f>IF('Area A'!B164="none","",'Area A'!E164)</f>
        <v/>
      </c>
      <c r="E93" t="str">
        <f>IF('Area A'!B164="none","",'Area A'!H164)</f>
        <v/>
      </c>
      <c r="F93" t="str">
        <f>IF(Table1[[#This Row],[Item]]="","",Table1[[#This Row],[Unit Count]]+Table1[[#This Row],[Coushion Qty]])</f>
        <v/>
      </c>
      <c r="H93" t="e">
        <f>IF(#REF!="none","",#REF!)</f>
        <v>#REF!</v>
      </c>
      <c r="I93" t="e">
        <f>IF(#REF!="none","",#REF!)</f>
        <v>#REF!</v>
      </c>
      <c r="J93" t="e">
        <f>IF(#REF!="none","",#REF!)</f>
        <v>#REF!</v>
      </c>
      <c r="K93" t="e">
        <f>IF(#REF!="none","",#REF!)</f>
        <v>#REF!</v>
      </c>
      <c r="L93" t="e">
        <f>IF(#REF!="none","",#REF!)</f>
        <v>#REF!</v>
      </c>
      <c r="M93" t="e">
        <f>IF(#REF!="none","",'Take-off Build'!K93+'Take-off Build'!L93)</f>
        <v>#REF!</v>
      </c>
      <c r="O93" t="e">
        <f>IF(#REF!="none","",#REF!)</f>
        <v>#REF!</v>
      </c>
      <c r="P93" t="e">
        <f>IF(#REF!="none","",#REF!)</f>
        <v>#REF!</v>
      </c>
      <c r="Q93" t="e">
        <f>IF(#REF!="none","",#REF!)</f>
        <v>#REF!</v>
      </c>
      <c r="R93" t="e">
        <f>IF(#REF!="none","",#REF!)</f>
        <v>#REF!</v>
      </c>
      <c r="S93" t="e">
        <f>IF(#REF!="none","",#REF!)</f>
        <v>#REF!</v>
      </c>
      <c r="T93" t="e">
        <f>IF(#REF!="none","",'Take-off Build'!S93+'Take-off Build'!R93)</f>
        <v>#REF!</v>
      </c>
    </row>
    <row r="94" spans="1:20" x14ac:dyDescent="0.4">
      <c r="A94" t="str">
        <f>IF('Area A'!B165="None","",'Area A'!B165)</f>
        <v/>
      </c>
      <c r="B94" t="str">
        <f>IF('Area A'!B165="None","",'Area A'!C165)</f>
        <v/>
      </c>
      <c r="C94" t="str">
        <f>IF('Area A'!B165="none","",'Area A'!D165)</f>
        <v/>
      </c>
      <c r="D94" t="str">
        <f>IF('Area A'!B165="none","",'Area A'!E165)</f>
        <v/>
      </c>
      <c r="E94" t="str">
        <f>IF('Area A'!B165="none","",'Area A'!H165)</f>
        <v/>
      </c>
      <c r="F94" t="str">
        <f>IF(Table1[[#This Row],[Item]]="","",Table1[[#This Row],[Unit Count]]+Table1[[#This Row],[Coushion Qty]])</f>
        <v/>
      </c>
      <c r="H94" t="e">
        <f>IF(#REF!="none","",#REF!)</f>
        <v>#REF!</v>
      </c>
      <c r="I94" t="e">
        <f>IF(#REF!="none","",#REF!)</f>
        <v>#REF!</v>
      </c>
      <c r="J94" t="e">
        <f>IF(#REF!="none","",#REF!)</f>
        <v>#REF!</v>
      </c>
      <c r="K94" t="e">
        <f>IF(#REF!="none","",#REF!)</f>
        <v>#REF!</v>
      </c>
      <c r="L94" t="e">
        <f>IF(#REF!="none","",#REF!)</f>
        <v>#REF!</v>
      </c>
      <c r="M94" t="e">
        <f>IF(#REF!="none","",'Take-off Build'!K94+'Take-off Build'!L94)</f>
        <v>#REF!</v>
      </c>
      <c r="O94" t="e">
        <f>IF(#REF!="none","",#REF!)</f>
        <v>#REF!</v>
      </c>
      <c r="P94" t="e">
        <f>IF(#REF!="none","",#REF!)</f>
        <v>#REF!</v>
      </c>
      <c r="Q94" t="e">
        <f>IF(#REF!="none","",#REF!)</f>
        <v>#REF!</v>
      </c>
      <c r="R94" t="e">
        <f>IF(#REF!="none","",#REF!)</f>
        <v>#REF!</v>
      </c>
      <c r="S94" t="e">
        <f>IF(#REF!="none","",#REF!)</f>
        <v>#REF!</v>
      </c>
      <c r="T94" t="e">
        <f>IF(#REF!="none","",'Take-off Build'!S94+'Take-off Build'!R94)</f>
        <v>#REF!</v>
      </c>
    </row>
    <row r="95" spans="1:20" x14ac:dyDescent="0.4">
      <c r="A95" t="str">
        <f>IF('Area A'!B166="None","",'Area A'!B166)</f>
        <v/>
      </c>
      <c r="B95" t="str">
        <f>IF('Area A'!B166="None","",'Area A'!C166)</f>
        <v/>
      </c>
      <c r="C95" t="str">
        <f>IF('Area A'!B166="none","",'Area A'!D166)</f>
        <v/>
      </c>
      <c r="D95" t="str">
        <f>IF('Area A'!B166="none","",'Area A'!E166)</f>
        <v/>
      </c>
      <c r="E95" t="str">
        <f>IF('Area A'!B166="none","",'Area A'!H166)</f>
        <v/>
      </c>
      <c r="F95" t="str">
        <f>IF(Table1[[#This Row],[Item]]="","",Table1[[#This Row],[Unit Count]]+Table1[[#This Row],[Coushion Qty]])</f>
        <v/>
      </c>
      <c r="H95" t="e">
        <f>IF(#REF!="none","",#REF!)</f>
        <v>#REF!</v>
      </c>
      <c r="I95" t="e">
        <f>IF(#REF!="none","",#REF!)</f>
        <v>#REF!</v>
      </c>
      <c r="J95" t="e">
        <f>IF(#REF!="none","",#REF!)</f>
        <v>#REF!</v>
      </c>
      <c r="K95" t="e">
        <f>IF(#REF!="none","",#REF!)</f>
        <v>#REF!</v>
      </c>
      <c r="L95" t="e">
        <f>IF(#REF!="none","",#REF!)</f>
        <v>#REF!</v>
      </c>
      <c r="M95" t="e">
        <f>IF(#REF!="none","",'Take-off Build'!K95+'Take-off Build'!L95)</f>
        <v>#REF!</v>
      </c>
      <c r="O95" t="e">
        <f>IF(#REF!="none","",#REF!)</f>
        <v>#REF!</v>
      </c>
      <c r="P95" t="e">
        <f>IF(#REF!="none","",#REF!)</f>
        <v>#REF!</v>
      </c>
      <c r="Q95" t="e">
        <f>IF(#REF!="none","",#REF!)</f>
        <v>#REF!</v>
      </c>
      <c r="R95" t="e">
        <f>IF(#REF!="none","",#REF!)</f>
        <v>#REF!</v>
      </c>
      <c r="S95" t="e">
        <f>IF(#REF!="none","",#REF!)</f>
        <v>#REF!</v>
      </c>
      <c r="T95" t="e">
        <f>IF(#REF!="none","",'Take-off Build'!S95+'Take-off Build'!R95)</f>
        <v>#REF!</v>
      </c>
    </row>
    <row r="96" spans="1:20" x14ac:dyDescent="0.4">
      <c r="A96" t="str">
        <f>IF('Area A'!B167="None","",'Area A'!B167)</f>
        <v/>
      </c>
      <c r="B96" t="str">
        <f>IF('Area A'!B167="None","",'Area A'!C167)</f>
        <v/>
      </c>
      <c r="C96" t="str">
        <f>IF('Area A'!B167="none","",'Area A'!D167)</f>
        <v/>
      </c>
      <c r="D96" t="str">
        <f>IF('Area A'!B167="none","",'Area A'!E167)</f>
        <v/>
      </c>
      <c r="E96" t="str">
        <f>IF('Area A'!B167="none","",'Area A'!H167)</f>
        <v/>
      </c>
      <c r="F96" t="str">
        <f>IF(Table1[[#This Row],[Item]]="","",Table1[[#This Row],[Unit Count]]+Table1[[#This Row],[Coushion Qty]])</f>
        <v/>
      </c>
      <c r="H96" t="e">
        <f>IF(#REF!="none","",#REF!)</f>
        <v>#REF!</v>
      </c>
      <c r="I96" t="e">
        <f>IF(#REF!="none","",#REF!)</f>
        <v>#REF!</v>
      </c>
      <c r="J96" t="e">
        <f>IF(#REF!="none","",#REF!)</f>
        <v>#REF!</v>
      </c>
      <c r="K96" t="e">
        <f>IF(#REF!="none","",#REF!)</f>
        <v>#REF!</v>
      </c>
      <c r="L96" t="e">
        <f>IF(#REF!="none","",#REF!)</f>
        <v>#REF!</v>
      </c>
      <c r="M96" t="e">
        <f>IF(#REF!="none","",'Take-off Build'!K96+'Take-off Build'!L96)</f>
        <v>#REF!</v>
      </c>
      <c r="O96" t="e">
        <f>IF(#REF!="none","",#REF!)</f>
        <v>#REF!</v>
      </c>
      <c r="P96" t="e">
        <f>IF(#REF!="none","",#REF!)</f>
        <v>#REF!</v>
      </c>
      <c r="Q96" t="e">
        <f>IF(#REF!="none","",#REF!)</f>
        <v>#REF!</v>
      </c>
      <c r="R96" t="e">
        <f>IF(#REF!="none","",#REF!)</f>
        <v>#REF!</v>
      </c>
      <c r="S96" t="e">
        <f>IF(#REF!="none","",#REF!)</f>
        <v>#REF!</v>
      </c>
      <c r="T96" t="e">
        <f>IF(#REF!="none","",'Take-off Build'!S96+'Take-off Build'!R96)</f>
        <v>#REF!</v>
      </c>
    </row>
    <row r="97" spans="1:20" x14ac:dyDescent="0.4">
      <c r="A97" t="str">
        <f>IF('Area A'!B168="None","",'Area A'!B168)</f>
        <v/>
      </c>
      <c r="B97" t="str">
        <f>IF('Area A'!B168="None","",'Area A'!C168)</f>
        <v/>
      </c>
      <c r="C97" t="str">
        <f>IF('Area A'!B168="none","",'Area A'!D168)</f>
        <v/>
      </c>
      <c r="D97" t="str">
        <f>IF('Area A'!B168="none","",'Area A'!E168)</f>
        <v/>
      </c>
      <c r="E97" t="str">
        <f>IF('Area A'!B168="none","",'Area A'!H168)</f>
        <v/>
      </c>
      <c r="F97" t="str">
        <f>IF(Table1[[#This Row],[Item]]="","",Table1[[#This Row],[Unit Count]]+Table1[[#This Row],[Coushion Qty]])</f>
        <v/>
      </c>
      <c r="H97" t="e">
        <f>IF(#REF!="none","",#REF!)</f>
        <v>#REF!</v>
      </c>
      <c r="I97" t="e">
        <f>IF(#REF!="none","",#REF!)</f>
        <v>#REF!</v>
      </c>
      <c r="J97" t="e">
        <f>IF(#REF!="none","",#REF!)</f>
        <v>#REF!</v>
      </c>
      <c r="K97" t="e">
        <f>IF(#REF!="none","",#REF!)</f>
        <v>#REF!</v>
      </c>
      <c r="L97" t="e">
        <f>IF(#REF!="none","",#REF!)</f>
        <v>#REF!</v>
      </c>
      <c r="M97" t="e">
        <f>IF(#REF!="none","",'Take-off Build'!K97+'Take-off Build'!L97)</f>
        <v>#REF!</v>
      </c>
      <c r="O97" t="e">
        <f>IF(#REF!="none","",#REF!)</f>
        <v>#REF!</v>
      </c>
      <c r="P97" t="e">
        <f>IF(#REF!="none","",#REF!)</f>
        <v>#REF!</v>
      </c>
      <c r="Q97" t="e">
        <f>IF(#REF!="none","",#REF!)</f>
        <v>#REF!</v>
      </c>
      <c r="R97" t="e">
        <f>IF(#REF!="none","",#REF!)</f>
        <v>#REF!</v>
      </c>
      <c r="S97" t="e">
        <f>IF(#REF!="none","",#REF!)</f>
        <v>#REF!</v>
      </c>
      <c r="T97" t="e">
        <f>IF(#REF!="none","",'Take-off Build'!S97+'Take-off Build'!R97)</f>
        <v>#REF!</v>
      </c>
    </row>
    <row r="98" spans="1:20" x14ac:dyDescent="0.4">
      <c r="A98" t="str">
        <f>IF('Area A'!B169="None","",'Area A'!B169)</f>
        <v/>
      </c>
      <c r="B98" t="str">
        <f>IF('Area A'!B169="None","",'Area A'!C169)</f>
        <v/>
      </c>
      <c r="C98" t="str">
        <f>IF('Area A'!B169="none","",'Area A'!D169)</f>
        <v/>
      </c>
      <c r="D98" t="str">
        <f>IF('Area A'!B169="none","",'Area A'!E169)</f>
        <v/>
      </c>
      <c r="E98" t="str">
        <f>IF('Area A'!B169="none","",'Area A'!H169)</f>
        <v/>
      </c>
      <c r="F98" t="str">
        <f>IF(Table1[[#This Row],[Item]]="","",Table1[[#This Row],[Unit Count]]+Table1[[#This Row],[Coushion Qty]])</f>
        <v/>
      </c>
      <c r="H98" t="e">
        <f>IF(#REF!="none","",#REF!)</f>
        <v>#REF!</v>
      </c>
      <c r="I98" t="e">
        <f>IF(#REF!="none","",#REF!)</f>
        <v>#REF!</v>
      </c>
      <c r="J98" t="e">
        <f>IF(#REF!="none","",#REF!)</f>
        <v>#REF!</v>
      </c>
      <c r="K98" t="e">
        <f>IF(#REF!="none","",#REF!)</f>
        <v>#REF!</v>
      </c>
      <c r="L98" t="e">
        <f>IF(#REF!="none","",#REF!)</f>
        <v>#REF!</v>
      </c>
      <c r="M98" t="e">
        <f>IF(#REF!="none","",'Take-off Build'!K98+'Take-off Build'!L98)</f>
        <v>#REF!</v>
      </c>
      <c r="O98" t="e">
        <f>IF(#REF!="none","",#REF!)</f>
        <v>#REF!</v>
      </c>
      <c r="P98" t="e">
        <f>IF(#REF!="none","",#REF!)</f>
        <v>#REF!</v>
      </c>
      <c r="Q98" t="e">
        <f>IF(#REF!="none","",#REF!)</f>
        <v>#REF!</v>
      </c>
      <c r="R98" t="e">
        <f>IF(#REF!="none","",#REF!)</f>
        <v>#REF!</v>
      </c>
      <c r="S98" t="e">
        <f>IF(#REF!="none","",#REF!)</f>
        <v>#REF!</v>
      </c>
      <c r="T98" t="e">
        <f>IF(#REF!="none","",'Take-off Build'!S98+'Take-off Build'!R98)</f>
        <v>#REF!</v>
      </c>
    </row>
    <row r="99" spans="1:20" x14ac:dyDescent="0.4">
      <c r="A99" t="str">
        <f>IF('Area A'!B170="None","",'Area A'!B170)</f>
        <v/>
      </c>
      <c r="B99" t="str">
        <f>IF('Area A'!B170="None","",'Area A'!C170)</f>
        <v/>
      </c>
      <c r="C99" t="str">
        <f>IF('Area A'!B170="none","",'Area A'!D170)</f>
        <v/>
      </c>
      <c r="D99" t="str">
        <f>IF('Area A'!B170="none","",'Area A'!E170)</f>
        <v/>
      </c>
      <c r="E99" t="str">
        <f>IF('Area A'!B170="none","",'Area A'!H170)</f>
        <v/>
      </c>
      <c r="F99" t="str">
        <f>IF(Table1[[#This Row],[Item]]="","",Table1[[#This Row],[Unit Count]]+Table1[[#This Row],[Coushion Qty]])</f>
        <v/>
      </c>
      <c r="H99" t="e">
        <f>IF(#REF!="none","",#REF!)</f>
        <v>#REF!</v>
      </c>
      <c r="I99" t="e">
        <f>IF(#REF!="none","",#REF!)</f>
        <v>#REF!</v>
      </c>
      <c r="J99" t="e">
        <f>IF(#REF!="none","",#REF!)</f>
        <v>#REF!</v>
      </c>
      <c r="K99" t="e">
        <f>IF(#REF!="none","",#REF!)</f>
        <v>#REF!</v>
      </c>
      <c r="L99" t="e">
        <f>IF(#REF!="none","",#REF!)</f>
        <v>#REF!</v>
      </c>
      <c r="M99" t="e">
        <f>IF(#REF!="none","",'Take-off Build'!K99+'Take-off Build'!L99)</f>
        <v>#REF!</v>
      </c>
      <c r="O99" t="e">
        <f>IF(#REF!="none","",#REF!)</f>
        <v>#REF!</v>
      </c>
      <c r="P99" t="e">
        <f>IF(#REF!="none","",#REF!)</f>
        <v>#REF!</v>
      </c>
      <c r="Q99" t="e">
        <f>IF(#REF!="none","",#REF!)</f>
        <v>#REF!</v>
      </c>
      <c r="R99" t="e">
        <f>IF(#REF!="none","",#REF!)</f>
        <v>#REF!</v>
      </c>
      <c r="S99" t="e">
        <f>IF(#REF!="none","",#REF!)</f>
        <v>#REF!</v>
      </c>
      <c r="T99" t="e">
        <f>IF(#REF!="none","",'Take-off Build'!S99+'Take-off Build'!R99)</f>
        <v>#REF!</v>
      </c>
    </row>
    <row r="100" spans="1:20" x14ac:dyDescent="0.4">
      <c r="A100" t="str">
        <f>IF('Area A'!B171="None","",'Area A'!B171)</f>
        <v/>
      </c>
      <c r="B100" t="str">
        <f>IF('Area A'!B171="None","",'Area A'!C171)</f>
        <v/>
      </c>
      <c r="C100" t="str">
        <f>IF('Area A'!B171="none","",'Area A'!D171)</f>
        <v/>
      </c>
      <c r="D100" t="str">
        <f>IF('Area A'!B171="none","",'Area A'!E171)</f>
        <v/>
      </c>
      <c r="E100" t="str">
        <f>IF('Area A'!B171="none","",'Area A'!H171)</f>
        <v/>
      </c>
      <c r="F100" t="str">
        <f>IF(Table1[[#This Row],[Item]]="","",Table1[[#This Row],[Unit Count]]+Table1[[#This Row],[Coushion Qty]])</f>
        <v/>
      </c>
      <c r="H100" t="e">
        <f>IF(#REF!="none","",#REF!)</f>
        <v>#REF!</v>
      </c>
      <c r="I100" t="e">
        <f>IF(#REF!="none","",#REF!)</f>
        <v>#REF!</v>
      </c>
      <c r="J100" t="e">
        <f>IF(#REF!="none","",#REF!)</f>
        <v>#REF!</v>
      </c>
      <c r="K100" t="e">
        <f>IF(#REF!="none","",#REF!)</f>
        <v>#REF!</v>
      </c>
      <c r="L100" t="e">
        <f>IF(#REF!="none","",#REF!)</f>
        <v>#REF!</v>
      </c>
      <c r="M100" t="e">
        <f>IF(#REF!="none","",'Take-off Build'!K100+'Take-off Build'!L100)</f>
        <v>#REF!</v>
      </c>
      <c r="O100" t="e">
        <f>IF(#REF!="none","",#REF!)</f>
        <v>#REF!</v>
      </c>
      <c r="P100" t="e">
        <f>IF(#REF!="none","",#REF!)</f>
        <v>#REF!</v>
      </c>
      <c r="Q100" t="e">
        <f>IF(#REF!="none","",#REF!)</f>
        <v>#REF!</v>
      </c>
      <c r="R100" t="e">
        <f>IF(#REF!="none","",#REF!)</f>
        <v>#REF!</v>
      </c>
      <c r="S100" t="e">
        <f>IF(#REF!="none","",#REF!)</f>
        <v>#REF!</v>
      </c>
      <c r="T100" t="e">
        <f>IF(#REF!="none","",'Take-off Build'!S100+'Take-off Build'!R100)</f>
        <v>#REF!</v>
      </c>
    </row>
    <row r="101" spans="1:20" x14ac:dyDescent="0.4">
      <c r="A101" t="str">
        <f>IF('Area A'!B172="None","",'Area A'!B172)</f>
        <v/>
      </c>
      <c r="B101" t="str">
        <f>IF('Area A'!B172="None","",'Area A'!C172)</f>
        <v/>
      </c>
      <c r="C101" t="str">
        <f>IF('Area A'!B172="none","",'Area A'!D172)</f>
        <v/>
      </c>
      <c r="D101" t="str">
        <f>IF('Area A'!B172="none","",'Area A'!E172)</f>
        <v/>
      </c>
      <c r="E101" t="str">
        <f>IF('Area A'!B172="none","",'Area A'!H172)</f>
        <v/>
      </c>
      <c r="F101" t="str">
        <f>IF(Table1[[#This Row],[Item]]="","",Table1[[#This Row],[Unit Count]]+Table1[[#This Row],[Coushion Qty]])</f>
        <v/>
      </c>
      <c r="H101" t="e">
        <f>IF(#REF!="none","",#REF!)</f>
        <v>#REF!</v>
      </c>
      <c r="I101" t="e">
        <f>IF(#REF!="none","",#REF!)</f>
        <v>#REF!</v>
      </c>
      <c r="J101" t="e">
        <f>IF(#REF!="none","",#REF!)</f>
        <v>#REF!</v>
      </c>
      <c r="K101" t="e">
        <f>IF(#REF!="none","",#REF!)</f>
        <v>#REF!</v>
      </c>
      <c r="L101" t="e">
        <f>IF(#REF!="none","",#REF!)</f>
        <v>#REF!</v>
      </c>
      <c r="M101" t="e">
        <f>IF(#REF!="none","",'Take-off Build'!K101+'Take-off Build'!L101)</f>
        <v>#REF!</v>
      </c>
      <c r="O101" t="e">
        <f>IF(#REF!="none","",#REF!)</f>
        <v>#REF!</v>
      </c>
      <c r="P101" t="e">
        <f>IF(#REF!="none","",#REF!)</f>
        <v>#REF!</v>
      </c>
      <c r="Q101" t="e">
        <f>IF(#REF!="none","",#REF!)</f>
        <v>#REF!</v>
      </c>
      <c r="R101" t="e">
        <f>IF(#REF!="none","",#REF!)</f>
        <v>#REF!</v>
      </c>
      <c r="S101" t="e">
        <f>IF(#REF!="none","",#REF!)</f>
        <v>#REF!</v>
      </c>
      <c r="T101" t="e">
        <f>IF(#REF!="none","",'Take-off Build'!S101+'Take-off Build'!R101)</f>
        <v>#REF!</v>
      </c>
    </row>
    <row r="102" spans="1:20" x14ac:dyDescent="0.4">
      <c r="A102" t="str">
        <f>IF('Area A'!B173="None","",'Area A'!B173)</f>
        <v/>
      </c>
      <c r="B102" t="str">
        <f>IF('Area A'!B173="None","",'Area A'!C173)</f>
        <v/>
      </c>
      <c r="C102" t="str">
        <f>IF('Area A'!B173="none","",'Area A'!D173)</f>
        <v/>
      </c>
      <c r="D102" t="str">
        <f>IF('Area A'!B173="none","",'Area A'!E173)</f>
        <v/>
      </c>
      <c r="E102" t="str">
        <f>IF('Area A'!B173="none","",'Area A'!H173)</f>
        <v/>
      </c>
      <c r="F102" t="str">
        <f>IF(Table1[[#This Row],[Item]]="","",Table1[[#This Row],[Unit Count]]+Table1[[#This Row],[Coushion Qty]])</f>
        <v/>
      </c>
      <c r="H102" t="e">
        <f>IF(#REF!="none","",#REF!)</f>
        <v>#REF!</v>
      </c>
      <c r="I102" t="e">
        <f>IF(#REF!="none","",#REF!)</f>
        <v>#REF!</v>
      </c>
      <c r="J102" t="e">
        <f>IF(#REF!="none","",#REF!)</f>
        <v>#REF!</v>
      </c>
      <c r="K102" t="e">
        <f>IF(#REF!="none","",#REF!)</f>
        <v>#REF!</v>
      </c>
      <c r="L102" t="e">
        <f>IF(#REF!="none","",#REF!)</f>
        <v>#REF!</v>
      </c>
      <c r="M102" t="e">
        <f>IF(#REF!="none","",'Take-off Build'!K102+'Take-off Build'!L102)</f>
        <v>#REF!</v>
      </c>
      <c r="O102" t="e">
        <f>IF(#REF!="none","",#REF!)</f>
        <v>#REF!</v>
      </c>
      <c r="P102" t="e">
        <f>IF(#REF!="none","",#REF!)</f>
        <v>#REF!</v>
      </c>
      <c r="Q102" t="e">
        <f>IF(#REF!="none","",#REF!)</f>
        <v>#REF!</v>
      </c>
      <c r="R102" t="e">
        <f>IF(#REF!="none","",#REF!)</f>
        <v>#REF!</v>
      </c>
      <c r="S102" t="e">
        <f>IF(#REF!="none","",#REF!)</f>
        <v>#REF!</v>
      </c>
      <c r="T102" t="e">
        <f>IF(#REF!="none","",'Take-off Build'!S102+'Take-off Build'!R102)</f>
        <v>#REF!</v>
      </c>
    </row>
    <row r="103" spans="1:20" x14ac:dyDescent="0.4">
      <c r="A103" t="str">
        <f>IF('Area A'!B174="None","",'Area A'!B174)</f>
        <v/>
      </c>
      <c r="B103" t="str">
        <f>IF('Area A'!B174="None","",'Area A'!C174)</f>
        <v/>
      </c>
      <c r="C103" t="str">
        <f>IF('Area A'!B174="none","",'Area A'!D174)</f>
        <v/>
      </c>
      <c r="D103" t="str">
        <f>IF('Area A'!B174="none","",'Area A'!E174)</f>
        <v/>
      </c>
      <c r="E103" t="str">
        <f>IF('Area A'!B174="none","",'Area A'!H174)</f>
        <v/>
      </c>
      <c r="F103" t="str">
        <f>IF(Table1[[#This Row],[Item]]="","",Table1[[#This Row],[Unit Count]]+Table1[[#This Row],[Coushion Qty]])</f>
        <v/>
      </c>
      <c r="H103" t="e">
        <f>IF(#REF!="none","",#REF!)</f>
        <v>#REF!</v>
      </c>
      <c r="I103" t="e">
        <f>IF(#REF!="none","",#REF!)</f>
        <v>#REF!</v>
      </c>
      <c r="J103" t="e">
        <f>IF(#REF!="none","",#REF!)</f>
        <v>#REF!</v>
      </c>
      <c r="K103" t="e">
        <f>IF(#REF!="none","",#REF!)</f>
        <v>#REF!</v>
      </c>
      <c r="L103" t="e">
        <f>IF(#REF!="none","",#REF!)</f>
        <v>#REF!</v>
      </c>
      <c r="M103" t="e">
        <f>IF(#REF!="none","",'Take-off Build'!K103+'Take-off Build'!L103)</f>
        <v>#REF!</v>
      </c>
      <c r="O103" t="e">
        <f>IF(#REF!="none","",#REF!)</f>
        <v>#REF!</v>
      </c>
      <c r="P103" t="e">
        <f>IF(#REF!="none","",#REF!)</f>
        <v>#REF!</v>
      </c>
      <c r="Q103" t="e">
        <f>IF(#REF!="none","",#REF!)</f>
        <v>#REF!</v>
      </c>
      <c r="R103" t="e">
        <f>IF(#REF!="none","",#REF!)</f>
        <v>#REF!</v>
      </c>
      <c r="S103" t="e">
        <f>IF(#REF!="none","",#REF!)</f>
        <v>#REF!</v>
      </c>
      <c r="T103" t="e">
        <f>IF(#REF!="none","",'Take-off Build'!S103+'Take-off Build'!R103)</f>
        <v>#REF!</v>
      </c>
    </row>
    <row r="104" spans="1:20" x14ac:dyDescent="0.4">
      <c r="A104" t="str">
        <f>IF('Area A'!B175="None","",'Area A'!B175)</f>
        <v/>
      </c>
      <c r="B104" t="str">
        <f>IF('Area A'!B175="None","",'Area A'!C175)</f>
        <v/>
      </c>
      <c r="C104" t="str">
        <f>IF('Area A'!B175="none","",'Area A'!D175)</f>
        <v/>
      </c>
      <c r="D104" t="str">
        <f>IF('Area A'!B175="none","",'Area A'!E175)</f>
        <v/>
      </c>
      <c r="E104" t="str">
        <f>IF('Area A'!B175="none","",'Area A'!H175)</f>
        <v/>
      </c>
      <c r="F104" t="str">
        <f>IF(Table1[[#This Row],[Item]]="","",Table1[[#This Row],[Unit Count]]+Table1[[#This Row],[Coushion Qty]])</f>
        <v/>
      </c>
      <c r="H104" t="e">
        <f>IF(#REF!="none","",#REF!)</f>
        <v>#REF!</v>
      </c>
      <c r="I104" t="e">
        <f>IF(#REF!="none","",#REF!)</f>
        <v>#REF!</v>
      </c>
      <c r="J104" t="e">
        <f>IF(#REF!="none","",#REF!)</f>
        <v>#REF!</v>
      </c>
      <c r="K104" t="e">
        <f>IF(#REF!="none","",#REF!)</f>
        <v>#REF!</v>
      </c>
      <c r="L104" t="e">
        <f>IF(#REF!="none","",#REF!)</f>
        <v>#REF!</v>
      </c>
      <c r="M104" t="e">
        <f>IF(#REF!="none","",'Take-off Build'!K104+'Take-off Build'!L104)</f>
        <v>#REF!</v>
      </c>
      <c r="O104" t="e">
        <f>IF(#REF!="none","",#REF!)</f>
        <v>#REF!</v>
      </c>
      <c r="P104" t="e">
        <f>IF(#REF!="none","",#REF!)</f>
        <v>#REF!</v>
      </c>
      <c r="Q104" t="e">
        <f>IF(#REF!="none","",#REF!)</f>
        <v>#REF!</v>
      </c>
      <c r="R104" t="e">
        <f>IF(#REF!="none","",#REF!)</f>
        <v>#REF!</v>
      </c>
      <c r="S104" t="e">
        <f>IF(#REF!="none","",#REF!)</f>
        <v>#REF!</v>
      </c>
      <c r="T104" t="e">
        <f>IF(#REF!="none","",'Take-off Build'!S104+'Take-off Build'!R104)</f>
        <v>#REF!</v>
      </c>
    </row>
    <row r="105" spans="1:20" x14ac:dyDescent="0.4">
      <c r="A105" t="str">
        <f>IF('Area A'!B176="None","",'Area A'!B176)</f>
        <v/>
      </c>
      <c r="B105" t="str">
        <f>IF('Area A'!B176="None","",'Area A'!C176)</f>
        <v/>
      </c>
      <c r="C105" t="str">
        <f>IF('Area A'!B176="none","",'Area A'!D176)</f>
        <v/>
      </c>
      <c r="D105" t="str">
        <f>IF('Area A'!B176="none","",'Area A'!E176)</f>
        <v/>
      </c>
      <c r="E105" t="str">
        <f>IF('Area A'!B176="none","",'Area A'!H176)</f>
        <v/>
      </c>
      <c r="F105" t="str">
        <f>IF(Table1[[#This Row],[Item]]="","",Table1[[#This Row],[Unit Count]]+Table1[[#This Row],[Coushion Qty]])</f>
        <v/>
      </c>
      <c r="H105" t="e">
        <f>IF(#REF!="none","",#REF!)</f>
        <v>#REF!</v>
      </c>
      <c r="I105" t="e">
        <f>IF(#REF!="none","",#REF!)</f>
        <v>#REF!</v>
      </c>
      <c r="J105" t="e">
        <f>IF(#REF!="none","",#REF!)</f>
        <v>#REF!</v>
      </c>
      <c r="K105" t="e">
        <f>IF(#REF!="none","",#REF!)</f>
        <v>#REF!</v>
      </c>
      <c r="L105" t="e">
        <f>IF(#REF!="none","",#REF!)</f>
        <v>#REF!</v>
      </c>
      <c r="M105" t="e">
        <f>IF(#REF!="none","",'Take-off Build'!K105+'Take-off Build'!L105)</f>
        <v>#REF!</v>
      </c>
      <c r="O105" t="e">
        <f>IF(#REF!="none","",#REF!)</f>
        <v>#REF!</v>
      </c>
      <c r="P105" t="e">
        <f>IF(#REF!="none","",#REF!)</f>
        <v>#REF!</v>
      </c>
      <c r="Q105" t="e">
        <f>IF(#REF!="none","",#REF!)</f>
        <v>#REF!</v>
      </c>
      <c r="R105" t="e">
        <f>IF(#REF!="none","",#REF!)</f>
        <v>#REF!</v>
      </c>
      <c r="S105" t="e">
        <f>IF(#REF!="none","",#REF!)</f>
        <v>#REF!</v>
      </c>
      <c r="T105" t="e">
        <f>IF(#REF!="none","",'Take-off Build'!S105+'Take-off Build'!R105)</f>
        <v>#REF!</v>
      </c>
    </row>
    <row r="106" spans="1:20" x14ac:dyDescent="0.4">
      <c r="A106" t="str">
        <f>IF('Area A'!B177="None","",'Area A'!B177)</f>
        <v/>
      </c>
      <c r="B106" t="str">
        <f>IF('Area A'!B177="None","",'Area A'!C177)</f>
        <v/>
      </c>
      <c r="C106" t="str">
        <f>IF('Area A'!B177="none","",'Area A'!D177)</f>
        <v/>
      </c>
      <c r="D106" t="str">
        <f>IF('Area A'!B177="none","",'Area A'!E177)</f>
        <v/>
      </c>
      <c r="E106" t="str">
        <f>IF('Area A'!B177="none","",'Area A'!H177)</f>
        <v/>
      </c>
      <c r="F106" t="str">
        <f>IF(Table1[[#This Row],[Item]]="","",Table1[[#This Row],[Unit Count]]+Table1[[#This Row],[Coushion Qty]])</f>
        <v/>
      </c>
      <c r="H106" t="e">
        <f>IF(#REF!="none","",#REF!)</f>
        <v>#REF!</v>
      </c>
      <c r="I106" t="e">
        <f>IF(#REF!="none","",#REF!)</f>
        <v>#REF!</v>
      </c>
      <c r="J106" t="e">
        <f>IF(#REF!="none","",#REF!)</f>
        <v>#REF!</v>
      </c>
      <c r="K106" t="e">
        <f>IF(#REF!="none","",#REF!)</f>
        <v>#REF!</v>
      </c>
      <c r="L106" t="e">
        <f>IF(#REF!="none","",#REF!)</f>
        <v>#REF!</v>
      </c>
      <c r="M106" t="e">
        <f>IF(#REF!="none","",'Take-off Build'!K106+'Take-off Build'!L106)</f>
        <v>#REF!</v>
      </c>
      <c r="O106" t="e">
        <f>IF(#REF!="none","",#REF!)</f>
        <v>#REF!</v>
      </c>
      <c r="P106" t="e">
        <f>IF(#REF!="none","",#REF!)</f>
        <v>#REF!</v>
      </c>
      <c r="Q106" t="e">
        <f>IF(#REF!="none","",#REF!)</f>
        <v>#REF!</v>
      </c>
      <c r="R106" t="e">
        <f>IF(#REF!="none","",#REF!)</f>
        <v>#REF!</v>
      </c>
      <c r="S106" t="e">
        <f>IF(#REF!="none","",#REF!)</f>
        <v>#REF!</v>
      </c>
      <c r="T106" t="e">
        <f>IF(#REF!="none","",'Take-off Build'!S106+'Take-off Build'!R106)</f>
        <v>#REF!</v>
      </c>
    </row>
    <row r="107" spans="1:20" x14ac:dyDescent="0.4">
      <c r="A107" t="str">
        <f>IF('Area A'!B178="None","",'Area A'!B178)</f>
        <v/>
      </c>
      <c r="B107" t="str">
        <f>IF('Area A'!B178="None","",'Area A'!C178)</f>
        <v/>
      </c>
      <c r="C107" t="str">
        <f>IF('Area A'!B178="none","",'Area A'!D178)</f>
        <v/>
      </c>
      <c r="D107" t="str">
        <f>IF('Area A'!B178="none","",'Area A'!E178)</f>
        <v/>
      </c>
      <c r="E107" t="str">
        <f>IF('Area A'!B178="none","",'Area A'!H178)</f>
        <v/>
      </c>
      <c r="F107" t="str">
        <f>IF(Table1[[#This Row],[Item]]="","",Table1[[#This Row],[Unit Count]]+Table1[[#This Row],[Coushion Qty]])</f>
        <v/>
      </c>
      <c r="H107" t="e">
        <f>IF(#REF!="none","",#REF!)</f>
        <v>#REF!</v>
      </c>
      <c r="I107" t="e">
        <f>IF(#REF!="none","",#REF!)</f>
        <v>#REF!</v>
      </c>
      <c r="J107" t="e">
        <f>IF(#REF!="none","",#REF!)</f>
        <v>#REF!</v>
      </c>
      <c r="K107" t="e">
        <f>IF(#REF!="none","",#REF!)</f>
        <v>#REF!</v>
      </c>
      <c r="L107" t="e">
        <f>IF(#REF!="none","",#REF!)</f>
        <v>#REF!</v>
      </c>
      <c r="M107" t="e">
        <f>IF(#REF!="none","",'Take-off Build'!K107+'Take-off Build'!L107)</f>
        <v>#REF!</v>
      </c>
      <c r="O107" t="e">
        <f>IF(#REF!="none","",#REF!)</f>
        <v>#REF!</v>
      </c>
      <c r="P107" t="e">
        <f>IF(#REF!="none","",#REF!)</f>
        <v>#REF!</v>
      </c>
      <c r="Q107" t="e">
        <f>IF(#REF!="none","",#REF!)</f>
        <v>#REF!</v>
      </c>
      <c r="R107" t="e">
        <f>IF(#REF!="none","",#REF!)</f>
        <v>#REF!</v>
      </c>
      <c r="S107" t="e">
        <f>IF(#REF!="none","",#REF!)</f>
        <v>#REF!</v>
      </c>
      <c r="T107" t="e">
        <f>IF(#REF!="none","",'Take-off Build'!S107+'Take-off Build'!R107)</f>
        <v>#REF!</v>
      </c>
    </row>
    <row r="108" spans="1:20" x14ac:dyDescent="0.4">
      <c r="A108" t="str">
        <f>IF('Area A'!B179="None","",'Area A'!B179)</f>
        <v/>
      </c>
      <c r="B108" t="str">
        <f>IF('Area A'!B179="None","",'Area A'!C179)</f>
        <v/>
      </c>
      <c r="C108" t="str">
        <f>IF('Area A'!B179="none","",'Area A'!D179)</f>
        <v/>
      </c>
      <c r="D108" t="str">
        <f>IF('Area A'!B179="none","",'Area A'!E179)</f>
        <v/>
      </c>
      <c r="E108" t="str">
        <f>IF('Area A'!B179="none","",'Area A'!H179)</f>
        <v/>
      </c>
      <c r="F108" t="str">
        <f>IF(Table1[[#This Row],[Item]]="","",Table1[[#This Row],[Unit Count]]+Table1[[#This Row],[Coushion Qty]])</f>
        <v/>
      </c>
      <c r="H108" t="e">
        <f>IF(#REF!="none","",#REF!)</f>
        <v>#REF!</v>
      </c>
      <c r="I108" t="e">
        <f>IF(#REF!="none","",#REF!)</f>
        <v>#REF!</v>
      </c>
      <c r="J108" t="e">
        <f>IF(#REF!="none","",#REF!)</f>
        <v>#REF!</v>
      </c>
      <c r="K108" t="e">
        <f>IF(#REF!="none","",#REF!)</f>
        <v>#REF!</v>
      </c>
      <c r="L108" t="e">
        <f>IF(#REF!="none","",#REF!)</f>
        <v>#REF!</v>
      </c>
      <c r="M108" t="e">
        <f>IF(#REF!="none","",'Take-off Build'!K108+'Take-off Build'!L108)</f>
        <v>#REF!</v>
      </c>
      <c r="O108" t="e">
        <f>IF(#REF!="none","",#REF!)</f>
        <v>#REF!</v>
      </c>
      <c r="P108" t="e">
        <f>IF(#REF!="none","",#REF!)</f>
        <v>#REF!</v>
      </c>
      <c r="Q108" t="e">
        <f>IF(#REF!="none","",#REF!)</f>
        <v>#REF!</v>
      </c>
      <c r="R108" t="e">
        <f>IF(#REF!="none","",#REF!)</f>
        <v>#REF!</v>
      </c>
      <c r="S108" t="e">
        <f>IF(#REF!="none","",#REF!)</f>
        <v>#REF!</v>
      </c>
      <c r="T108" t="e">
        <f>IF(#REF!="none","",'Take-off Build'!S108+'Take-off Build'!R108)</f>
        <v>#REF!</v>
      </c>
    </row>
    <row r="109" spans="1:20" x14ac:dyDescent="0.4">
      <c r="A109" t="str">
        <f>IF('Area A'!B180="None","",'Area A'!B180)</f>
        <v/>
      </c>
      <c r="B109" t="str">
        <f>IF('Area A'!B180="None","",'Area A'!C180)</f>
        <v/>
      </c>
      <c r="C109" t="str">
        <f>IF('Area A'!B180="none","",'Area A'!D180)</f>
        <v/>
      </c>
      <c r="D109" t="str">
        <f>IF('Area A'!B180="none","",'Area A'!E180)</f>
        <v/>
      </c>
      <c r="E109" t="str">
        <f>IF('Area A'!B180="none","",'Area A'!H180)</f>
        <v/>
      </c>
      <c r="F109" t="str">
        <f>IF(Table1[[#This Row],[Item]]="","",Table1[[#This Row],[Unit Count]]+Table1[[#This Row],[Coushion Qty]])</f>
        <v/>
      </c>
      <c r="H109" t="e">
        <f>IF(#REF!="none","",#REF!)</f>
        <v>#REF!</v>
      </c>
      <c r="I109" t="e">
        <f>IF(#REF!="none","",#REF!)</f>
        <v>#REF!</v>
      </c>
      <c r="J109" t="e">
        <f>IF(#REF!="none","",#REF!)</f>
        <v>#REF!</v>
      </c>
      <c r="K109" t="e">
        <f>IF(#REF!="none","",#REF!)</f>
        <v>#REF!</v>
      </c>
      <c r="L109" t="e">
        <f>IF(#REF!="none","",#REF!)</f>
        <v>#REF!</v>
      </c>
      <c r="M109" t="e">
        <f>IF(#REF!="none","",'Take-off Build'!K109+'Take-off Build'!L109)</f>
        <v>#REF!</v>
      </c>
      <c r="O109" t="e">
        <f>IF(#REF!="none","",#REF!)</f>
        <v>#REF!</v>
      </c>
      <c r="P109" t="e">
        <f>IF(#REF!="none","",#REF!)</f>
        <v>#REF!</v>
      </c>
      <c r="Q109" t="e">
        <f>IF(#REF!="none","",#REF!)</f>
        <v>#REF!</v>
      </c>
      <c r="R109" t="e">
        <f>IF(#REF!="none","",#REF!)</f>
        <v>#REF!</v>
      </c>
      <c r="S109" t="e">
        <f>IF(#REF!="none","",#REF!)</f>
        <v>#REF!</v>
      </c>
      <c r="T109" t="e">
        <f>IF(#REF!="none","",'Take-off Build'!S109+'Take-off Build'!R109)</f>
        <v>#REF!</v>
      </c>
    </row>
    <row r="110" spans="1:20" x14ac:dyDescent="0.4">
      <c r="A110" t="str">
        <f>IF('Area A'!B181="None","",'Area A'!B181)</f>
        <v/>
      </c>
      <c r="B110" t="str">
        <f>IF('Area A'!B181="None","",'Area A'!C181)</f>
        <v/>
      </c>
      <c r="C110" t="str">
        <f>IF('Area A'!B181="none","",'Area A'!D181)</f>
        <v/>
      </c>
      <c r="D110" t="str">
        <f>IF('Area A'!B181="none","",'Area A'!E181)</f>
        <v/>
      </c>
      <c r="E110" t="str">
        <f>IF('Area A'!B181="none","",'Area A'!H181)</f>
        <v/>
      </c>
      <c r="F110" t="str">
        <f>IF(Table1[[#This Row],[Item]]="","",Table1[[#This Row],[Unit Count]]+Table1[[#This Row],[Coushion Qty]])</f>
        <v/>
      </c>
      <c r="H110" t="e">
        <f>IF(#REF!="none","",#REF!)</f>
        <v>#REF!</v>
      </c>
      <c r="I110" t="e">
        <f>IF(#REF!="none","",#REF!)</f>
        <v>#REF!</v>
      </c>
      <c r="J110" t="e">
        <f>IF(#REF!="none","",#REF!)</f>
        <v>#REF!</v>
      </c>
      <c r="K110" t="e">
        <f>IF(#REF!="none","",#REF!)</f>
        <v>#REF!</v>
      </c>
      <c r="L110" t="e">
        <f>IF(#REF!="none","",#REF!)</f>
        <v>#REF!</v>
      </c>
      <c r="M110" t="e">
        <f>IF(#REF!="none","",'Take-off Build'!K110+'Take-off Build'!L110)</f>
        <v>#REF!</v>
      </c>
      <c r="O110" t="e">
        <f>IF(#REF!="none","",#REF!)</f>
        <v>#REF!</v>
      </c>
      <c r="P110" t="e">
        <f>IF(#REF!="none","",#REF!)</f>
        <v>#REF!</v>
      </c>
      <c r="Q110" t="e">
        <f>IF(#REF!="none","",#REF!)</f>
        <v>#REF!</v>
      </c>
      <c r="R110" t="e">
        <f>IF(#REF!="none","",#REF!)</f>
        <v>#REF!</v>
      </c>
      <c r="S110" t="e">
        <f>IF(#REF!="none","",#REF!)</f>
        <v>#REF!</v>
      </c>
      <c r="T110" t="e">
        <f>IF(#REF!="none","",'Take-off Build'!S110+'Take-off Build'!R110)</f>
        <v>#REF!</v>
      </c>
    </row>
    <row r="111" spans="1:20" x14ac:dyDescent="0.4">
      <c r="A111" t="str">
        <f>IF('Area A'!B182="None","",'Area A'!B182)</f>
        <v/>
      </c>
      <c r="B111" t="str">
        <f>IF('Area A'!B182="None","",'Area A'!C182)</f>
        <v/>
      </c>
      <c r="C111" t="str">
        <f>IF('Area A'!B182="none","",'Area A'!D182)</f>
        <v/>
      </c>
      <c r="D111" t="str">
        <f>IF('Area A'!B182="none","",'Area A'!E182)</f>
        <v/>
      </c>
      <c r="E111" t="str">
        <f>IF('Area A'!B182="none","",'Area A'!H182)</f>
        <v/>
      </c>
      <c r="F111" t="str">
        <f>IF(Table1[[#This Row],[Item]]="","",Table1[[#This Row],[Unit Count]]+Table1[[#This Row],[Coushion Qty]])</f>
        <v/>
      </c>
      <c r="H111" t="e">
        <f>IF(#REF!="none","",#REF!)</f>
        <v>#REF!</v>
      </c>
      <c r="I111" t="e">
        <f>IF(#REF!="none","",#REF!)</f>
        <v>#REF!</v>
      </c>
      <c r="J111" t="e">
        <f>IF(#REF!="none","",#REF!)</f>
        <v>#REF!</v>
      </c>
      <c r="K111" t="e">
        <f>IF(#REF!="none","",#REF!)</f>
        <v>#REF!</v>
      </c>
      <c r="L111" t="e">
        <f>IF(#REF!="none","",#REF!)</f>
        <v>#REF!</v>
      </c>
      <c r="M111" t="e">
        <f>IF(#REF!="none","",'Take-off Build'!K111+'Take-off Build'!L111)</f>
        <v>#REF!</v>
      </c>
      <c r="O111" t="e">
        <f>IF(#REF!="none","",#REF!)</f>
        <v>#REF!</v>
      </c>
      <c r="P111" t="e">
        <f>IF(#REF!="none","",#REF!)</f>
        <v>#REF!</v>
      </c>
      <c r="Q111" t="e">
        <f>IF(#REF!="none","",#REF!)</f>
        <v>#REF!</v>
      </c>
      <c r="R111" t="e">
        <f>IF(#REF!="none","",#REF!)</f>
        <v>#REF!</v>
      </c>
      <c r="S111" t="e">
        <f>IF(#REF!="none","",#REF!)</f>
        <v>#REF!</v>
      </c>
      <c r="T111" t="e">
        <f>IF(#REF!="none","",'Take-off Build'!S111+'Take-off Build'!R111)</f>
        <v>#REF!</v>
      </c>
    </row>
    <row r="112" spans="1:20" x14ac:dyDescent="0.4">
      <c r="A112" t="str">
        <f>IF('Area A'!B183="None","",'Area A'!B183)</f>
        <v/>
      </c>
      <c r="B112" t="str">
        <f>IF('Area A'!B183="None","",'Area A'!C183)</f>
        <v/>
      </c>
      <c r="C112" t="str">
        <f>IF('Area A'!B183="none","",'Area A'!D183)</f>
        <v/>
      </c>
      <c r="D112" t="str">
        <f>IF('Area A'!B183="none","",'Area A'!E183)</f>
        <v/>
      </c>
      <c r="E112" t="str">
        <f>IF('Area A'!B183="none","",'Area A'!H183)</f>
        <v/>
      </c>
      <c r="F112" t="str">
        <f>IF(Table1[[#This Row],[Item]]="","",Table1[[#This Row],[Unit Count]]+Table1[[#This Row],[Coushion Qty]])</f>
        <v/>
      </c>
      <c r="H112" t="e">
        <f>IF(#REF!="none","",#REF!)</f>
        <v>#REF!</v>
      </c>
      <c r="I112" t="e">
        <f>IF(#REF!="none","",#REF!)</f>
        <v>#REF!</v>
      </c>
      <c r="J112" t="e">
        <f>IF(#REF!="none","",#REF!)</f>
        <v>#REF!</v>
      </c>
      <c r="K112" t="e">
        <f>IF(#REF!="none","",#REF!)</f>
        <v>#REF!</v>
      </c>
      <c r="L112" t="e">
        <f>IF(#REF!="none","",#REF!)</f>
        <v>#REF!</v>
      </c>
      <c r="M112" t="e">
        <f>IF(#REF!="none","",'Take-off Build'!K112+'Take-off Build'!L112)</f>
        <v>#REF!</v>
      </c>
      <c r="O112" t="e">
        <f>IF(#REF!="none","",#REF!)</f>
        <v>#REF!</v>
      </c>
      <c r="P112" t="e">
        <f>IF(#REF!="none","",#REF!)</f>
        <v>#REF!</v>
      </c>
      <c r="Q112" t="e">
        <f>IF(#REF!="none","",#REF!)</f>
        <v>#REF!</v>
      </c>
      <c r="R112" t="e">
        <f>IF(#REF!="none","",#REF!)</f>
        <v>#REF!</v>
      </c>
      <c r="S112" t="e">
        <f>IF(#REF!="none","",#REF!)</f>
        <v>#REF!</v>
      </c>
      <c r="T112" t="e">
        <f>IF(#REF!="none","",'Take-off Build'!S112+'Take-off Build'!R112)</f>
        <v>#REF!</v>
      </c>
    </row>
    <row r="113" spans="1:20" x14ac:dyDescent="0.4">
      <c r="A113" t="str">
        <f>IF('Area A'!B184="None","",'Area A'!B184)</f>
        <v/>
      </c>
      <c r="B113" t="str">
        <f>IF('Area A'!B184="None","",'Area A'!C184)</f>
        <v/>
      </c>
      <c r="C113" t="str">
        <f>IF('Area A'!B184="none","",'Area A'!D184)</f>
        <v/>
      </c>
      <c r="D113" t="str">
        <f>IF('Area A'!B184="none","",'Area A'!E184)</f>
        <v/>
      </c>
      <c r="E113" t="str">
        <f>IF('Area A'!B184="none","",'Area A'!H184)</f>
        <v/>
      </c>
      <c r="F113" t="str">
        <f>IF(Table1[[#This Row],[Item]]="","",Table1[[#This Row],[Unit Count]]+Table1[[#This Row],[Coushion Qty]])</f>
        <v/>
      </c>
      <c r="H113" t="e">
        <f>IF(#REF!="none","",#REF!)</f>
        <v>#REF!</v>
      </c>
      <c r="I113" t="e">
        <f>IF(#REF!="none","",#REF!)</f>
        <v>#REF!</v>
      </c>
      <c r="J113" t="e">
        <f>IF(#REF!="none","",#REF!)</f>
        <v>#REF!</v>
      </c>
      <c r="K113" t="e">
        <f>IF(#REF!="none","",#REF!)</f>
        <v>#REF!</v>
      </c>
      <c r="L113" t="e">
        <f>IF(#REF!="none","",#REF!)</f>
        <v>#REF!</v>
      </c>
      <c r="M113" t="e">
        <f>IF(#REF!="none","",'Take-off Build'!K113+'Take-off Build'!L113)</f>
        <v>#REF!</v>
      </c>
      <c r="O113" t="e">
        <f>IF(#REF!="none","",#REF!)</f>
        <v>#REF!</v>
      </c>
      <c r="P113" t="e">
        <f>IF(#REF!="none","",#REF!)</f>
        <v>#REF!</v>
      </c>
      <c r="Q113" t="e">
        <f>IF(#REF!="none","",#REF!)</f>
        <v>#REF!</v>
      </c>
      <c r="R113" t="e">
        <f>IF(#REF!="none","",#REF!)</f>
        <v>#REF!</v>
      </c>
      <c r="S113" t="e">
        <f>IF(#REF!="none","",#REF!)</f>
        <v>#REF!</v>
      </c>
      <c r="T113" t="e">
        <f>IF(#REF!="none","",'Take-off Build'!S113+'Take-off Build'!R113)</f>
        <v>#REF!</v>
      </c>
    </row>
    <row r="114" spans="1:20" x14ac:dyDescent="0.4">
      <c r="A114" t="str">
        <f>IF('Area A'!B185="None","",'Area A'!B185)</f>
        <v/>
      </c>
      <c r="B114" t="str">
        <f>IF('Area A'!B185="None","",'Area A'!C185)</f>
        <v/>
      </c>
      <c r="C114" t="str">
        <f>IF('Area A'!B185="none","",'Area A'!D185)</f>
        <v/>
      </c>
      <c r="D114" t="str">
        <f>IF('Area A'!B185="none","",'Area A'!E185)</f>
        <v/>
      </c>
      <c r="E114" t="str">
        <f>IF('Area A'!B185="none","",'Area A'!H185)</f>
        <v/>
      </c>
      <c r="F114" t="str">
        <f>IF(Table1[[#This Row],[Item]]="","",Table1[[#This Row],[Unit Count]]+Table1[[#This Row],[Coushion Qty]])</f>
        <v/>
      </c>
      <c r="H114" t="e">
        <f>IF(#REF!="none","",#REF!)</f>
        <v>#REF!</v>
      </c>
      <c r="I114" t="e">
        <f>IF(#REF!="none","",#REF!)</f>
        <v>#REF!</v>
      </c>
      <c r="J114" t="e">
        <f>IF(#REF!="none","",#REF!)</f>
        <v>#REF!</v>
      </c>
      <c r="K114" t="e">
        <f>IF(#REF!="none","",#REF!)</f>
        <v>#REF!</v>
      </c>
      <c r="L114" t="e">
        <f>IF(#REF!="none","",#REF!)</f>
        <v>#REF!</v>
      </c>
      <c r="M114" t="e">
        <f>IF(#REF!="none","",'Take-off Build'!K114+'Take-off Build'!L114)</f>
        <v>#REF!</v>
      </c>
      <c r="O114" t="e">
        <f>IF(#REF!="none","",#REF!)</f>
        <v>#REF!</v>
      </c>
      <c r="P114" t="e">
        <f>IF(#REF!="none","",#REF!)</f>
        <v>#REF!</v>
      </c>
      <c r="Q114" t="e">
        <f>IF(#REF!="none","",#REF!)</f>
        <v>#REF!</v>
      </c>
      <c r="R114" t="e">
        <f>IF(#REF!="none","",#REF!)</f>
        <v>#REF!</v>
      </c>
      <c r="S114" t="e">
        <f>IF(#REF!="none","",#REF!)</f>
        <v>#REF!</v>
      </c>
      <c r="T114" t="e">
        <f>IF(#REF!="none","",'Take-off Build'!S114+'Take-off Build'!R114)</f>
        <v>#REF!</v>
      </c>
    </row>
    <row r="115" spans="1:20" x14ac:dyDescent="0.4">
      <c r="A115" t="str">
        <f>IF('Area A'!B186="None","",'Area A'!B186)</f>
        <v/>
      </c>
      <c r="B115" t="str">
        <f>IF('Area A'!B186="None","",'Area A'!C186)</f>
        <v/>
      </c>
      <c r="C115" t="str">
        <f>IF('Area A'!B186="none","",'Area A'!D186)</f>
        <v/>
      </c>
      <c r="D115" t="str">
        <f>IF('Area A'!B186="none","",'Area A'!E186)</f>
        <v/>
      </c>
      <c r="E115" t="str">
        <f>IF('Area A'!B186="none","",'Area A'!H186)</f>
        <v/>
      </c>
      <c r="F115" t="str">
        <f>IF(Table1[[#This Row],[Item]]="","",Table1[[#This Row],[Unit Count]]+Table1[[#This Row],[Coushion Qty]])</f>
        <v/>
      </c>
      <c r="H115" t="e">
        <f>IF(#REF!="none","",#REF!)</f>
        <v>#REF!</v>
      </c>
      <c r="I115" t="e">
        <f>IF(#REF!="none","",#REF!)</f>
        <v>#REF!</v>
      </c>
      <c r="J115" t="e">
        <f>IF(#REF!="none","",#REF!)</f>
        <v>#REF!</v>
      </c>
      <c r="K115" t="e">
        <f>IF(#REF!="none","",#REF!)</f>
        <v>#REF!</v>
      </c>
      <c r="L115" t="e">
        <f>IF(#REF!="none","",#REF!)</f>
        <v>#REF!</v>
      </c>
      <c r="M115" t="e">
        <f>IF(#REF!="none","",'Take-off Build'!K115+'Take-off Build'!L115)</f>
        <v>#REF!</v>
      </c>
      <c r="O115" t="e">
        <f>IF(#REF!="none","",#REF!)</f>
        <v>#REF!</v>
      </c>
      <c r="P115" t="e">
        <f>IF(#REF!="none","",#REF!)</f>
        <v>#REF!</v>
      </c>
      <c r="Q115" t="e">
        <f>IF(#REF!="none","",#REF!)</f>
        <v>#REF!</v>
      </c>
      <c r="R115" t="e">
        <f>IF(#REF!="none","",#REF!)</f>
        <v>#REF!</v>
      </c>
      <c r="S115" t="e">
        <f>IF(#REF!="none","",#REF!)</f>
        <v>#REF!</v>
      </c>
      <c r="T115" t="e">
        <f>IF(#REF!="none","",'Take-off Build'!S115+'Take-off Build'!R115)</f>
        <v>#REF!</v>
      </c>
    </row>
    <row r="116" spans="1:20" x14ac:dyDescent="0.4">
      <c r="A116" t="str">
        <f>IF('Area A'!B187="None","",'Area A'!B187)</f>
        <v/>
      </c>
      <c r="B116" t="str">
        <f>IF('Area A'!B187="None","",'Area A'!C187)</f>
        <v/>
      </c>
      <c r="C116" t="str">
        <f>IF('Area A'!B187="none","",'Area A'!D187)</f>
        <v/>
      </c>
      <c r="D116" t="str">
        <f>IF('Area A'!B187="none","",'Area A'!E187)</f>
        <v/>
      </c>
      <c r="E116" t="str">
        <f>IF('Area A'!B187="none","",'Area A'!H187)</f>
        <v/>
      </c>
      <c r="F116" t="str">
        <f>IF(Table1[[#This Row],[Item]]="","",Table1[[#This Row],[Unit Count]]+Table1[[#This Row],[Coushion Qty]])</f>
        <v/>
      </c>
      <c r="H116" t="e">
        <f>IF(#REF!="none","",#REF!)</f>
        <v>#REF!</v>
      </c>
      <c r="I116" t="e">
        <f>IF(#REF!="none","",#REF!)</f>
        <v>#REF!</v>
      </c>
      <c r="J116" t="e">
        <f>IF(#REF!="none","",#REF!)</f>
        <v>#REF!</v>
      </c>
      <c r="K116" t="e">
        <f>IF(#REF!="none","",#REF!)</f>
        <v>#REF!</v>
      </c>
      <c r="L116" t="e">
        <f>IF(#REF!="none","",#REF!)</f>
        <v>#REF!</v>
      </c>
      <c r="M116" t="e">
        <f>IF(#REF!="none","",'Take-off Build'!K116+'Take-off Build'!L116)</f>
        <v>#REF!</v>
      </c>
      <c r="O116" t="e">
        <f>IF(#REF!="none","",#REF!)</f>
        <v>#REF!</v>
      </c>
      <c r="P116" t="e">
        <f>IF(#REF!="none","",#REF!)</f>
        <v>#REF!</v>
      </c>
      <c r="Q116" t="e">
        <f>IF(#REF!="none","",#REF!)</f>
        <v>#REF!</v>
      </c>
      <c r="R116" t="e">
        <f>IF(#REF!="none","",#REF!)</f>
        <v>#REF!</v>
      </c>
      <c r="S116" t="e">
        <f>IF(#REF!="none","",#REF!)</f>
        <v>#REF!</v>
      </c>
      <c r="T116" t="e">
        <f>IF(#REF!="none","",'Take-off Build'!S116+'Take-off Build'!R116)</f>
        <v>#REF!</v>
      </c>
    </row>
    <row r="117" spans="1:20" x14ac:dyDescent="0.4">
      <c r="A117" t="e">
        <f>IF('Area A'!#REF!="None","",'Area A'!#REF!)</f>
        <v>#REF!</v>
      </c>
      <c r="B117" t="e">
        <f>IF('Area A'!#REF!="None","",'Area A'!#REF!)</f>
        <v>#REF!</v>
      </c>
      <c r="C117" t="e">
        <f>IF('Area A'!#REF!="none","",'Area A'!#REF!)</f>
        <v>#REF!</v>
      </c>
      <c r="D117" t="e">
        <f>IF('Area A'!#REF!="none","",'Area A'!#REF!)</f>
        <v>#REF!</v>
      </c>
      <c r="E117" t="e">
        <f>IF('Area A'!#REF!="none","",'Area A'!#REF!)</f>
        <v>#REF!</v>
      </c>
      <c r="F117" t="e">
        <f>IF(Table1[[#This Row],[Item]]="","",Table1[[#This Row],[Unit Count]]+Table1[[#This Row],[Coushion Qty]])</f>
        <v>#REF!</v>
      </c>
      <c r="H117" t="e">
        <f>IF(#REF!="none","",#REF!)</f>
        <v>#REF!</v>
      </c>
      <c r="I117" t="e">
        <f>IF(#REF!="none","",#REF!)</f>
        <v>#REF!</v>
      </c>
      <c r="J117" t="e">
        <f>IF(#REF!="none","",#REF!)</f>
        <v>#REF!</v>
      </c>
      <c r="K117" t="e">
        <f>IF(#REF!="none","",#REF!)</f>
        <v>#REF!</v>
      </c>
      <c r="L117" t="e">
        <f>IF(#REF!="none","",#REF!)</f>
        <v>#REF!</v>
      </c>
      <c r="M117" t="e">
        <f>IF(#REF!="none","",'Take-off Build'!K117+'Take-off Build'!L117)</f>
        <v>#REF!</v>
      </c>
      <c r="O117" t="e">
        <f>IF(#REF!="none","",#REF!)</f>
        <v>#REF!</v>
      </c>
      <c r="P117" t="e">
        <f>IF(#REF!="none","",#REF!)</f>
        <v>#REF!</v>
      </c>
      <c r="Q117" t="e">
        <f>IF(#REF!="none","",#REF!)</f>
        <v>#REF!</v>
      </c>
      <c r="R117" t="e">
        <f>IF(#REF!="none","",#REF!)</f>
        <v>#REF!</v>
      </c>
      <c r="S117" t="e">
        <f>IF(#REF!="none","",#REF!)</f>
        <v>#REF!</v>
      </c>
      <c r="T117" t="e">
        <f>IF(#REF!="none","",'Take-off Build'!S117+'Take-off Build'!R117)</f>
        <v>#REF!</v>
      </c>
    </row>
    <row r="118" spans="1:20" x14ac:dyDescent="0.4">
      <c r="A118" t="e">
        <f>IF('Area A'!#REF!="None","",'Area A'!#REF!)</f>
        <v>#REF!</v>
      </c>
      <c r="B118" t="e">
        <f>IF('Area A'!#REF!="None","",'Area A'!#REF!)</f>
        <v>#REF!</v>
      </c>
      <c r="C118" t="e">
        <f>IF('Area A'!#REF!="none","",'Area A'!#REF!)</f>
        <v>#REF!</v>
      </c>
      <c r="D118" t="e">
        <f>IF('Area A'!#REF!="none","",'Area A'!#REF!)</f>
        <v>#REF!</v>
      </c>
      <c r="E118" t="e">
        <f>IF('Area A'!#REF!="none","",'Area A'!#REF!)</f>
        <v>#REF!</v>
      </c>
      <c r="F118" t="e">
        <f>IF(Table1[[#This Row],[Item]]="","",Table1[[#This Row],[Unit Count]]+Table1[[#This Row],[Coushion Qty]])</f>
        <v>#REF!</v>
      </c>
      <c r="H118" t="e">
        <f>IF(#REF!="none","",#REF!)</f>
        <v>#REF!</v>
      </c>
      <c r="I118" t="e">
        <f>IF(#REF!="none","",#REF!)</f>
        <v>#REF!</v>
      </c>
      <c r="J118" t="e">
        <f>IF(#REF!="none","",#REF!)</f>
        <v>#REF!</v>
      </c>
      <c r="K118" t="e">
        <f>IF(#REF!="none","",#REF!)</f>
        <v>#REF!</v>
      </c>
      <c r="L118" t="e">
        <f>IF(#REF!="none","",#REF!)</f>
        <v>#REF!</v>
      </c>
      <c r="M118" t="e">
        <f>IF(#REF!="none","",'Take-off Build'!K118+'Take-off Build'!L118)</f>
        <v>#REF!</v>
      </c>
      <c r="O118" t="e">
        <f>IF(#REF!="none","",#REF!)</f>
        <v>#REF!</v>
      </c>
      <c r="P118" t="e">
        <f>IF(#REF!="none","",#REF!)</f>
        <v>#REF!</v>
      </c>
      <c r="Q118" t="e">
        <f>IF(#REF!="none","",#REF!)</f>
        <v>#REF!</v>
      </c>
      <c r="R118" t="e">
        <f>IF(#REF!="none","",#REF!)</f>
        <v>#REF!</v>
      </c>
      <c r="S118" t="e">
        <f>IF(#REF!="none","",#REF!)</f>
        <v>#REF!</v>
      </c>
      <c r="T118" t="e">
        <f>IF(#REF!="none","",'Take-off Build'!S118+'Take-off Build'!R118)</f>
        <v>#REF!</v>
      </c>
    </row>
    <row r="119" spans="1:20" x14ac:dyDescent="0.4">
      <c r="A119" t="e">
        <f>IF('Area A'!#REF!="None","",'Area A'!#REF!)</f>
        <v>#REF!</v>
      </c>
      <c r="B119" t="e">
        <f>IF('Area A'!#REF!="None","",'Area A'!#REF!)</f>
        <v>#REF!</v>
      </c>
      <c r="C119" t="e">
        <f>IF('Area A'!#REF!="none","",'Area A'!#REF!)</f>
        <v>#REF!</v>
      </c>
      <c r="D119" t="e">
        <f>IF('Area A'!#REF!="none","",'Area A'!#REF!)</f>
        <v>#REF!</v>
      </c>
      <c r="E119" t="e">
        <f>IF('Area A'!#REF!="none","",'Area A'!#REF!)</f>
        <v>#REF!</v>
      </c>
      <c r="F119" t="e">
        <f>IF(Table1[[#This Row],[Item]]="","",Table1[[#This Row],[Unit Count]]+Table1[[#This Row],[Coushion Qty]])</f>
        <v>#REF!</v>
      </c>
      <c r="H119" t="e">
        <f>IF(#REF!="none","",#REF!)</f>
        <v>#REF!</v>
      </c>
      <c r="I119" t="e">
        <f>IF(#REF!="none","",#REF!)</f>
        <v>#REF!</v>
      </c>
      <c r="J119" t="e">
        <f>IF(#REF!="none","",#REF!)</f>
        <v>#REF!</v>
      </c>
      <c r="K119" t="e">
        <f>IF(#REF!="none","",#REF!)</f>
        <v>#REF!</v>
      </c>
      <c r="L119" t="e">
        <f>IF(#REF!="none","",#REF!)</f>
        <v>#REF!</v>
      </c>
      <c r="M119" t="e">
        <f>IF(#REF!="none","",'Take-off Build'!K119+'Take-off Build'!L119)</f>
        <v>#REF!</v>
      </c>
      <c r="O119" t="e">
        <f>IF(#REF!="none","",#REF!)</f>
        <v>#REF!</v>
      </c>
      <c r="P119" t="e">
        <f>IF(#REF!="none","",#REF!)</f>
        <v>#REF!</v>
      </c>
      <c r="Q119" t="e">
        <f>IF(#REF!="none","",#REF!)</f>
        <v>#REF!</v>
      </c>
      <c r="R119" t="e">
        <f>IF(#REF!="none","",#REF!)</f>
        <v>#REF!</v>
      </c>
      <c r="S119" t="e">
        <f>IF(#REF!="none","",#REF!)</f>
        <v>#REF!</v>
      </c>
      <c r="T119" t="e">
        <f>IF(#REF!="none","",'Take-off Build'!S119+'Take-off Build'!R119)</f>
        <v>#REF!</v>
      </c>
    </row>
    <row r="120" spans="1:20" x14ac:dyDescent="0.4">
      <c r="A120" t="e">
        <f>IF('Area A'!#REF!="None","",'Area A'!#REF!)</f>
        <v>#REF!</v>
      </c>
      <c r="B120" t="e">
        <f>IF('Area A'!#REF!="None","",'Area A'!#REF!)</f>
        <v>#REF!</v>
      </c>
      <c r="C120" t="e">
        <f>IF('Area A'!#REF!="none","",'Area A'!#REF!)</f>
        <v>#REF!</v>
      </c>
      <c r="D120" t="e">
        <f>IF('Area A'!#REF!="none","",'Area A'!#REF!)</f>
        <v>#REF!</v>
      </c>
      <c r="E120" t="e">
        <f>IF('Area A'!#REF!="none","",'Area A'!#REF!)</f>
        <v>#REF!</v>
      </c>
      <c r="F120" t="e">
        <f>IF(Table1[[#This Row],[Item]]="","",Table1[[#This Row],[Unit Count]]+Table1[[#This Row],[Coushion Qty]])</f>
        <v>#REF!</v>
      </c>
      <c r="H120" t="e">
        <f>IF(#REF!="none","",#REF!)</f>
        <v>#REF!</v>
      </c>
      <c r="I120" t="e">
        <f>IF(#REF!="none","",#REF!)</f>
        <v>#REF!</v>
      </c>
      <c r="J120" t="e">
        <f>IF(#REF!="none","",#REF!)</f>
        <v>#REF!</v>
      </c>
      <c r="K120" t="e">
        <f>IF(#REF!="none","",#REF!)</f>
        <v>#REF!</v>
      </c>
      <c r="L120" t="e">
        <f>IF(#REF!="none","",#REF!)</f>
        <v>#REF!</v>
      </c>
      <c r="M120" t="e">
        <f>IF(#REF!="none","",'Take-off Build'!K120+'Take-off Build'!L120)</f>
        <v>#REF!</v>
      </c>
      <c r="O120" t="e">
        <f>IF(#REF!="none","",#REF!)</f>
        <v>#REF!</v>
      </c>
      <c r="P120" t="e">
        <f>IF(#REF!="none","",#REF!)</f>
        <v>#REF!</v>
      </c>
      <c r="Q120" t="e">
        <f>IF(#REF!="none","",#REF!)</f>
        <v>#REF!</v>
      </c>
      <c r="R120" t="e">
        <f>IF(#REF!="none","",#REF!)</f>
        <v>#REF!</v>
      </c>
      <c r="S120" t="e">
        <f>IF(#REF!="none","",#REF!)</f>
        <v>#REF!</v>
      </c>
      <c r="T120" t="e">
        <f>IF(#REF!="none","",'Take-off Build'!S120+'Take-off Build'!R120)</f>
        <v>#REF!</v>
      </c>
    </row>
    <row r="121" spans="1:20" x14ac:dyDescent="0.4">
      <c r="A121" t="e">
        <f>IF('Area A'!#REF!="None","",'Area A'!#REF!)</f>
        <v>#REF!</v>
      </c>
      <c r="B121" t="e">
        <f>IF('Area A'!#REF!="None","",'Area A'!#REF!)</f>
        <v>#REF!</v>
      </c>
      <c r="C121" t="e">
        <f>IF('Area A'!#REF!="none","",'Area A'!#REF!)</f>
        <v>#REF!</v>
      </c>
      <c r="D121" t="e">
        <f>IF('Area A'!#REF!="none","",'Area A'!#REF!)</f>
        <v>#REF!</v>
      </c>
      <c r="E121" t="e">
        <f>IF('Area A'!#REF!="none","",'Area A'!#REF!)</f>
        <v>#REF!</v>
      </c>
      <c r="F121" t="e">
        <f>IF(Table1[[#This Row],[Item]]="","",Table1[[#This Row],[Unit Count]]+Table1[[#This Row],[Coushion Qty]])</f>
        <v>#REF!</v>
      </c>
      <c r="H121" t="e">
        <f>IF(#REF!="none","",#REF!)</f>
        <v>#REF!</v>
      </c>
      <c r="I121" t="e">
        <f>IF(#REF!="none","",#REF!)</f>
        <v>#REF!</v>
      </c>
      <c r="J121" t="e">
        <f>IF(#REF!="none","",#REF!)</f>
        <v>#REF!</v>
      </c>
      <c r="K121" t="e">
        <f>IF(#REF!="none","",#REF!)</f>
        <v>#REF!</v>
      </c>
      <c r="L121" t="e">
        <f>IF(#REF!="none","",#REF!)</f>
        <v>#REF!</v>
      </c>
      <c r="M121" t="e">
        <f>IF(#REF!="none","",'Take-off Build'!K121+'Take-off Build'!L121)</f>
        <v>#REF!</v>
      </c>
      <c r="O121" t="e">
        <f>IF(#REF!="none","",#REF!)</f>
        <v>#REF!</v>
      </c>
      <c r="P121" t="e">
        <f>IF(#REF!="none","",#REF!)</f>
        <v>#REF!</v>
      </c>
      <c r="Q121" t="e">
        <f>IF(#REF!="none","",#REF!)</f>
        <v>#REF!</v>
      </c>
      <c r="R121" t="e">
        <f>IF(#REF!="none","",#REF!)</f>
        <v>#REF!</v>
      </c>
      <c r="S121" t="e">
        <f>IF(#REF!="none","",#REF!)</f>
        <v>#REF!</v>
      </c>
      <c r="T121" t="e">
        <f>IF(#REF!="none","",'Take-off Build'!S121+'Take-off Build'!R121)</f>
        <v>#REF!</v>
      </c>
    </row>
    <row r="122" spans="1:20" x14ac:dyDescent="0.4">
      <c r="A122" t="e">
        <f>IF('Area A'!#REF!="None","",'Area A'!#REF!)</f>
        <v>#REF!</v>
      </c>
      <c r="B122" t="e">
        <f>IF('Area A'!#REF!="None","",'Area A'!#REF!)</f>
        <v>#REF!</v>
      </c>
      <c r="C122" t="e">
        <f>IF('Area A'!#REF!="none","",'Area A'!#REF!)</f>
        <v>#REF!</v>
      </c>
      <c r="D122" t="e">
        <f>IF('Area A'!#REF!="none","",'Area A'!#REF!)</f>
        <v>#REF!</v>
      </c>
      <c r="E122" t="e">
        <f>IF('Area A'!#REF!="none","",'Area A'!#REF!)</f>
        <v>#REF!</v>
      </c>
      <c r="F122" t="e">
        <f>IF(Table1[[#This Row],[Item]]="","",Table1[[#This Row],[Unit Count]]+Table1[[#This Row],[Coushion Qty]])</f>
        <v>#REF!</v>
      </c>
      <c r="H122" t="e">
        <f>IF(#REF!="none","",#REF!)</f>
        <v>#REF!</v>
      </c>
      <c r="I122" t="e">
        <f>IF(#REF!="none","",#REF!)</f>
        <v>#REF!</v>
      </c>
      <c r="J122" t="e">
        <f>IF(#REF!="none","",#REF!)</f>
        <v>#REF!</v>
      </c>
      <c r="K122" t="e">
        <f>IF(#REF!="none","",#REF!)</f>
        <v>#REF!</v>
      </c>
      <c r="L122" t="e">
        <f>IF(#REF!="none","",#REF!)</f>
        <v>#REF!</v>
      </c>
      <c r="M122" t="e">
        <f>IF(#REF!="none","",'Take-off Build'!K122+'Take-off Build'!L122)</f>
        <v>#REF!</v>
      </c>
      <c r="O122" t="e">
        <f>IF(#REF!="none","",#REF!)</f>
        <v>#REF!</v>
      </c>
      <c r="P122" t="e">
        <f>IF(#REF!="none","",#REF!)</f>
        <v>#REF!</v>
      </c>
      <c r="Q122" t="e">
        <f>IF(#REF!="none","",#REF!)</f>
        <v>#REF!</v>
      </c>
      <c r="R122" t="e">
        <f>IF(#REF!="none","",#REF!)</f>
        <v>#REF!</v>
      </c>
      <c r="S122" t="e">
        <f>IF(#REF!="none","",#REF!)</f>
        <v>#REF!</v>
      </c>
      <c r="T122" t="e">
        <f>IF(#REF!="none","",'Take-off Build'!S122+'Take-off Build'!R122)</f>
        <v>#REF!</v>
      </c>
    </row>
    <row r="123" spans="1:20" x14ac:dyDescent="0.4">
      <c r="A123" t="e">
        <f>IF('Area A'!#REF!="None","",'Area A'!#REF!)</f>
        <v>#REF!</v>
      </c>
      <c r="B123" t="e">
        <f>IF('Area A'!#REF!="None","",'Area A'!#REF!)</f>
        <v>#REF!</v>
      </c>
      <c r="C123" t="e">
        <f>IF('Area A'!#REF!="none","",'Area A'!#REF!)</f>
        <v>#REF!</v>
      </c>
      <c r="D123" t="e">
        <f>IF('Area A'!#REF!="none","",'Area A'!#REF!)</f>
        <v>#REF!</v>
      </c>
      <c r="E123" t="e">
        <f>IF('Area A'!#REF!="none","",'Area A'!#REF!)</f>
        <v>#REF!</v>
      </c>
      <c r="F123" t="e">
        <f>IF(Table1[[#This Row],[Item]]="","",Table1[[#This Row],[Unit Count]]+Table1[[#This Row],[Coushion Qty]])</f>
        <v>#REF!</v>
      </c>
      <c r="H123" t="e">
        <f>IF(#REF!="none","",#REF!)</f>
        <v>#REF!</v>
      </c>
      <c r="I123" t="e">
        <f>IF(#REF!="none","",#REF!)</f>
        <v>#REF!</v>
      </c>
      <c r="J123" t="e">
        <f>IF(#REF!="none","",#REF!)</f>
        <v>#REF!</v>
      </c>
      <c r="K123" t="e">
        <f>IF(#REF!="none","",#REF!)</f>
        <v>#REF!</v>
      </c>
      <c r="L123" t="e">
        <f>IF(#REF!="none","",#REF!)</f>
        <v>#REF!</v>
      </c>
      <c r="M123" t="e">
        <f>IF(#REF!="none","",'Take-off Build'!K123+'Take-off Build'!L123)</f>
        <v>#REF!</v>
      </c>
      <c r="O123" t="e">
        <f>IF(#REF!="none","",#REF!)</f>
        <v>#REF!</v>
      </c>
      <c r="P123" t="e">
        <f>IF(#REF!="none","",#REF!)</f>
        <v>#REF!</v>
      </c>
      <c r="Q123" t="e">
        <f>IF(#REF!="none","",#REF!)</f>
        <v>#REF!</v>
      </c>
      <c r="R123" t="e">
        <f>IF(#REF!="none","",#REF!)</f>
        <v>#REF!</v>
      </c>
      <c r="S123" t="e">
        <f>IF(#REF!="none","",#REF!)</f>
        <v>#REF!</v>
      </c>
      <c r="T123" t="e">
        <f>IF(#REF!="none","",'Take-off Build'!S123+'Take-off Build'!R123)</f>
        <v>#REF!</v>
      </c>
    </row>
    <row r="124" spans="1:20" x14ac:dyDescent="0.4">
      <c r="A124" t="e">
        <f>IF('Area A'!#REF!="None","",'Area A'!#REF!)</f>
        <v>#REF!</v>
      </c>
      <c r="B124" t="e">
        <f>IF('Area A'!#REF!="None","",'Area A'!#REF!)</f>
        <v>#REF!</v>
      </c>
      <c r="C124" t="e">
        <f>IF('Area A'!#REF!="none","",'Area A'!#REF!)</f>
        <v>#REF!</v>
      </c>
      <c r="D124" t="e">
        <f>IF('Area A'!#REF!="none","",'Area A'!#REF!)</f>
        <v>#REF!</v>
      </c>
      <c r="E124" t="e">
        <f>IF('Area A'!#REF!="none","",'Area A'!#REF!)</f>
        <v>#REF!</v>
      </c>
      <c r="F124" t="e">
        <f>IF(Table1[[#This Row],[Item]]="","",Table1[[#This Row],[Unit Count]]+Table1[[#This Row],[Coushion Qty]])</f>
        <v>#REF!</v>
      </c>
      <c r="H124" t="e">
        <f>IF(#REF!="none","",#REF!)</f>
        <v>#REF!</v>
      </c>
      <c r="I124" t="e">
        <f>IF(#REF!="none","",#REF!)</f>
        <v>#REF!</v>
      </c>
      <c r="J124" t="e">
        <f>IF(#REF!="none","",#REF!)</f>
        <v>#REF!</v>
      </c>
      <c r="K124" t="e">
        <f>IF(#REF!="none","",#REF!)</f>
        <v>#REF!</v>
      </c>
      <c r="L124" t="e">
        <f>IF(#REF!="none","",#REF!)</f>
        <v>#REF!</v>
      </c>
      <c r="M124" t="e">
        <f>IF(#REF!="none","",'Take-off Build'!K124+'Take-off Build'!L124)</f>
        <v>#REF!</v>
      </c>
      <c r="O124" t="e">
        <f>IF(#REF!="none","",#REF!)</f>
        <v>#REF!</v>
      </c>
      <c r="P124" t="e">
        <f>IF(#REF!="none","",#REF!)</f>
        <v>#REF!</v>
      </c>
      <c r="Q124" t="e">
        <f>IF(#REF!="none","",#REF!)</f>
        <v>#REF!</v>
      </c>
      <c r="R124" t="e">
        <f>IF(#REF!="none","",#REF!)</f>
        <v>#REF!</v>
      </c>
      <c r="S124" t="e">
        <f>IF(#REF!="none","",#REF!)</f>
        <v>#REF!</v>
      </c>
      <c r="T124" t="e">
        <f>IF(#REF!="none","",'Take-off Build'!S124+'Take-off Build'!R124)</f>
        <v>#REF!</v>
      </c>
    </row>
    <row r="125" spans="1:20" x14ac:dyDescent="0.4">
      <c r="A125" t="e">
        <f>IF('Area A'!#REF!="None","",'Area A'!#REF!)</f>
        <v>#REF!</v>
      </c>
      <c r="B125" t="e">
        <f>IF('Area A'!#REF!="None","",'Area A'!#REF!)</f>
        <v>#REF!</v>
      </c>
      <c r="C125" t="e">
        <f>IF('Area A'!#REF!="none","",'Area A'!#REF!)</f>
        <v>#REF!</v>
      </c>
      <c r="D125" t="e">
        <f>IF('Area A'!#REF!="none","",'Area A'!#REF!)</f>
        <v>#REF!</v>
      </c>
      <c r="E125" t="e">
        <f>IF('Area A'!#REF!="none","",'Area A'!#REF!)</f>
        <v>#REF!</v>
      </c>
      <c r="F125" t="e">
        <f>IF(Table1[[#This Row],[Item]]="","",Table1[[#This Row],[Unit Count]]+Table1[[#This Row],[Coushion Qty]])</f>
        <v>#REF!</v>
      </c>
      <c r="H125" t="e">
        <f>IF(#REF!="none","",#REF!)</f>
        <v>#REF!</v>
      </c>
      <c r="I125" t="e">
        <f>IF(#REF!="none","",#REF!)</f>
        <v>#REF!</v>
      </c>
      <c r="J125" t="e">
        <f>IF(#REF!="none","",#REF!)</f>
        <v>#REF!</v>
      </c>
      <c r="K125" t="e">
        <f>IF(#REF!="none","",#REF!)</f>
        <v>#REF!</v>
      </c>
      <c r="L125" t="e">
        <f>IF(#REF!="none","",#REF!)</f>
        <v>#REF!</v>
      </c>
      <c r="M125" t="e">
        <f>IF(#REF!="none","",'Take-off Build'!K125+'Take-off Build'!L125)</f>
        <v>#REF!</v>
      </c>
      <c r="O125" t="e">
        <f>IF(#REF!="none","",#REF!)</f>
        <v>#REF!</v>
      </c>
      <c r="P125" t="e">
        <f>IF(#REF!="none","",#REF!)</f>
        <v>#REF!</v>
      </c>
      <c r="Q125" t="e">
        <f>IF(#REF!="none","",#REF!)</f>
        <v>#REF!</v>
      </c>
      <c r="R125" t="e">
        <f>IF(#REF!="none","",#REF!)</f>
        <v>#REF!</v>
      </c>
      <c r="S125" t="e">
        <f>IF(#REF!="none","",#REF!)</f>
        <v>#REF!</v>
      </c>
      <c r="T125" t="e">
        <f>IF(#REF!="none","",'Take-off Build'!S125+'Take-off Build'!R125)</f>
        <v>#REF!</v>
      </c>
    </row>
    <row r="126" spans="1:20" x14ac:dyDescent="0.4">
      <c r="A126" t="e">
        <f>IF('Area A'!#REF!="None","",'Area A'!#REF!)</f>
        <v>#REF!</v>
      </c>
      <c r="B126" t="e">
        <f>IF('Area A'!#REF!="None","",'Area A'!#REF!)</f>
        <v>#REF!</v>
      </c>
      <c r="C126" t="e">
        <f>IF('Area A'!#REF!="none","",'Area A'!#REF!)</f>
        <v>#REF!</v>
      </c>
      <c r="D126" t="e">
        <f>IF('Area A'!#REF!="none","",'Area A'!#REF!)</f>
        <v>#REF!</v>
      </c>
      <c r="E126" t="e">
        <f>IF('Area A'!#REF!="none","",'Area A'!#REF!)</f>
        <v>#REF!</v>
      </c>
      <c r="F126" t="e">
        <f>IF(Table1[[#This Row],[Item]]="","",Table1[[#This Row],[Unit Count]]+Table1[[#This Row],[Coushion Qty]])</f>
        <v>#REF!</v>
      </c>
      <c r="H126" t="e">
        <f>IF(#REF!="none","",#REF!)</f>
        <v>#REF!</v>
      </c>
      <c r="I126" t="e">
        <f>IF(#REF!="none","",#REF!)</f>
        <v>#REF!</v>
      </c>
      <c r="J126" t="e">
        <f>IF(#REF!="none","",#REF!)</f>
        <v>#REF!</v>
      </c>
      <c r="K126" t="e">
        <f>IF(#REF!="none","",#REF!)</f>
        <v>#REF!</v>
      </c>
      <c r="L126" t="e">
        <f>IF(#REF!="none","",#REF!)</f>
        <v>#REF!</v>
      </c>
      <c r="M126" t="e">
        <f>IF(#REF!="none","",'Take-off Build'!K126+'Take-off Build'!L126)</f>
        <v>#REF!</v>
      </c>
      <c r="O126" t="e">
        <f>IF(#REF!="none","",#REF!)</f>
        <v>#REF!</v>
      </c>
      <c r="P126" t="e">
        <f>IF(#REF!="none","",#REF!)</f>
        <v>#REF!</v>
      </c>
      <c r="Q126" t="e">
        <f>IF(#REF!="none","",#REF!)</f>
        <v>#REF!</v>
      </c>
      <c r="R126" t="e">
        <f>IF(#REF!="none","",#REF!)</f>
        <v>#REF!</v>
      </c>
      <c r="S126" t="e">
        <f>IF(#REF!="none","",#REF!)</f>
        <v>#REF!</v>
      </c>
      <c r="T126" t="e">
        <f>IF(#REF!="none","",'Take-off Build'!S126+'Take-off Build'!R126)</f>
        <v>#REF!</v>
      </c>
    </row>
    <row r="127" spans="1:20" x14ac:dyDescent="0.4">
      <c r="A127" t="e">
        <f>IF('Area A'!#REF!="None","",'Area A'!#REF!)</f>
        <v>#REF!</v>
      </c>
      <c r="B127" t="e">
        <f>IF('Area A'!#REF!="None","",'Area A'!#REF!)</f>
        <v>#REF!</v>
      </c>
      <c r="C127" t="e">
        <f>IF('Area A'!#REF!="none","",'Area A'!#REF!)</f>
        <v>#REF!</v>
      </c>
      <c r="D127" t="e">
        <f>IF('Area A'!#REF!="none","",'Area A'!#REF!)</f>
        <v>#REF!</v>
      </c>
      <c r="E127" t="e">
        <f>IF('Area A'!#REF!="none","",'Area A'!#REF!)</f>
        <v>#REF!</v>
      </c>
      <c r="F127" t="e">
        <f>IF(Table1[[#This Row],[Item]]="","",Table1[[#This Row],[Unit Count]]+Table1[[#This Row],[Coushion Qty]])</f>
        <v>#REF!</v>
      </c>
      <c r="H127" t="e">
        <f>IF(#REF!="none","",#REF!)</f>
        <v>#REF!</v>
      </c>
      <c r="I127" t="e">
        <f>IF(#REF!="none","",#REF!)</f>
        <v>#REF!</v>
      </c>
      <c r="J127" t="e">
        <f>IF(#REF!="none","",#REF!)</f>
        <v>#REF!</v>
      </c>
      <c r="K127" t="e">
        <f>IF(#REF!="none","",#REF!)</f>
        <v>#REF!</v>
      </c>
      <c r="L127" t="e">
        <f>IF(#REF!="none","",#REF!)</f>
        <v>#REF!</v>
      </c>
      <c r="M127" t="e">
        <f>IF(#REF!="none","",'Take-off Build'!K127+'Take-off Build'!L127)</f>
        <v>#REF!</v>
      </c>
      <c r="O127" t="e">
        <f>IF(#REF!="none","",#REF!)</f>
        <v>#REF!</v>
      </c>
      <c r="P127" t="e">
        <f>IF(#REF!="none","",#REF!)</f>
        <v>#REF!</v>
      </c>
      <c r="Q127" t="e">
        <f>IF(#REF!="none","",#REF!)</f>
        <v>#REF!</v>
      </c>
      <c r="R127" t="e">
        <f>IF(#REF!="none","",#REF!)</f>
        <v>#REF!</v>
      </c>
      <c r="S127" t="e">
        <f>IF(#REF!="none","",#REF!)</f>
        <v>#REF!</v>
      </c>
      <c r="T127" t="e">
        <f>IF(#REF!="none","",'Take-off Build'!S127+'Take-off Build'!R127)</f>
        <v>#REF!</v>
      </c>
    </row>
    <row r="128" spans="1:20" x14ac:dyDescent="0.4">
      <c r="A128" t="e">
        <f>IF('Area A'!#REF!="None","",'Area A'!#REF!)</f>
        <v>#REF!</v>
      </c>
      <c r="B128" t="e">
        <f>IF('Area A'!#REF!="None","",'Area A'!#REF!)</f>
        <v>#REF!</v>
      </c>
      <c r="C128" t="e">
        <f>IF('Area A'!#REF!="none","",'Area A'!#REF!)</f>
        <v>#REF!</v>
      </c>
      <c r="D128" t="e">
        <f>IF('Area A'!#REF!="none","",'Area A'!#REF!)</f>
        <v>#REF!</v>
      </c>
      <c r="E128" t="e">
        <f>IF('Area A'!#REF!="none","",'Area A'!#REF!)</f>
        <v>#REF!</v>
      </c>
      <c r="F128" t="e">
        <f>IF(Table1[[#This Row],[Item]]="","",Table1[[#This Row],[Unit Count]]+Table1[[#This Row],[Coushion Qty]])</f>
        <v>#REF!</v>
      </c>
      <c r="H128" t="e">
        <f>IF(#REF!="none","",#REF!)</f>
        <v>#REF!</v>
      </c>
      <c r="I128" t="e">
        <f>IF(#REF!="none","",#REF!)</f>
        <v>#REF!</v>
      </c>
      <c r="J128" t="e">
        <f>IF(#REF!="none","",#REF!)</f>
        <v>#REF!</v>
      </c>
      <c r="K128" t="e">
        <f>IF(#REF!="none","",#REF!)</f>
        <v>#REF!</v>
      </c>
      <c r="L128" t="e">
        <f>IF(#REF!="none","",#REF!)</f>
        <v>#REF!</v>
      </c>
      <c r="M128" t="e">
        <f>IF(#REF!="none","",'Take-off Build'!K128+'Take-off Build'!L128)</f>
        <v>#REF!</v>
      </c>
      <c r="O128" t="e">
        <f>IF(#REF!="none","",#REF!)</f>
        <v>#REF!</v>
      </c>
      <c r="P128" t="e">
        <f>IF(#REF!="none","",#REF!)</f>
        <v>#REF!</v>
      </c>
      <c r="Q128" t="e">
        <f>IF(#REF!="none","",#REF!)</f>
        <v>#REF!</v>
      </c>
      <c r="R128" t="e">
        <f>IF(#REF!="none","",#REF!)</f>
        <v>#REF!</v>
      </c>
      <c r="S128" t="e">
        <f>IF(#REF!="none","",#REF!)</f>
        <v>#REF!</v>
      </c>
      <c r="T128" t="e">
        <f>IF(#REF!="none","",'Take-off Build'!S128+'Take-off Build'!R128)</f>
        <v>#REF!</v>
      </c>
    </row>
    <row r="129" spans="1:20" x14ac:dyDescent="0.4">
      <c r="A129" t="str">
        <f>IF('Area A'!B188="None","",'Area A'!B188)</f>
        <v/>
      </c>
      <c r="B129" t="str">
        <f>IF('Area A'!B188="None","",'Area A'!C188)</f>
        <v/>
      </c>
      <c r="C129" t="str">
        <f>IF('Area A'!B188="none","",'Area A'!D188)</f>
        <v/>
      </c>
      <c r="D129" t="str">
        <f>IF('Area A'!B188="none","",'Area A'!E188)</f>
        <v/>
      </c>
      <c r="E129" t="str">
        <f>IF('Area A'!B188="none","",'Area A'!H188)</f>
        <v/>
      </c>
      <c r="F129" t="str">
        <f>IF(Table1[[#This Row],[Item]]="","",Table1[[#This Row],[Unit Count]]+Table1[[#This Row],[Coushion Qty]])</f>
        <v/>
      </c>
      <c r="H129" t="e">
        <f>IF(#REF!="none","",#REF!)</f>
        <v>#REF!</v>
      </c>
      <c r="I129" t="e">
        <f>IF(#REF!="none","",#REF!)</f>
        <v>#REF!</v>
      </c>
      <c r="J129" t="e">
        <f>IF(#REF!="none","",#REF!)</f>
        <v>#REF!</v>
      </c>
      <c r="K129" t="e">
        <f>IF(#REF!="none","",#REF!)</f>
        <v>#REF!</v>
      </c>
      <c r="L129" t="e">
        <f>IF(#REF!="none","",#REF!)</f>
        <v>#REF!</v>
      </c>
      <c r="M129" t="e">
        <f>IF(#REF!="none","",'Take-off Build'!K129+'Take-off Build'!L129)</f>
        <v>#REF!</v>
      </c>
      <c r="O129" t="e">
        <f>IF(#REF!="none","",#REF!)</f>
        <v>#REF!</v>
      </c>
      <c r="P129" t="e">
        <f>IF(#REF!="none","",#REF!)</f>
        <v>#REF!</v>
      </c>
      <c r="Q129" t="e">
        <f>IF(#REF!="none","",#REF!)</f>
        <v>#REF!</v>
      </c>
      <c r="R129" t="e">
        <f>IF(#REF!="none","",#REF!)</f>
        <v>#REF!</v>
      </c>
      <c r="S129" t="e">
        <f>IF(#REF!="none","",#REF!)</f>
        <v>#REF!</v>
      </c>
      <c r="T129" t="e">
        <f>IF(#REF!="none","",'Take-off Build'!S129+'Take-off Build'!R129)</f>
        <v>#REF!</v>
      </c>
    </row>
    <row r="130" spans="1:20" x14ac:dyDescent="0.4">
      <c r="A130" t="str">
        <f>IF('Area A'!B189="None","",'Area A'!B189)</f>
        <v/>
      </c>
      <c r="B130" t="str">
        <f>IF('Area A'!B189="None","",'Area A'!C189)</f>
        <v/>
      </c>
      <c r="C130" t="str">
        <f>IF('Area A'!B189="none","",'Area A'!D189)</f>
        <v/>
      </c>
      <c r="D130" t="str">
        <f>IF('Area A'!B189="none","",'Area A'!E189)</f>
        <v/>
      </c>
      <c r="E130" t="str">
        <f>IF('Area A'!B189="none","",'Area A'!H189)</f>
        <v/>
      </c>
      <c r="F130" t="str">
        <f>IF(Table1[[#This Row],[Item]]="","",Table1[[#This Row],[Unit Count]]+Table1[[#This Row],[Coushion Qty]])</f>
        <v/>
      </c>
      <c r="H130" t="e">
        <f>IF(#REF!="none","",#REF!)</f>
        <v>#REF!</v>
      </c>
      <c r="I130" t="e">
        <f>IF(#REF!="none","",#REF!)</f>
        <v>#REF!</v>
      </c>
      <c r="J130" t="e">
        <f>IF(#REF!="none","",#REF!)</f>
        <v>#REF!</v>
      </c>
      <c r="K130" t="e">
        <f>IF(#REF!="none","",#REF!)</f>
        <v>#REF!</v>
      </c>
      <c r="L130" t="e">
        <f>IF(#REF!="none","",#REF!)</f>
        <v>#REF!</v>
      </c>
      <c r="M130" t="e">
        <f>IF(#REF!="none","",'Take-off Build'!K130+'Take-off Build'!L130)</f>
        <v>#REF!</v>
      </c>
      <c r="O130" t="e">
        <f>IF(#REF!="none","",#REF!)</f>
        <v>#REF!</v>
      </c>
      <c r="P130" t="e">
        <f>IF(#REF!="none","",#REF!)</f>
        <v>#REF!</v>
      </c>
      <c r="Q130" t="e">
        <f>IF(#REF!="none","",#REF!)</f>
        <v>#REF!</v>
      </c>
      <c r="R130" t="e">
        <f>IF(#REF!="none","",#REF!)</f>
        <v>#REF!</v>
      </c>
      <c r="S130" t="e">
        <f>IF(#REF!="none","",#REF!)</f>
        <v>#REF!</v>
      </c>
      <c r="T130" t="e">
        <f>IF(#REF!="none","",'Take-off Build'!S130+'Take-off Build'!R130)</f>
        <v>#REF!</v>
      </c>
    </row>
    <row r="131" spans="1:20" x14ac:dyDescent="0.4">
      <c r="A131" t="str">
        <f>IF('Area A'!B190="None","",'Area A'!B190)</f>
        <v/>
      </c>
      <c r="B131" t="str">
        <f>IF('Area A'!B190="None","",'Area A'!C190)</f>
        <v/>
      </c>
      <c r="C131" t="str">
        <f>IF('Area A'!B190="none","",'Area A'!D190)</f>
        <v/>
      </c>
      <c r="D131" t="str">
        <f>IF('Area A'!B190="none","",'Area A'!E190)</f>
        <v/>
      </c>
      <c r="E131" t="str">
        <f>IF('Area A'!B190="none","",'Area A'!H190)</f>
        <v/>
      </c>
      <c r="F131" t="str">
        <f>IF(Table1[[#This Row],[Item]]="","",Table1[[#This Row],[Unit Count]]+Table1[[#This Row],[Coushion Qty]])</f>
        <v/>
      </c>
      <c r="H131" t="e">
        <f>IF(#REF!="none","",#REF!)</f>
        <v>#REF!</v>
      </c>
      <c r="I131" t="e">
        <f>IF(#REF!="none","",#REF!)</f>
        <v>#REF!</v>
      </c>
      <c r="J131" t="e">
        <f>IF(#REF!="none","",#REF!)</f>
        <v>#REF!</v>
      </c>
      <c r="K131" t="e">
        <f>IF(#REF!="none","",#REF!)</f>
        <v>#REF!</v>
      </c>
      <c r="L131" t="e">
        <f>IF(#REF!="none","",#REF!)</f>
        <v>#REF!</v>
      </c>
      <c r="M131" t="e">
        <f>IF(#REF!="none","",'Take-off Build'!K131+'Take-off Build'!L131)</f>
        <v>#REF!</v>
      </c>
      <c r="O131" t="e">
        <f>IF(#REF!="none","",#REF!)</f>
        <v>#REF!</v>
      </c>
      <c r="P131" t="e">
        <f>IF(#REF!="none","",#REF!)</f>
        <v>#REF!</v>
      </c>
      <c r="Q131" t="e">
        <f>IF(#REF!="none","",#REF!)</f>
        <v>#REF!</v>
      </c>
      <c r="R131" t="e">
        <f>IF(#REF!="none","",#REF!)</f>
        <v>#REF!</v>
      </c>
      <c r="S131" t="e">
        <f>IF(#REF!="none","",#REF!)</f>
        <v>#REF!</v>
      </c>
      <c r="T131" t="e">
        <f>IF(#REF!="none","",'Take-off Build'!S131+'Take-off Build'!R131)</f>
        <v>#REF!</v>
      </c>
    </row>
    <row r="132" spans="1:20" x14ac:dyDescent="0.4">
      <c r="A132" t="str">
        <f>IF('Area A'!B191="None","",'Area A'!B191)</f>
        <v/>
      </c>
      <c r="B132" t="str">
        <f>IF('Area A'!B191="None","",'Area A'!C191)</f>
        <v/>
      </c>
      <c r="C132" t="str">
        <f>IF('Area A'!B191="none","",'Area A'!D191)</f>
        <v/>
      </c>
      <c r="D132" t="str">
        <f>IF('Area A'!B191="none","",'Area A'!E191)</f>
        <v/>
      </c>
      <c r="E132" t="str">
        <f>IF('Area A'!B191="none","",'Area A'!H191)</f>
        <v/>
      </c>
      <c r="F132" t="str">
        <f>IF(Table1[[#This Row],[Item]]="","",Table1[[#This Row],[Unit Count]]+Table1[[#This Row],[Coushion Qty]])</f>
        <v/>
      </c>
      <c r="H132" t="e">
        <f>IF(#REF!="none","",#REF!)</f>
        <v>#REF!</v>
      </c>
      <c r="I132" t="e">
        <f>IF(#REF!="none","",#REF!)</f>
        <v>#REF!</v>
      </c>
      <c r="J132" t="e">
        <f>IF(#REF!="none","",#REF!)</f>
        <v>#REF!</v>
      </c>
      <c r="K132" t="e">
        <f>IF(#REF!="none","",#REF!)</f>
        <v>#REF!</v>
      </c>
      <c r="L132" t="e">
        <f>IF(#REF!="none","",#REF!)</f>
        <v>#REF!</v>
      </c>
      <c r="M132" t="e">
        <f>IF(#REF!="none","",'Take-off Build'!K132+'Take-off Build'!L132)</f>
        <v>#REF!</v>
      </c>
      <c r="O132" t="e">
        <f>IF(#REF!="none","",#REF!)</f>
        <v>#REF!</v>
      </c>
      <c r="P132" t="e">
        <f>IF(#REF!="none","",#REF!)</f>
        <v>#REF!</v>
      </c>
      <c r="Q132" t="e">
        <f>IF(#REF!="none","",#REF!)</f>
        <v>#REF!</v>
      </c>
      <c r="R132" t="e">
        <f>IF(#REF!="none","",#REF!)</f>
        <v>#REF!</v>
      </c>
      <c r="S132" t="e">
        <f>IF(#REF!="none","",#REF!)</f>
        <v>#REF!</v>
      </c>
      <c r="T132" t="e">
        <f>IF(#REF!="none","",'Take-off Build'!S132+'Take-off Build'!R132)</f>
        <v>#REF!</v>
      </c>
    </row>
    <row r="133" spans="1:20" x14ac:dyDescent="0.4">
      <c r="A133" t="str">
        <f>IF('Area A'!B192="None","",'Area A'!B192)</f>
        <v/>
      </c>
      <c r="B133" t="str">
        <f>IF('Area A'!B192="None","",'Area A'!C192)</f>
        <v/>
      </c>
      <c r="C133" t="str">
        <f>IF('Area A'!B192="none","",'Area A'!D192)</f>
        <v/>
      </c>
      <c r="D133" t="str">
        <f>IF('Area A'!B192="none","",'Area A'!E192)</f>
        <v/>
      </c>
      <c r="E133" t="str">
        <f>IF('Area A'!B192="none","",'Area A'!H192)</f>
        <v/>
      </c>
      <c r="F133" t="str">
        <f>IF(Table1[[#This Row],[Item]]="","",Table1[[#This Row],[Unit Count]]+Table1[[#This Row],[Coushion Qty]])</f>
        <v/>
      </c>
      <c r="H133" t="e">
        <f>IF(#REF!="none","",#REF!)</f>
        <v>#REF!</v>
      </c>
      <c r="I133" t="e">
        <f>IF(#REF!="none","",#REF!)</f>
        <v>#REF!</v>
      </c>
      <c r="J133" t="e">
        <f>IF(#REF!="none","",#REF!)</f>
        <v>#REF!</v>
      </c>
      <c r="K133" t="e">
        <f>IF(#REF!="none","",#REF!)</f>
        <v>#REF!</v>
      </c>
      <c r="L133" t="e">
        <f>IF(#REF!="none","",#REF!)</f>
        <v>#REF!</v>
      </c>
      <c r="M133" t="e">
        <f>IF(#REF!="none","",'Take-off Build'!K133+'Take-off Build'!L133)</f>
        <v>#REF!</v>
      </c>
      <c r="O133" t="e">
        <f>IF(#REF!="none","",#REF!)</f>
        <v>#REF!</v>
      </c>
      <c r="P133" t="e">
        <f>IF(#REF!="none","",#REF!)</f>
        <v>#REF!</v>
      </c>
      <c r="Q133" t="e">
        <f>IF(#REF!="none","",#REF!)</f>
        <v>#REF!</v>
      </c>
      <c r="R133" t="e">
        <f>IF(#REF!="none","",#REF!)</f>
        <v>#REF!</v>
      </c>
      <c r="S133" t="e">
        <f>IF(#REF!="none","",#REF!)</f>
        <v>#REF!</v>
      </c>
      <c r="T133" t="e">
        <f>IF(#REF!="none","",'Take-off Build'!S133+'Take-off Build'!R133)</f>
        <v>#REF!</v>
      </c>
    </row>
    <row r="134" spans="1:20" x14ac:dyDescent="0.4">
      <c r="A134" t="str">
        <f>IF('Area A'!B193="None","",'Area A'!B193)</f>
        <v/>
      </c>
      <c r="B134" t="str">
        <f>IF('Area A'!B193="None","",'Area A'!C193)</f>
        <v/>
      </c>
      <c r="C134" t="str">
        <f>IF('Area A'!B193="none","",'Area A'!D193)</f>
        <v/>
      </c>
      <c r="D134" t="str">
        <f>IF('Area A'!B193="none","",'Area A'!E193)</f>
        <v/>
      </c>
      <c r="E134" t="str">
        <f>IF('Area A'!B193="none","",'Area A'!H193)</f>
        <v/>
      </c>
      <c r="F134" t="str">
        <f>IF(Table1[[#This Row],[Item]]="","",Table1[[#This Row],[Unit Count]]+Table1[[#This Row],[Coushion Qty]])</f>
        <v/>
      </c>
      <c r="H134" t="e">
        <f>IF(#REF!="none","",#REF!)</f>
        <v>#REF!</v>
      </c>
      <c r="I134" t="e">
        <f>IF(#REF!="none","",#REF!)</f>
        <v>#REF!</v>
      </c>
      <c r="J134" t="e">
        <f>IF(#REF!="none","",#REF!)</f>
        <v>#REF!</v>
      </c>
      <c r="K134" t="e">
        <f>IF(#REF!="none","",#REF!)</f>
        <v>#REF!</v>
      </c>
      <c r="L134" t="e">
        <f>IF(#REF!="none","",#REF!)</f>
        <v>#REF!</v>
      </c>
      <c r="M134" t="e">
        <f>IF(#REF!="none","",'Take-off Build'!K134+'Take-off Build'!L134)</f>
        <v>#REF!</v>
      </c>
      <c r="O134" t="e">
        <f>IF(#REF!="none","",#REF!)</f>
        <v>#REF!</v>
      </c>
      <c r="P134" t="e">
        <f>IF(#REF!="none","",#REF!)</f>
        <v>#REF!</v>
      </c>
      <c r="Q134" t="e">
        <f>IF(#REF!="none","",#REF!)</f>
        <v>#REF!</v>
      </c>
      <c r="R134" t="e">
        <f>IF(#REF!="none","",#REF!)</f>
        <v>#REF!</v>
      </c>
      <c r="S134" t="e">
        <f>IF(#REF!="none","",#REF!)</f>
        <v>#REF!</v>
      </c>
      <c r="T134" t="e">
        <f>IF(#REF!="none","",'Take-off Build'!S134+'Take-off Build'!R134)</f>
        <v>#REF!</v>
      </c>
    </row>
    <row r="135" spans="1:20" x14ac:dyDescent="0.4">
      <c r="A135" t="str">
        <f>IF('Area A'!B194="None","",'Area A'!B194)</f>
        <v/>
      </c>
      <c r="B135" t="str">
        <f>IF('Area A'!B194="None","",'Area A'!C194)</f>
        <v/>
      </c>
      <c r="C135" t="str">
        <f>IF('Area A'!B194="none","",'Area A'!D194)</f>
        <v/>
      </c>
      <c r="D135" t="str">
        <f>IF('Area A'!B194="none","",'Area A'!E194)</f>
        <v/>
      </c>
      <c r="E135" t="str">
        <f>IF('Area A'!B194="none","",'Area A'!H194)</f>
        <v/>
      </c>
      <c r="F135" t="str">
        <f>IF(Table1[[#This Row],[Item]]="","",Table1[[#This Row],[Unit Count]]+Table1[[#This Row],[Coushion Qty]])</f>
        <v/>
      </c>
      <c r="H135" t="e">
        <f>IF(#REF!="none","",#REF!)</f>
        <v>#REF!</v>
      </c>
      <c r="I135" t="e">
        <f>IF(#REF!="none","",#REF!)</f>
        <v>#REF!</v>
      </c>
      <c r="J135" t="e">
        <f>IF(#REF!="none","",#REF!)</f>
        <v>#REF!</v>
      </c>
      <c r="K135" t="e">
        <f>IF(#REF!="none","",#REF!)</f>
        <v>#REF!</v>
      </c>
      <c r="L135" t="e">
        <f>IF(#REF!="none","",#REF!)</f>
        <v>#REF!</v>
      </c>
      <c r="M135" t="e">
        <f>IF(#REF!="none","",'Take-off Build'!K135+'Take-off Build'!L135)</f>
        <v>#REF!</v>
      </c>
      <c r="O135" t="e">
        <f>IF(#REF!="none","",#REF!)</f>
        <v>#REF!</v>
      </c>
      <c r="P135" t="e">
        <f>IF(#REF!="none","",#REF!)</f>
        <v>#REF!</v>
      </c>
      <c r="Q135" t="e">
        <f>IF(#REF!="none","",#REF!)</f>
        <v>#REF!</v>
      </c>
      <c r="R135" t="e">
        <f>IF(#REF!="none","",#REF!)</f>
        <v>#REF!</v>
      </c>
      <c r="S135" t="e">
        <f>IF(#REF!="none","",#REF!)</f>
        <v>#REF!</v>
      </c>
      <c r="T135" t="e">
        <f>IF(#REF!="none","",'Take-off Build'!S135+'Take-off Build'!R135)</f>
        <v>#REF!</v>
      </c>
    </row>
    <row r="136" spans="1:20" x14ac:dyDescent="0.4">
      <c r="A136" t="str">
        <f>IF('Area A'!B195="None","",'Area A'!B195)</f>
        <v/>
      </c>
      <c r="B136" t="str">
        <f>IF('Area A'!B195="None","",'Area A'!C195)</f>
        <v/>
      </c>
      <c r="C136" t="str">
        <f>IF('Area A'!B195="none","",'Area A'!D195)</f>
        <v/>
      </c>
      <c r="D136" t="str">
        <f>IF('Area A'!B195="none","",'Area A'!E195)</f>
        <v/>
      </c>
      <c r="E136" t="str">
        <f>IF('Area A'!B195="none","",'Area A'!H195)</f>
        <v/>
      </c>
      <c r="F136" t="str">
        <f>IF(Table1[[#This Row],[Item]]="","",Table1[[#This Row],[Unit Count]]+Table1[[#This Row],[Coushion Qty]])</f>
        <v/>
      </c>
      <c r="H136" t="e">
        <f>IF(#REF!="none","",#REF!)</f>
        <v>#REF!</v>
      </c>
      <c r="I136" t="e">
        <f>IF(#REF!="none","",#REF!)</f>
        <v>#REF!</v>
      </c>
      <c r="J136" t="e">
        <f>IF(#REF!="none","",#REF!)</f>
        <v>#REF!</v>
      </c>
      <c r="K136" t="e">
        <f>IF(#REF!="none","",#REF!)</f>
        <v>#REF!</v>
      </c>
      <c r="L136" t="e">
        <f>IF(#REF!="none","",#REF!)</f>
        <v>#REF!</v>
      </c>
      <c r="M136" t="e">
        <f>IF(#REF!="none","",'Take-off Build'!K136+'Take-off Build'!L136)</f>
        <v>#REF!</v>
      </c>
      <c r="O136" t="e">
        <f>IF(#REF!="none","",#REF!)</f>
        <v>#REF!</v>
      </c>
      <c r="P136" t="e">
        <f>IF(#REF!="none","",#REF!)</f>
        <v>#REF!</v>
      </c>
      <c r="Q136" t="e">
        <f>IF(#REF!="none","",#REF!)</f>
        <v>#REF!</v>
      </c>
      <c r="R136" t="e">
        <f>IF(#REF!="none","",#REF!)</f>
        <v>#REF!</v>
      </c>
      <c r="S136" t="e">
        <f>IF(#REF!="none","",#REF!)</f>
        <v>#REF!</v>
      </c>
      <c r="T136" t="e">
        <f>IF(#REF!="none","",'Take-off Build'!S136+'Take-off Build'!R136)</f>
        <v>#REF!</v>
      </c>
    </row>
    <row r="137" spans="1:20" x14ac:dyDescent="0.4">
      <c r="A137" t="str">
        <f>IF('Area A'!B199="None","",'Area A'!B199)</f>
        <v>INT-90°/650 rail</v>
      </c>
      <c r="B137" t="str">
        <f>IF('Area A'!B199="None","",'Area A'!C199)</f>
        <v>Internal 90° Splice Corner</v>
      </c>
      <c r="C137">
        <f>IF('Area A'!B199="none","",'Area A'!D199)</f>
        <v>0</v>
      </c>
      <c r="D137">
        <f>IF('Area A'!B199="none","",'Area A'!E199)</f>
        <v>0</v>
      </c>
      <c r="E137">
        <f>IF('Area A'!B199="none","",'Area A'!H199)</f>
        <v>0</v>
      </c>
      <c r="F137">
        <f>IF(Table1[[#This Row],[Item]]="","",Table1[[#This Row],[Unit Count]]+Table1[[#This Row],[Coushion Qty]])</f>
        <v>0</v>
      </c>
      <c r="H137" t="e">
        <f>IF(#REF!="none","",#REF!)</f>
        <v>#REF!</v>
      </c>
      <c r="I137" t="e">
        <f>IF(#REF!="none","",#REF!)</f>
        <v>#REF!</v>
      </c>
      <c r="J137" t="e">
        <f>IF(#REF!="none","",#REF!)</f>
        <v>#REF!</v>
      </c>
      <c r="K137" t="e">
        <f>IF(#REF!="none","",#REF!)</f>
        <v>#REF!</v>
      </c>
      <c r="L137" t="e">
        <f>IF(#REF!="none","",#REF!)</f>
        <v>#REF!</v>
      </c>
      <c r="M137" t="e">
        <f>IF(#REF!="none","",'Take-off Build'!K137+'Take-off Build'!L137)</f>
        <v>#REF!</v>
      </c>
      <c r="O137" t="e">
        <f>IF(#REF!="none","",#REF!)</f>
        <v>#REF!</v>
      </c>
      <c r="P137" t="e">
        <f>IF(#REF!="none","",#REF!)</f>
        <v>#REF!</v>
      </c>
      <c r="Q137" t="e">
        <f>IF(#REF!="none","",#REF!)</f>
        <v>#REF!</v>
      </c>
      <c r="R137" t="e">
        <f>IF(#REF!="none","",#REF!)</f>
        <v>#REF!</v>
      </c>
      <c r="S137" t="e">
        <f>IF(#REF!="none","",#REF!)</f>
        <v>#REF!</v>
      </c>
      <c r="T137" t="e">
        <f>IF(#REF!="none","",'Take-off Build'!S137+'Take-off Build'!R137)</f>
        <v>#REF!</v>
      </c>
    </row>
    <row r="138" spans="1:20" x14ac:dyDescent="0.4">
      <c r="A138" t="str">
        <f>IF('Area A'!B200="None","",'Area A'!B200)</f>
        <v/>
      </c>
      <c r="B138" t="str">
        <f>IF('Area A'!B200="None","",'Area A'!C200)</f>
        <v/>
      </c>
      <c r="C138" t="str">
        <f>IF('Area A'!B200="none","",'Area A'!D200)</f>
        <v/>
      </c>
      <c r="D138" t="str">
        <f>IF('Area A'!B200="none","",'Area A'!E200)</f>
        <v/>
      </c>
      <c r="E138" t="str">
        <f>IF('Area A'!B200="none","",'Area A'!H200)</f>
        <v/>
      </c>
      <c r="F138" t="str">
        <f>IF(Table1[[#This Row],[Item]]="","",Table1[[#This Row],[Unit Count]]+Table1[[#This Row],[Coushion Qty]])</f>
        <v/>
      </c>
      <c r="H138" t="e">
        <f>IF(#REF!="none","",#REF!)</f>
        <v>#REF!</v>
      </c>
      <c r="I138" t="e">
        <f>IF(#REF!="none","",#REF!)</f>
        <v>#REF!</v>
      </c>
      <c r="J138" t="e">
        <f>IF(#REF!="none","",#REF!)</f>
        <v>#REF!</v>
      </c>
      <c r="K138" t="e">
        <f>IF(#REF!="none","",#REF!)</f>
        <v>#REF!</v>
      </c>
      <c r="L138" t="e">
        <f>IF(#REF!="none","",#REF!)</f>
        <v>#REF!</v>
      </c>
      <c r="M138" t="e">
        <f>IF(#REF!="none","",'Take-off Build'!K138+'Take-off Build'!L138)</f>
        <v>#REF!</v>
      </c>
      <c r="O138" t="e">
        <f>IF(#REF!="none","",#REF!)</f>
        <v>#REF!</v>
      </c>
      <c r="P138" t="e">
        <f>IF(#REF!="none","",#REF!)</f>
        <v>#REF!</v>
      </c>
      <c r="Q138" t="e">
        <f>IF(#REF!="none","",#REF!)</f>
        <v>#REF!</v>
      </c>
      <c r="R138" t="e">
        <f>IF(#REF!="none","",#REF!)</f>
        <v>#REF!</v>
      </c>
      <c r="S138" t="e">
        <f>IF(#REF!="none","",#REF!)</f>
        <v>#REF!</v>
      </c>
      <c r="T138" t="e">
        <f>IF(#REF!="none","",'Take-off Build'!S138+'Take-off Build'!R138)</f>
        <v>#REF!</v>
      </c>
    </row>
    <row r="139" spans="1:20" x14ac:dyDescent="0.4">
      <c r="A139" t="str">
        <f>IF('Area A'!B201="None","",'Area A'!B201)</f>
        <v/>
      </c>
      <c r="B139" t="str">
        <f>IF('Area A'!B201="None","",'Area A'!C201)</f>
        <v/>
      </c>
      <c r="C139" t="str">
        <f>IF('Area A'!B201="none","",'Area A'!D201)</f>
        <v/>
      </c>
      <c r="D139" t="str">
        <f>IF('Area A'!B201="none","",'Area A'!E201)</f>
        <v/>
      </c>
      <c r="E139" t="str">
        <f>IF('Area A'!B201="none","",'Area A'!H201)</f>
        <v/>
      </c>
      <c r="F139" t="str">
        <f>IF(Table1[[#This Row],[Item]]="","",Table1[[#This Row],[Unit Count]]+Table1[[#This Row],[Coushion Qty]])</f>
        <v/>
      </c>
      <c r="H139" t="e">
        <f>IF(#REF!="none","",#REF!)</f>
        <v>#REF!</v>
      </c>
      <c r="I139" t="e">
        <f>IF(#REF!="none","",#REF!)</f>
        <v>#REF!</v>
      </c>
      <c r="J139" t="e">
        <f>IF(#REF!="none","",#REF!)</f>
        <v>#REF!</v>
      </c>
      <c r="K139" t="e">
        <f>IF(#REF!="none","",#REF!)</f>
        <v>#REF!</v>
      </c>
      <c r="L139" t="e">
        <f>IF(#REF!="none","",#REF!)</f>
        <v>#REF!</v>
      </c>
      <c r="M139" t="e">
        <f>IF(#REF!="none","",'Take-off Build'!K139+'Take-off Build'!L139)</f>
        <v>#REF!</v>
      </c>
      <c r="O139" t="e">
        <f>IF(#REF!="none","",#REF!)</f>
        <v>#REF!</v>
      </c>
      <c r="P139" t="e">
        <f>IF(#REF!="none","",#REF!)</f>
        <v>#REF!</v>
      </c>
      <c r="Q139" t="e">
        <f>IF(#REF!="none","",#REF!)</f>
        <v>#REF!</v>
      </c>
      <c r="R139" t="e">
        <f>IF(#REF!="none","",#REF!)</f>
        <v>#REF!</v>
      </c>
      <c r="S139" t="e">
        <f>IF(#REF!="none","",#REF!)</f>
        <v>#REF!</v>
      </c>
      <c r="T139" t="e">
        <f>IF(#REF!="none","",'Take-off Build'!S139+'Take-off Build'!R139)</f>
        <v>#REF!</v>
      </c>
    </row>
    <row r="140" spans="1:20" x14ac:dyDescent="0.4">
      <c r="A140" t="str">
        <f>IF('Area A'!B202="None","",'Area A'!B202)</f>
        <v/>
      </c>
      <c r="B140" t="str">
        <f>IF('Area A'!B202="None","",'Area A'!C202)</f>
        <v/>
      </c>
      <c r="C140" t="str">
        <f>IF('Area A'!B202="none","",'Area A'!D202)</f>
        <v/>
      </c>
      <c r="D140" t="str">
        <f>IF('Area A'!B202="none","",'Area A'!E202)</f>
        <v/>
      </c>
      <c r="E140" t="str">
        <f>IF('Area A'!B202="none","",'Area A'!H202)</f>
        <v/>
      </c>
      <c r="F140" t="str">
        <f>IF(Table1[[#This Row],[Item]]="","",Table1[[#This Row],[Unit Count]]+Table1[[#This Row],[Coushion Qty]])</f>
        <v/>
      </c>
      <c r="H140" t="e">
        <f>IF(#REF!="none","",#REF!)</f>
        <v>#REF!</v>
      </c>
      <c r="I140" t="e">
        <f>IF(#REF!="none","",#REF!)</f>
        <v>#REF!</v>
      </c>
      <c r="J140" t="e">
        <f>IF(#REF!="none","",#REF!)</f>
        <v>#REF!</v>
      </c>
      <c r="K140" t="e">
        <f>IF(#REF!="none","",#REF!)</f>
        <v>#REF!</v>
      </c>
      <c r="L140" t="e">
        <f>IF(#REF!="none","",#REF!)</f>
        <v>#REF!</v>
      </c>
      <c r="M140" t="e">
        <f>IF(#REF!="none","",'Take-off Build'!K140+'Take-off Build'!L140)</f>
        <v>#REF!</v>
      </c>
      <c r="O140" t="e">
        <f>IF(#REF!="none","",#REF!)</f>
        <v>#REF!</v>
      </c>
      <c r="P140" t="e">
        <f>IF(#REF!="none","",#REF!)</f>
        <v>#REF!</v>
      </c>
      <c r="Q140" t="e">
        <f>IF(#REF!="none","",#REF!)</f>
        <v>#REF!</v>
      </c>
      <c r="R140" t="e">
        <f>IF(#REF!="none","",#REF!)</f>
        <v>#REF!</v>
      </c>
      <c r="S140" t="e">
        <f>IF(#REF!="none","",#REF!)</f>
        <v>#REF!</v>
      </c>
      <c r="T140" t="e">
        <f>IF(#REF!="none","",'Take-off Build'!S140+'Take-off Build'!R140)</f>
        <v>#REF!</v>
      </c>
    </row>
    <row r="141" spans="1:20" x14ac:dyDescent="0.4">
      <c r="A141" t="str">
        <f>IF('Area A'!B203="None","",'Area A'!B203)</f>
        <v>RCB1</v>
      </c>
      <c r="B141" t="str">
        <f>IF('Area A'!B203="None","",'Area A'!C203)</f>
        <v>Rail Connecting Block for Top &amp; Bottom Rails (1")</v>
      </c>
      <c r="C141">
        <f>IF('Area A'!B203="none","",'Area A'!D203)</f>
        <v>0</v>
      </c>
      <c r="D141">
        <f>IF('Area A'!B203="none","",'Area A'!E203)</f>
        <v>0</v>
      </c>
      <c r="E141">
        <f>IF('Area A'!B203="none","",'Area A'!H203)</f>
        <v>0</v>
      </c>
      <c r="F141">
        <f>IF(Table1[[#This Row],[Item]]="","",Table1[[#This Row],[Unit Count]]+Table1[[#This Row],[Coushion Qty]])</f>
        <v>0</v>
      </c>
      <c r="H141" t="e">
        <f>IF(#REF!="none","",#REF!)</f>
        <v>#REF!</v>
      </c>
      <c r="I141" t="e">
        <f>IF(#REF!="none","",#REF!)</f>
        <v>#REF!</v>
      </c>
      <c r="J141" t="e">
        <f>IF(#REF!="none","",#REF!)</f>
        <v>#REF!</v>
      </c>
      <c r="K141" t="e">
        <f>IF(#REF!="none","",#REF!)</f>
        <v>#REF!</v>
      </c>
      <c r="L141" t="e">
        <f>IF(#REF!="none","",#REF!)</f>
        <v>#REF!</v>
      </c>
      <c r="M141" t="e">
        <f>IF(#REF!="none","",'Take-off Build'!K141+'Take-off Build'!L141)</f>
        <v>#REF!</v>
      </c>
      <c r="O141" t="e">
        <f>IF(#REF!="none","",#REF!)</f>
        <v>#REF!</v>
      </c>
      <c r="P141" t="e">
        <f>IF(#REF!="none","",#REF!)</f>
        <v>#REF!</v>
      </c>
      <c r="Q141" t="e">
        <f>IF(#REF!="none","",#REF!)</f>
        <v>#REF!</v>
      </c>
      <c r="R141" t="e">
        <f>IF(#REF!="none","",#REF!)</f>
        <v>#REF!</v>
      </c>
      <c r="S141" t="e">
        <f>IF(#REF!="none","",#REF!)</f>
        <v>#REF!</v>
      </c>
      <c r="T141" t="e">
        <f>IF(#REF!="none","",'Take-off Build'!S141+'Take-off Build'!R141)</f>
        <v>#REF!</v>
      </c>
    </row>
    <row r="142" spans="1:20" x14ac:dyDescent="0.4">
      <c r="A142" t="str">
        <f>IF('Area A'!B204="None","",'Area A'!B204)</f>
        <v/>
      </c>
      <c r="B142" t="str">
        <f>IF('Area A'!B204="None","",'Area A'!C204)</f>
        <v/>
      </c>
      <c r="C142" t="str">
        <f>IF('Area A'!B204="none","",'Area A'!D204)</f>
        <v/>
      </c>
      <c r="D142" t="str">
        <f>IF('Area A'!B204="none","",'Area A'!E204)</f>
        <v/>
      </c>
      <c r="E142" t="str">
        <f>IF('Area A'!B204="none","",'Area A'!H204)</f>
        <v/>
      </c>
      <c r="F142" t="str">
        <f>IF(Table1[[#This Row],[Item]]="","",Table1[[#This Row],[Unit Count]]+Table1[[#This Row],[Coushion Qty]])</f>
        <v/>
      </c>
      <c r="H142" t="e">
        <f>IF(#REF!="none","",#REF!)</f>
        <v>#REF!</v>
      </c>
      <c r="I142" t="e">
        <f>IF(#REF!="none","",#REF!)</f>
        <v>#REF!</v>
      </c>
      <c r="J142" t="e">
        <f>IF(#REF!="none","",#REF!)</f>
        <v>#REF!</v>
      </c>
      <c r="K142" t="e">
        <f>IF(#REF!="none","",#REF!)</f>
        <v>#REF!</v>
      </c>
      <c r="L142" t="e">
        <f>IF(#REF!="none","",#REF!)</f>
        <v>#REF!</v>
      </c>
      <c r="M142" t="e">
        <f>IF(#REF!="none","",'Take-off Build'!K142+'Take-off Build'!L142)</f>
        <v>#REF!</v>
      </c>
      <c r="O142" t="e">
        <f>IF(#REF!="none","",#REF!)</f>
        <v>#REF!</v>
      </c>
      <c r="P142" t="e">
        <f>IF(#REF!="none","",#REF!)</f>
        <v>#REF!</v>
      </c>
      <c r="Q142" t="e">
        <f>IF(#REF!="none","",#REF!)</f>
        <v>#REF!</v>
      </c>
      <c r="R142" t="e">
        <f>IF(#REF!="none","",#REF!)</f>
        <v>#REF!</v>
      </c>
      <c r="S142" t="e">
        <f>IF(#REF!="none","",#REF!)</f>
        <v>#REF!</v>
      </c>
      <c r="T142" t="e">
        <f>IF(#REF!="none","",'Take-off Build'!S142+'Take-off Build'!R142)</f>
        <v>#REF!</v>
      </c>
    </row>
    <row r="143" spans="1:20" x14ac:dyDescent="0.4">
      <c r="A143" t="str">
        <f>IF('Area A'!B205="None","",'Area A'!B205)</f>
        <v/>
      </c>
      <c r="B143" t="str">
        <f>IF('Area A'!B205="None","",'Area A'!C205)</f>
        <v/>
      </c>
      <c r="C143" t="str">
        <f>IF('Area A'!B205="none","",'Area A'!D205)</f>
        <v/>
      </c>
      <c r="D143" t="str">
        <f>IF('Area A'!B205="none","",'Area A'!E205)</f>
        <v/>
      </c>
      <c r="E143" t="str">
        <f>IF('Area A'!B205="none","",'Area A'!H205)</f>
        <v/>
      </c>
      <c r="F143" t="str">
        <f>IF(Table1[[#This Row],[Item]]="","",Table1[[#This Row],[Unit Count]]+Table1[[#This Row],[Coushion Qty]])</f>
        <v/>
      </c>
      <c r="H143" t="e">
        <f>IF(#REF!="none","",#REF!)</f>
        <v>#REF!</v>
      </c>
      <c r="I143" t="e">
        <f>IF(#REF!="none","",#REF!)</f>
        <v>#REF!</v>
      </c>
      <c r="J143" t="e">
        <f>IF(#REF!="none","",#REF!)</f>
        <v>#REF!</v>
      </c>
      <c r="K143" t="e">
        <f>IF(#REF!="none","",#REF!)</f>
        <v>#REF!</v>
      </c>
      <c r="L143" t="e">
        <f>IF(#REF!="none","",#REF!)</f>
        <v>#REF!</v>
      </c>
      <c r="M143" t="e">
        <f>IF(#REF!="none","",'Take-off Build'!K143+'Take-off Build'!L143)</f>
        <v>#REF!</v>
      </c>
      <c r="O143" t="e">
        <f>IF(#REF!="none","",#REF!)</f>
        <v>#REF!</v>
      </c>
      <c r="P143" t="e">
        <f>IF(#REF!="none","",#REF!)</f>
        <v>#REF!</v>
      </c>
      <c r="Q143" t="e">
        <f>IF(#REF!="none","",#REF!)</f>
        <v>#REF!</v>
      </c>
      <c r="R143" t="e">
        <f>IF(#REF!="none","",#REF!)</f>
        <v>#REF!</v>
      </c>
      <c r="S143" t="e">
        <f>IF(#REF!="none","",#REF!)</f>
        <v>#REF!</v>
      </c>
      <c r="T143" t="e">
        <f>IF(#REF!="none","",'Take-off Build'!S143+'Take-off Build'!R143)</f>
        <v>#REF!</v>
      </c>
    </row>
    <row r="144" spans="1:20" x14ac:dyDescent="0.4">
      <c r="A144" t="str">
        <f>IF('Area A'!B206="None","",'Area A'!B206)</f>
        <v/>
      </c>
      <c r="B144" t="str">
        <f>IF('Area A'!B206="None","",'Area A'!C206)</f>
        <v/>
      </c>
      <c r="C144" t="str">
        <f>IF('Area A'!B206="none","",'Area A'!D206)</f>
        <v/>
      </c>
      <c r="D144" t="str">
        <f>IF('Area A'!B206="none","",'Area A'!E206)</f>
        <v/>
      </c>
      <c r="E144" t="str">
        <f>IF('Area A'!B206="none","",'Area A'!H206)</f>
        <v/>
      </c>
      <c r="F144" t="str">
        <f>IF(Table1[[#This Row],[Item]]="","",Table1[[#This Row],[Unit Count]]+Table1[[#This Row],[Coushion Qty]])</f>
        <v/>
      </c>
      <c r="H144" t="e">
        <f>IF(#REF!="none","",#REF!)</f>
        <v>#REF!</v>
      </c>
      <c r="I144" t="e">
        <f>IF(#REF!="none","",#REF!)</f>
        <v>#REF!</v>
      </c>
      <c r="J144" t="e">
        <f>IF(#REF!="none","",#REF!)</f>
        <v>#REF!</v>
      </c>
      <c r="K144" t="e">
        <f>IF(#REF!="none","",#REF!)</f>
        <v>#REF!</v>
      </c>
      <c r="L144" t="e">
        <f>IF(#REF!="none","",#REF!)</f>
        <v>#REF!</v>
      </c>
      <c r="M144" t="e">
        <f>IF(#REF!="none","",'Take-off Build'!K144+'Take-off Build'!L144)</f>
        <v>#REF!</v>
      </c>
      <c r="O144" t="e">
        <f>IF(#REF!="none","",#REF!)</f>
        <v>#REF!</v>
      </c>
      <c r="P144" t="e">
        <f>IF(#REF!="none","",#REF!)</f>
        <v>#REF!</v>
      </c>
      <c r="Q144" t="e">
        <f>IF(#REF!="none","",#REF!)</f>
        <v>#REF!</v>
      </c>
      <c r="R144" t="e">
        <f>IF(#REF!="none","",#REF!)</f>
        <v>#REF!</v>
      </c>
      <c r="S144" t="e">
        <f>IF(#REF!="none","",#REF!)</f>
        <v>#REF!</v>
      </c>
      <c r="T144" t="e">
        <f>IF(#REF!="none","",'Take-off Build'!S144+'Take-off Build'!R144)</f>
        <v>#REF!</v>
      </c>
    </row>
    <row r="145" spans="1:20" x14ac:dyDescent="0.4">
      <c r="A145" t="str">
        <f>IF('Area A'!B207="None","",'Area A'!B207)</f>
        <v/>
      </c>
      <c r="B145" t="str">
        <f>IF('Area A'!B207="None","",'Area A'!C207)</f>
        <v/>
      </c>
      <c r="C145" t="str">
        <f>IF('Area A'!B207="none","",'Area A'!D207)</f>
        <v/>
      </c>
      <c r="D145" t="str">
        <f>IF('Area A'!B207="none","",'Area A'!E207)</f>
        <v/>
      </c>
      <c r="E145" t="str">
        <f>IF('Area A'!B207="none","",'Area A'!H207)</f>
        <v/>
      </c>
      <c r="F145" t="str">
        <f>IF(Table1[[#This Row],[Item]]="","",Table1[[#This Row],[Unit Count]]+Table1[[#This Row],[Coushion Qty]])</f>
        <v/>
      </c>
      <c r="H145" t="e">
        <f>IF(#REF!="none","",#REF!)</f>
        <v>#REF!</v>
      </c>
      <c r="I145" t="e">
        <f>IF(#REF!="none","",#REF!)</f>
        <v>#REF!</v>
      </c>
      <c r="J145" t="e">
        <f>IF(#REF!="none","",#REF!)</f>
        <v>#REF!</v>
      </c>
      <c r="K145" t="e">
        <f>IF(#REF!="none","",#REF!)</f>
        <v>#REF!</v>
      </c>
      <c r="L145" t="e">
        <f>IF(#REF!="none","",#REF!)</f>
        <v>#REF!</v>
      </c>
      <c r="M145" t="e">
        <f>IF(#REF!="none","",'Take-off Build'!K145+'Take-off Build'!L145)</f>
        <v>#REF!</v>
      </c>
      <c r="O145" t="e">
        <f>IF(#REF!="none","",#REF!)</f>
        <v>#REF!</v>
      </c>
      <c r="P145" t="e">
        <f>IF(#REF!="none","",#REF!)</f>
        <v>#REF!</v>
      </c>
      <c r="Q145" t="e">
        <f>IF(#REF!="none","",#REF!)</f>
        <v>#REF!</v>
      </c>
      <c r="R145" t="e">
        <f>IF(#REF!="none","",#REF!)</f>
        <v>#REF!</v>
      </c>
      <c r="S145" t="e">
        <f>IF(#REF!="none","",#REF!)</f>
        <v>#REF!</v>
      </c>
      <c r="T145" t="e">
        <f>IF(#REF!="none","",'Take-off Build'!S145+'Take-off Build'!R145)</f>
        <v>#REF!</v>
      </c>
    </row>
    <row r="146" spans="1:20" x14ac:dyDescent="0.4">
      <c r="A146" t="str">
        <f>IF('Area A'!B208="None","",'Area A'!B208)</f>
        <v/>
      </c>
      <c r="B146" t="str">
        <f>IF('Area A'!B208="None","",'Area A'!C208)</f>
        <v/>
      </c>
      <c r="C146" t="str">
        <f>IF('Area A'!B208="none","",'Area A'!D208)</f>
        <v/>
      </c>
      <c r="D146" t="str">
        <f>IF('Area A'!B208="none","",'Area A'!E208)</f>
        <v/>
      </c>
      <c r="E146" t="str">
        <f>IF('Area A'!B208="none","",'Area A'!H208)</f>
        <v/>
      </c>
      <c r="F146" t="str">
        <f>IF(Table1[[#This Row],[Item]]="","",Table1[[#This Row],[Unit Count]]+Table1[[#This Row],[Coushion Qty]])</f>
        <v/>
      </c>
      <c r="H146" t="e">
        <f>IF(#REF!="none","",#REF!)</f>
        <v>#REF!</v>
      </c>
      <c r="I146" t="e">
        <f>IF(#REF!="none","",#REF!)</f>
        <v>#REF!</v>
      </c>
      <c r="J146" t="e">
        <f>IF(#REF!="none","",#REF!)</f>
        <v>#REF!</v>
      </c>
      <c r="K146" t="e">
        <f>IF(#REF!="none","",#REF!)</f>
        <v>#REF!</v>
      </c>
      <c r="L146" t="e">
        <f>IF(#REF!="none","",#REF!)</f>
        <v>#REF!</v>
      </c>
      <c r="M146" t="e">
        <f>IF(#REF!="none","",'Take-off Build'!K146+'Take-off Build'!L146)</f>
        <v>#REF!</v>
      </c>
      <c r="O146" t="e">
        <f>IF(#REF!="none","",#REF!)</f>
        <v>#REF!</v>
      </c>
      <c r="P146" t="e">
        <f>IF(#REF!="none","",#REF!)</f>
        <v>#REF!</v>
      </c>
      <c r="Q146" t="e">
        <f>IF(#REF!="none","",#REF!)</f>
        <v>#REF!</v>
      </c>
      <c r="R146" t="e">
        <f>IF(#REF!="none","",#REF!)</f>
        <v>#REF!</v>
      </c>
      <c r="S146" t="e">
        <f>IF(#REF!="none","",#REF!)</f>
        <v>#REF!</v>
      </c>
      <c r="T146" t="e">
        <f>IF(#REF!="none","",'Take-off Build'!S146+'Take-off Build'!R146)</f>
        <v>#REF!</v>
      </c>
    </row>
    <row r="147" spans="1:20" x14ac:dyDescent="0.4">
      <c r="A147" t="str">
        <f>IF('Area A'!B209="None","",'Area A'!B209)</f>
        <v/>
      </c>
      <c r="B147" t="str">
        <f>IF('Area A'!B209="None","",'Area A'!C209)</f>
        <v/>
      </c>
      <c r="C147" t="str">
        <f>IF('Area A'!B209="none","",'Area A'!D209)</f>
        <v/>
      </c>
      <c r="D147" t="str">
        <f>IF('Area A'!B209="none","",'Area A'!E209)</f>
        <v/>
      </c>
      <c r="E147" t="str">
        <f>IF('Area A'!B209="none","",'Area A'!H209)</f>
        <v/>
      </c>
      <c r="F147" t="str">
        <f>IF(Table1[[#This Row],[Item]]="","",Table1[[#This Row],[Unit Count]]+Table1[[#This Row],[Coushion Qty]])</f>
        <v/>
      </c>
      <c r="H147" t="e">
        <f>IF(#REF!="none","",#REF!)</f>
        <v>#REF!</v>
      </c>
      <c r="I147" t="e">
        <f>IF(#REF!="none","",#REF!)</f>
        <v>#REF!</v>
      </c>
      <c r="J147" t="e">
        <f>IF(#REF!="none","",#REF!)</f>
        <v>#REF!</v>
      </c>
      <c r="K147" t="e">
        <f>IF(#REF!="none","",#REF!)</f>
        <v>#REF!</v>
      </c>
      <c r="L147" t="e">
        <f>IF(#REF!="none","",#REF!)</f>
        <v>#REF!</v>
      </c>
      <c r="M147" t="e">
        <f>IF(#REF!="none","",'Take-off Build'!K147+'Take-off Build'!L147)</f>
        <v>#REF!</v>
      </c>
      <c r="O147" t="e">
        <f>IF(#REF!="none","",#REF!)</f>
        <v>#REF!</v>
      </c>
      <c r="P147" t="e">
        <f>IF(#REF!="none","",#REF!)</f>
        <v>#REF!</v>
      </c>
      <c r="Q147" t="e">
        <f>IF(#REF!="none","",#REF!)</f>
        <v>#REF!</v>
      </c>
      <c r="R147" t="e">
        <f>IF(#REF!="none","",#REF!)</f>
        <v>#REF!</v>
      </c>
      <c r="S147" t="e">
        <f>IF(#REF!="none","",#REF!)</f>
        <v>#REF!</v>
      </c>
      <c r="T147" t="e">
        <f>IF(#REF!="none","",'Take-off Build'!S147+'Take-off Build'!R147)</f>
        <v>#REF!</v>
      </c>
    </row>
    <row r="148" spans="1:20" x14ac:dyDescent="0.4">
      <c r="A148" t="str">
        <f>IF('Area A'!B210="None","",'Area A'!B210)</f>
        <v/>
      </c>
      <c r="B148" t="str">
        <f>IF('Area A'!B210="None","",'Area A'!C210)</f>
        <v/>
      </c>
      <c r="C148" t="str">
        <f>IF('Area A'!B210="none","",'Area A'!D210)</f>
        <v/>
      </c>
      <c r="D148" t="str">
        <f>IF('Area A'!B210="none","",'Area A'!E210)</f>
        <v/>
      </c>
      <c r="E148" t="str">
        <f>IF('Area A'!B210="none","",'Area A'!H210)</f>
        <v/>
      </c>
      <c r="F148" t="str">
        <f>IF(Table1[[#This Row],[Item]]="","",Table1[[#This Row],[Unit Count]]+Table1[[#This Row],[Coushion Qty]])</f>
        <v/>
      </c>
      <c r="H148" t="e">
        <f>IF(#REF!="none","",#REF!)</f>
        <v>#REF!</v>
      </c>
      <c r="I148" t="e">
        <f>IF(#REF!="none","",#REF!)</f>
        <v>#REF!</v>
      </c>
      <c r="J148" t="e">
        <f>IF(#REF!="none","",#REF!)</f>
        <v>#REF!</v>
      </c>
      <c r="K148" t="e">
        <f>IF(#REF!="none","",#REF!)</f>
        <v>#REF!</v>
      </c>
      <c r="L148" t="e">
        <f>IF(#REF!="none","",#REF!)</f>
        <v>#REF!</v>
      </c>
      <c r="M148" t="e">
        <f>IF(#REF!="none","",'Take-off Build'!K148+'Take-off Build'!L148)</f>
        <v>#REF!</v>
      </c>
      <c r="O148" t="e">
        <f>IF(#REF!="none","",#REF!)</f>
        <v>#REF!</v>
      </c>
      <c r="P148" t="e">
        <f>IF(#REF!="none","",#REF!)</f>
        <v>#REF!</v>
      </c>
      <c r="Q148" t="e">
        <f>IF(#REF!="none","",#REF!)</f>
        <v>#REF!</v>
      </c>
      <c r="R148" t="e">
        <f>IF(#REF!="none","",#REF!)</f>
        <v>#REF!</v>
      </c>
      <c r="S148" t="e">
        <f>IF(#REF!="none","",#REF!)</f>
        <v>#REF!</v>
      </c>
      <c r="T148" t="e">
        <f>IF(#REF!="none","",'Take-off Build'!S148+'Take-off Build'!R148)</f>
        <v>#REF!</v>
      </c>
    </row>
    <row r="149" spans="1:20" x14ac:dyDescent="0.4">
      <c r="A149" t="str">
        <f>IF('Area A'!B211="None","",'Area A'!B211)</f>
        <v>SP41- Blk</v>
      </c>
      <c r="B149" t="str">
        <f>IF('Area A'!B211="None","",'Area A'!C211)</f>
        <v>Series 100 Picket Spacer (4")- Black</v>
      </c>
      <c r="C149">
        <f>IF('Area A'!B211="none","",'Area A'!D211)</f>
        <v>0</v>
      </c>
      <c r="D149">
        <f>IF('Area A'!B211="none","",'Area A'!E211)</f>
        <v>0</v>
      </c>
      <c r="E149">
        <f>IF('Area A'!B211="none","",'Area A'!H211)</f>
        <v>0</v>
      </c>
      <c r="F149">
        <f>IF(Table1[[#This Row],[Item]]="","",Table1[[#This Row],[Unit Count]]+Table1[[#This Row],[Coushion Qty]])</f>
        <v>0</v>
      </c>
      <c r="H149" t="e">
        <f>IF(#REF!="none","",#REF!)</f>
        <v>#REF!</v>
      </c>
      <c r="I149" t="e">
        <f>IF(#REF!="none","",#REF!)</f>
        <v>#REF!</v>
      </c>
      <c r="J149" t="e">
        <f>IF(#REF!="none","",#REF!)</f>
        <v>#REF!</v>
      </c>
      <c r="K149" t="e">
        <f>IF(#REF!="none","",#REF!)</f>
        <v>#REF!</v>
      </c>
      <c r="L149" t="e">
        <f>IF(#REF!="none","",#REF!)</f>
        <v>#REF!</v>
      </c>
      <c r="M149" t="e">
        <f>IF(#REF!="none","",'Take-off Build'!K149+'Take-off Build'!L149)</f>
        <v>#REF!</v>
      </c>
      <c r="O149" t="e">
        <f>IF(#REF!="none","",#REF!)</f>
        <v>#REF!</v>
      </c>
      <c r="P149" t="e">
        <f>IF(#REF!="none","",#REF!)</f>
        <v>#REF!</v>
      </c>
      <c r="Q149" t="e">
        <f>IF(#REF!="none","",#REF!)</f>
        <v>#REF!</v>
      </c>
      <c r="R149" t="e">
        <f>IF(#REF!="none","",#REF!)</f>
        <v>#REF!</v>
      </c>
      <c r="S149" t="e">
        <f>IF(#REF!="none","",#REF!)</f>
        <v>#REF!</v>
      </c>
      <c r="T149" t="e">
        <f>IF(#REF!="none","",'Take-off Build'!S149+'Take-off Build'!R149)</f>
        <v>#REF!</v>
      </c>
    </row>
    <row r="150" spans="1:20" x14ac:dyDescent="0.4">
      <c r="A150" t="str">
        <f>IF('Area A'!B212="None","",'Area A'!B212)</f>
        <v>SP41- Blk</v>
      </c>
      <c r="B150" t="str">
        <f>IF('Area A'!B212="None","",'Area A'!C212)</f>
        <v>Series 100 Picket Spacer (4")- Black</v>
      </c>
      <c r="C150">
        <f>IF('Area A'!B212="none","",'Area A'!D212)</f>
        <v>0</v>
      </c>
      <c r="D150">
        <f>IF('Area A'!B212="none","",'Area A'!E212)</f>
        <v>0</v>
      </c>
      <c r="E150">
        <f>IF('Area A'!B212="none","",'Area A'!H212)</f>
        <v>0</v>
      </c>
      <c r="F150">
        <f>IF(Table1[[#This Row],[Item]]="","",Table1[[#This Row],[Unit Count]]+Table1[[#This Row],[Coushion Qty]])</f>
        <v>0</v>
      </c>
      <c r="H150" t="e">
        <f>IF(#REF!="none","",#REF!)</f>
        <v>#REF!</v>
      </c>
      <c r="I150" t="e">
        <f>IF(#REF!="none","",#REF!)</f>
        <v>#REF!</v>
      </c>
      <c r="J150" t="e">
        <f>IF(#REF!="none","",#REF!)</f>
        <v>#REF!</v>
      </c>
      <c r="K150" t="e">
        <f>IF(#REF!="none","",#REF!)</f>
        <v>#REF!</v>
      </c>
      <c r="L150" t="e">
        <f>IF(#REF!="none","",#REF!)</f>
        <v>#REF!</v>
      </c>
      <c r="M150" t="e">
        <f>IF(#REF!="none","",'Take-off Build'!K150+'Take-off Build'!L150)</f>
        <v>#REF!</v>
      </c>
      <c r="O150" t="e">
        <f>IF(#REF!="none","",#REF!)</f>
        <v>#REF!</v>
      </c>
      <c r="P150" t="e">
        <f>IF(#REF!="none","",#REF!)</f>
        <v>#REF!</v>
      </c>
      <c r="Q150" t="e">
        <f>IF(#REF!="none","",#REF!)</f>
        <v>#REF!</v>
      </c>
      <c r="R150" t="e">
        <f>IF(#REF!="none","",#REF!)</f>
        <v>#REF!</v>
      </c>
      <c r="S150" t="e">
        <f>IF(#REF!="none","",#REF!)</f>
        <v>#REF!</v>
      </c>
      <c r="T150" t="e">
        <f>IF(#REF!="none","",'Take-off Build'!S150+'Take-off Build'!R150)</f>
        <v>#REF!</v>
      </c>
    </row>
    <row r="151" spans="1:20" x14ac:dyDescent="0.4">
      <c r="A151" t="str">
        <f>IF('Area A'!B213="None","",'Area A'!B213)</f>
        <v/>
      </c>
      <c r="B151" t="str">
        <f>IF('Area A'!B213="None","",'Area A'!C213)</f>
        <v/>
      </c>
      <c r="C151" t="str">
        <f>IF('Area A'!B213="none","",'Area A'!D213)</f>
        <v/>
      </c>
      <c r="D151" t="str">
        <f>IF('Area A'!B213="none","",'Area A'!E213)</f>
        <v/>
      </c>
      <c r="E151" t="str">
        <f>IF('Area A'!B213="none","",'Area A'!H213)</f>
        <v/>
      </c>
      <c r="F151" t="str">
        <f>IF(Table1[[#This Row],[Item]]="","",Table1[[#This Row],[Unit Count]]+Table1[[#This Row],[Coushion Qty]])</f>
        <v/>
      </c>
      <c r="H151" t="e">
        <f>IF(#REF!="none","",#REF!)</f>
        <v>#REF!</v>
      </c>
      <c r="I151" t="e">
        <f>IF(#REF!="none","",#REF!)</f>
        <v>#REF!</v>
      </c>
      <c r="J151" t="e">
        <f>IF(#REF!="none","",#REF!)</f>
        <v>#REF!</v>
      </c>
      <c r="K151" t="e">
        <f>IF(#REF!="none","",#REF!)</f>
        <v>#REF!</v>
      </c>
      <c r="L151" t="e">
        <f>IF(#REF!="none","",#REF!)</f>
        <v>#REF!</v>
      </c>
      <c r="M151" t="e">
        <f>IF(#REF!="none","",'Take-off Build'!K151+'Take-off Build'!L151)</f>
        <v>#REF!</v>
      </c>
      <c r="O151" t="e">
        <f>IF(#REF!="none","",#REF!)</f>
        <v>#REF!</v>
      </c>
      <c r="P151" t="e">
        <f>IF(#REF!="none","",#REF!)</f>
        <v>#REF!</v>
      </c>
      <c r="Q151" t="e">
        <f>IF(#REF!="none","",#REF!)</f>
        <v>#REF!</v>
      </c>
      <c r="R151" t="e">
        <f>IF(#REF!="none","",#REF!)</f>
        <v>#REF!</v>
      </c>
      <c r="S151" t="e">
        <f>IF(#REF!="none","",#REF!)</f>
        <v>#REF!</v>
      </c>
      <c r="T151" t="e">
        <f>IF(#REF!="none","",'Take-off Build'!S151+'Take-off Build'!R151)</f>
        <v>#REF!</v>
      </c>
    </row>
    <row r="152" spans="1:20" x14ac:dyDescent="0.4">
      <c r="A152" t="str">
        <f>IF('Area A'!B214="None","",'Area A'!B214)</f>
        <v/>
      </c>
      <c r="B152" t="str">
        <f>IF('Area A'!B214="None","",'Area A'!C214)</f>
        <v/>
      </c>
      <c r="C152" t="str">
        <f>IF('Area A'!B214="none","",'Area A'!D214)</f>
        <v/>
      </c>
      <c r="D152" t="str">
        <f>IF('Area A'!B214="none","",'Area A'!E214)</f>
        <v/>
      </c>
      <c r="E152" t="str">
        <f>IF('Area A'!B214="none","",'Area A'!H214)</f>
        <v/>
      </c>
      <c r="F152" t="str">
        <f>IF(Table1[[#This Row],[Item]]="","",Table1[[#This Row],[Unit Count]]+Table1[[#This Row],[Coushion Qty]])</f>
        <v/>
      </c>
      <c r="H152" t="e">
        <f>IF(#REF!="none","",#REF!)</f>
        <v>#REF!</v>
      </c>
      <c r="I152" t="e">
        <f>IF(#REF!="none","",#REF!)</f>
        <v>#REF!</v>
      </c>
      <c r="J152" t="e">
        <f>IF(#REF!="none","",#REF!)</f>
        <v>#REF!</v>
      </c>
      <c r="K152" t="e">
        <f>IF(#REF!="none","",#REF!)</f>
        <v>#REF!</v>
      </c>
      <c r="L152" t="e">
        <f>IF(#REF!="none","",#REF!)</f>
        <v>#REF!</v>
      </c>
      <c r="M152" t="e">
        <f>IF(#REF!="none","",'Take-off Build'!K152+'Take-off Build'!L152)</f>
        <v>#REF!</v>
      </c>
      <c r="O152" t="e">
        <f>IF(#REF!="none","",#REF!)</f>
        <v>#REF!</v>
      </c>
      <c r="P152" t="e">
        <f>IF(#REF!="none","",#REF!)</f>
        <v>#REF!</v>
      </c>
      <c r="Q152" t="e">
        <f>IF(#REF!="none","",#REF!)</f>
        <v>#REF!</v>
      </c>
      <c r="R152" t="e">
        <f>IF(#REF!="none","",#REF!)</f>
        <v>#REF!</v>
      </c>
      <c r="S152" t="e">
        <f>IF(#REF!="none","",#REF!)</f>
        <v>#REF!</v>
      </c>
      <c r="T152" t="e">
        <f>IF(#REF!="none","",'Take-off Build'!S152+'Take-off Build'!R152)</f>
        <v>#REF!</v>
      </c>
    </row>
    <row r="153" spans="1:20" x14ac:dyDescent="0.4">
      <c r="A153" t="str">
        <f>IF('Area A'!B215="None","",'Area A'!B215)</f>
        <v/>
      </c>
      <c r="B153" t="str">
        <f>IF('Area A'!B215="None","",'Area A'!C215)</f>
        <v/>
      </c>
      <c r="C153" t="str">
        <f>IF('Area A'!B215="none","",'Area A'!D215)</f>
        <v/>
      </c>
      <c r="D153" t="str">
        <f>IF('Area A'!B215="none","",'Area A'!E215)</f>
        <v/>
      </c>
      <c r="E153" t="str">
        <f>IF('Area A'!B215="none","",'Area A'!H215)</f>
        <v/>
      </c>
      <c r="F153" t="str">
        <f>IF(Table1[[#This Row],[Item]]="","",Table1[[#This Row],[Unit Count]]+Table1[[#This Row],[Coushion Qty]])</f>
        <v/>
      </c>
      <c r="H153" t="e">
        <f>IF(#REF!="none","",#REF!)</f>
        <v>#REF!</v>
      </c>
      <c r="I153" t="e">
        <f>IF(#REF!="none","",#REF!)</f>
        <v>#REF!</v>
      </c>
      <c r="J153" t="e">
        <f>IF(#REF!="none","",#REF!)</f>
        <v>#REF!</v>
      </c>
      <c r="K153" t="e">
        <f>IF(#REF!="none","",#REF!)</f>
        <v>#REF!</v>
      </c>
      <c r="L153" t="e">
        <f>IF(#REF!="none","",#REF!)</f>
        <v>#REF!</v>
      </c>
      <c r="M153" t="e">
        <f>IF(#REF!="none","",'Take-off Build'!K153+'Take-off Build'!L153)</f>
        <v>#REF!</v>
      </c>
      <c r="O153" t="e">
        <f>IF(#REF!="none","",#REF!)</f>
        <v>#REF!</v>
      </c>
      <c r="P153" t="e">
        <f>IF(#REF!="none","",#REF!)</f>
        <v>#REF!</v>
      </c>
      <c r="Q153" t="e">
        <f>IF(#REF!="none","",#REF!)</f>
        <v>#REF!</v>
      </c>
      <c r="R153" t="e">
        <f>IF(#REF!="none","",#REF!)</f>
        <v>#REF!</v>
      </c>
      <c r="S153" t="e">
        <f>IF(#REF!="none","",#REF!)</f>
        <v>#REF!</v>
      </c>
      <c r="T153" t="e">
        <f>IF(#REF!="none","",'Take-off Build'!S153+'Take-off Build'!R153)</f>
        <v>#REF!</v>
      </c>
    </row>
    <row r="154" spans="1:20" x14ac:dyDescent="0.4">
      <c r="A154" t="str">
        <f>IF('Area A'!B216="None","",'Area A'!B216)</f>
        <v/>
      </c>
      <c r="B154" t="str">
        <f>IF('Area A'!B216="None","",'Area A'!C216)</f>
        <v/>
      </c>
      <c r="C154" t="str">
        <f>IF('Area A'!B216="none","",'Area A'!D216)</f>
        <v/>
      </c>
      <c r="D154" t="str">
        <f>IF('Area A'!B216="none","",'Area A'!E216)</f>
        <v/>
      </c>
      <c r="E154" t="str">
        <f>IF('Area A'!B216="none","",'Area A'!H216)</f>
        <v/>
      </c>
      <c r="F154" t="str">
        <f>IF(Table1[[#This Row],[Item]]="","",Table1[[#This Row],[Unit Count]]+Table1[[#This Row],[Coushion Qty]])</f>
        <v/>
      </c>
      <c r="H154" t="e">
        <f>IF(#REF!="none","",#REF!)</f>
        <v>#REF!</v>
      </c>
      <c r="I154" t="e">
        <f>IF(#REF!="none","",#REF!)</f>
        <v>#REF!</v>
      </c>
      <c r="J154" t="e">
        <f>IF(#REF!="none","",#REF!)</f>
        <v>#REF!</v>
      </c>
      <c r="K154" t="e">
        <f>IF(#REF!="none","",#REF!)</f>
        <v>#REF!</v>
      </c>
      <c r="L154" t="e">
        <f>IF(#REF!="none","",#REF!)</f>
        <v>#REF!</v>
      </c>
      <c r="M154" t="e">
        <f>IF(#REF!="none","",'Take-off Build'!K154+'Take-off Build'!L154)</f>
        <v>#REF!</v>
      </c>
      <c r="O154" t="e">
        <f>IF(#REF!="none","",#REF!)</f>
        <v>#REF!</v>
      </c>
      <c r="P154" t="e">
        <f>IF(#REF!="none","",#REF!)</f>
        <v>#REF!</v>
      </c>
      <c r="Q154" t="e">
        <f>IF(#REF!="none","",#REF!)</f>
        <v>#REF!</v>
      </c>
      <c r="R154" t="e">
        <f>IF(#REF!="none","",#REF!)</f>
        <v>#REF!</v>
      </c>
      <c r="S154" t="e">
        <f>IF(#REF!="none","",#REF!)</f>
        <v>#REF!</v>
      </c>
      <c r="T154" t="e">
        <f>IF(#REF!="none","",'Take-off Build'!S154+'Take-off Build'!R154)</f>
        <v>#REF!</v>
      </c>
    </row>
    <row r="155" spans="1:20" x14ac:dyDescent="0.4">
      <c r="A155" t="str">
        <f>IF('Area A'!B217="None","",'Area A'!B217)</f>
        <v/>
      </c>
      <c r="B155" t="str">
        <f>IF('Area A'!B217="None","",'Area A'!C217)</f>
        <v/>
      </c>
      <c r="C155" t="str">
        <f>IF('Area A'!B217="none","",'Area A'!D217)</f>
        <v/>
      </c>
      <c r="D155" t="str">
        <f>IF('Area A'!B217="none","",'Area A'!E217)</f>
        <v/>
      </c>
      <c r="E155" t="str">
        <f>IF('Area A'!B217="none","",'Area A'!H217)</f>
        <v/>
      </c>
      <c r="F155" t="str">
        <f>IF(Table1[[#This Row],[Item]]="","",Table1[[#This Row],[Unit Count]]+Table1[[#This Row],[Coushion Qty]])</f>
        <v/>
      </c>
      <c r="H155" t="e">
        <f>IF(#REF!="none","",#REF!)</f>
        <v>#REF!</v>
      </c>
      <c r="I155" t="e">
        <f>IF(#REF!="none","",#REF!)</f>
        <v>#REF!</v>
      </c>
      <c r="J155" t="e">
        <f>IF(#REF!="none","",#REF!)</f>
        <v>#REF!</v>
      </c>
      <c r="K155" t="e">
        <f>IF(#REF!="none","",#REF!)</f>
        <v>#REF!</v>
      </c>
      <c r="L155" t="e">
        <f>IF(#REF!="none","",#REF!)</f>
        <v>#REF!</v>
      </c>
      <c r="M155" t="e">
        <f>IF(#REF!="none","",'Take-off Build'!K155+'Take-off Build'!L155)</f>
        <v>#REF!</v>
      </c>
      <c r="O155" t="e">
        <f>IF(#REF!="none","",#REF!)</f>
        <v>#REF!</v>
      </c>
      <c r="P155" t="e">
        <f>IF(#REF!="none","",#REF!)</f>
        <v>#REF!</v>
      </c>
      <c r="Q155" t="e">
        <f>IF(#REF!="none","",#REF!)</f>
        <v>#REF!</v>
      </c>
      <c r="R155" t="e">
        <f>IF(#REF!="none","",#REF!)</f>
        <v>#REF!</v>
      </c>
      <c r="S155" t="e">
        <f>IF(#REF!="none","",#REF!)</f>
        <v>#REF!</v>
      </c>
      <c r="T155" t="e">
        <f>IF(#REF!="none","",'Take-off Build'!S155+'Take-off Build'!R155)</f>
        <v>#REF!</v>
      </c>
    </row>
    <row r="156" spans="1:20" x14ac:dyDescent="0.4">
      <c r="A156" t="str">
        <f>IF('Area A'!B218="None","",'Area A'!B218)</f>
        <v/>
      </c>
      <c r="B156" t="str">
        <f>IF('Area A'!B218="None","",'Area A'!C218)</f>
        <v/>
      </c>
      <c r="C156" t="str">
        <f>IF('Area A'!B218="none","",'Area A'!D218)</f>
        <v/>
      </c>
      <c r="D156" t="str">
        <f>IF('Area A'!B218="none","",'Area A'!E218)</f>
        <v/>
      </c>
      <c r="E156" t="str">
        <f>IF('Area A'!B218="none","",'Area A'!H218)</f>
        <v/>
      </c>
      <c r="F156" t="str">
        <f>IF(Table1[[#This Row],[Item]]="","",Table1[[#This Row],[Unit Count]]+Table1[[#This Row],[Coushion Qty]])</f>
        <v/>
      </c>
      <c r="H156" t="e">
        <f>IF(#REF!="none","",#REF!)</f>
        <v>#REF!</v>
      </c>
      <c r="I156" t="e">
        <f>IF(#REF!="none","",#REF!)</f>
        <v>#REF!</v>
      </c>
      <c r="J156" t="e">
        <f>IF(#REF!="none","",#REF!)</f>
        <v>#REF!</v>
      </c>
      <c r="K156" t="e">
        <f>IF(#REF!="none","",#REF!)</f>
        <v>#REF!</v>
      </c>
      <c r="L156" t="e">
        <f>IF(#REF!="none","",#REF!)</f>
        <v>#REF!</v>
      </c>
      <c r="M156" t="e">
        <f>IF(#REF!="none","",'Take-off Build'!K156+'Take-off Build'!L156)</f>
        <v>#REF!</v>
      </c>
      <c r="O156" t="e">
        <f>IF(#REF!="none","",#REF!)</f>
        <v>#REF!</v>
      </c>
      <c r="P156" t="e">
        <f>IF(#REF!="none","",#REF!)</f>
        <v>#REF!</v>
      </c>
      <c r="Q156" t="e">
        <f>IF(#REF!="none","",#REF!)</f>
        <v>#REF!</v>
      </c>
      <c r="R156" t="e">
        <f>IF(#REF!="none","",#REF!)</f>
        <v>#REF!</v>
      </c>
      <c r="S156" t="e">
        <f>IF(#REF!="none","",#REF!)</f>
        <v>#REF!</v>
      </c>
      <c r="T156" t="e">
        <f>IF(#REF!="none","",'Take-off Build'!S156+'Take-off Build'!R156)</f>
        <v>#REF!</v>
      </c>
    </row>
    <row r="157" spans="1:20" x14ac:dyDescent="0.4">
      <c r="A157" t="str">
        <f>IF('Area A'!B219="None","",'Area A'!B219)</f>
        <v/>
      </c>
      <c r="B157" t="str">
        <f>IF('Area A'!B219="None","",'Area A'!C219)</f>
        <v/>
      </c>
      <c r="C157" t="str">
        <f>IF('Area A'!B219="none","",'Area A'!D219)</f>
        <v/>
      </c>
      <c r="D157" t="str">
        <f>IF('Area A'!B219="none","",'Area A'!E219)</f>
        <v/>
      </c>
      <c r="E157" t="str">
        <f>IF('Area A'!B219="none","",'Area A'!H219)</f>
        <v/>
      </c>
      <c r="F157" t="str">
        <f>IF(Table1[[#This Row],[Item]]="","",Table1[[#This Row],[Unit Count]]+Table1[[#This Row],[Coushion Qty]])</f>
        <v/>
      </c>
      <c r="H157" t="e">
        <f>IF(#REF!="none","",#REF!)</f>
        <v>#REF!</v>
      </c>
      <c r="I157" t="e">
        <f>IF(#REF!="none","",#REF!)</f>
        <v>#REF!</v>
      </c>
      <c r="J157" t="e">
        <f>IF(#REF!="none","",#REF!)</f>
        <v>#REF!</v>
      </c>
      <c r="K157" t="e">
        <f>IF(#REF!="none","",#REF!)</f>
        <v>#REF!</v>
      </c>
      <c r="L157" t="e">
        <f>IF(#REF!="none","",#REF!)</f>
        <v>#REF!</v>
      </c>
      <c r="M157" t="e">
        <f>IF(#REF!="none","",'Take-off Build'!K157+'Take-off Build'!L157)</f>
        <v>#REF!</v>
      </c>
      <c r="O157" t="e">
        <f>IF(#REF!="none","",#REF!)</f>
        <v>#REF!</v>
      </c>
      <c r="P157" t="e">
        <f>IF(#REF!="none","",#REF!)</f>
        <v>#REF!</v>
      </c>
      <c r="Q157" t="e">
        <f>IF(#REF!="none","",#REF!)</f>
        <v>#REF!</v>
      </c>
      <c r="R157" t="e">
        <f>IF(#REF!="none","",#REF!)</f>
        <v>#REF!</v>
      </c>
      <c r="S157" t="e">
        <f>IF(#REF!="none","",#REF!)</f>
        <v>#REF!</v>
      </c>
      <c r="T157" t="e">
        <f>IF(#REF!="none","",'Take-off Build'!S157+'Take-off Build'!R157)</f>
        <v>#REF!</v>
      </c>
    </row>
    <row r="158" spans="1:20" x14ac:dyDescent="0.4">
      <c r="A158" t="str">
        <f>IF('Area A'!B220="None","",'Area A'!B220)</f>
        <v/>
      </c>
      <c r="B158" t="str">
        <f>IF('Area A'!B220="None","",'Area A'!C220)</f>
        <v/>
      </c>
      <c r="C158" t="str">
        <f>IF('Area A'!B220="none","",'Area A'!D220)</f>
        <v/>
      </c>
      <c r="D158" t="str">
        <f>IF('Area A'!B220="none","",'Area A'!E220)</f>
        <v/>
      </c>
      <c r="E158" t="str">
        <f>IF('Area A'!B220="none","",'Area A'!H220)</f>
        <v/>
      </c>
      <c r="F158" t="str">
        <f>IF(Table1[[#This Row],[Item]]="","",Table1[[#This Row],[Unit Count]]+Table1[[#This Row],[Coushion Qty]])</f>
        <v/>
      </c>
      <c r="H158" t="e">
        <f>IF(#REF!="none","",#REF!)</f>
        <v>#REF!</v>
      </c>
      <c r="I158" t="e">
        <f>IF(#REF!="none","",#REF!)</f>
        <v>#REF!</v>
      </c>
      <c r="J158" t="e">
        <f>IF(#REF!="none","",#REF!)</f>
        <v>#REF!</v>
      </c>
      <c r="K158" t="e">
        <f>IF(#REF!="none","",#REF!)</f>
        <v>#REF!</v>
      </c>
      <c r="L158" t="e">
        <f>IF(#REF!="none","",#REF!)</f>
        <v>#REF!</v>
      </c>
      <c r="M158" t="e">
        <f>IF(#REF!="none","",'Take-off Build'!K158+'Take-off Build'!L158)</f>
        <v>#REF!</v>
      </c>
      <c r="O158" t="e">
        <f>IF(#REF!="none","",#REF!)</f>
        <v>#REF!</v>
      </c>
      <c r="P158" t="e">
        <f>IF(#REF!="none","",#REF!)</f>
        <v>#REF!</v>
      </c>
      <c r="Q158" t="e">
        <f>IF(#REF!="none","",#REF!)</f>
        <v>#REF!</v>
      </c>
      <c r="R158" t="e">
        <f>IF(#REF!="none","",#REF!)</f>
        <v>#REF!</v>
      </c>
      <c r="S158" t="e">
        <f>IF(#REF!="none","",#REF!)</f>
        <v>#REF!</v>
      </c>
      <c r="T158" t="e">
        <f>IF(#REF!="none","",'Take-off Build'!S158+'Take-off Build'!R158)</f>
        <v>#REF!</v>
      </c>
    </row>
    <row r="159" spans="1:20" x14ac:dyDescent="0.4">
      <c r="A159" t="str">
        <f>IF('Area A'!B221="None","",'Area A'!B221)</f>
        <v/>
      </c>
      <c r="B159" t="str">
        <f>IF('Area A'!B221="None","",'Area A'!C221)</f>
        <v/>
      </c>
      <c r="C159" t="str">
        <f>IF('Area A'!B221="none","",'Area A'!D221)</f>
        <v/>
      </c>
      <c r="D159" t="str">
        <f>IF('Area A'!B221="none","",'Area A'!E221)</f>
        <v/>
      </c>
      <c r="E159" t="str">
        <f>IF('Area A'!B221="none","",'Area A'!H221)</f>
        <v/>
      </c>
      <c r="F159" t="str">
        <f>IF(Table1[[#This Row],[Item]]="","",Table1[[#This Row],[Unit Count]]+Table1[[#This Row],[Coushion Qty]])</f>
        <v/>
      </c>
      <c r="H159" t="e">
        <f>IF(#REF!="none","",#REF!)</f>
        <v>#REF!</v>
      </c>
      <c r="I159" t="e">
        <f>IF(#REF!="none","",#REF!)</f>
        <v>#REF!</v>
      </c>
      <c r="J159" t="e">
        <f>IF(#REF!="none","",#REF!)</f>
        <v>#REF!</v>
      </c>
      <c r="K159" t="e">
        <f>IF(#REF!="none","",#REF!)</f>
        <v>#REF!</v>
      </c>
      <c r="L159" t="e">
        <f>IF(#REF!="none","",#REF!)</f>
        <v>#REF!</v>
      </c>
      <c r="M159" t="e">
        <f>IF(#REF!="none","",'Take-off Build'!K159+'Take-off Build'!L159)</f>
        <v>#REF!</v>
      </c>
      <c r="O159" t="e">
        <f>IF(#REF!="none","",#REF!)</f>
        <v>#REF!</v>
      </c>
      <c r="P159" t="e">
        <f>IF(#REF!="none","",#REF!)</f>
        <v>#REF!</v>
      </c>
      <c r="Q159" t="e">
        <f>IF(#REF!="none","",#REF!)</f>
        <v>#REF!</v>
      </c>
      <c r="R159" t="e">
        <f>IF(#REF!="none","",#REF!)</f>
        <v>#REF!</v>
      </c>
      <c r="S159" t="e">
        <f>IF(#REF!="none","",#REF!)</f>
        <v>#REF!</v>
      </c>
      <c r="T159" t="e">
        <f>IF(#REF!="none","",'Take-off Build'!S159+'Take-off Build'!R159)</f>
        <v>#REF!</v>
      </c>
    </row>
    <row r="160" spans="1:20" x14ac:dyDescent="0.4">
      <c r="A160" t="str">
        <f>IF('Area A'!B222="None","",'Area A'!B222)</f>
        <v/>
      </c>
      <c r="B160" t="str">
        <f>IF('Area A'!B222="None","",'Area A'!C222)</f>
        <v/>
      </c>
      <c r="C160" t="str">
        <f>IF('Area A'!B222="none","",'Area A'!D222)</f>
        <v/>
      </c>
      <c r="D160" t="str">
        <f>IF('Area A'!B222="none","",'Area A'!E222)</f>
        <v/>
      </c>
      <c r="E160" t="str">
        <f>IF('Area A'!B222="none","",'Area A'!H222)</f>
        <v/>
      </c>
      <c r="F160" t="str">
        <f>IF(Table1[[#This Row],[Item]]="","",Table1[[#This Row],[Unit Count]]+Table1[[#This Row],[Coushion Qty]])</f>
        <v/>
      </c>
      <c r="H160" t="e">
        <f>IF(#REF!="none","",#REF!)</f>
        <v>#REF!</v>
      </c>
      <c r="I160" t="e">
        <f>IF(#REF!="none","",#REF!)</f>
        <v>#REF!</v>
      </c>
      <c r="J160" t="e">
        <f>IF(#REF!="none","",#REF!)</f>
        <v>#REF!</v>
      </c>
      <c r="K160" t="e">
        <f>IF(#REF!="none","",#REF!)</f>
        <v>#REF!</v>
      </c>
      <c r="L160" t="e">
        <f>IF(#REF!="none","",#REF!)</f>
        <v>#REF!</v>
      </c>
      <c r="M160" t="e">
        <f>IF(#REF!="none","",'Take-off Build'!K160+'Take-off Build'!L160)</f>
        <v>#REF!</v>
      </c>
      <c r="O160" t="e">
        <f>IF(#REF!="none","",#REF!)</f>
        <v>#REF!</v>
      </c>
      <c r="P160" t="e">
        <f>IF(#REF!="none","",#REF!)</f>
        <v>#REF!</v>
      </c>
      <c r="Q160" t="e">
        <f>IF(#REF!="none","",#REF!)</f>
        <v>#REF!</v>
      </c>
      <c r="R160" t="e">
        <f>IF(#REF!="none","",#REF!)</f>
        <v>#REF!</v>
      </c>
      <c r="S160" t="e">
        <f>IF(#REF!="none","",#REF!)</f>
        <v>#REF!</v>
      </c>
      <c r="T160" t="e">
        <f>IF(#REF!="none","",'Take-off Build'!S160+'Take-off Build'!R160)</f>
        <v>#REF!</v>
      </c>
    </row>
    <row r="161" spans="1:20" x14ac:dyDescent="0.4">
      <c r="A161" t="str">
        <f>IF('Area A'!B223="None","",'Area A'!B223)</f>
        <v/>
      </c>
      <c r="B161" t="str">
        <f>IF('Area A'!B223="None","",'Area A'!C223)</f>
        <v/>
      </c>
      <c r="C161" t="str">
        <f>IF('Area A'!B223="none","",'Area A'!D223)</f>
        <v/>
      </c>
      <c r="D161" t="str">
        <f>IF('Area A'!B223="none","",'Area A'!E223)</f>
        <v/>
      </c>
      <c r="E161" t="str">
        <f>IF('Area A'!B223="none","",'Area A'!H223)</f>
        <v/>
      </c>
      <c r="F161" t="str">
        <f>IF(Table1[[#This Row],[Item]]="","",Table1[[#This Row],[Unit Count]]+Table1[[#This Row],[Coushion Qty]])</f>
        <v/>
      </c>
      <c r="H161" t="e">
        <f>IF(#REF!="none","",#REF!)</f>
        <v>#REF!</v>
      </c>
      <c r="I161" t="e">
        <f>IF(#REF!="none","",#REF!)</f>
        <v>#REF!</v>
      </c>
      <c r="J161" t="e">
        <f>IF(#REF!="none","",#REF!)</f>
        <v>#REF!</v>
      </c>
      <c r="K161" t="e">
        <f>IF(#REF!="none","",#REF!)</f>
        <v>#REF!</v>
      </c>
      <c r="L161" t="e">
        <f>IF(#REF!="none","",#REF!)</f>
        <v>#REF!</v>
      </c>
      <c r="M161" t="e">
        <f>IF(#REF!="none","",'Take-off Build'!K161+'Take-off Build'!L161)</f>
        <v>#REF!</v>
      </c>
      <c r="O161" t="e">
        <f>IF(#REF!="none","",#REF!)</f>
        <v>#REF!</v>
      </c>
      <c r="P161" t="e">
        <f>IF(#REF!="none","",#REF!)</f>
        <v>#REF!</v>
      </c>
      <c r="Q161" t="e">
        <f>IF(#REF!="none","",#REF!)</f>
        <v>#REF!</v>
      </c>
      <c r="R161" t="e">
        <f>IF(#REF!="none","",#REF!)</f>
        <v>#REF!</v>
      </c>
      <c r="S161" t="e">
        <f>IF(#REF!="none","",#REF!)</f>
        <v>#REF!</v>
      </c>
      <c r="T161" t="e">
        <f>IF(#REF!="none","",'Take-off Build'!S161+'Take-off Build'!R161)</f>
        <v>#REF!</v>
      </c>
    </row>
    <row r="162" spans="1:20" x14ac:dyDescent="0.4">
      <c r="A162" t="str">
        <f>IF('Area A'!B224="None","",'Area A'!B224)</f>
        <v/>
      </c>
      <c r="B162" t="str">
        <f>IF('Area A'!B224="None","",'Area A'!C224)</f>
        <v/>
      </c>
      <c r="C162" t="str">
        <f>IF('Area A'!B224="none","",'Area A'!D224)</f>
        <v/>
      </c>
      <c r="D162" t="str">
        <f>IF('Area A'!B224="none","",'Area A'!E224)</f>
        <v/>
      </c>
      <c r="E162" t="str">
        <f>IF('Area A'!B224="none","",'Area A'!H224)</f>
        <v/>
      </c>
      <c r="F162" t="str">
        <f>IF(Table1[[#This Row],[Item]]="","",Table1[[#This Row],[Unit Count]]+Table1[[#This Row],[Coushion Qty]])</f>
        <v/>
      </c>
      <c r="H162" t="e">
        <f>IF(#REF!="none","",#REF!)</f>
        <v>#REF!</v>
      </c>
      <c r="I162" t="e">
        <f>IF(#REF!="none","",#REF!)</f>
        <v>#REF!</v>
      </c>
      <c r="J162" t="e">
        <f>IF(#REF!="none","",#REF!)</f>
        <v>#REF!</v>
      </c>
      <c r="K162" t="e">
        <f>IF(#REF!="none","",#REF!)</f>
        <v>#REF!</v>
      </c>
      <c r="L162" t="e">
        <f>IF(#REF!="none","",#REF!)</f>
        <v>#REF!</v>
      </c>
      <c r="M162" t="e">
        <f>IF(#REF!="none","",'Take-off Build'!K162+'Take-off Build'!L162)</f>
        <v>#REF!</v>
      </c>
      <c r="O162" t="e">
        <f>IF(#REF!="none","",#REF!)</f>
        <v>#REF!</v>
      </c>
      <c r="P162" t="e">
        <f>IF(#REF!="none","",#REF!)</f>
        <v>#REF!</v>
      </c>
      <c r="Q162" t="e">
        <f>IF(#REF!="none","",#REF!)</f>
        <v>#REF!</v>
      </c>
      <c r="R162" t="e">
        <f>IF(#REF!="none","",#REF!)</f>
        <v>#REF!</v>
      </c>
      <c r="S162" t="e">
        <f>IF(#REF!="none","",#REF!)</f>
        <v>#REF!</v>
      </c>
      <c r="T162" t="e">
        <f>IF(#REF!="none","",'Take-off Build'!S162+'Take-off Build'!R162)</f>
        <v>#REF!</v>
      </c>
    </row>
    <row r="163" spans="1:20" x14ac:dyDescent="0.4">
      <c r="A163" t="str">
        <f>IF('Area A'!B225="None","",'Area A'!B225)</f>
        <v/>
      </c>
      <c r="B163" t="str">
        <f>IF('Area A'!B225="None","",'Area A'!C225)</f>
        <v/>
      </c>
      <c r="C163" t="str">
        <f>IF('Area A'!B225="none","",'Area A'!D225)</f>
        <v/>
      </c>
      <c r="D163" t="str">
        <f>IF('Area A'!B225="none","",'Area A'!E225)</f>
        <v/>
      </c>
      <c r="E163" t="str">
        <f>IF('Area A'!B225="none","",'Area A'!H225)</f>
        <v/>
      </c>
      <c r="F163" t="str">
        <f>IF(Table1[[#This Row],[Item]]="","",Table1[[#This Row],[Unit Count]]+Table1[[#This Row],[Coushion Qty]])</f>
        <v/>
      </c>
      <c r="H163" t="e">
        <f>IF(#REF!="none","",#REF!)</f>
        <v>#REF!</v>
      </c>
      <c r="I163" t="e">
        <f>IF(#REF!="none","",#REF!)</f>
        <v>#REF!</v>
      </c>
      <c r="J163" t="e">
        <f>IF(#REF!="none","",#REF!)</f>
        <v>#REF!</v>
      </c>
      <c r="K163" t="e">
        <f>IF(#REF!="none","",#REF!)</f>
        <v>#REF!</v>
      </c>
      <c r="L163" t="e">
        <f>IF(#REF!="none","",#REF!)</f>
        <v>#REF!</v>
      </c>
      <c r="M163" t="e">
        <f>IF(#REF!="none","",'Take-off Build'!K163+'Take-off Build'!L163)</f>
        <v>#REF!</v>
      </c>
      <c r="O163" t="e">
        <f>IF(#REF!="none","",#REF!)</f>
        <v>#REF!</v>
      </c>
      <c r="P163" t="e">
        <f>IF(#REF!="none","",#REF!)</f>
        <v>#REF!</v>
      </c>
      <c r="Q163" t="e">
        <f>IF(#REF!="none","",#REF!)</f>
        <v>#REF!</v>
      </c>
      <c r="R163" t="e">
        <f>IF(#REF!="none","",#REF!)</f>
        <v>#REF!</v>
      </c>
      <c r="S163" t="e">
        <f>IF(#REF!="none","",#REF!)</f>
        <v>#REF!</v>
      </c>
      <c r="T163" t="e">
        <f>IF(#REF!="none","",'Take-off Build'!S163+'Take-off Build'!R163)</f>
        <v>#REF!</v>
      </c>
    </row>
    <row r="164" spans="1:20" x14ac:dyDescent="0.4">
      <c r="A164" t="str">
        <f>IF('Area A'!B226="None","",'Area A'!B226)</f>
        <v/>
      </c>
      <c r="B164" t="str">
        <f>IF('Area A'!B226="None","",'Area A'!C226)</f>
        <v/>
      </c>
      <c r="C164" t="str">
        <f>IF('Area A'!B226="none","",'Area A'!D226)</f>
        <v/>
      </c>
      <c r="D164" t="str">
        <f>IF('Area A'!B226="none","",'Area A'!E226)</f>
        <v/>
      </c>
      <c r="E164" t="str">
        <f>IF('Area A'!B226="none","",'Area A'!H226)</f>
        <v/>
      </c>
      <c r="F164" t="str">
        <f>IF(Table1[[#This Row],[Item]]="","",Table1[[#This Row],[Unit Count]]+Table1[[#This Row],[Coushion Qty]])</f>
        <v/>
      </c>
      <c r="H164" t="e">
        <f>IF(#REF!="none","",#REF!)</f>
        <v>#REF!</v>
      </c>
      <c r="I164" t="e">
        <f>IF(#REF!="none","",#REF!)</f>
        <v>#REF!</v>
      </c>
      <c r="J164" t="e">
        <f>IF(#REF!="none","",#REF!)</f>
        <v>#REF!</v>
      </c>
      <c r="K164" t="e">
        <f>IF(#REF!="none","",#REF!)</f>
        <v>#REF!</v>
      </c>
      <c r="L164" t="e">
        <f>IF(#REF!="none","",#REF!)</f>
        <v>#REF!</v>
      </c>
      <c r="M164" t="e">
        <f>IF(#REF!="none","",'Take-off Build'!K164+'Take-off Build'!L164)</f>
        <v>#REF!</v>
      </c>
      <c r="O164" t="e">
        <f>IF(#REF!="none","",#REF!)</f>
        <v>#REF!</v>
      </c>
      <c r="P164" t="e">
        <f>IF(#REF!="none","",#REF!)</f>
        <v>#REF!</v>
      </c>
      <c r="Q164" t="e">
        <f>IF(#REF!="none","",#REF!)</f>
        <v>#REF!</v>
      </c>
      <c r="R164" t="e">
        <f>IF(#REF!="none","",#REF!)</f>
        <v>#REF!</v>
      </c>
      <c r="S164" t="e">
        <f>IF(#REF!="none","",#REF!)</f>
        <v>#REF!</v>
      </c>
      <c r="T164" t="e">
        <f>IF(#REF!="none","",'Take-off Build'!S164+'Take-off Build'!R164)</f>
        <v>#REF!</v>
      </c>
    </row>
    <row r="165" spans="1:20" x14ac:dyDescent="0.4">
      <c r="A165" t="str">
        <f>IF('Area A'!B227="None","",'Area A'!B227)</f>
        <v/>
      </c>
      <c r="B165" t="str">
        <f>IF('Area A'!B227="None","",'Area A'!C227)</f>
        <v/>
      </c>
      <c r="C165" t="str">
        <f>IF('Area A'!B227="none","",'Area A'!D227)</f>
        <v/>
      </c>
      <c r="D165" t="str">
        <f>IF('Area A'!B227="none","",'Area A'!E227)</f>
        <v/>
      </c>
      <c r="E165" t="str">
        <f>IF('Area A'!B227="none","",'Area A'!H227)</f>
        <v/>
      </c>
      <c r="F165" t="str">
        <f>IF(Table1[[#This Row],[Item]]="","",Table1[[#This Row],[Unit Count]]+Table1[[#This Row],[Coushion Qty]])</f>
        <v/>
      </c>
      <c r="H165" t="e">
        <f>IF(#REF!="none","",#REF!)</f>
        <v>#REF!</v>
      </c>
      <c r="I165" t="e">
        <f>IF(#REF!="none","",#REF!)</f>
        <v>#REF!</v>
      </c>
      <c r="J165" t="e">
        <f>IF(#REF!="none","",#REF!)</f>
        <v>#REF!</v>
      </c>
      <c r="K165" t="e">
        <f>IF(#REF!="none","",#REF!)</f>
        <v>#REF!</v>
      </c>
      <c r="L165" t="e">
        <f>IF(#REF!="none","",#REF!)</f>
        <v>#REF!</v>
      </c>
      <c r="M165" t="e">
        <f>IF(#REF!="none","",'Take-off Build'!K165+'Take-off Build'!L165)</f>
        <v>#REF!</v>
      </c>
      <c r="O165" t="e">
        <f>IF(#REF!="none","",#REF!)</f>
        <v>#REF!</v>
      </c>
      <c r="P165" t="e">
        <f>IF(#REF!="none","",#REF!)</f>
        <v>#REF!</v>
      </c>
      <c r="Q165" t="e">
        <f>IF(#REF!="none","",#REF!)</f>
        <v>#REF!</v>
      </c>
      <c r="R165" t="e">
        <f>IF(#REF!="none","",#REF!)</f>
        <v>#REF!</v>
      </c>
      <c r="S165" t="e">
        <f>IF(#REF!="none","",#REF!)</f>
        <v>#REF!</v>
      </c>
      <c r="T165" t="e">
        <f>IF(#REF!="none","",'Take-off Build'!S165+'Take-off Build'!R165)</f>
        <v>#REF!</v>
      </c>
    </row>
    <row r="166" spans="1:20" x14ac:dyDescent="0.4">
      <c r="A166" t="str">
        <f>IF('Area A'!B228="None","",'Area A'!B228)</f>
        <v/>
      </c>
      <c r="B166" t="str">
        <f>IF('Area A'!B228="None","",'Area A'!C228)</f>
        <v/>
      </c>
      <c r="C166" t="str">
        <f>IF('Area A'!B228="none","",'Area A'!D228)</f>
        <v/>
      </c>
      <c r="D166" t="str">
        <f>IF('Area A'!B228="none","",'Area A'!E228)</f>
        <v/>
      </c>
      <c r="E166" t="str">
        <f>IF('Area A'!B228="none","",'Area A'!H228)</f>
        <v/>
      </c>
      <c r="F166" t="str">
        <f>IF(Table1[[#This Row],[Item]]="","",Table1[[#This Row],[Unit Count]]+Table1[[#This Row],[Coushion Qty]])</f>
        <v/>
      </c>
      <c r="H166" t="e">
        <f>IF(#REF!="none","",#REF!)</f>
        <v>#REF!</v>
      </c>
      <c r="I166" t="e">
        <f>IF(#REF!="none","",#REF!)</f>
        <v>#REF!</v>
      </c>
      <c r="J166" t="e">
        <f>IF(#REF!="none","",#REF!)</f>
        <v>#REF!</v>
      </c>
      <c r="K166" t="e">
        <f>IF(#REF!="none","",#REF!)</f>
        <v>#REF!</v>
      </c>
      <c r="L166" t="e">
        <f>IF(#REF!="none","",#REF!)</f>
        <v>#REF!</v>
      </c>
      <c r="M166" t="e">
        <f>IF(#REF!="none","",'Take-off Build'!K166+'Take-off Build'!L166)</f>
        <v>#REF!</v>
      </c>
      <c r="O166" t="e">
        <f>IF(#REF!="none","",#REF!)</f>
        <v>#REF!</v>
      </c>
      <c r="P166" t="e">
        <f>IF(#REF!="none","",#REF!)</f>
        <v>#REF!</v>
      </c>
      <c r="Q166" t="e">
        <f>IF(#REF!="none","",#REF!)</f>
        <v>#REF!</v>
      </c>
      <c r="R166" t="e">
        <f>IF(#REF!="none","",#REF!)</f>
        <v>#REF!</v>
      </c>
      <c r="S166" t="e">
        <f>IF(#REF!="none","",#REF!)</f>
        <v>#REF!</v>
      </c>
      <c r="T166" t="e">
        <f>IF(#REF!="none","",'Take-off Build'!S166+'Take-off Build'!R166)</f>
        <v>#REF!</v>
      </c>
    </row>
    <row r="167" spans="1:20" x14ac:dyDescent="0.4">
      <c r="A167" t="str">
        <f>IF('Area A'!B229="None","",'Area A'!B229)</f>
        <v/>
      </c>
      <c r="B167" t="str">
        <f>IF('Area A'!B229="None","",'Area A'!C229)</f>
        <v/>
      </c>
      <c r="C167" t="str">
        <f>IF('Area A'!B229="none","",'Area A'!D229)</f>
        <v/>
      </c>
      <c r="D167" t="str">
        <f>IF('Area A'!B229="none","",'Area A'!E229)</f>
        <v/>
      </c>
      <c r="E167" t="str">
        <f>IF('Area A'!B229="none","",'Area A'!H229)</f>
        <v/>
      </c>
      <c r="F167" t="str">
        <f>IF(Table1[[#This Row],[Item]]="","",Table1[[#This Row],[Unit Count]]+Table1[[#This Row],[Coushion Qty]])</f>
        <v/>
      </c>
      <c r="H167" t="e">
        <f>IF(#REF!="none","",#REF!)</f>
        <v>#REF!</v>
      </c>
      <c r="I167" t="e">
        <f>IF(#REF!="none","",#REF!)</f>
        <v>#REF!</v>
      </c>
      <c r="J167" t="e">
        <f>IF(#REF!="none","",#REF!)</f>
        <v>#REF!</v>
      </c>
      <c r="K167" t="e">
        <f>IF(#REF!="none","",#REF!)</f>
        <v>#REF!</v>
      </c>
      <c r="L167" t="e">
        <f>IF(#REF!="none","",#REF!)</f>
        <v>#REF!</v>
      </c>
      <c r="M167" t="e">
        <f>IF(#REF!="none","",'Take-off Build'!K167+'Take-off Build'!L167)</f>
        <v>#REF!</v>
      </c>
      <c r="O167" t="e">
        <f>IF(#REF!="none","",#REF!)</f>
        <v>#REF!</v>
      </c>
      <c r="P167" t="e">
        <f>IF(#REF!="none","",#REF!)</f>
        <v>#REF!</v>
      </c>
      <c r="Q167" t="e">
        <f>IF(#REF!="none","",#REF!)</f>
        <v>#REF!</v>
      </c>
      <c r="R167" t="e">
        <f>IF(#REF!="none","",#REF!)</f>
        <v>#REF!</v>
      </c>
      <c r="S167" t="e">
        <f>IF(#REF!="none","",#REF!)</f>
        <v>#REF!</v>
      </c>
      <c r="T167" t="e">
        <f>IF(#REF!="none","",'Take-off Build'!S167+'Take-off Build'!R167)</f>
        <v>#REF!</v>
      </c>
    </row>
    <row r="168" spans="1:20" x14ac:dyDescent="0.4">
      <c r="A168" t="str">
        <f>IF('Area A'!B230="None","",'Area A'!B230)</f>
        <v/>
      </c>
      <c r="B168" t="str">
        <f>IF('Area A'!B230="None","",'Area A'!C230)</f>
        <v/>
      </c>
      <c r="C168" t="str">
        <f>IF('Area A'!B230="none","",'Area A'!D230)</f>
        <v/>
      </c>
      <c r="D168" t="str">
        <f>IF('Area A'!B230="none","",'Area A'!E230)</f>
        <v/>
      </c>
      <c r="E168" t="str">
        <f>IF('Area A'!B230="none","",'Area A'!H230)</f>
        <v/>
      </c>
      <c r="F168" t="str">
        <f>IF(Table1[[#This Row],[Item]]="","",Table1[[#This Row],[Unit Count]]+Table1[[#This Row],[Coushion Qty]])</f>
        <v/>
      </c>
      <c r="H168" t="e">
        <f>IF(#REF!="none","",#REF!)</f>
        <v>#REF!</v>
      </c>
      <c r="I168" t="e">
        <f>IF(#REF!="none","",#REF!)</f>
        <v>#REF!</v>
      </c>
      <c r="J168" t="e">
        <f>IF(#REF!="none","",#REF!)</f>
        <v>#REF!</v>
      </c>
      <c r="K168" t="e">
        <f>IF(#REF!="none","",#REF!)</f>
        <v>#REF!</v>
      </c>
      <c r="L168" t="e">
        <f>IF(#REF!="none","",#REF!)</f>
        <v>#REF!</v>
      </c>
      <c r="M168" t="e">
        <f>IF(#REF!="none","",'Take-off Build'!K168+'Take-off Build'!L168)</f>
        <v>#REF!</v>
      </c>
      <c r="O168" t="e">
        <f>IF(#REF!="none","",#REF!)</f>
        <v>#REF!</v>
      </c>
      <c r="P168" t="e">
        <f>IF(#REF!="none","",#REF!)</f>
        <v>#REF!</v>
      </c>
      <c r="Q168" t="e">
        <f>IF(#REF!="none","",#REF!)</f>
        <v>#REF!</v>
      </c>
      <c r="R168" t="e">
        <f>IF(#REF!="none","",#REF!)</f>
        <v>#REF!</v>
      </c>
      <c r="S168" t="e">
        <f>IF(#REF!="none","",#REF!)</f>
        <v>#REF!</v>
      </c>
      <c r="T168" t="e">
        <f>IF(#REF!="none","",'Take-off Build'!S168+'Take-off Build'!R168)</f>
        <v>#REF!</v>
      </c>
    </row>
    <row r="169" spans="1:20" x14ac:dyDescent="0.4">
      <c r="A169" t="str">
        <f>IF('Area A'!B231="None","",'Area A'!B231)</f>
        <v/>
      </c>
      <c r="B169" t="str">
        <f>IF('Area A'!B231="None","",'Area A'!C231)</f>
        <v/>
      </c>
      <c r="C169" t="str">
        <f>IF('Area A'!B231="none","",'Area A'!D231)</f>
        <v/>
      </c>
      <c r="D169" t="str">
        <f>IF('Area A'!B231="none","",'Area A'!E231)</f>
        <v/>
      </c>
      <c r="E169" t="str">
        <f>IF('Area A'!B231="none","",'Area A'!H231)</f>
        <v/>
      </c>
      <c r="F169" t="str">
        <f>IF(Table1[[#This Row],[Item]]="","",Table1[[#This Row],[Unit Count]]+Table1[[#This Row],[Coushion Qty]])</f>
        <v/>
      </c>
      <c r="H169" t="e">
        <f>IF(#REF!="none","",#REF!)</f>
        <v>#REF!</v>
      </c>
      <c r="I169" t="e">
        <f>IF(#REF!="none","",#REF!)</f>
        <v>#REF!</v>
      </c>
      <c r="J169" t="e">
        <f>IF(#REF!="none","",#REF!)</f>
        <v>#REF!</v>
      </c>
      <c r="K169" t="e">
        <f>IF(#REF!="none","",#REF!)</f>
        <v>#REF!</v>
      </c>
      <c r="L169" t="e">
        <f>IF(#REF!="none","",#REF!)</f>
        <v>#REF!</v>
      </c>
      <c r="M169" t="e">
        <f>IF(#REF!="none","",'Take-off Build'!K169+'Take-off Build'!L169)</f>
        <v>#REF!</v>
      </c>
      <c r="O169" t="e">
        <f>IF(#REF!="none","",#REF!)</f>
        <v>#REF!</v>
      </c>
      <c r="P169" t="e">
        <f>IF(#REF!="none","",#REF!)</f>
        <v>#REF!</v>
      </c>
      <c r="Q169" t="e">
        <f>IF(#REF!="none","",#REF!)</f>
        <v>#REF!</v>
      </c>
      <c r="R169" t="e">
        <f>IF(#REF!="none","",#REF!)</f>
        <v>#REF!</v>
      </c>
      <c r="S169" t="e">
        <f>IF(#REF!="none","",#REF!)</f>
        <v>#REF!</v>
      </c>
      <c r="T169" t="e">
        <f>IF(#REF!="none","",'Take-off Build'!S169+'Take-off Build'!R169)</f>
        <v>#REF!</v>
      </c>
    </row>
    <row r="170" spans="1:20" x14ac:dyDescent="0.4">
      <c r="A170" t="str">
        <f>IF('Area A'!B232="None","",'Area A'!B232)</f>
        <v/>
      </c>
      <c r="B170" t="str">
        <f>IF('Area A'!B232="None","",'Area A'!C232)</f>
        <v/>
      </c>
      <c r="C170" t="str">
        <f>IF('Area A'!B232="none","",'Area A'!D232)</f>
        <v/>
      </c>
      <c r="D170" t="str">
        <f>IF('Area A'!B232="none","",'Area A'!E232)</f>
        <v/>
      </c>
      <c r="E170" t="str">
        <f>IF('Area A'!B232="none","",'Area A'!H232)</f>
        <v/>
      </c>
      <c r="F170" t="str">
        <f>IF(Table1[[#This Row],[Item]]="","",Table1[[#This Row],[Unit Count]]+Table1[[#This Row],[Coushion Qty]])</f>
        <v/>
      </c>
      <c r="H170" t="e">
        <f>IF(#REF!="none","",#REF!)</f>
        <v>#REF!</v>
      </c>
      <c r="I170" t="e">
        <f>IF(#REF!="none","",#REF!)</f>
        <v>#REF!</v>
      </c>
      <c r="J170" t="e">
        <f>IF(#REF!="none","",#REF!)</f>
        <v>#REF!</v>
      </c>
      <c r="K170" t="e">
        <f>IF(#REF!="none","",#REF!)</f>
        <v>#REF!</v>
      </c>
      <c r="L170" t="e">
        <f>IF(#REF!="none","",#REF!)</f>
        <v>#REF!</v>
      </c>
      <c r="M170" t="e">
        <f>IF(#REF!="none","",'Take-off Build'!K170+'Take-off Build'!L170)</f>
        <v>#REF!</v>
      </c>
      <c r="O170" t="e">
        <f>IF(#REF!="none","",#REF!)</f>
        <v>#REF!</v>
      </c>
      <c r="P170" t="e">
        <f>IF(#REF!="none","",#REF!)</f>
        <v>#REF!</v>
      </c>
      <c r="Q170" t="e">
        <f>IF(#REF!="none","",#REF!)</f>
        <v>#REF!</v>
      </c>
      <c r="R170" t="e">
        <f>IF(#REF!="none","",#REF!)</f>
        <v>#REF!</v>
      </c>
      <c r="S170" t="e">
        <f>IF(#REF!="none","",#REF!)</f>
        <v>#REF!</v>
      </c>
      <c r="T170" t="e">
        <f>IF(#REF!="none","",'Take-off Build'!S170+'Take-off Build'!R170)</f>
        <v>#REF!</v>
      </c>
    </row>
    <row r="171" spans="1:20" x14ac:dyDescent="0.4">
      <c r="A171" t="str">
        <f>IF('Area A'!B233="None","",'Area A'!B233)</f>
        <v/>
      </c>
      <c r="B171" t="str">
        <f>IF('Area A'!B233="None","",'Area A'!C233)</f>
        <v/>
      </c>
      <c r="C171" t="str">
        <f>IF('Area A'!B233="none","",'Area A'!D233)</f>
        <v/>
      </c>
      <c r="D171" t="str">
        <f>IF('Area A'!B233="none","",'Area A'!E233)</f>
        <v/>
      </c>
      <c r="E171" t="str">
        <f>IF('Area A'!B233="none","",'Area A'!H233)</f>
        <v/>
      </c>
      <c r="F171" t="str">
        <f>IF(Table1[[#This Row],[Item]]="","",Table1[[#This Row],[Unit Count]]+Table1[[#This Row],[Coushion Qty]])</f>
        <v/>
      </c>
      <c r="H171" t="e">
        <f>IF(#REF!="none","",#REF!)</f>
        <v>#REF!</v>
      </c>
      <c r="I171" t="e">
        <f>IF(#REF!="none","",#REF!)</f>
        <v>#REF!</v>
      </c>
      <c r="J171" t="e">
        <f>IF(#REF!="none","",#REF!)</f>
        <v>#REF!</v>
      </c>
      <c r="K171" t="e">
        <f>IF(#REF!="none","",#REF!)</f>
        <v>#REF!</v>
      </c>
      <c r="L171" t="e">
        <f>IF(#REF!="none","",#REF!)</f>
        <v>#REF!</v>
      </c>
      <c r="M171" t="e">
        <f>IF(#REF!="none","",'Take-off Build'!K171+'Take-off Build'!L171)</f>
        <v>#REF!</v>
      </c>
      <c r="O171" t="e">
        <f>IF(#REF!="none","",#REF!)</f>
        <v>#REF!</v>
      </c>
      <c r="P171" t="e">
        <f>IF(#REF!="none","",#REF!)</f>
        <v>#REF!</v>
      </c>
      <c r="Q171" t="e">
        <f>IF(#REF!="none","",#REF!)</f>
        <v>#REF!</v>
      </c>
      <c r="R171" t="e">
        <f>IF(#REF!="none","",#REF!)</f>
        <v>#REF!</v>
      </c>
      <c r="S171" t="e">
        <f>IF(#REF!="none","",#REF!)</f>
        <v>#REF!</v>
      </c>
      <c r="T171" t="e">
        <f>IF(#REF!="none","",'Take-off Build'!S171+'Take-off Build'!R171)</f>
        <v>#REF!</v>
      </c>
    </row>
    <row r="172" spans="1:20" x14ac:dyDescent="0.4">
      <c r="A172" t="str">
        <f>IF('Area A'!B234="None","",'Area A'!B234)</f>
        <v/>
      </c>
      <c r="B172" t="str">
        <f>IF('Area A'!B234="None","",'Area A'!C234)</f>
        <v/>
      </c>
      <c r="C172" t="str">
        <f>IF('Area A'!B234="none","",'Area A'!D234)</f>
        <v/>
      </c>
      <c r="D172" t="str">
        <f>IF('Area A'!B234="none","",'Area A'!E234)</f>
        <v/>
      </c>
      <c r="E172" t="str">
        <f>IF('Area A'!B234="none","",'Area A'!H234)</f>
        <v/>
      </c>
      <c r="F172" t="str">
        <f>IF(Table1[[#This Row],[Item]]="","",Table1[[#This Row],[Unit Count]]+Table1[[#This Row],[Coushion Qty]])</f>
        <v/>
      </c>
      <c r="H172" t="e">
        <f>IF(#REF!="none","",#REF!)</f>
        <v>#REF!</v>
      </c>
      <c r="I172" t="e">
        <f>IF(#REF!="none","",#REF!)</f>
        <v>#REF!</v>
      </c>
      <c r="J172" t="e">
        <f>IF(#REF!="none","",#REF!)</f>
        <v>#REF!</v>
      </c>
      <c r="K172" t="e">
        <f>IF(#REF!="none","",#REF!)</f>
        <v>#REF!</v>
      </c>
      <c r="L172" t="e">
        <f>IF(#REF!="none","",#REF!)</f>
        <v>#REF!</v>
      </c>
      <c r="M172" t="e">
        <f>IF(#REF!="none","",'Take-off Build'!K172+'Take-off Build'!L172)</f>
        <v>#REF!</v>
      </c>
      <c r="O172" t="e">
        <f>IF(#REF!="none","",#REF!)</f>
        <v>#REF!</v>
      </c>
      <c r="P172" t="e">
        <f>IF(#REF!="none","",#REF!)</f>
        <v>#REF!</v>
      </c>
      <c r="Q172" t="e">
        <f>IF(#REF!="none","",#REF!)</f>
        <v>#REF!</v>
      </c>
      <c r="R172" t="e">
        <f>IF(#REF!="none","",#REF!)</f>
        <v>#REF!</v>
      </c>
      <c r="S172" t="e">
        <f>IF(#REF!="none","",#REF!)</f>
        <v>#REF!</v>
      </c>
      <c r="T172" t="e">
        <f>IF(#REF!="none","",'Take-off Build'!S172+'Take-off Build'!R172)</f>
        <v>#REF!</v>
      </c>
    </row>
    <row r="173" spans="1:20" x14ac:dyDescent="0.4">
      <c r="A173" t="str">
        <f>IF('Area A'!B235="None","",'Area A'!B235)</f>
        <v/>
      </c>
      <c r="B173" t="str">
        <f>IF('Area A'!B235="None","",'Area A'!C235)</f>
        <v/>
      </c>
      <c r="C173" t="str">
        <f>IF('Area A'!B235="none","",'Area A'!D235)</f>
        <v/>
      </c>
      <c r="D173" t="str">
        <f>IF('Area A'!B235="none","",'Area A'!E235)</f>
        <v/>
      </c>
      <c r="E173" t="str">
        <f>IF('Area A'!B235="none","",'Area A'!H235)</f>
        <v/>
      </c>
      <c r="F173" t="str">
        <f>IF(Table1[[#This Row],[Item]]="","",Table1[[#This Row],[Unit Count]]+Table1[[#This Row],[Coushion Qty]])</f>
        <v/>
      </c>
      <c r="H173" t="e">
        <f>IF(#REF!="none","",#REF!)</f>
        <v>#REF!</v>
      </c>
      <c r="I173" t="e">
        <f>IF(#REF!="none","",#REF!)</f>
        <v>#REF!</v>
      </c>
      <c r="J173" t="e">
        <f>IF(#REF!="none","",#REF!)</f>
        <v>#REF!</v>
      </c>
      <c r="K173" t="e">
        <f>IF(#REF!="none","",#REF!)</f>
        <v>#REF!</v>
      </c>
      <c r="L173" t="e">
        <f>IF(#REF!="none","",#REF!)</f>
        <v>#REF!</v>
      </c>
      <c r="M173" t="e">
        <f>IF(#REF!="none","",'Take-off Build'!K173+'Take-off Build'!L173)</f>
        <v>#REF!</v>
      </c>
      <c r="O173" t="e">
        <f>IF(#REF!="none","",#REF!)</f>
        <v>#REF!</v>
      </c>
      <c r="P173" t="e">
        <f>IF(#REF!="none","",#REF!)</f>
        <v>#REF!</v>
      </c>
      <c r="Q173" t="e">
        <f>IF(#REF!="none","",#REF!)</f>
        <v>#REF!</v>
      </c>
      <c r="R173" t="e">
        <f>IF(#REF!="none","",#REF!)</f>
        <v>#REF!</v>
      </c>
      <c r="S173" t="e">
        <f>IF(#REF!="none","",#REF!)</f>
        <v>#REF!</v>
      </c>
      <c r="T173" t="e">
        <f>IF(#REF!="none","",'Take-off Build'!S173+'Take-off Build'!R173)</f>
        <v>#REF!</v>
      </c>
    </row>
    <row r="174" spans="1:20" x14ac:dyDescent="0.4">
      <c r="A174" t="str">
        <f>IF('Area A'!B236="None","",'Area A'!B236)</f>
        <v/>
      </c>
      <c r="B174" t="str">
        <f>IF('Area A'!B236="None","",'Area A'!C236)</f>
        <v/>
      </c>
      <c r="C174" t="str">
        <f>IF('Area A'!B236="none","",'Area A'!D236)</f>
        <v/>
      </c>
      <c r="D174" t="str">
        <f>IF('Area A'!B236="none","",'Area A'!E236)</f>
        <v/>
      </c>
      <c r="E174" t="str">
        <f>IF('Area A'!B236="none","",'Area A'!H236)</f>
        <v/>
      </c>
      <c r="F174" t="str">
        <f>IF(Table1[[#This Row],[Item]]="","",Table1[[#This Row],[Unit Count]]+Table1[[#This Row],[Coushion Qty]])</f>
        <v/>
      </c>
      <c r="H174" t="e">
        <f>IF(#REF!="none","",#REF!)</f>
        <v>#REF!</v>
      </c>
      <c r="I174" t="e">
        <f>IF(#REF!="none","",#REF!)</f>
        <v>#REF!</v>
      </c>
      <c r="J174" t="e">
        <f>IF(#REF!="none","",#REF!)</f>
        <v>#REF!</v>
      </c>
      <c r="K174" t="e">
        <f>IF(#REF!="none","",#REF!)</f>
        <v>#REF!</v>
      </c>
      <c r="L174" t="e">
        <f>IF(#REF!="none","",#REF!)</f>
        <v>#REF!</v>
      </c>
      <c r="M174" t="e">
        <f>IF(#REF!="none","",'Take-off Build'!K174+'Take-off Build'!L174)</f>
        <v>#REF!</v>
      </c>
      <c r="O174" t="e">
        <f>IF(#REF!="none","",#REF!)</f>
        <v>#REF!</v>
      </c>
      <c r="P174" t="e">
        <f>IF(#REF!="none","",#REF!)</f>
        <v>#REF!</v>
      </c>
      <c r="Q174" t="e">
        <f>IF(#REF!="none","",#REF!)</f>
        <v>#REF!</v>
      </c>
      <c r="R174" t="e">
        <f>IF(#REF!="none","",#REF!)</f>
        <v>#REF!</v>
      </c>
      <c r="S174" t="e">
        <f>IF(#REF!="none","",#REF!)</f>
        <v>#REF!</v>
      </c>
      <c r="T174" t="e">
        <f>IF(#REF!="none","",'Take-off Build'!S174+'Take-off Build'!R174)</f>
        <v>#REF!</v>
      </c>
    </row>
    <row r="175" spans="1:20" x14ac:dyDescent="0.4">
      <c r="A175" t="str">
        <f>IF('Area A'!B237="None","",'Area A'!B237)</f>
        <v/>
      </c>
      <c r="B175" t="str">
        <f>IF('Area A'!B237="None","",'Area A'!C237)</f>
        <v/>
      </c>
      <c r="C175" t="str">
        <f>IF('Area A'!B237="none","",'Area A'!D237)</f>
        <v/>
      </c>
      <c r="D175" t="str">
        <f>IF('Area A'!B237="none","",'Area A'!E237)</f>
        <v/>
      </c>
      <c r="E175" t="str">
        <f>IF('Area A'!B237="none","",'Area A'!H237)</f>
        <v/>
      </c>
      <c r="F175" t="str">
        <f>IF(Table1[[#This Row],[Item]]="","",Table1[[#This Row],[Unit Count]]+Table1[[#This Row],[Coushion Qty]])</f>
        <v/>
      </c>
      <c r="H175" t="e">
        <f>IF(#REF!="none","",#REF!)</f>
        <v>#REF!</v>
      </c>
      <c r="I175" t="e">
        <f>IF(#REF!="none","",#REF!)</f>
        <v>#REF!</v>
      </c>
      <c r="J175" t="e">
        <f>IF(#REF!="none","",#REF!)</f>
        <v>#REF!</v>
      </c>
      <c r="K175" t="e">
        <f>IF(#REF!="none","",#REF!)</f>
        <v>#REF!</v>
      </c>
      <c r="L175" t="e">
        <f>IF(#REF!="none","",#REF!)</f>
        <v>#REF!</v>
      </c>
      <c r="M175" t="e">
        <f>IF(#REF!="none","",'Take-off Build'!K175+'Take-off Build'!L175)</f>
        <v>#REF!</v>
      </c>
      <c r="O175" t="e">
        <f>IF(#REF!="none","",#REF!)</f>
        <v>#REF!</v>
      </c>
      <c r="P175" t="e">
        <f>IF(#REF!="none","",#REF!)</f>
        <v>#REF!</v>
      </c>
      <c r="Q175" t="e">
        <f>IF(#REF!="none","",#REF!)</f>
        <v>#REF!</v>
      </c>
      <c r="R175" t="e">
        <f>IF(#REF!="none","",#REF!)</f>
        <v>#REF!</v>
      </c>
      <c r="S175" t="e">
        <f>IF(#REF!="none","",#REF!)</f>
        <v>#REF!</v>
      </c>
      <c r="T175" t="e">
        <f>IF(#REF!="none","",'Take-off Build'!S175+'Take-off Build'!R175)</f>
        <v>#REF!</v>
      </c>
    </row>
    <row r="176" spans="1:20" x14ac:dyDescent="0.4">
      <c r="A176" t="str">
        <f>IF('Area A'!B238="None","",'Area A'!B238)</f>
        <v/>
      </c>
      <c r="B176" t="str">
        <f>IF('Area A'!B238="None","",'Area A'!C238)</f>
        <v/>
      </c>
      <c r="C176" t="str">
        <f>IF('Area A'!B238="none","",'Area A'!D238)</f>
        <v/>
      </c>
      <c r="D176" t="str">
        <f>IF('Area A'!B238="none","",'Area A'!E238)</f>
        <v/>
      </c>
      <c r="E176" t="str">
        <f>IF('Area A'!B238="none","",'Area A'!H238)</f>
        <v/>
      </c>
      <c r="F176" t="str">
        <f>IF(Table1[[#This Row],[Item]]="","",Table1[[#This Row],[Unit Count]]+Table1[[#This Row],[Coushion Qty]])</f>
        <v/>
      </c>
      <c r="H176" t="e">
        <f>IF(#REF!="none","",#REF!)</f>
        <v>#REF!</v>
      </c>
      <c r="I176" t="e">
        <f>IF(#REF!="none","",#REF!)</f>
        <v>#REF!</v>
      </c>
      <c r="J176" t="e">
        <f>IF(#REF!="none","",#REF!)</f>
        <v>#REF!</v>
      </c>
      <c r="K176" t="e">
        <f>IF(#REF!="none","",#REF!)</f>
        <v>#REF!</v>
      </c>
      <c r="L176" t="e">
        <f>IF(#REF!="none","",#REF!)</f>
        <v>#REF!</v>
      </c>
      <c r="M176" t="e">
        <f>IF(#REF!="none","",'Take-off Build'!K176+'Take-off Build'!L176)</f>
        <v>#REF!</v>
      </c>
      <c r="O176" t="e">
        <f>IF(#REF!="none","",#REF!)</f>
        <v>#REF!</v>
      </c>
      <c r="P176" t="e">
        <f>IF(#REF!="none","",#REF!)</f>
        <v>#REF!</v>
      </c>
      <c r="Q176" t="e">
        <f>IF(#REF!="none","",#REF!)</f>
        <v>#REF!</v>
      </c>
      <c r="R176" t="e">
        <f>IF(#REF!="none","",#REF!)</f>
        <v>#REF!</v>
      </c>
      <c r="S176" t="e">
        <f>IF(#REF!="none","",#REF!)</f>
        <v>#REF!</v>
      </c>
      <c r="T176" t="e">
        <f>IF(#REF!="none","",'Take-off Build'!S176+'Take-off Build'!R176)</f>
        <v>#REF!</v>
      </c>
    </row>
    <row r="177" spans="1:20" x14ac:dyDescent="0.4">
      <c r="A177" t="str">
        <f>IF('Area A'!B239="None","",'Area A'!B239)</f>
        <v/>
      </c>
      <c r="B177" t="str">
        <f>IF('Area A'!B239="None","",'Area A'!C239)</f>
        <v/>
      </c>
      <c r="C177" t="str">
        <f>IF('Area A'!B239="none","",'Area A'!D239)</f>
        <v/>
      </c>
      <c r="D177" t="str">
        <f>IF('Area A'!B239="none","",'Area A'!E239)</f>
        <v/>
      </c>
      <c r="E177" t="str">
        <f>IF('Area A'!B239="none","",'Area A'!H239)</f>
        <v/>
      </c>
      <c r="F177" t="str">
        <f>IF(Table1[[#This Row],[Item]]="","",Table1[[#This Row],[Unit Count]]+Table1[[#This Row],[Coushion Qty]])</f>
        <v/>
      </c>
      <c r="H177" t="e">
        <f>IF(#REF!="none","",#REF!)</f>
        <v>#REF!</v>
      </c>
      <c r="I177" t="e">
        <f>IF(#REF!="none","",#REF!)</f>
        <v>#REF!</v>
      </c>
      <c r="J177" t="e">
        <f>IF(#REF!="none","",#REF!)</f>
        <v>#REF!</v>
      </c>
      <c r="K177" t="e">
        <f>IF(#REF!="none","",#REF!)</f>
        <v>#REF!</v>
      </c>
      <c r="L177" t="e">
        <f>IF(#REF!="none","",#REF!)</f>
        <v>#REF!</v>
      </c>
      <c r="M177" t="e">
        <f>IF(#REF!="none","",'Take-off Build'!K177+'Take-off Build'!L177)</f>
        <v>#REF!</v>
      </c>
      <c r="O177" t="e">
        <f>IF(#REF!="none","",#REF!)</f>
        <v>#REF!</v>
      </c>
      <c r="P177" t="e">
        <f>IF(#REF!="none","",#REF!)</f>
        <v>#REF!</v>
      </c>
      <c r="Q177" t="e">
        <f>IF(#REF!="none","",#REF!)</f>
        <v>#REF!</v>
      </c>
      <c r="R177" t="e">
        <f>IF(#REF!="none","",#REF!)</f>
        <v>#REF!</v>
      </c>
      <c r="S177" t="e">
        <f>IF(#REF!="none","",#REF!)</f>
        <v>#REF!</v>
      </c>
      <c r="T177" t="e">
        <f>IF(#REF!="none","",'Take-off Build'!S177+'Take-off Build'!R177)</f>
        <v>#REF!</v>
      </c>
    </row>
    <row r="178" spans="1:20" x14ac:dyDescent="0.4">
      <c r="A178" t="str">
        <f>IF('Area A'!B240="None","",'Area A'!B240)</f>
        <v/>
      </c>
      <c r="B178" t="str">
        <f>IF('Area A'!B240="None","",'Area A'!C240)</f>
        <v/>
      </c>
      <c r="C178" t="str">
        <f>IF('Area A'!B240="none","",'Area A'!D240)</f>
        <v/>
      </c>
      <c r="D178" t="str">
        <f>IF('Area A'!B240="none","",'Area A'!E240)</f>
        <v/>
      </c>
      <c r="E178" t="str">
        <f>IF('Area A'!B240="none","",'Area A'!H240)</f>
        <v/>
      </c>
      <c r="F178" t="str">
        <f>IF(Table1[[#This Row],[Item]]="","",Table1[[#This Row],[Unit Count]]+Table1[[#This Row],[Coushion Qty]])</f>
        <v/>
      </c>
      <c r="H178" t="e">
        <f>IF(#REF!="none","",#REF!)</f>
        <v>#REF!</v>
      </c>
      <c r="I178" t="e">
        <f>IF(#REF!="none","",#REF!)</f>
        <v>#REF!</v>
      </c>
      <c r="J178" t="e">
        <f>IF(#REF!="none","",#REF!)</f>
        <v>#REF!</v>
      </c>
      <c r="K178" t="e">
        <f>IF(#REF!="none","",#REF!)</f>
        <v>#REF!</v>
      </c>
      <c r="L178" t="e">
        <f>IF(#REF!="none","",#REF!)</f>
        <v>#REF!</v>
      </c>
      <c r="M178" t="e">
        <f>IF(#REF!="none","",'Take-off Build'!K178+'Take-off Build'!L178)</f>
        <v>#REF!</v>
      </c>
      <c r="O178" t="e">
        <f>IF(#REF!="none","",#REF!)</f>
        <v>#REF!</v>
      </c>
      <c r="P178" t="e">
        <f>IF(#REF!="none","",#REF!)</f>
        <v>#REF!</v>
      </c>
      <c r="Q178" t="e">
        <f>IF(#REF!="none","",#REF!)</f>
        <v>#REF!</v>
      </c>
      <c r="R178" t="e">
        <f>IF(#REF!="none","",#REF!)</f>
        <v>#REF!</v>
      </c>
      <c r="S178" t="e">
        <f>IF(#REF!="none","",#REF!)</f>
        <v>#REF!</v>
      </c>
      <c r="T178" t="e">
        <f>IF(#REF!="none","",'Take-off Build'!S178+'Take-off Build'!R178)</f>
        <v>#REF!</v>
      </c>
    </row>
    <row r="179" spans="1:20" x14ac:dyDescent="0.4">
      <c r="A179" t="str">
        <f>IF('Area A'!B241="None","",'Area A'!B241)</f>
        <v/>
      </c>
      <c r="B179" t="str">
        <f>IF('Area A'!B241="None","",'Area A'!C241)</f>
        <v/>
      </c>
      <c r="C179" t="str">
        <f>IF('Area A'!B241="none","",'Area A'!D241)</f>
        <v/>
      </c>
      <c r="D179" t="str">
        <f>IF('Area A'!B241="none","",'Area A'!E241)</f>
        <v/>
      </c>
      <c r="E179" t="str">
        <f>IF('Area A'!B241="none","",'Area A'!H241)</f>
        <v/>
      </c>
      <c r="F179" t="str">
        <f>IF(Table1[[#This Row],[Item]]="","",Table1[[#This Row],[Unit Count]]+Table1[[#This Row],[Coushion Qty]])</f>
        <v/>
      </c>
      <c r="H179" t="e">
        <f>IF(#REF!="none","",#REF!)</f>
        <v>#REF!</v>
      </c>
      <c r="I179" t="e">
        <f>IF(#REF!="none","",#REF!)</f>
        <v>#REF!</v>
      </c>
      <c r="J179" t="e">
        <f>IF(#REF!="none","",#REF!)</f>
        <v>#REF!</v>
      </c>
      <c r="K179" t="e">
        <f>IF(#REF!="none","",#REF!)</f>
        <v>#REF!</v>
      </c>
      <c r="L179" t="e">
        <f>IF(#REF!="none","",#REF!)</f>
        <v>#REF!</v>
      </c>
      <c r="M179" t="e">
        <f>IF(#REF!="none","",'Take-off Build'!K179+'Take-off Build'!L179)</f>
        <v>#REF!</v>
      </c>
      <c r="O179" t="e">
        <f>IF(#REF!="none","",#REF!)</f>
        <v>#REF!</v>
      </c>
      <c r="P179" t="e">
        <f>IF(#REF!="none","",#REF!)</f>
        <v>#REF!</v>
      </c>
      <c r="Q179" t="e">
        <f>IF(#REF!="none","",#REF!)</f>
        <v>#REF!</v>
      </c>
      <c r="R179" t="e">
        <f>IF(#REF!="none","",#REF!)</f>
        <v>#REF!</v>
      </c>
      <c r="S179" t="e">
        <f>IF(#REF!="none","",#REF!)</f>
        <v>#REF!</v>
      </c>
      <c r="T179" t="e">
        <f>IF(#REF!="none","",'Take-off Build'!S179+'Take-off Build'!R179)</f>
        <v>#REF!</v>
      </c>
    </row>
    <row r="180" spans="1:20" x14ac:dyDescent="0.4">
      <c r="A180" t="str">
        <f>IF('Area A'!B242="None","",'Area A'!B242)</f>
        <v/>
      </c>
      <c r="B180" t="str">
        <f>IF('Area A'!B242="None","",'Area A'!C242)</f>
        <v/>
      </c>
      <c r="C180" t="str">
        <f>IF('Area A'!B242="none","",'Area A'!D242)</f>
        <v/>
      </c>
      <c r="D180" t="str">
        <f>IF('Area A'!B242="none","",'Area A'!E242)</f>
        <v/>
      </c>
      <c r="E180" t="str">
        <f>IF('Area A'!B242="none","",'Area A'!H242)</f>
        <v/>
      </c>
      <c r="F180" t="str">
        <f>IF(Table1[[#This Row],[Item]]="","",Table1[[#This Row],[Unit Count]]+Table1[[#This Row],[Coushion Qty]])</f>
        <v/>
      </c>
      <c r="H180" t="e">
        <f>IF(#REF!="none","",#REF!)</f>
        <v>#REF!</v>
      </c>
      <c r="I180" t="e">
        <f>IF(#REF!="none","",#REF!)</f>
        <v>#REF!</v>
      </c>
      <c r="J180" t="e">
        <f>IF(#REF!="none","",#REF!)</f>
        <v>#REF!</v>
      </c>
      <c r="K180" t="e">
        <f>IF(#REF!="none","",#REF!)</f>
        <v>#REF!</v>
      </c>
      <c r="L180" t="e">
        <f>IF(#REF!="none","",#REF!)</f>
        <v>#REF!</v>
      </c>
      <c r="M180" t="e">
        <f>IF(#REF!="none","",'Take-off Build'!K180+'Take-off Build'!L180)</f>
        <v>#REF!</v>
      </c>
      <c r="O180" t="e">
        <f>IF(#REF!="none","",#REF!)</f>
        <v>#REF!</v>
      </c>
      <c r="P180" t="e">
        <f>IF(#REF!="none","",#REF!)</f>
        <v>#REF!</v>
      </c>
      <c r="Q180" t="e">
        <f>IF(#REF!="none","",#REF!)</f>
        <v>#REF!</v>
      </c>
      <c r="R180" t="e">
        <f>IF(#REF!="none","",#REF!)</f>
        <v>#REF!</v>
      </c>
      <c r="S180" t="e">
        <f>IF(#REF!="none","",#REF!)</f>
        <v>#REF!</v>
      </c>
      <c r="T180" t="e">
        <f>IF(#REF!="none","",'Take-off Build'!S180+'Take-off Build'!R180)</f>
        <v>#REF!</v>
      </c>
    </row>
    <row r="181" spans="1:20" x14ac:dyDescent="0.4">
      <c r="A181" t="e">
        <f>IF('Area A'!#REF!="None","",'Area A'!#REF!)</f>
        <v>#REF!</v>
      </c>
      <c r="B181" t="e">
        <f>IF('Area A'!#REF!="None","",'Area A'!#REF!)</f>
        <v>#REF!</v>
      </c>
      <c r="C181" t="e">
        <f>IF('Area A'!#REF!="none","",'Area A'!#REF!)</f>
        <v>#REF!</v>
      </c>
      <c r="D181" t="e">
        <f>IF('Area A'!#REF!="none","",'Area A'!#REF!)</f>
        <v>#REF!</v>
      </c>
      <c r="E181" t="e">
        <f>IF('Area A'!#REF!="none","",'Area A'!#REF!)</f>
        <v>#REF!</v>
      </c>
      <c r="F181" t="e">
        <f>IF(Table1[[#This Row],[Item]]="","",Table1[[#This Row],[Unit Count]]+Table1[[#This Row],[Coushion Qty]])</f>
        <v>#REF!</v>
      </c>
      <c r="H181" t="e">
        <f>IF(#REF!="none","",#REF!)</f>
        <v>#REF!</v>
      </c>
      <c r="I181" t="e">
        <f>IF(#REF!="none","",#REF!)</f>
        <v>#REF!</v>
      </c>
      <c r="J181" t="e">
        <f>IF(#REF!="none","",#REF!)</f>
        <v>#REF!</v>
      </c>
      <c r="K181" t="e">
        <f>IF(#REF!="none","",#REF!)</f>
        <v>#REF!</v>
      </c>
      <c r="L181" t="e">
        <f>IF(#REF!="none","",#REF!)</f>
        <v>#REF!</v>
      </c>
      <c r="M181" t="e">
        <f>IF(#REF!="none","",'Take-off Build'!K181+'Take-off Build'!L181)</f>
        <v>#REF!</v>
      </c>
      <c r="O181" t="e">
        <f>IF(#REF!="none","",#REF!)</f>
        <v>#REF!</v>
      </c>
      <c r="P181" t="e">
        <f>IF(#REF!="none","",#REF!)</f>
        <v>#REF!</v>
      </c>
      <c r="Q181" t="e">
        <f>IF(#REF!="none","",#REF!)</f>
        <v>#REF!</v>
      </c>
      <c r="R181" t="e">
        <f>IF(#REF!="none","",#REF!)</f>
        <v>#REF!</v>
      </c>
      <c r="S181" t="e">
        <f>IF(#REF!="none","",#REF!)</f>
        <v>#REF!</v>
      </c>
      <c r="T181" t="e">
        <f>IF(#REF!="none","",'Take-off Build'!S181+'Take-off Build'!R181)</f>
        <v>#REF!</v>
      </c>
    </row>
    <row r="182" spans="1:20" x14ac:dyDescent="0.4">
      <c r="A182" t="e">
        <f>IF('Area A'!#REF!="None","",'Area A'!#REF!)</f>
        <v>#REF!</v>
      </c>
      <c r="B182" t="e">
        <f>IF('Area A'!#REF!="None","",'Area A'!#REF!)</f>
        <v>#REF!</v>
      </c>
      <c r="C182" t="e">
        <f>IF('Area A'!#REF!="none","",'Area A'!#REF!)</f>
        <v>#REF!</v>
      </c>
      <c r="D182" t="e">
        <f>IF('Area A'!#REF!="none","",'Area A'!#REF!)</f>
        <v>#REF!</v>
      </c>
      <c r="E182" t="e">
        <f>IF('Area A'!#REF!="none","",'Area A'!#REF!)</f>
        <v>#REF!</v>
      </c>
      <c r="F182" t="e">
        <f>IF(Table1[[#This Row],[Item]]="","",Table1[[#This Row],[Unit Count]]+Table1[[#This Row],[Coushion Qty]])</f>
        <v>#REF!</v>
      </c>
      <c r="H182" t="e">
        <f>IF(#REF!="none","",#REF!)</f>
        <v>#REF!</v>
      </c>
      <c r="I182" t="e">
        <f>IF(#REF!="none","",#REF!)</f>
        <v>#REF!</v>
      </c>
      <c r="J182" t="e">
        <f>IF(#REF!="none","",#REF!)</f>
        <v>#REF!</v>
      </c>
      <c r="K182" t="e">
        <f>IF(#REF!="none","",#REF!)</f>
        <v>#REF!</v>
      </c>
      <c r="L182" t="e">
        <f>IF(#REF!="none","",#REF!)</f>
        <v>#REF!</v>
      </c>
      <c r="M182" t="e">
        <f>IF(#REF!="none","",'Take-off Build'!K182+'Take-off Build'!L182)</f>
        <v>#REF!</v>
      </c>
      <c r="O182" t="e">
        <f>IF(#REF!="none","",#REF!)</f>
        <v>#REF!</v>
      </c>
      <c r="P182" t="e">
        <f>IF(#REF!="none","",#REF!)</f>
        <v>#REF!</v>
      </c>
      <c r="Q182" t="e">
        <f>IF(#REF!="none","",#REF!)</f>
        <v>#REF!</v>
      </c>
      <c r="R182" t="e">
        <f>IF(#REF!="none","",#REF!)</f>
        <v>#REF!</v>
      </c>
      <c r="S182" t="e">
        <f>IF(#REF!="none","",#REF!)</f>
        <v>#REF!</v>
      </c>
      <c r="T182" t="e">
        <f>IF(#REF!="none","",'Take-off Build'!S182+'Take-off Build'!R182)</f>
        <v>#REF!</v>
      </c>
    </row>
    <row r="183" spans="1:20" x14ac:dyDescent="0.4">
      <c r="A183" t="e">
        <f>IF('Area A'!#REF!="None","",'Area A'!#REF!)</f>
        <v>#REF!</v>
      </c>
      <c r="B183" t="e">
        <f>IF('Area A'!#REF!="None","",'Area A'!#REF!)</f>
        <v>#REF!</v>
      </c>
      <c r="C183" t="e">
        <f>IF('Area A'!#REF!="none","",'Area A'!#REF!)</f>
        <v>#REF!</v>
      </c>
      <c r="D183" t="e">
        <f>IF('Area A'!#REF!="none","",'Area A'!#REF!)</f>
        <v>#REF!</v>
      </c>
      <c r="E183" t="e">
        <f>IF('Area A'!#REF!="none","",'Area A'!#REF!)</f>
        <v>#REF!</v>
      </c>
      <c r="F183" t="e">
        <f>IF(Table1[[#This Row],[Item]]="","",Table1[[#This Row],[Unit Count]]+Table1[[#This Row],[Coushion Qty]])</f>
        <v>#REF!</v>
      </c>
      <c r="H183" t="e">
        <f>IF(#REF!="none","",#REF!)</f>
        <v>#REF!</v>
      </c>
      <c r="I183" t="e">
        <f>IF(#REF!="none","",#REF!)</f>
        <v>#REF!</v>
      </c>
      <c r="J183" t="e">
        <f>IF(#REF!="none","",#REF!)</f>
        <v>#REF!</v>
      </c>
      <c r="K183" t="e">
        <f>IF(#REF!="none","",#REF!)</f>
        <v>#REF!</v>
      </c>
      <c r="L183" t="e">
        <f>IF(#REF!="none","",#REF!)</f>
        <v>#REF!</v>
      </c>
      <c r="M183" t="e">
        <f>IF(#REF!="none","",'Take-off Build'!K183+'Take-off Build'!L183)</f>
        <v>#REF!</v>
      </c>
      <c r="O183" t="e">
        <f>IF(#REF!="none","",#REF!)</f>
        <v>#REF!</v>
      </c>
      <c r="P183" t="e">
        <f>IF(#REF!="none","",#REF!)</f>
        <v>#REF!</v>
      </c>
      <c r="Q183" t="e">
        <f>IF(#REF!="none","",#REF!)</f>
        <v>#REF!</v>
      </c>
      <c r="R183" t="e">
        <f>IF(#REF!="none","",#REF!)</f>
        <v>#REF!</v>
      </c>
      <c r="S183" t="e">
        <f>IF(#REF!="none","",#REF!)</f>
        <v>#REF!</v>
      </c>
      <c r="T183" t="e">
        <f>IF(#REF!="none","",'Take-off Build'!S183+'Take-off Build'!R183)</f>
        <v>#REF!</v>
      </c>
    </row>
    <row r="184" spans="1:20" x14ac:dyDescent="0.4">
      <c r="A184" t="e">
        <f>IF('Area A'!#REF!="None","",'Area A'!#REF!)</f>
        <v>#REF!</v>
      </c>
      <c r="B184" t="e">
        <f>IF('Area A'!#REF!="None","",'Area A'!#REF!)</f>
        <v>#REF!</v>
      </c>
      <c r="C184" t="e">
        <f>IF('Area A'!#REF!="none","",'Area A'!#REF!)</f>
        <v>#REF!</v>
      </c>
      <c r="D184" t="e">
        <f>IF('Area A'!#REF!="none","",'Area A'!#REF!)</f>
        <v>#REF!</v>
      </c>
      <c r="E184" t="e">
        <f>IF('Area A'!#REF!="none","",'Area A'!#REF!)</f>
        <v>#REF!</v>
      </c>
      <c r="F184" t="e">
        <f>IF(Table1[[#This Row],[Item]]="","",Table1[[#This Row],[Unit Count]]+Table1[[#This Row],[Coushion Qty]])</f>
        <v>#REF!</v>
      </c>
      <c r="H184" t="e">
        <f>IF(#REF!="none","",#REF!)</f>
        <v>#REF!</v>
      </c>
      <c r="I184" t="e">
        <f>IF(#REF!="none","",#REF!)</f>
        <v>#REF!</v>
      </c>
      <c r="J184" t="e">
        <f>IF(#REF!="none","",#REF!)</f>
        <v>#REF!</v>
      </c>
      <c r="K184" t="e">
        <f>IF(#REF!="none","",#REF!)</f>
        <v>#REF!</v>
      </c>
      <c r="L184" t="e">
        <f>IF(#REF!="none","",#REF!)</f>
        <v>#REF!</v>
      </c>
      <c r="M184" t="e">
        <f>IF(#REF!="none","",'Take-off Build'!K184+'Take-off Build'!L184)</f>
        <v>#REF!</v>
      </c>
      <c r="O184" t="e">
        <f>IF(#REF!="none","",#REF!)</f>
        <v>#REF!</v>
      </c>
      <c r="P184" t="e">
        <f>IF(#REF!="none","",#REF!)</f>
        <v>#REF!</v>
      </c>
      <c r="Q184" t="e">
        <f>IF(#REF!="none","",#REF!)</f>
        <v>#REF!</v>
      </c>
      <c r="R184" t="e">
        <f>IF(#REF!="none","",#REF!)</f>
        <v>#REF!</v>
      </c>
      <c r="S184" t="e">
        <f>IF(#REF!="none","",#REF!)</f>
        <v>#REF!</v>
      </c>
      <c r="T184" t="e">
        <f>IF(#REF!="none","",'Take-off Build'!S184+'Take-off Build'!R184)</f>
        <v>#REF!</v>
      </c>
    </row>
    <row r="185" spans="1:20" x14ac:dyDescent="0.4">
      <c r="A185" t="e">
        <f>IF('Area A'!#REF!="None","",'Area A'!#REF!)</f>
        <v>#REF!</v>
      </c>
      <c r="B185" t="e">
        <f>IF('Area A'!#REF!="None","",'Area A'!#REF!)</f>
        <v>#REF!</v>
      </c>
      <c r="C185" t="e">
        <f>IF('Area A'!#REF!="none","",'Area A'!#REF!)</f>
        <v>#REF!</v>
      </c>
      <c r="D185" t="e">
        <f>IF('Area A'!#REF!="none","",'Area A'!#REF!)</f>
        <v>#REF!</v>
      </c>
      <c r="E185" t="e">
        <f>IF('Area A'!#REF!="none","",'Area A'!#REF!)</f>
        <v>#REF!</v>
      </c>
      <c r="F185" t="e">
        <f>IF(Table1[[#This Row],[Item]]="","",Table1[[#This Row],[Unit Count]]+Table1[[#This Row],[Coushion Qty]])</f>
        <v>#REF!</v>
      </c>
      <c r="H185" t="e">
        <f>IF(#REF!="none","",#REF!)</f>
        <v>#REF!</v>
      </c>
      <c r="I185" t="e">
        <f>IF(#REF!="none","",#REF!)</f>
        <v>#REF!</v>
      </c>
      <c r="J185" t="e">
        <f>IF(#REF!="none","",#REF!)</f>
        <v>#REF!</v>
      </c>
      <c r="K185" t="e">
        <f>IF(#REF!="none","",#REF!)</f>
        <v>#REF!</v>
      </c>
      <c r="L185" t="e">
        <f>IF(#REF!="none","",#REF!)</f>
        <v>#REF!</v>
      </c>
      <c r="M185" t="e">
        <f>IF(#REF!="none","",'Take-off Build'!K185+'Take-off Build'!L185)</f>
        <v>#REF!</v>
      </c>
      <c r="O185" t="e">
        <f>IF(#REF!="none","",#REF!)</f>
        <v>#REF!</v>
      </c>
      <c r="P185" t="e">
        <f>IF(#REF!="none","",#REF!)</f>
        <v>#REF!</v>
      </c>
      <c r="Q185" t="e">
        <f>IF(#REF!="none","",#REF!)</f>
        <v>#REF!</v>
      </c>
      <c r="R185" t="e">
        <f>IF(#REF!="none","",#REF!)</f>
        <v>#REF!</v>
      </c>
      <c r="S185" t="e">
        <f>IF(#REF!="none","",#REF!)</f>
        <v>#REF!</v>
      </c>
      <c r="T185" t="e">
        <f>IF(#REF!="none","",'Take-off Build'!S185+'Take-off Build'!R185)</f>
        <v>#REF!</v>
      </c>
    </row>
    <row r="186" spans="1:20" x14ac:dyDescent="0.4">
      <c r="A186" t="e">
        <f>IF('Area A'!#REF!="None","",'Area A'!#REF!)</f>
        <v>#REF!</v>
      </c>
      <c r="B186" t="e">
        <f>IF('Area A'!#REF!="None","",'Area A'!#REF!)</f>
        <v>#REF!</v>
      </c>
      <c r="C186" t="e">
        <f>IF('Area A'!#REF!="none","",'Area A'!#REF!)</f>
        <v>#REF!</v>
      </c>
      <c r="D186" t="e">
        <f>IF('Area A'!#REF!="none","",'Area A'!#REF!)</f>
        <v>#REF!</v>
      </c>
      <c r="E186" t="e">
        <f>IF('Area A'!#REF!="none","",'Area A'!#REF!)</f>
        <v>#REF!</v>
      </c>
      <c r="F186" t="e">
        <f>IF(Table1[[#This Row],[Item]]="","",Table1[[#This Row],[Unit Count]]+Table1[[#This Row],[Coushion Qty]])</f>
        <v>#REF!</v>
      </c>
      <c r="H186" t="e">
        <f>IF(#REF!="none","",#REF!)</f>
        <v>#REF!</v>
      </c>
      <c r="I186" t="e">
        <f>IF(#REF!="none","",#REF!)</f>
        <v>#REF!</v>
      </c>
      <c r="J186" t="e">
        <f>IF(#REF!="none","",#REF!)</f>
        <v>#REF!</v>
      </c>
      <c r="K186" t="e">
        <f>IF(#REF!="none","",#REF!)</f>
        <v>#REF!</v>
      </c>
      <c r="L186" t="e">
        <f>IF(#REF!="none","",#REF!)</f>
        <v>#REF!</v>
      </c>
      <c r="M186" t="e">
        <f>IF(#REF!="none","",'Take-off Build'!K186+'Take-off Build'!L186)</f>
        <v>#REF!</v>
      </c>
      <c r="O186" t="e">
        <f>IF(#REF!="none","",#REF!)</f>
        <v>#REF!</v>
      </c>
      <c r="P186" t="e">
        <f>IF(#REF!="none","",#REF!)</f>
        <v>#REF!</v>
      </c>
      <c r="Q186" t="e">
        <f>IF(#REF!="none","",#REF!)</f>
        <v>#REF!</v>
      </c>
      <c r="R186" t="e">
        <f>IF(#REF!="none","",#REF!)</f>
        <v>#REF!</v>
      </c>
      <c r="S186" t="e">
        <f>IF(#REF!="none","",#REF!)</f>
        <v>#REF!</v>
      </c>
      <c r="T186" t="e">
        <f>IF(#REF!="none","",'Take-off Build'!S186+'Take-off Build'!R186)</f>
        <v>#REF!</v>
      </c>
    </row>
    <row r="187" spans="1:20" x14ac:dyDescent="0.4">
      <c r="A187" t="e">
        <f>IF('Area A'!#REF!="None","",'Area A'!#REF!)</f>
        <v>#REF!</v>
      </c>
      <c r="B187" t="e">
        <f>IF('Area A'!#REF!="None","",'Area A'!#REF!)</f>
        <v>#REF!</v>
      </c>
      <c r="C187" t="e">
        <f>IF('Area A'!#REF!="none","",'Area A'!#REF!)</f>
        <v>#REF!</v>
      </c>
      <c r="D187" t="e">
        <f>IF('Area A'!#REF!="none","",'Area A'!#REF!)</f>
        <v>#REF!</v>
      </c>
      <c r="E187" t="e">
        <f>IF('Area A'!#REF!="none","",'Area A'!#REF!)</f>
        <v>#REF!</v>
      </c>
      <c r="F187" t="e">
        <f>IF(Table1[[#This Row],[Item]]="","",Table1[[#This Row],[Unit Count]]+Table1[[#This Row],[Coushion Qty]])</f>
        <v>#REF!</v>
      </c>
      <c r="H187" t="e">
        <f>IF(#REF!="none","",#REF!)</f>
        <v>#REF!</v>
      </c>
      <c r="I187" t="e">
        <f>IF(#REF!="none","",#REF!)</f>
        <v>#REF!</v>
      </c>
      <c r="J187" t="e">
        <f>IF(#REF!="none","",#REF!)</f>
        <v>#REF!</v>
      </c>
      <c r="K187" t="e">
        <f>IF(#REF!="none","",#REF!)</f>
        <v>#REF!</v>
      </c>
      <c r="L187" t="e">
        <f>IF(#REF!="none","",#REF!)</f>
        <v>#REF!</v>
      </c>
      <c r="M187" t="e">
        <f>IF(#REF!="none","",'Take-off Build'!K187+'Take-off Build'!L187)</f>
        <v>#REF!</v>
      </c>
      <c r="O187" t="e">
        <f>IF(#REF!="none","",#REF!)</f>
        <v>#REF!</v>
      </c>
      <c r="P187" t="e">
        <f>IF(#REF!="none","",#REF!)</f>
        <v>#REF!</v>
      </c>
      <c r="Q187" t="e">
        <f>IF(#REF!="none","",#REF!)</f>
        <v>#REF!</v>
      </c>
      <c r="R187" t="e">
        <f>IF(#REF!="none","",#REF!)</f>
        <v>#REF!</v>
      </c>
      <c r="S187" t="e">
        <f>IF(#REF!="none","",#REF!)</f>
        <v>#REF!</v>
      </c>
      <c r="T187" t="e">
        <f>IF(#REF!="none","",'Take-off Build'!S187+'Take-off Build'!R187)</f>
        <v>#REF!</v>
      </c>
    </row>
    <row r="188" spans="1:20" x14ac:dyDescent="0.4">
      <c r="A188" t="e">
        <f>IF('Area A'!#REF!="None","",'Area A'!#REF!)</f>
        <v>#REF!</v>
      </c>
      <c r="B188" t="e">
        <f>IF('Area A'!#REF!="None","",'Area A'!#REF!)</f>
        <v>#REF!</v>
      </c>
      <c r="C188" t="e">
        <f>IF('Area A'!#REF!="none","",'Area A'!#REF!)</f>
        <v>#REF!</v>
      </c>
      <c r="D188" t="e">
        <f>IF('Area A'!#REF!="none","",'Area A'!#REF!)</f>
        <v>#REF!</v>
      </c>
      <c r="E188" t="e">
        <f>IF('Area A'!#REF!="none","",'Area A'!#REF!)</f>
        <v>#REF!</v>
      </c>
      <c r="F188" t="e">
        <f>IF(Table1[[#This Row],[Item]]="","",Table1[[#This Row],[Unit Count]]+Table1[[#This Row],[Coushion Qty]])</f>
        <v>#REF!</v>
      </c>
      <c r="H188" t="e">
        <f>IF(#REF!="none","",#REF!)</f>
        <v>#REF!</v>
      </c>
      <c r="I188" t="e">
        <f>IF(#REF!="none","",#REF!)</f>
        <v>#REF!</v>
      </c>
      <c r="J188" t="e">
        <f>IF(#REF!="none","",#REF!)</f>
        <v>#REF!</v>
      </c>
      <c r="K188" t="e">
        <f>IF(#REF!="none","",#REF!)</f>
        <v>#REF!</v>
      </c>
      <c r="L188" t="e">
        <f>IF(#REF!="none","",#REF!)</f>
        <v>#REF!</v>
      </c>
      <c r="M188" t="e">
        <f>IF(#REF!="none","",'Take-off Build'!K188+'Take-off Build'!L188)</f>
        <v>#REF!</v>
      </c>
      <c r="O188" t="e">
        <f>IF(#REF!="none","",#REF!)</f>
        <v>#REF!</v>
      </c>
      <c r="P188" t="e">
        <f>IF(#REF!="none","",#REF!)</f>
        <v>#REF!</v>
      </c>
      <c r="Q188" t="e">
        <f>IF(#REF!="none","",#REF!)</f>
        <v>#REF!</v>
      </c>
      <c r="R188" t="e">
        <f>IF(#REF!="none","",#REF!)</f>
        <v>#REF!</v>
      </c>
      <c r="S188" t="e">
        <f>IF(#REF!="none","",#REF!)</f>
        <v>#REF!</v>
      </c>
      <c r="T188" t="e">
        <f>IF(#REF!="none","",'Take-off Build'!S188+'Take-off Build'!R188)</f>
        <v>#REF!</v>
      </c>
    </row>
    <row r="189" spans="1:20" x14ac:dyDescent="0.4">
      <c r="A189" t="e">
        <f>IF('Area A'!#REF!="None","",'Area A'!#REF!)</f>
        <v>#REF!</v>
      </c>
      <c r="B189" t="e">
        <f>IF('Area A'!#REF!="None","",'Area A'!#REF!)</f>
        <v>#REF!</v>
      </c>
      <c r="C189" t="e">
        <f>IF('Area A'!#REF!="none","",'Area A'!#REF!)</f>
        <v>#REF!</v>
      </c>
      <c r="D189" t="e">
        <f>IF('Area A'!#REF!="none","",'Area A'!#REF!)</f>
        <v>#REF!</v>
      </c>
      <c r="E189" t="e">
        <f>IF('Area A'!#REF!="none","",'Area A'!#REF!)</f>
        <v>#REF!</v>
      </c>
      <c r="F189" t="e">
        <f>IF(Table1[[#This Row],[Item]]="","",Table1[[#This Row],[Unit Count]]+Table1[[#This Row],[Coushion Qty]])</f>
        <v>#REF!</v>
      </c>
      <c r="H189" t="e">
        <f>IF(#REF!="none","",#REF!)</f>
        <v>#REF!</v>
      </c>
      <c r="I189" t="e">
        <f>IF(#REF!="none","",#REF!)</f>
        <v>#REF!</v>
      </c>
      <c r="J189" t="e">
        <f>IF(#REF!="none","",#REF!)</f>
        <v>#REF!</v>
      </c>
      <c r="K189" t="e">
        <f>IF(#REF!="none","",#REF!)</f>
        <v>#REF!</v>
      </c>
      <c r="L189" t="e">
        <f>IF(#REF!="none","",#REF!)</f>
        <v>#REF!</v>
      </c>
      <c r="M189" t="e">
        <f>IF(#REF!="none","",'Take-off Build'!K189+'Take-off Build'!L189)</f>
        <v>#REF!</v>
      </c>
      <c r="O189" t="e">
        <f>IF(#REF!="none","",#REF!)</f>
        <v>#REF!</v>
      </c>
      <c r="P189" t="e">
        <f>IF(#REF!="none","",#REF!)</f>
        <v>#REF!</v>
      </c>
      <c r="Q189" t="e">
        <f>IF(#REF!="none","",#REF!)</f>
        <v>#REF!</v>
      </c>
      <c r="R189" t="e">
        <f>IF(#REF!="none","",#REF!)</f>
        <v>#REF!</v>
      </c>
      <c r="S189" t="e">
        <f>IF(#REF!="none","",#REF!)</f>
        <v>#REF!</v>
      </c>
      <c r="T189" t="e">
        <f>IF(#REF!="none","",'Take-off Build'!S189+'Take-off Build'!R189)</f>
        <v>#REF!</v>
      </c>
    </row>
    <row r="190" spans="1:20" x14ac:dyDescent="0.4">
      <c r="A190" t="e">
        <f>IF('Area A'!#REF!="None","",'Area A'!#REF!)</f>
        <v>#REF!</v>
      </c>
      <c r="B190" t="e">
        <f>IF('Area A'!#REF!="None","",'Area A'!#REF!)</f>
        <v>#REF!</v>
      </c>
      <c r="C190" t="e">
        <f>IF('Area A'!#REF!="none","",'Area A'!#REF!)</f>
        <v>#REF!</v>
      </c>
      <c r="D190" t="e">
        <f>IF('Area A'!#REF!="none","",'Area A'!#REF!)</f>
        <v>#REF!</v>
      </c>
      <c r="E190" t="e">
        <f>IF('Area A'!#REF!="none","",'Area A'!#REF!)</f>
        <v>#REF!</v>
      </c>
      <c r="F190" t="e">
        <f>IF(Table1[[#This Row],[Item]]="","",Table1[[#This Row],[Unit Count]]+Table1[[#This Row],[Coushion Qty]])</f>
        <v>#REF!</v>
      </c>
      <c r="H190" t="e">
        <f>IF(#REF!="none","",#REF!)</f>
        <v>#REF!</v>
      </c>
      <c r="I190" t="e">
        <f>IF(#REF!="none","",#REF!)</f>
        <v>#REF!</v>
      </c>
      <c r="J190" t="e">
        <f>IF(#REF!="none","",#REF!)</f>
        <v>#REF!</v>
      </c>
      <c r="K190" t="e">
        <f>IF(#REF!="none","",#REF!)</f>
        <v>#REF!</v>
      </c>
      <c r="L190" t="e">
        <f>IF(#REF!="none","",#REF!)</f>
        <v>#REF!</v>
      </c>
      <c r="M190" t="e">
        <f>IF(#REF!="none","",'Take-off Build'!K190+'Take-off Build'!L190)</f>
        <v>#REF!</v>
      </c>
      <c r="O190" t="e">
        <f>IF(#REF!="none","",#REF!)</f>
        <v>#REF!</v>
      </c>
      <c r="P190" t="e">
        <f>IF(#REF!="none","",#REF!)</f>
        <v>#REF!</v>
      </c>
      <c r="Q190" t="e">
        <f>IF(#REF!="none","",#REF!)</f>
        <v>#REF!</v>
      </c>
      <c r="R190" t="e">
        <f>IF(#REF!="none","",#REF!)</f>
        <v>#REF!</v>
      </c>
      <c r="S190" t="e">
        <f>IF(#REF!="none","",#REF!)</f>
        <v>#REF!</v>
      </c>
      <c r="T190" t="e">
        <f>IF(#REF!="none","",'Take-off Build'!S190+'Take-off Build'!R190)</f>
        <v>#REF!</v>
      </c>
    </row>
    <row r="191" spans="1:20" x14ac:dyDescent="0.4">
      <c r="A191" t="e">
        <f>IF('Area A'!#REF!="None","",'Area A'!#REF!)</f>
        <v>#REF!</v>
      </c>
      <c r="B191" t="e">
        <f>IF('Area A'!#REF!="None","",'Area A'!#REF!)</f>
        <v>#REF!</v>
      </c>
      <c r="C191" t="e">
        <f>IF('Area A'!#REF!="none","",'Area A'!#REF!)</f>
        <v>#REF!</v>
      </c>
      <c r="D191" t="e">
        <f>IF('Area A'!#REF!="none","",'Area A'!#REF!)</f>
        <v>#REF!</v>
      </c>
      <c r="E191" t="e">
        <f>IF('Area A'!#REF!="none","",'Area A'!#REF!)</f>
        <v>#REF!</v>
      </c>
      <c r="F191" t="e">
        <f>IF(Table1[[#This Row],[Item]]="","",Table1[[#This Row],[Unit Count]]+Table1[[#This Row],[Coushion Qty]])</f>
        <v>#REF!</v>
      </c>
      <c r="H191" t="e">
        <f>IF(#REF!="none","",#REF!)</f>
        <v>#REF!</v>
      </c>
      <c r="I191" t="e">
        <f>IF(#REF!="none","",#REF!)</f>
        <v>#REF!</v>
      </c>
      <c r="J191" t="e">
        <f>IF(#REF!="none","",#REF!)</f>
        <v>#REF!</v>
      </c>
      <c r="K191" t="e">
        <f>IF(#REF!="none","",#REF!)</f>
        <v>#REF!</v>
      </c>
      <c r="L191" t="e">
        <f>IF(#REF!="none","",#REF!)</f>
        <v>#REF!</v>
      </c>
      <c r="M191" t="e">
        <f>IF(#REF!="none","",'Take-off Build'!K191+'Take-off Build'!L191)</f>
        <v>#REF!</v>
      </c>
      <c r="O191" t="e">
        <f>IF(#REF!="none","",#REF!)</f>
        <v>#REF!</v>
      </c>
      <c r="P191" t="e">
        <f>IF(#REF!="none","",#REF!)</f>
        <v>#REF!</v>
      </c>
      <c r="Q191" t="e">
        <f>IF(#REF!="none","",#REF!)</f>
        <v>#REF!</v>
      </c>
      <c r="R191" t="e">
        <f>IF(#REF!="none","",#REF!)</f>
        <v>#REF!</v>
      </c>
      <c r="S191" t="e">
        <f>IF(#REF!="none","",#REF!)</f>
        <v>#REF!</v>
      </c>
      <c r="T191" t="e">
        <f>IF(#REF!="none","",'Take-off Build'!S191+'Take-off Build'!R191)</f>
        <v>#REF!</v>
      </c>
    </row>
    <row r="192" spans="1:20" x14ac:dyDescent="0.4">
      <c r="A192" t="e">
        <f>IF('Area A'!#REF!="None","",'Area A'!#REF!)</f>
        <v>#REF!</v>
      </c>
      <c r="B192" t="e">
        <f>IF('Area A'!#REF!="None","",'Area A'!#REF!)</f>
        <v>#REF!</v>
      </c>
      <c r="C192" t="e">
        <f>IF('Area A'!#REF!="none","",'Area A'!#REF!)</f>
        <v>#REF!</v>
      </c>
      <c r="D192" t="e">
        <f>IF('Area A'!#REF!="none","",'Area A'!#REF!)</f>
        <v>#REF!</v>
      </c>
      <c r="E192" t="e">
        <f>IF('Area A'!#REF!="none","",'Area A'!#REF!)</f>
        <v>#REF!</v>
      </c>
      <c r="F192" t="e">
        <f>IF(Table1[[#This Row],[Item]]="","",Table1[[#This Row],[Unit Count]]+Table1[[#This Row],[Coushion Qty]])</f>
        <v>#REF!</v>
      </c>
      <c r="H192" t="e">
        <f>IF(#REF!="none","",#REF!)</f>
        <v>#REF!</v>
      </c>
      <c r="I192" t="e">
        <f>IF(#REF!="none","",#REF!)</f>
        <v>#REF!</v>
      </c>
      <c r="J192" t="e">
        <f>IF(#REF!="none","",#REF!)</f>
        <v>#REF!</v>
      </c>
      <c r="K192" t="e">
        <f>IF(#REF!="none","",#REF!)</f>
        <v>#REF!</v>
      </c>
      <c r="L192" t="e">
        <f>IF(#REF!="none","",#REF!)</f>
        <v>#REF!</v>
      </c>
      <c r="M192" t="e">
        <f>IF(#REF!="none","",'Take-off Build'!K192+'Take-off Build'!L192)</f>
        <v>#REF!</v>
      </c>
      <c r="O192" t="e">
        <f>IF(#REF!="none","",#REF!)</f>
        <v>#REF!</v>
      </c>
      <c r="P192" t="e">
        <f>IF(#REF!="none","",#REF!)</f>
        <v>#REF!</v>
      </c>
      <c r="Q192" t="e">
        <f>IF(#REF!="none","",#REF!)</f>
        <v>#REF!</v>
      </c>
      <c r="R192" t="e">
        <f>IF(#REF!="none","",#REF!)</f>
        <v>#REF!</v>
      </c>
      <c r="S192" t="e">
        <f>IF(#REF!="none","",#REF!)</f>
        <v>#REF!</v>
      </c>
      <c r="T192" t="e">
        <f>IF(#REF!="none","",'Take-off Build'!S192+'Take-off Build'!R192)</f>
        <v>#REF!</v>
      </c>
    </row>
    <row r="193" spans="1:20" x14ac:dyDescent="0.4">
      <c r="A193" t="str">
        <f>IF('Area A'!B243="None","",'Area A'!B243)</f>
        <v/>
      </c>
      <c r="B193" t="str">
        <f>IF('Area A'!B243="None","",'Area A'!C243)</f>
        <v/>
      </c>
      <c r="C193" t="str">
        <f>IF('Area A'!B243="none","",'Area A'!D243)</f>
        <v/>
      </c>
      <c r="D193" t="str">
        <f>IF('Area A'!B243="none","",'Area A'!E243)</f>
        <v/>
      </c>
      <c r="E193" t="str">
        <f>IF('Area A'!B243="none","",'Area A'!H243)</f>
        <v/>
      </c>
      <c r="F193" t="str">
        <f>IF(Table1[[#This Row],[Item]]="","",Table1[[#This Row],[Unit Count]]+Table1[[#This Row],[Coushion Qty]])</f>
        <v/>
      </c>
      <c r="H193" t="e">
        <f>IF(#REF!="none","",#REF!)</f>
        <v>#REF!</v>
      </c>
      <c r="I193" t="e">
        <f>IF(#REF!="none","",#REF!)</f>
        <v>#REF!</v>
      </c>
      <c r="J193" t="e">
        <f>IF(#REF!="none","",#REF!)</f>
        <v>#REF!</v>
      </c>
      <c r="K193" t="e">
        <f>IF(#REF!="none","",#REF!)</f>
        <v>#REF!</v>
      </c>
      <c r="L193" t="e">
        <f>IF(#REF!="none","",#REF!)</f>
        <v>#REF!</v>
      </c>
      <c r="M193" t="e">
        <f>IF(#REF!="none","",'Take-off Build'!K193+'Take-off Build'!L193)</f>
        <v>#REF!</v>
      </c>
      <c r="O193" t="e">
        <f>IF(#REF!="none","",#REF!)</f>
        <v>#REF!</v>
      </c>
      <c r="P193" t="e">
        <f>IF(#REF!="none","",#REF!)</f>
        <v>#REF!</v>
      </c>
      <c r="Q193" t="e">
        <f>IF(#REF!="none","",#REF!)</f>
        <v>#REF!</v>
      </c>
      <c r="R193" t="e">
        <f>IF(#REF!="none","",#REF!)</f>
        <v>#REF!</v>
      </c>
      <c r="S193" t="e">
        <f>IF(#REF!="none","",#REF!)</f>
        <v>#REF!</v>
      </c>
      <c r="T193" t="e">
        <f>IF(#REF!="none","",'Take-off Build'!S193+'Take-off Build'!R193)</f>
        <v>#REF!</v>
      </c>
    </row>
    <row r="194" spans="1:20" x14ac:dyDescent="0.4">
      <c r="A194" t="str">
        <f>IF('Area A'!B244="None","",'Area A'!B244)</f>
        <v/>
      </c>
      <c r="B194" t="str">
        <f>IF('Area A'!B244="None","",'Area A'!C244)</f>
        <v/>
      </c>
      <c r="C194" t="str">
        <f>IF('Area A'!B244="none","",'Area A'!D244)</f>
        <v/>
      </c>
      <c r="D194" t="str">
        <f>IF('Area A'!B244="none","",'Area A'!E244)</f>
        <v/>
      </c>
      <c r="E194" t="str">
        <f>IF('Area A'!B244="none","",'Area A'!H244)</f>
        <v/>
      </c>
      <c r="F194" t="str">
        <f>IF(Table1[[#This Row],[Item]]="","",Table1[[#This Row],[Unit Count]]+Table1[[#This Row],[Coushion Qty]])</f>
        <v/>
      </c>
      <c r="H194" t="e">
        <f>IF(#REF!="none","",#REF!)</f>
        <v>#REF!</v>
      </c>
      <c r="I194" t="e">
        <f>IF(#REF!="none","",#REF!)</f>
        <v>#REF!</v>
      </c>
      <c r="J194" t="e">
        <f>IF(#REF!="none","",#REF!)</f>
        <v>#REF!</v>
      </c>
      <c r="K194" t="e">
        <f>IF(#REF!="none","",#REF!)</f>
        <v>#REF!</v>
      </c>
      <c r="L194" t="e">
        <f>IF(#REF!="none","",#REF!)</f>
        <v>#REF!</v>
      </c>
      <c r="M194" t="e">
        <f>IF(#REF!="none","",'Take-off Build'!K194+'Take-off Build'!L194)</f>
        <v>#REF!</v>
      </c>
      <c r="O194" t="e">
        <f>IF(#REF!="none","",#REF!)</f>
        <v>#REF!</v>
      </c>
      <c r="P194" t="e">
        <f>IF(#REF!="none","",#REF!)</f>
        <v>#REF!</v>
      </c>
      <c r="Q194" t="e">
        <f>IF(#REF!="none","",#REF!)</f>
        <v>#REF!</v>
      </c>
      <c r="R194" t="e">
        <f>IF(#REF!="none","",#REF!)</f>
        <v>#REF!</v>
      </c>
      <c r="S194" t="e">
        <f>IF(#REF!="none","",#REF!)</f>
        <v>#REF!</v>
      </c>
      <c r="T194" t="e">
        <f>IF(#REF!="none","",'Take-off Build'!S194+'Take-off Build'!R194)</f>
        <v>#REF!</v>
      </c>
    </row>
    <row r="195" spans="1:20" x14ac:dyDescent="0.4">
      <c r="A195" t="str">
        <f>IF('Area A'!B245="None","",'Area A'!B245)</f>
        <v/>
      </c>
      <c r="B195" t="str">
        <f>IF('Area A'!B245="None","",'Area A'!C245)</f>
        <v/>
      </c>
      <c r="C195" t="str">
        <f>IF('Area A'!B245="none","",'Area A'!D245)</f>
        <v/>
      </c>
      <c r="D195" t="str">
        <f>IF('Area A'!B245="none","",'Area A'!E245)</f>
        <v/>
      </c>
      <c r="E195" t="str">
        <f>IF('Area A'!B245="none","",'Area A'!H245)</f>
        <v/>
      </c>
      <c r="F195" t="str">
        <f>IF(Table1[[#This Row],[Item]]="","",Table1[[#This Row],[Unit Count]]+Table1[[#This Row],[Coushion Qty]])</f>
        <v/>
      </c>
      <c r="H195" t="e">
        <f>IF(#REF!="none","",#REF!)</f>
        <v>#REF!</v>
      </c>
      <c r="I195" t="e">
        <f>IF(#REF!="none","",#REF!)</f>
        <v>#REF!</v>
      </c>
      <c r="J195" t="e">
        <f>IF(#REF!="none","",#REF!)</f>
        <v>#REF!</v>
      </c>
      <c r="K195" t="e">
        <f>IF(#REF!="none","",#REF!)</f>
        <v>#REF!</v>
      </c>
      <c r="L195" t="e">
        <f>IF(#REF!="none","",#REF!)</f>
        <v>#REF!</v>
      </c>
      <c r="M195" t="e">
        <f>IF(#REF!="none","",'Take-off Build'!K195+'Take-off Build'!L195)</f>
        <v>#REF!</v>
      </c>
      <c r="O195" t="e">
        <f>IF(#REF!="none","",#REF!)</f>
        <v>#REF!</v>
      </c>
      <c r="P195" t="e">
        <f>IF(#REF!="none","",#REF!)</f>
        <v>#REF!</v>
      </c>
      <c r="Q195" t="e">
        <f>IF(#REF!="none","",#REF!)</f>
        <v>#REF!</v>
      </c>
      <c r="R195" t="e">
        <f>IF(#REF!="none","",#REF!)</f>
        <v>#REF!</v>
      </c>
      <c r="S195" t="e">
        <f>IF(#REF!="none","",#REF!)</f>
        <v>#REF!</v>
      </c>
      <c r="T195" t="e">
        <f>IF(#REF!="none","",'Take-off Build'!S195+'Take-off Build'!R195)</f>
        <v>#REF!</v>
      </c>
    </row>
    <row r="196" spans="1:20" x14ac:dyDescent="0.4">
      <c r="A196" t="str">
        <f>IF('Area A'!B246="None","",'Area A'!B246)</f>
        <v/>
      </c>
      <c r="B196" t="str">
        <f>IF('Area A'!B246="None","",'Area A'!C246)</f>
        <v/>
      </c>
      <c r="C196" t="str">
        <f>IF('Area A'!B246="none","",'Area A'!D246)</f>
        <v/>
      </c>
      <c r="D196" t="str">
        <f>IF('Area A'!B246="none","",'Area A'!E246)</f>
        <v/>
      </c>
      <c r="E196" t="str">
        <f>IF('Area A'!B246="none","",'Area A'!H246)</f>
        <v/>
      </c>
      <c r="F196" t="str">
        <f>IF(Table1[[#This Row],[Item]]="","",Table1[[#This Row],[Unit Count]]+Table1[[#This Row],[Coushion Qty]])</f>
        <v/>
      </c>
      <c r="H196" t="e">
        <f>IF(#REF!="none","",#REF!)</f>
        <v>#REF!</v>
      </c>
      <c r="I196" t="e">
        <f>IF(#REF!="none","",#REF!)</f>
        <v>#REF!</v>
      </c>
      <c r="J196" t="e">
        <f>IF(#REF!="none","",#REF!)</f>
        <v>#REF!</v>
      </c>
      <c r="K196" t="e">
        <f>IF(#REF!="none","",#REF!)</f>
        <v>#REF!</v>
      </c>
      <c r="L196" t="e">
        <f>IF(#REF!="none","",#REF!)</f>
        <v>#REF!</v>
      </c>
      <c r="M196" t="e">
        <f>IF(#REF!="none","",'Take-off Build'!K196+'Take-off Build'!L196)</f>
        <v>#REF!</v>
      </c>
      <c r="O196" t="e">
        <f>IF(#REF!="none","",#REF!)</f>
        <v>#REF!</v>
      </c>
      <c r="P196" t="e">
        <f>IF(#REF!="none","",#REF!)</f>
        <v>#REF!</v>
      </c>
      <c r="Q196" t="e">
        <f>IF(#REF!="none","",#REF!)</f>
        <v>#REF!</v>
      </c>
      <c r="R196" t="e">
        <f>IF(#REF!="none","",#REF!)</f>
        <v>#REF!</v>
      </c>
      <c r="S196" t="e">
        <f>IF(#REF!="none","",#REF!)</f>
        <v>#REF!</v>
      </c>
      <c r="T196" t="e">
        <f>IF(#REF!="none","",'Take-off Build'!S196+'Take-off Build'!R196)</f>
        <v>#REF!</v>
      </c>
    </row>
    <row r="197" spans="1:20" x14ac:dyDescent="0.4">
      <c r="A197" t="str">
        <f>IF('Area A'!B247="None","",'Area A'!B247)</f>
        <v/>
      </c>
      <c r="B197" t="str">
        <f>IF('Area A'!B247="None","",'Area A'!C247)</f>
        <v/>
      </c>
      <c r="C197" t="str">
        <f>IF('Area A'!B247="none","",'Area A'!D247)</f>
        <v/>
      </c>
      <c r="D197" t="str">
        <f>IF('Area A'!B247="none","",'Area A'!E247)</f>
        <v/>
      </c>
      <c r="E197" t="str">
        <f>IF('Area A'!B247="none","",'Area A'!H247)</f>
        <v/>
      </c>
      <c r="F197" t="str">
        <f>IF(Table1[[#This Row],[Item]]="","",Table1[[#This Row],[Unit Count]]+Table1[[#This Row],[Coushion Qty]])</f>
        <v/>
      </c>
      <c r="H197" t="e">
        <f>IF(#REF!="none","",#REF!)</f>
        <v>#REF!</v>
      </c>
      <c r="I197" t="e">
        <f>IF(#REF!="none","",#REF!)</f>
        <v>#REF!</v>
      </c>
      <c r="J197" t="e">
        <f>IF(#REF!="none","",#REF!)</f>
        <v>#REF!</v>
      </c>
      <c r="K197" t="e">
        <f>IF(#REF!="none","",#REF!)</f>
        <v>#REF!</v>
      </c>
      <c r="L197" t="e">
        <f>IF(#REF!="none","",#REF!)</f>
        <v>#REF!</v>
      </c>
      <c r="M197" t="e">
        <f>IF(#REF!="none","",'Take-off Build'!K197+'Take-off Build'!L197)</f>
        <v>#REF!</v>
      </c>
      <c r="O197" t="e">
        <f>IF(#REF!="none","",#REF!)</f>
        <v>#REF!</v>
      </c>
      <c r="P197" t="e">
        <f>IF(#REF!="none","",#REF!)</f>
        <v>#REF!</v>
      </c>
      <c r="Q197" t="e">
        <f>IF(#REF!="none","",#REF!)</f>
        <v>#REF!</v>
      </c>
      <c r="R197" t="e">
        <f>IF(#REF!="none","",#REF!)</f>
        <v>#REF!</v>
      </c>
      <c r="S197" t="e">
        <f>IF(#REF!="none","",#REF!)</f>
        <v>#REF!</v>
      </c>
      <c r="T197" t="e">
        <f>IF(#REF!="none","",'Take-off Build'!S197+'Take-off Build'!R197)</f>
        <v>#REF!</v>
      </c>
    </row>
    <row r="198" spans="1:20" x14ac:dyDescent="0.4">
      <c r="A198" t="str">
        <f>IF('Area A'!B248="None","",'Area A'!B248)</f>
        <v/>
      </c>
      <c r="B198" t="str">
        <f>IF('Area A'!B248="None","",'Area A'!C248)</f>
        <v/>
      </c>
      <c r="C198" t="str">
        <f>IF('Area A'!B248="none","",'Area A'!D248)</f>
        <v/>
      </c>
      <c r="D198" t="str">
        <f>IF('Area A'!B248="none","",'Area A'!E248)</f>
        <v/>
      </c>
      <c r="E198" t="str">
        <f>IF('Area A'!B248="none","",'Area A'!H248)</f>
        <v/>
      </c>
      <c r="F198" t="str">
        <f>IF(Table1[[#This Row],[Item]]="","",Table1[[#This Row],[Unit Count]]+Table1[[#This Row],[Coushion Qty]])</f>
        <v/>
      </c>
      <c r="H198" t="e">
        <f>IF(#REF!="none","",#REF!)</f>
        <v>#REF!</v>
      </c>
      <c r="I198" t="e">
        <f>IF(#REF!="none","",#REF!)</f>
        <v>#REF!</v>
      </c>
      <c r="J198" t="e">
        <f>IF(#REF!="none","",#REF!)</f>
        <v>#REF!</v>
      </c>
      <c r="K198" t="e">
        <f>IF(#REF!="none","",#REF!)</f>
        <v>#REF!</v>
      </c>
      <c r="L198" t="e">
        <f>IF(#REF!="none","",#REF!)</f>
        <v>#REF!</v>
      </c>
      <c r="M198" t="e">
        <f>IF(#REF!="none","",'Take-off Build'!K198+'Take-off Build'!L198)</f>
        <v>#REF!</v>
      </c>
      <c r="O198" t="e">
        <f>IF(#REF!="none","",#REF!)</f>
        <v>#REF!</v>
      </c>
      <c r="P198" t="e">
        <f>IF(#REF!="none","",#REF!)</f>
        <v>#REF!</v>
      </c>
      <c r="Q198" t="e">
        <f>IF(#REF!="none","",#REF!)</f>
        <v>#REF!</v>
      </c>
      <c r="R198" t="e">
        <f>IF(#REF!="none","",#REF!)</f>
        <v>#REF!</v>
      </c>
      <c r="S198" t="e">
        <f>IF(#REF!="none","",#REF!)</f>
        <v>#REF!</v>
      </c>
      <c r="T198" t="e">
        <f>IF(#REF!="none","",'Take-off Build'!S198+'Take-off Build'!R198)</f>
        <v>#REF!</v>
      </c>
    </row>
    <row r="199" spans="1:20" x14ac:dyDescent="0.4">
      <c r="A199" t="str">
        <f>IF('Area A'!B249="None","",'Area A'!B249)</f>
        <v/>
      </c>
      <c r="B199" t="str">
        <f>IF('Area A'!B249="None","",'Area A'!C249)</f>
        <v/>
      </c>
      <c r="C199" t="str">
        <f>IF('Area A'!B249="none","",'Area A'!D249)</f>
        <v/>
      </c>
      <c r="D199" t="str">
        <f>IF('Area A'!B249="none","",'Area A'!E249)</f>
        <v/>
      </c>
      <c r="E199" t="str">
        <f>IF('Area A'!B249="none","",'Area A'!H249)</f>
        <v/>
      </c>
      <c r="F199" t="str">
        <f>IF(Table1[[#This Row],[Item]]="","",Table1[[#This Row],[Unit Count]]+Table1[[#This Row],[Coushion Qty]])</f>
        <v/>
      </c>
      <c r="H199" t="e">
        <f>IF(#REF!="none","",#REF!)</f>
        <v>#REF!</v>
      </c>
      <c r="I199" t="e">
        <f>IF(#REF!="none","",#REF!)</f>
        <v>#REF!</v>
      </c>
      <c r="J199" t="e">
        <f>IF(#REF!="none","",#REF!)</f>
        <v>#REF!</v>
      </c>
      <c r="K199" t="e">
        <f>IF(#REF!="none","",#REF!)</f>
        <v>#REF!</v>
      </c>
      <c r="L199" t="e">
        <f>IF(#REF!="none","",#REF!)</f>
        <v>#REF!</v>
      </c>
      <c r="M199" t="e">
        <f>IF(#REF!="none","",'Take-off Build'!K199+'Take-off Build'!L199)</f>
        <v>#REF!</v>
      </c>
      <c r="O199" t="e">
        <f>IF(#REF!="none","",#REF!)</f>
        <v>#REF!</v>
      </c>
      <c r="P199" t="e">
        <f>IF(#REF!="none","",#REF!)</f>
        <v>#REF!</v>
      </c>
      <c r="Q199" t="e">
        <f>IF(#REF!="none","",#REF!)</f>
        <v>#REF!</v>
      </c>
      <c r="R199" t="e">
        <f>IF(#REF!="none","",#REF!)</f>
        <v>#REF!</v>
      </c>
      <c r="S199" t="e">
        <f>IF(#REF!="none","",#REF!)</f>
        <v>#REF!</v>
      </c>
      <c r="T199" t="e">
        <f>IF(#REF!="none","",'Take-off Build'!S199+'Take-off Build'!R199)</f>
        <v>#REF!</v>
      </c>
    </row>
    <row r="200" spans="1:20" x14ac:dyDescent="0.4">
      <c r="A200" t="str">
        <f>IF('Area A'!B250="None","",'Area A'!B250)</f>
        <v/>
      </c>
      <c r="B200" t="str">
        <f>IF('Area A'!B250="None","",'Area A'!C250)</f>
        <v/>
      </c>
      <c r="C200" t="str">
        <f>IF('Area A'!B250="none","",'Area A'!D250)</f>
        <v/>
      </c>
      <c r="D200" t="str">
        <f>IF('Area A'!B250="none","",'Area A'!E250)</f>
        <v/>
      </c>
      <c r="E200" t="str">
        <f>IF('Area A'!B250="none","",'Area A'!H250)</f>
        <v/>
      </c>
      <c r="F200" t="str">
        <f>IF(Table1[[#This Row],[Item]]="","",Table1[[#This Row],[Unit Count]]+Table1[[#This Row],[Coushion Qty]])</f>
        <v/>
      </c>
      <c r="H200" t="e">
        <f>IF(#REF!="none","",#REF!)</f>
        <v>#REF!</v>
      </c>
      <c r="I200" t="e">
        <f>IF(#REF!="none","",#REF!)</f>
        <v>#REF!</v>
      </c>
      <c r="J200" t="e">
        <f>IF(#REF!="none","",#REF!)</f>
        <v>#REF!</v>
      </c>
      <c r="K200" t="e">
        <f>IF(#REF!="none","",#REF!)</f>
        <v>#REF!</v>
      </c>
      <c r="L200" t="e">
        <f>IF(#REF!="none","",#REF!)</f>
        <v>#REF!</v>
      </c>
      <c r="M200" t="e">
        <f>IF(#REF!="none","",'Take-off Build'!K200+'Take-off Build'!L200)</f>
        <v>#REF!</v>
      </c>
      <c r="O200" t="e">
        <f>IF(#REF!="none","",#REF!)</f>
        <v>#REF!</v>
      </c>
      <c r="P200" t="e">
        <f>IF(#REF!="none","",#REF!)</f>
        <v>#REF!</v>
      </c>
      <c r="Q200" t="e">
        <f>IF(#REF!="none","",#REF!)</f>
        <v>#REF!</v>
      </c>
      <c r="R200" t="e">
        <f>IF(#REF!="none","",#REF!)</f>
        <v>#REF!</v>
      </c>
      <c r="S200" t="e">
        <f>IF(#REF!="none","",#REF!)</f>
        <v>#REF!</v>
      </c>
      <c r="T200" t="e">
        <f>IF(#REF!="none","",'Take-off Build'!S200+'Take-off Build'!R200)</f>
        <v>#REF!</v>
      </c>
    </row>
    <row r="201" spans="1:20" x14ac:dyDescent="0.4">
      <c r="A201" t="str">
        <f>IF('Area A'!B251="None","",'Area A'!B251)</f>
        <v/>
      </c>
      <c r="B201" t="str">
        <f>IF('Area A'!B251="None","",'Area A'!C251)</f>
        <v/>
      </c>
      <c r="C201" t="str">
        <f>IF('Area A'!B251="none","",'Area A'!D251)</f>
        <v/>
      </c>
      <c r="D201" t="str">
        <f>IF('Area A'!B251="none","",'Area A'!E251)</f>
        <v/>
      </c>
      <c r="E201" t="str">
        <f>IF('Area A'!B251="none","",'Area A'!H251)</f>
        <v/>
      </c>
      <c r="F201" t="str">
        <f>IF(Table1[[#This Row],[Item]]="","",Table1[[#This Row],[Unit Count]]+Table1[[#This Row],[Coushion Qty]])</f>
        <v/>
      </c>
      <c r="H201" t="e">
        <f>IF(#REF!="none","",#REF!)</f>
        <v>#REF!</v>
      </c>
      <c r="I201" t="e">
        <f>IF(#REF!="none","",#REF!)</f>
        <v>#REF!</v>
      </c>
      <c r="J201" t="e">
        <f>IF(#REF!="none","",#REF!)</f>
        <v>#REF!</v>
      </c>
      <c r="K201" t="e">
        <f>IF(#REF!="none","",#REF!)</f>
        <v>#REF!</v>
      </c>
      <c r="L201" t="e">
        <f>IF(#REF!="none","",#REF!)</f>
        <v>#REF!</v>
      </c>
      <c r="M201" t="e">
        <f>IF(#REF!="none","",'Take-off Build'!K201+'Take-off Build'!L201)</f>
        <v>#REF!</v>
      </c>
      <c r="O201" t="e">
        <f>IF(#REF!="none","",#REF!)</f>
        <v>#REF!</v>
      </c>
      <c r="P201" t="e">
        <f>IF(#REF!="none","",#REF!)</f>
        <v>#REF!</v>
      </c>
      <c r="Q201" t="e">
        <f>IF(#REF!="none","",#REF!)</f>
        <v>#REF!</v>
      </c>
      <c r="R201" t="e">
        <f>IF(#REF!="none","",#REF!)</f>
        <v>#REF!</v>
      </c>
      <c r="S201" t="e">
        <f>IF(#REF!="none","",#REF!)</f>
        <v>#REF!</v>
      </c>
      <c r="T201" t="e">
        <f>IF(#REF!="none","",'Take-off Build'!S201+'Take-off Build'!R201)</f>
        <v>#REF!</v>
      </c>
    </row>
    <row r="202" spans="1:20" x14ac:dyDescent="0.4">
      <c r="A202" t="str">
        <f>IF('Area A'!B252="None","",'Area A'!B252)</f>
        <v/>
      </c>
      <c r="B202" t="str">
        <f>IF('Area A'!B252="None","",'Area A'!C252)</f>
        <v/>
      </c>
      <c r="C202" t="str">
        <f>IF('Area A'!B252="none","",'Area A'!D252)</f>
        <v/>
      </c>
      <c r="D202" t="str">
        <f>IF('Area A'!B252="none","",'Area A'!E252)</f>
        <v/>
      </c>
      <c r="E202" t="str">
        <f>IF('Area A'!B252="none","",'Area A'!H252)</f>
        <v/>
      </c>
      <c r="F202" t="str">
        <f>IF(Table1[[#This Row],[Item]]="","",Table1[[#This Row],[Unit Count]]+Table1[[#This Row],[Coushion Qty]])</f>
        <v/>
      </c>
      <c r="H202" t="e">
        <f>IF(#REF!="none","",#REF!)</f>
        <v>#REF!</v>
      </c>
      <c r="I202" t="e">
        <f>IF(#REF!="none","",#REF!)</f>
        <v>#REF!</v>
      </c>
      <c r="J202" t="e">
        <f>IF(#REF!="none","",#REF!)</f>
        <v>#REF!</v>
      </c>
      <c r="K202" t="e">
        <f>IF(#REF!="none","",#REF!)</f>
        <v>#REF!</v>
      </c>
      <c r="L202" t="e">
        <f>IF(#REF!="none","",#REF!)</f>
        <v>#REF!</v>
      </c>
      <c r="M202" t="e">
        <f>IF(#REF!="none","",'Take-off Build'!K202+'Take-off Build'!L202)</f>
        <v>#REF!</v>
      </c>
      <c r="O202" t="e">
        <f>IF(#REF!="none","",#REF!)</f>
        <v>#REF!</v>
      </c>
      <c r="P202" t="e">
        <f>IF(#REF!="none","",#REF!)</f>
        <v>#REF!</v>
      </c>
      <c r="Q202" t="e">
        <f>IF(#REF!="none","",#REF!)</f>
        <v>#REF!</v>
      </c>
      <c r="R202" t="e">
        <f>IF(#REF!="none","",#REF!)</f>
        <v>#REF!</v>
      </c>
      <c r="S202" t="e">
        <f>IF(#REF!="none","",#REF!)</f>
        <v>#REF!</v>
      </c>
      <c r="T202" t="e">
        <f>IF(#REF!="none","",'Take-off Build'!S202+'Take-off Build'!R202)</f>
        <v>#REF!</v>
      </c>
    </row>
    <row r="203" spans="1:20" x14ac:dyDescent="0.4">
      <c r="A203" t="str">
        <f>IF('Area A'!B253="None","",'Area A'!B253)</f>
        <v/>
      </c>
      <c r="B203" t="str">
        <f>IF('Area A'!B253="None","",'Area A'!C253)</f>
        <v/>
      </c>
      <c r="C203" t="str">
        <f>IF('Area A'!B253="none","",'Area A'!D253)</f>
        <v/>
      </c>
      <c r="D203" t="str">
        <f>IF('Area A'!B253="none","",'Area A'!E253)</f>
        <v/>
      </c>
      <c r="E203" t="str">
        <f>IF('Area A'!B253="none","",'Area A'!H253)</f>
        <v/>
      </c>
      <c r="F203" t="str">
        <f>IF(Table1[[#This Row],[Item]]="","",Table1[[#This Row],[Unit Count]]+Table1[[#This Row],[Coushion Qty]])</f>
        <v/>
      </c>
      <c r="H203" t="e">
        <f>IF(#REF!="none","",#REF!)</f>
        <v>#REF!</v>
      </c>
      <c r="I203" t="e">
        <f>IF(#REF!="none","",#REF!)</f>
        <v>#REF!</v>
      </c>
      <c r="J203" t="e">
        <f>IF(#REF!="none","",#REF!)</f>
        <v>#REF!</v>
      </c>
      <c r="K203" t="e">
        <f>IF(#REF!="none","",#REF!)</f>
        <v>#REF!</v>
      </c>
      <c r="L203" t="e">
        <f>IF(#REF!="none","",#REF!)</f>
        <v>#REF!</v>
      </c>
      <c r="M203" t="e">
        <f>IF(#REF!="none","",'Take-off Build'!K203+'Take-off Build'!L203)</f>
        <v>#REF!</v>
      </c>
      <c r="O203" t="e">
        <f>IF(#REF!="none","",#REF!)</f>
        <v>#REF!</v>
      </c>
      <c r="P203" t="e">
        <f>IF(#REF!="none","",#REF!)</f>
        <v>#REF!</v>
      </c>
      <c r="Q203" t="e">
        <f>IF(#REF!="none","",#REF!)</f>
        <v>#REF!</v>
      </c>
      <c r="R203" t="e">
        <f>IF(#REF!="none","",#REF!)</f>
        <v>#REF!</v>
      </c>
      <c r="S203" t="e">
        <f>IF(#REF!="none","",#REF!)</f>
        <v>#REF!</v>
      </c>
      <c r="T203" t="e">
        <f>IF(#REF!="none","",'Take-off Build'!S203+'Take-off Build'!R203)</f>
        <v>#REF!</v>
      </c>
    </row>
    <row r="204" spans="1:20" x14ac:dyDescent="0.4">
      <c r="A204" t="str">
        <f>IF('Area A'!B254="None","",'Area A'!B254)</f>
        <v/>
      </c>
      <c r="B204" t="str">
        <f>IF('Area A'!B254="None","",'Area A'!C254)</f>
        <v/>
      </c>
      <c r="C204" t="str">
        <f>IF('Area A'!B254="none","",'Area A'!D254)</f>
        <v/>
      </c>
      <c r="D204" t="str">
        <f>IF('Area A'!B254="none","",'Area A'!E254)</f>
        <v/>
      </c>
      <c r="E204" t="str">
        <f>IF('Area A'!B254="none","",'Area A'!H254)</f>
        <v/>
      </c>
      <c r="F204" t="str">
        <f>IF(Table1[[#This Row],[Item]]="","",Table1[[#This Row],[Unit Count]]+Table1[[#This Row],[Coushion Qty]])</f>
        <v/>
      </c>
      <c r="H204" t="e">
        <f>IF(#REF!="none","",#REF!)</f>
        <v>#REF!</v>
      </c>
      <c r="I204" t="e">
        <f>IF(#REF!="none","",#REF!)</f>
        <v>#REF!</v>
      </c>
      <c r="J204" t="e">
        <f>IF(#REF!="none","",#REF!)</f>
        <v>#REF!</v>
      </c>
      <c r="K204" t="e">
        <f>IF(#REF!="none","",#REF!)</f>
        <v>#REF!</v>
      </c>
      <c r="L204" t="e">
        <f>IF(#REF!="none","",#REF!)</f>
        <v>#REF!</v>
      </c>
      <c r="M204" t="e">
        <f>IF(#REF!="none","",'Take-off Build'!K204+'Take-off Build'!L204)</f>
        <v>#REF!</v>
      </c>
      <c r="O204" t="e">
        <f>IF(#REF!="none","",#REF!)</f>
        <v>#REF!</v>
      </c>
      <c r="P204" t="e">
        <f>IF(#REF!="none","",#REF!)</f>
        <v>#REF!</v>
      </c>
      <c r="Q204" t="e">
        <f>IF(#REF!="none","",#REF!)</f>
        <v>#REF!</v>
      </c>
      <c r="R204" t="e">
        <f>IF(#REF!="none","",#REF!)</f>
        <v>#REF!</v>
      </c>
      <c r="S204" t="e">
        <f>IF(#REF!="none","",#REF!)</f>
        <v>#REF!</v>
      </c>
      <c r="T204" t="e">
        <f>IF(#REF!="none","",'Take-off Build'!S204+'Take-off Build'!R204)</f>
        <v>#REF!</v>
      </c>
    </row>
    <row r="205" spans="1:20" x14ac:dyDescent="0.4">
      <c r="A205" t="str">
        <f>IF('Area A'!B255="None","",'Area A'!B255)</f>
        <v/>
      </c>
      <c r="B205" t="str">
        <f>IF('Area A'!B255="None","",'Area A'!C255)</f>
        <v/>
      </c>
      <c r="C205" t="str">
        <f>IF('Area A'!B255="none","",'Area A'!D255)</f>
        <v/>
      </c>
      <c r="D205" t="str">
        <f>IF('Area A'!B255="none","",'Area A'!E255)</f>
        <v/>
      </c>
      <c r="E205" t="str">
        <f>IF('Area A'!B255="none","",'Area A'!H255)</f>
        <v/>
      </c>
      <c r="F205" t="str">
        <f>IF(Table1[[#This Row],[Item]]="","",Table1[[#This Row],[Unit Count]]+Table1[[#This Row],[Coushion Qty]])</f>
        <v/>
      </c>
      <c r="H205" t="e">
        <f>IF(#REF!="none","",#REF!)</f>
        <v>#REF!</v>
      </c>
      <c r="I205" t="e">
        <f>IF(#REF!="none","",#REF!)</f>
        <v>#REF!</v>
      </c>
      <c r="J205" t="e">
        <f>IF(#REF!="none","",#REF!)</f>
        <v>#REF!</v>
      </c>
      <c r="K205" t="e">
        <f>IF(#REF!="none","",#REF!)</f>
        <v>#REF!</v>
      </c>
      <c r="L205" t="e">
        <f>IF(#REF!="none","",#REF!)</f>
        <v>#REF!</v>
      </c>
      <c r="M205" t="e">
        <f>IF(#REF!="none","",'Take-off Build'!K205+'Take-off Build'!L205)</f>
        <v>#REF!</v>
      </c>
      <c r="O205" t="e">
        <f>IF(#REF!="none","",#REF!)</f>
        <v>#REF!</v>
      </c>
      <c r="P205" t="e">
        <f>IF(#REF!="none","",#REF!)</f>
        <v>#REF!</v>
      </c>
      <c r="Q205" t="e">
        <f>IF(#REF!="none","",#REF!)</f>
        <v>#REF!</v>
      </c>
      <c r="R205" t="e">
        <f>IF(#REF!="none","",#REF!)</f>
        <v>#REF!</v>
      </c>
      <c r="S205" t="e">
        <f>IF(#REF!="none","",#REF!)</f>
        <v>#REF!</v>
      </c>
      <c r="T205" t="e">
        <f>IF(#REF!="none","",'Take-off Build'!S205+'Take-off Build'!R205)</f>
        <v>#REF!</v>
      </c>
    </row>
    <row r="206" spans="1:20" x14ac:dyDescent="0.4">
      <c r="A206" t="str">
        <f>IF('Area A'!B256="None","",'Area A'!B256)</f>
        <v/>
      </c>
      <c r="B206" t="str">
        <f>IF('Area A'!B256="None","",'Area A'!C256)</f>
        <v/>
      </c>
      <c r="C206" t="str">
        <f>IF('Area A'!B256="none","",'Area A'!D256)</f>
        <v/>
      </c>
      <c r="D206" t="str">
        <f>IF('Area A'!B256="none","",'Area A'!E256)</f>
        <v/>
      </c>
      <c r="E206" t="str">
        <f>IF('Area A'!B256="none","",'Area A'!H256)</f>
        <v/>
      </c>
      <c r="F206" t="str">
        <f>IF(Table1[[#This Row],[Item]]="","",Table1[[#This Row],[Unit Count]]+Table1[[#This Row],[Coushion Qty]])</f>
        <v/>
      </c>
      <c r="H206" t="e">
        <f>IF(#REF!="none","",#REF!)</f>
        <v>#REF!</v>
      </c>
      <c r="I206" t="e">
        <f>IF(#REF!="none","",#REF!)</f>
        <v>#REF!</v>
      </c>
      <c r="J206" t="e">
        <f>IF(#REF!="none","",#REF!)</f>
        <v>#REF!</v>
      </c>
      <c r="K206" t="e">
        <f>IF(#REF!="none","",#REF!)</f>
        <v>#REF!</v>
      </c>
      <c r="L206" t="e">
        <f>IF(#REF!="none","",#REF!)</f>
        <v>#REF!</v>
      </c>
      <c r="M206" t="e">
        <f>IF(#REF!="none","",'Take-off Build'!K206+'Take-off Build'!L206)</f>
        <v>#REF!</v>
      </c>
      <c r="O206" t="e">
        <f>IF(#REF!="none","",#REF!)</f>
        <v>#REF!</v>
      </c>
      <c r="P206" t="e">
        <f>IF(#REF!="none","",#REF!)</f>
        <v>#REF!</v>
      </c>
      <c r="Q206" t="e">
        <f>IF(#REF!="none","",#REF!)</f>
        <v>#REF!</v>
      </c>
      <c r="R206" t="e">
        <f>IF(#REF!="none","",#REF!)</f>
        <v>#REF!</v>
      </c>
      <c r="S206" t="e">
        <f>IF(#REF!="none","",#REF!)</f>
        <v>#REF!</v>
      </c>
      <c r="T206" t="e">
        <f>IF(#REF!="none","",'Take-off Build'!S206+'Take-off Build'!R206)</f>
        <v>#REF!</v>
      </c>
    </row>
    <row r="207" spans="1:20" x14ac:dyDescent="0.4">
      <c r="A207" t="str">
        <f>IF('Area A'!B260="","",'Area A'!B260)</f>
        <v/>
      </c>
      <c r="B207" t="str">
        <f>IF('Area A'!B260="","",'Area A'!C260)</f>
        <v/>
      </c>
      <c r="C207" t="str">
        <f>IF('Area A'!B260="","",'Area A'!D260)</f>
        <v/>
      </c>
      <c r="D207" t="str">
        <f>IF('Area A'!B260="","",'Area A'!E260)</f>
        <v/>
      </c>
      <c r="E207" t="str">
        <f>IF('Area A'!B260="","",'Area A'!H260)</f>
        <v/>
      </c>
      <c r="F207" t="str">
        <f>IF(Table1[[#This Row],[Item]]="","",Table1[[#This Row],[Unit Count]]+Table1[[#This Row],[Coushion Qty]])</f>
        <v/>
      </c>
      <c r="H207" t="e">
        <f>IF(#REF!="none","",#REF!)</f>
        <v>#REF!</v>
      </c>
      <c r="I207" t="e">
        <f>IF(#REF!="none","",#REF!)</f>
        <v>#REF!</v>
      </c>
      <c r="J207" t="e">
        <f>IF(#REF!="none","",#REF!)</f>
        <v>#REF!</v>
      </c>
      <c r="K207" t="e">
        <f>IF(#REF!="none","",#REF!)</f>
        <v>#REF!</v>
      </c>
      <c r="L207" t="e">
        <f>IF(#REF!="none","",#REF!)</f>
        <v>#REF!</v>
      </c>
      <c r="M207" t="e">
        <f>IF(#REF!="none","",'Take-off Build'!K207+'Take-off Build'!L207)</f>
        <v>#REF!</v>
      </c>
      <c r="O207" t="e">
        <f>IF(#REF!="none","",#REF!)</f>
        <v>#REF!</v>
      </c>
      <c r="P207" t="e">
        <f>IF(#REF!="none","",#REF!)</f>
        <v>#REF!</v>
      </c>
      <c r="Q207" t="e">
        <f>IF(#REF!="none","",#REF!)</f>
        <v>#REF!</v>
      </c>
      <c r="R207" t="e">
        <f>IF(#REF!="none","",#REF!)</f>
        <v>#REF!</v>
      </c>
      <c r="S207" t="e">
        <f>IF(#REF!="none","",#REF!)</f>
        <v>#REF!</v>
      </c>
      <c r="T207" t="e">
        <f>IF(#REF!="none","",'Take-off Build'!S207+'Take-off Build'!R207)</f>
        <v>#REF!</v>
      </c>
    </row>
    <row r="208" spans="1:20" x14ac:dyDescent="0.4">
      <c r="A208" t="str">
        <f>IF('Area A'!B264="","",'Area A'!B264)</f>
        <v/>
      </c>
      <c r="B208" t="str">
        <f>IF('Area A'!B264="","",'Area A'!C264)</f>
        <v/>
      </c>
      <c r="C208" t="str">
        <f>IF('Area A'!B264="","",'Area A'!D264)</f>
        <v/>
      </c>
      <c r="D208" t="str">
        <f>IF('Area A'!B264="","",'Area A'!E264)</f>
        <v/>
      </c>
      <c r="E208" t="str">
        <f>IF('Area A'!B264="","",'Area A'!H264)</f>
        <v/>
      </c>
      <c r="F208" t="str">
        <f>IF(Table1[[#This Row],[Item]]="","",Table1[[#This Row],[Unit Count]]+Table1[[#This Row],[Coushion Qty]])</f>
        <v/>
      </c>
      <c r="H208" t="e">
        <f>IF(#REF!="","",#REF!)</f>
        <v>#REF!</v>
      </c>
      <c r="I208" t="e">
        <f>IF(#REF!="","",#REF!)</f>
        <v>#REF!</v>
      </c>
      <c r="J208" t="e">
        <f>IF(#REF!="","",#REF!)</f>
        <v>#REF!</v>
      </c>
      <c r="K208" t="e">
        <f>IF(#REF!="","",#REF!)</f>
        <v>#REF!</v>
      </c>
      <c r="L208" t="e">
        <f>IF(#REF!="","",#REF!)</f>
        <v>#REF!</v>
      </c>
      <c r="M208" t="e">
        <f>IF(#REF!="","",'Take-off Build'!K208+'Take-off Build'!L208)</f>
        <v>#REF!</v>
      </c>
      <c r="O208" t="e">
        <f>IF(#REF!="","",#REF!)</f>
        <v>#REF!</v>
      </c>
      <c r="P208" t="e">
        <f>IF(#REF!="","",#REF!)</f>
        <v>#REF!</v>
      </c>
      <c r="Q208" t="e">
        <f>IF(#REF!="","",#REF!)</f>
        <v>#REF!</v>
      </c>
      <c r="R208" t="e">
        <f>IF(#REF!="","",#REF!)</f>
        <v>#REF!</v>
      </c>
      <c r="S208" t="e">
        <f>IF(#REF!="","",#REF!)</f>
        <v>#REF!</v>
      </c>
      <c r="T208" t="e">
        <f>IF(#REF!="","",'Take-off Build'!S208+'Take-off Build'!R208)</f>
        <v>#REF!</v>
      </c>
    </row>
    <row r="209" spans="1:20" x14ac:dyDescent="0.4">
      <c r="A209" t="str">
        <f>IF('Area A'!B265="","",'Area A'!B265)</f>
        <v/>
      </c>
      <c r="B209" t="str">
        <f>IF('Area A'!B265="","",'Area A'!C265)</f>
        <v/>
      </c>
      <c r="C209" t="str">
        <f>IF('Area A'!B265="","",'Area A'!D265)</f>
        <v/>
      </c>
      <c r="D209" t="str">
        <f>IF('Area A'!B265="","",'Area A'!E265)</f>
        <v/>
      </c>
      <c r="E209" t="str">
        <f>IF('Area A'!B265="","",'Area A'!H265)</f>
        <v/>
      </c>
      <c r="F209" t="str">
        <f>IF(Table1[[#This Row],[Item]]="","",Table1[[#This Row],[Unit Count]]+Table1[[#This Row],[Coushion Qty]])</f>
        <v/>
      </c>
      <c r="M209" t="e">
        <f>IF(#REF!="","",'Take-off Build'!K209+'Take-off Build'!L209)</f>
        <v>#REF!</v>
      </c>
      <c r="O209" t="e">
        <f>IF(#REF!="","",#REF!)</f>
        <v>#REF!</v>
      </c>
      <c r="P209" t="e">
        <f>IF(#REF!="","",#REF!)</f>
        <v>#REF!</v>
      </c>
      <c r="Q209" t="e">
        <f>IF(#REF!="","",#REF!)</f>
        <v>#REF!</v>
      </c>
      <c r="R209" t="e">
        <f>IF(#REF!="","",#REF!)</f>
        <v>#REF!</v>
      </c>
      <c r="S209" t="e">
        <f>IF(#REF!="","",#REF!)</f>
        <v>#REF!</v>
      </c>
      <c r="T209" t="e">
        <f>IF(#REF!="","",'Take-off Build'!S209+'Take-off Build'!R209)</f>
        <v>#REF!</v>
      </c>
    </row>
    <row r="210" spans="1:20" x14ac:dyDescent="0.4">
      <c r="H210" t="e">
        <f>IF(#REF!="","",#REF!)</f>
        <v>#REF!</v>
      </c>
      <c r="I210" t="e">
        <f>IF(#REF!="","",#REF!)</f>
        <v>#REF!</v>
      </c>
      <c r="J210" t="e">
        <f>IF(#REF!="","",#REF!)</f>
        <v>#REF!</v>
      </c>
      <c r="K210" t="e">
        <f>IF(#REF!="","",#REF!)</f>
        <v>#REF!</v>
      </c>
      <c r="L210" t="e">
        <f>IF(#REF!="","",#REF!)</f>
        <v>#REF!</v>
      </c>
      <c r="M210" t="e">
        <f>IF(#REF!="","",'Take-off Build'!K231+'Take-off Build'!L231)</f>
        <v>#REF!</v>
      </c>
    </row>
  </sheetData>
  <mergeCells count="3">
    <mergeCell ref="A1:F1"/>
    <mergeCell ref="H1:M1"/>
    <mergeCell ref="O1:T1"/>
  </mergeCell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Take-off Build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2021-03-05T21:02:01Z</dcterms:modified>
</cp:coreProperties>
</file>