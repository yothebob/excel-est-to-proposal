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8_{8E230A63-BD8C-43B3-85DF-5E1E5E6043ED}" xr6:coauthVersionLast="46" xr6:coauthVersionMax="46" xr10:uidLastSave="{00000000-0000-0000-0000-000000000000}"/>
  <bookViews>
    <workbookView xWindow="-103" yWindow="-103" windowWidth="33120" windowHeight="18120" firstSheet="2" activeTab="12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Auto Write Lookup" sheetId="37" r:id="rId13"/>
    <sheet name="Rail Run Calculations" sheetId="16" r:id="rId14"/>
    <sheet name="Work Area" sheetId="26" r:id="rId15"/>
    <sheet name="Per Diem" sheetId="29" r:id="rId16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BB3" i="37" l="1"/>
  <c r="BB14" i="37" s="1"/>
  <c r="BC3" i="37"/>
  <c r="BC14" i="37" s="1"/>
  <c r="BD14" i="37"/>
  <c r="BI14" i="37"/>
  <c r="BF14" i="37"/>
  <c r="BE14" i="37"/>
  <c r="Y8" i="37"/>
  <c r="AI8" i="37"/>
  <c r="AS8" i="37"/>
  <c r="AS7" i="37"/>
  <c r="AS6" i="37"/>
  <c r="AS5" i="37"/>
  <c r="AS4" i="37"/>
  <c r="AS3" i="37"/>
  <c r="AI7" i="37"/>
  <c r="AI6" i="37"/>
  <c r="AI5" i="37"/>
  <c r="AI4" i="37"/>
  <c r="AI3" i="37"/>
  <c r="AR3" i="37"/>
  <c r="AR14" i="37" s="1"/>
  <c r="AW9" i="37"/>
  <c r="AW8" i="37"/>
  <c r="AW7" i="37"/>
  <c r="AY7" i="37" s="1"/>
  <c r="AW6" i="37"/>
  <c r="AY6" i="37" s="1"/>
  <c r="AW5" i="37"/>
  <c r="AW4" i="37"/>
  <c r="AW3" i="37"/>
  <c r="AY3" i="37" s="1"/>
  <c r="AY14" i="37" s="1"/>
  <c r="AV3" i="37"/>
  <c r="AV14" i="37" s="1"/>
  <c r="AU3" i="37"/>
  <c r="AT3" i="37"/>
  <c r="AY9" i="37"/>
  <c r="AY8" i="37"/>
  <c r="AX8" i="37"/>
  <c r="AX6" i="37"/>
  <c r="AY5" i="37"/>
  <c r="AX5" i="37"/>
  <c r="AY4" i="37"/>
  <c r="AX4" i="37"/>
  <c r="AU14" i="37"/>
  <c r="AT14" i="37"/>
  <c r="AM9" i="37"/>
  <c r="AO9" i="37" s="1"/>
  <c r="AM8" i="37"/>
  <c r="AN8" i="37" s="1"/>
  <c r="AM7" i="37"/>
  <c r="AN7" i="37" s="1"/>
  <c r="AM6" i="37"/>
  <c r="AN6" i="37" s="1"/>
  <c r="AC9" i="37"/>
  <c r="AE9" i="37" s="1"/>
  <c r="AC8" i="37"/>
  <c r="AD8" i="37" s="1"/>
  <c r="AC7" i="37"/>
  <c r="AD7" i="37" s="1"/>
  <c r="AC6" i="37"/>
  <c r="AE6" i="37" s="1"/>
  <c r="S9" i="37"/>
  <c r="S8" i="37"/>
  <c r="S7" i="37"/>
  <c r="S6" i="37"/>
  <c r="AM5" i="37"/>
  <c r="AM4" i="37"/>
  <c r="AN4" i="37" s="1"/>
  <c r="AM3" i="37"/>
  <c r="AO3" i="37" s="1"/>
  <c r="AL3" i="37"/>
  <c r="AK3" i="37"/>
  <c r="AJ3" i="37"/>
  <c r="AJ14" i="37" s="1"/>
  <c r="AH3" i="37"/>
  <c r="AH14" i="37" s="1"/>
  <c r="AL14" i="37"/>
  <c r="AO5" i="37"/>
  <c r="AN5" i="37"/>
  <c r="AO4" i="37"/>
  <c r="AK14" i="37"/>
  <c r="AC5" i="37"/>
  <c r="AE5" i="37" s="1"/>
  <c r="AC4" i="37"/>
  <c r="AC3" i="37"/>
  <c r="AE3" i="37" s="1"/>
  <c r="AE4" i="37"/>
  <c r="AD4" i="37"/>
  <c r="S5" i="37"/>
  <c r="S4" i="37"/>
  <c r="S3" i="37"/>
  <c r="AB3" i="37"/>
  <c r="AB14" i="37" s="1"/>
  <c r="R3" i="37"/>
  <c r="AA3" i="37"/>
  <c r="AA14" i="37" s="1"/>
  <c r="Q3" i="37"/>
  <c r="Z3" i="37"/>
  <c r="Z14" i="37" s="1"/>
  <c r="P3" i="37"/>
  <c r="P14" i="37" s="1"/>
  <c r="Y7" i="37"/>
  <c r="Y6" i="37"/>
  <c r="Y5" i="37"/>
  <c r="O7" i="37"/>
  <c r="O6" i="37"/>
  <c r="O5" i="37"/>
  <c r="O4" i="37"/>
  <c r="Y4" i="37"/>
  <c r="Y3" i="37"/>
  <c r="O3" i="37"/>
  <c r="X3" i="37"/>
  <c r="X14" i="37" s="1"/>
  <c r="N3" i="37"/>
  <c r="N14" i="37" s="1"/>
  <c r="O8" i="37"/>
  <c r="BG14" i="37" l="1"/>
  <c r="BH14" i="37"/>
  <c r="AS14" i="37"/>
  <c r="AI14" i="37"/>
  <c r="AX3" i="37"/>
  <c r="AX7" i="37"/>
  <c r="AW14" i="37"/>
  <c r="AX9" i="37"/>
  <c r="AX14" i="37" s="1"/>
  <c r="AO8" i="37"/>
  <c r="AE8" i="37"/>
  <c r="AE7" i="37"/>
  <c r="AO6" i="37"/>
  <c r="AN3" i="37"/>
  <c r="AO7" i="37"/>
  <c r="AN9" i="37"/>
  <c r="AN14" i="37" s="1"/>
  <c r="AM14" i="37"/>
  <c r="AD3" i="37"/>
  <c r="AE14" i="37"/>
  <c r="AD6" i="37"/>
  <c r="AD5" i="37"/>
  <c r="AD9" i="37"/>
  <c r="AC14" i="37"/>
  <c r="Y14" i="37"/>
  <c r="G2" i="18"/>
  <c r="R14" i="37"/>
  <c r="G6" i="18" s="1"/>
  <c r="Q14" i="37"/>
  <c r="G5" i="18" s="1"/>
  <c r="G4" i="18"/>
  <c r="AK172" i="4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D2" i="18"/>
  <c r="K53" i="26"/>
  <c r="K55" i="26" s="1"/>
  <c r="G53" i="23"/>
  <c r="F53" i="23"/>
  <c r="E53" i="23"/>
  <c r="D53" i="23"/>
  <c r="C53" i="23"/>
  <c r="E40" i="26"/>
  <c r="AO14" i="37" l="1"/>
  <c r="AD14" i="37"/>
  <c r="U9" i="37"/>
  <c r="T9" i="37"/>
  <c r="T8" i="37"/>
  <c r="U8" i="37"/>
  <c r="U6" i="37"/>
  <c r="T6" i="37"/>
  <c r="U4" i="37"/>
  <c r="T4" i="37"/>
  <c r="U7" i="37"/>
  <c r="T7" i="37"/>
  <c r="U5" i="37"/>
  <c r="T5" i="37"/>
  <c r="T3" i="37"/>
  <c r="U3" i="37"/>
  <c r="S14" i="37"/>
  <c r="G7" i="18" s="1"/>
  <c r="K59" i="26"/>
  <c r="M66" i="26"/>
  <c r="N66" i="26"/>
  <c r="P66" i="26"/>
  <c r="O66" i="26"/>
  <c r="L66" i="26"/>
  <c r="L22" i="26" s="1"/>
  <c r="L64" i="26"/>
  <c r="L65" i="26"/>
  <c r="L63" i="26"/>
  <c r="L19" i="26" s="1"/>
  <c r="U14" i="37" l="1"/>
  <c r="G9" i="18" s="1"/>
  <c r="T14" i="37"/>
  <c r="G8" i="18" s="1"/>
  <c r="P22" i="26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3" i="35" l="1"/>
  <c r="D20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10" i="35"/>
  <c r="D48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20" i="35"/>
  <c r="B19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8" i="35" l="1"/>
  <c r="H48" i="35" s="1"/>
  <c r="D50" i="35"/>
  <c r="E50" i="35" s="1"/>
  <c r="H50" i="35" s="1"/>
  <c r="D49" i="35"/>
  <c r="E49" i="35" s="1"/>
  <c r="H20" i="35"/>
  <c r="I20" i="35" s="1"/>
  <c r="F20" i="35"/>
  <c r="C20" i="35"/>
  <c r="E20" i="35"/>
  <c r="D19" i="35"/>
  <c r="B26" i="35"/>
  <c r="F26" i="35" s="1"/>
  <c r="H49" i="35" l="1"/>
  <c r="G20" i="35"/>
  <c r="J20" i="35" s="1"/>
  <c r="C26" i="35"/>
  <c r="E26" i="35"/>
  <c r="H26" i="35" s="1"/>
  <c r="I26" i="35" s="1"/>
  <c r="B27" i="35"/>
  <c r="E27" i="35" s="1"/>
  <c r="B51" i="35"/>
  <c r="B25" i="35"/>
  <c r="B24" i="35"/>
  <c r="F27" i="35" l="1"/>
  <c r="H27" i="35"/>
  <c r="C24" i="35"/>
  <c r="D24" i="35"/>
  <c r="C25" i="35"/>
  <c r="D25" i="35"/>
  <c r="B40" i="35"/>
  <c r="C40" i="35" s="1"/>
  <c r="G26" i="35"/>
  <c r="J26" i="35" s="1"/>
  <c r="F51" i="35"/>
  <c r="C51" i="35"/>
  <c r="C27" i="35"/>
  <c r="C19" i="35"/>
  <c r="E40" i="35"/>
  <c r="B32" i="35"/>
  <c r="B34" i="35" s="1"/>
  <c r="E51" i="35" l="1"/>
  <c r="H51" i="35" s="1"/>
  <c r="I51" i="35" s="1"/>
  <c r="B36" i="35"/>
  <c r="E32" i="35"/>
  <c r="F40" i="35"/>
  <c r="I27" i="35"/>
  <c r="G27" i="35"/>
  <c r="B35" i="35"/>
  <c r="G51" i="35" l="1"/>
  <c r="J51" i="35" s="1"/>
  <c r="J27" i="35"/>
  <c r="G40" i="35"/>
  <c r="E25" i="35"/>
  <c r="I40" i="35" l="1"/>
  <c r="J40" i="35" s="1"/>
  <c r="F40" i="36"/>
  <c r="B33" i="35"/>
  <c r="C33" i="35" s="1"/>
  <c r="C32" i="35"/>
  <c r="D47" i="35"/>
  <c r="D46" i="35"/>
  <c r="D45" i="35"/>
  <c r="E42" i="26"/>
  <c r="E41" i="26"/>
  <c r="F25" i="35"/>
  <c r="H25" i="35"/>
  <c r="F24" i="35"/>
  <c r="E24" i="35"/>
  <c r="H24" i="35" s="1"/>
  <c r="H19" i="35"/>
  <c r="D36" i="26"/>
  <c r="D37" i="26" s="1"/>
  <c r="E45" i="35" l="1"/>
  <c r="H45" i="35" s="1"/>
  <c r="F50" i="35"/>
  <c r="F49" i="35"/>
  <c r="F48" i="35"/>
  <c r="F46" i="35"/>
  <c r="F47" i="35"/>
  <c r="F45" i="35"/>
  <c r="E46" i="35"/>
  <c r="H46" i="35" s="1"/>
  <c r="E47" i="35"/>
  <c r="H47" i="35" s="1"/>
  <c r="B39" i="35"/>
  <c r="H33" i="35"/>
  <c r="I33" i="35" s="1"/>
  <c r="I19" i="35"/>
  <c r="E19" i="35"/>
  <c r="F33" i="35"/>
  <c r="B38" i="35"/>
  <c r="F38" i="35" s="1"/>
  <c r="B37" i="35"/>
  <c r="F32" i="35"/>
  <c r="I25" i="35"/>
  <c r="G25" i="35"/>
  <c r="I24" i="35"/>
  <c r="I45" i="35" l="1"/>
  <c r="I47" i="35"/>
  <c r="G45" i="35"/>
  <c r="J45" i="35" s="1"/>
  <c r="I46" i="35"/>
  <c r="G47" i="35"/>
  <c r="G46" i="35"/>
  <c r="G49" i="35"/>
  <c r="I49" i="35"/>
  <c r="G48" i="35"/>
  <c r="I48" i="35"/>
  <c r="I50" i="35"/>
  <c r="G50" i="35"/>
  <c r="F39" i="35"/>
  <c r="I28" i="35"/>
  <c r="G33" i="35"/>
  <c r="J33" i="35" s="1"/>
  <c r="Q16" i="36"/>
  <c r="Q14" i="36"/>
  <c r="Q17" i="36"/>
  <c r="Q13" i="36"/>
  <c r="Q15" i="36"/>
  <c r="C39" i="35"/>
  <c r="Q36" i="36"/>
  <c r="Q41" i="36"/>
  <c r="C38" i="35"/>
  <c r="P10" i="36"/>
  <c r="P15" i="36"/>
  <c r="H32" i="35"/>
  <c r="I32" i="35" s="1"/>
  <c r="P9" i="36"/>
  <c r="P11" i="36"/>
  <c r="P12" i="36"/>
  <c r="P17" i="36"/>
  <c r="P7" i="36"/>
  <c r="E37" i="35" s="1"/>
  <c r="H37" i="35" s="1"/>
  <c r="I37" i="35" s="1"/>
  <c r="P13" i="36"/>
  <c r="P37" i="36"/>
  <c r="P16" i="36"/>
  <c r="P36" i="36"/>
  <c r="P8" i="36"/>
  <c r="P14" i="36"/>
  <c r="C35" i="35"/>
  <c r="F35" i="35"/>
  <c r="C37" i="35"/>
  <c r="F37" i="35"/>
  <c r="C36" i="35"/>
  <c r="F36" i="35"/>
  <c r="G32" i="35"/>
  <c r="J25" i="35"/>
  <c r="F19" i="35"/>
  <c r="F21" i="36"/>
  <c r="J47" i="35" l="1"/>
  <c r="I52" i="35"/>
  <c r="J46" i="35"/>
  <c r="G52" i="35"/>
  <c r="E39" i="35"/>
  <c r="G39" i="35" s="1"/>
  <c r="J48" i="35"/>
  <c r="J50" i="35"/>
  <c r="J49" i="35"/>
  <c r="E35" i="35"/>
  <c r="H35" i="35" s="1"/>
  <c r="I35" i="35" s="1"/>
  <c r="E38" i="35"/>
  <c r="G38" i="35" s="1"/>
  <c r="E36" i="35"/>
  <c r="H36" i="35" s="1"/>
  <c r="I36" i="35" s="1"/>
  <c r="J32" i="35"/>
  <c r="G37" i="35"/>
  <c r="J37" i="35" s="1"/>
  <c r="G19" i="35"/>
  <c r="G21" i="35" s="1"/>
  <c r="G24" i="35"/>
  <c r="J24" i="35" s="1"/>
  <c r="J28" i="35" s="1"/>
  <c r="F28" i="23"/>
  <c r="E28" i="23"/>
  <c r="D28" i="23"/>
  <c r="J52" i="35" l="1"/>
  <c r="H39" i="35"/>
  <c r="I39" i="35" s="1"/>
  <c r="J39" i="35" s="1"/>
  <c r="G35" i="35"/>
  <c r="J35" i="35" s="1"/>
  <c r="H38" i="35"/>
  <c r="I38" i="35" s="1"/>
  <c r="G36" i="35"/>
  <c r="J36" i="35" s="1"/>
  <c r="J19" i="35"/>
  <c r="J21" i="35" s="1"/>
  <c r="G28" i="35"/>
  <c r="R1" i="24"/>
  <c r="M1" i="24"/>
  <c r="C1" i="24"/>
  <c r="J38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O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W26" i="5"/>
  <c r="D29" i="30" s="1"/>
  <c r="H29" i="30" s="1"/>
  <c r="W27" i="5"/>
  <c r="D29" i="31" s="1"/>
  <c r="H29" i="31" s="1"/>
  <c r="I29" i="31" s="1"/>
  <c r="J29" i="31" s="1"/>
  <c r="W28" i="5"/>
  <c r="D29" i="32" s="1"/>
  <c r="W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T28" i="5"/>
  <c r="U28" i="5"/>
  <c r="V28" i="5"/>
  <c r="X28" i="5"/>
  <c r="E40" i="32" s="1"/>
  <c r="Y28" i="5"/>
  <c r="E41" i="32" s="1"/>
  <c r="O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R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79" i="4" s="1"/>
  <c r="E204" i="32" s="1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S28" i="5"/>
  <c r="P11" i="5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T25" i="5"/>
  <c r="E30" i="7"/>
  <c r="V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AH58" i="4" l="1"/>
  <c r="I104" i="3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O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R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X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S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Y27" i="5"/>
  <c r="E41" i="31" s="1"/>
  <c r="V27" i="5"/>
  <c r="U27" i="5"/>
  <c r="T27" i="5"/>
  <c r="O27" i="5"/>
  <c r="Y26" i="5"/>
  <c r="E41" i="30" s="1"/>
  <c r="X26" i="5"/>
  <c r="E40" i="30" s="1"/>
  <c r="I40" i="30" s="1"/>
  <c r="V26" i="5"/>
  <c r="U26" i="5"/>
  <c r="T26" i="5"/>
  <c r="Y25" i="5"/>
  <c r="E41" i="7" s="1"/>
  <c r="X25" i="5"/>
  <c r="U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R25" i="5"/>
  <c r="AH190" i="4" s="1"/>
  <c r="R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S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S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4" i="35" l="1"/>
  <c r="E34" i="35"/>
  <c r="H34" i="35" s="1"/>
  <c r="I34" i="35" s="1"/>
  <c r="C34" i="35"/>
  <c r="G34" i="35" l="1"/>
  <c r="G41" i="35" s="1"/>
  <c r="I41" i="35"/>
  <c r="J34" i="35" l="1"/>
  <c r="J41" i="35" s="1"/>
  <c r="J55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1" i="26" l="1"/>
  <c r="M41" i="24" s="1"/>
  <c r="O41" i="24" s="1"/>
  <c r="Q20" i="26"/>
  <c r="U18" i="24" s="1"/>
  <c r="Z41" i="24" s="1"/>
  <c r="Q74" i="26"/>
  <c r="M18" i="24"/>
  <c r="D16" i="26"/>
  <c r="E16" i="26" s="1"/>
  <c r="P41" i="24"/>
  <c r="Q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  <c r="O14" i="37"/>
  <c r="G3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<sst xmlns="http://schemas.openxmlformats.org/spreadsheetml/2006/main" count="12350" uniqueCount="1207">
  <si>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</si>
  <si>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</si>
  <si>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</si>
  <si>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</si>
  <si>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</si>
  <si>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</si>
  <si>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</si>
  <si>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</si>
  <si>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</si>
  <si>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</si>
  <si>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</si>
  <si>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</si>
  <si>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</si>
  <si>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</si>
  <si>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</si>
  <si>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</si>
  <si>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</si>
  <si>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</si>
  <si>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</si>
  <si>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</si>
  <si>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</si>
  <si>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</si>
  <si>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</si>
  <si>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</si>
  <si>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</si>
  <si>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</si>
  <si>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</si>
  <si>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</si>
  <si>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</si>
  <si>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</si>
  <si>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</si>
  <si>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</si>
  <si>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</si>
  <si>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</si>
  <si>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</si>
  <si>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</si>
  <si>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</si>
  <si>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</si>
  <si>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</si>
  <si>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</si>
  <si>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</si>
  <si>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</si>
  <si>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</si>
  <si>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</si>
  <si>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</si>
  <si>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</si>
  <si>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</si>
  <si>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</si>
  <si>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</si>
  <si>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</si>
  <si>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</si>
  <si>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</si>
  <si>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</si>
  <si>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</si>
  <si>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</si>
  <si>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</si>
  <si>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</si>
  <si>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</si>
  <si>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</si>
  <si>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</si>
  <si>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</si>
  <si>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</si>
  <si>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</si>
  <si>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</si>
  <si>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</si>
  <si>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</si>
  <si>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</si>
  <si>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</si>
  <si>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</si>
  <si>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</si>
  <si>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</si>
  <si>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</si>
  <si>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</si>
  <si>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</si>
  <si>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</si>
  <si>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</si>
  <si>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</si>
  <si>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</si>
  <si>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</si>
  <si>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</si>
  <si>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</si>
  <si>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</si>
  <si>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</si>
  <si>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</si>
  <si>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</si>
  <si>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</si>
  <si>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</si>
  <si>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</si>
  <si>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</si>
  <si>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</si>
  <si>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</si>
  <si>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</si>
  <si>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</si>
  <si>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</si>
  <si>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</si>
  <si>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</si>
  <si>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</si>
  <si>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</si>
  <si>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</si>
  <si>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</si>
  <si>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</si>
  <si>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</si>
  <si>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</si>
  <si>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</si>
  <si>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</si>
  <si>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</si>
  <si>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</si>
  <si>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</si>
  <si>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</si>
  <si>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</si>
  <si>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</si>
  <si>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</si>
  <si>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</si>
  <si>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</si>
  <si>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</si>
  <si>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</si>
  <si>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</si>
  <si>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</si>
  <si>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</si>
  <si>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</si>
  <si>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</si>
  <si>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</si>
  <si>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</si>
  <si>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</si>
  <si>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</si>
  <si>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</si>
  <si>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</si>
  <si>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</si>
  <si>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</si>
  <si>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</si>
  <si>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</si>
  <si>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</si>
  <si>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</si>
  <si>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</si>
  <si>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</si>
  <si>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</si>
  <si>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</si>
  <si>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</si>
  <si>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</si>
  <si>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</si>
  <si>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</si>
  <si>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</si>
  <si>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</si>
  <si>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</si>
  <si>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</si>
  <si>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</si>
  <si>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</si>
  <si>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</si>
  <si>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</si>
  <si>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</si>
  <si>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</si>
  <si>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</si>
  <si>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</si>
  <si>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</si>
  <si>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</si>
  <si>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</si>
  <si>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</si>
  <si>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</si>
  <si>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</si>
  <si>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</si>
  <si>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</si>
  <si>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</si>
  <si>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</si>
  <si>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</si>
  <si>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</si>
  <si>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</si>
  <si>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</si>
  <si>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</si>
  <si>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</si>
  <si>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</si>
  <si>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</si>
  <si>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</si>
  <si>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</si>
  <si>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</si>
  <si>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</si>
  <si>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</si>
  <si>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</si>
  <si>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</si>
  <si>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</si>
  <si>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</si>
  <si>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</si>
  <si>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</si>
  <si>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</si>
  <si>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</si>
  <si>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</si>
  <si>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</si>
  <si>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</si>
  <si>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</si>
  <si>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</si>
  <si>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</si>
  <si>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</si>
  <si>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</si>
  <si>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</si>
  <si>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</si>
  <si>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</si>
  <si>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</si>
  <si>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</si>
  <si>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</si>
  <si>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</si>
  <si>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</si>
  <si>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</si>
  <si>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</si>
  <si>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</si>
  <si>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</si>
  <si>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</si>
  <si>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</si>
  <si>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</si>
  <si>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</si>
  <si>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</si>
  <si>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</si>
  <si>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</si>
  <si>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</si>
  <si>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</si>
  <si>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</si>
  <si>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</si>
  <si>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</si>
  <si>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</si>
  <si>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</si>
  <si>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</si>
  <si>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</si>
  <si>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</si>
  <si>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</si>
  <si>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</si>
  <si>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</si>
  <si>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</si>
  <si>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</si>
  <si>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</si>
  <si>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</si>
  <si>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</si>
  <si>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</si>
  <si>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</si>
  <si>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</si>
  <si>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</si>
  <si>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</si>
  <si>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</si>
  <si>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</si>
  <si>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</si>
  <si>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</si>
  <si>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</si>
  <si>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</si>
  <si>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</si>
  <si>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</si>
  <si>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</si>
  <si>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</si>
  <si>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</si>
  <si>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</si>
  <si>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</si>
  <si>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</si>
  <si>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</si>
  <si>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</si>
  <si>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</si>
  <si>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</si>
  <si>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</si>
  <si>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</si>
  <si>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</si>
  <si>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</si>
  <si>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</si>
  <si>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</si>
  <si>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</si>
  <si>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</si>
  <si>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</si>
  <si>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</si>
  <si>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</si>
  <si>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</si>
  <si>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</si>
  <si>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</si>
  <si>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</si>
  <si>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</si>
  <si>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</si>
  <si>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</si>
  <si>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</si>
  <si>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</si>
  <si>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</si>
  <si>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</si>
  <si>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</si>
  <si>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</si>
  <si>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</si>
  <si>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</si>
  <si>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</si>
  <si>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</si>
  <si>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</si>
  <si>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</si>
  <si>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</si>
  <si>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</si>
  <si>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</si>
  <si>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</si>
  <si>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</si>
  <si>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</si>
  <si>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</si>
  <si>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</si>
  <si>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</si>
  <si>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</si>
  <si>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</si>
  <si>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</si>
  <si>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</si>
  <si>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</si>
  <si>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</si>
  <si>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</si>
  <si>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</si>
  <si>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</si>
  <si>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</si>
  <si>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</si>
  <si>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</si>
  <si>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</si>
  <si>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</si>
  <si>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</si>
  <si>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</si>
  <si>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</si>
  <si>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</si>
  <si>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</si>
  <si>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</si>
  <si>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</si>
  <si>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</si>
  <si>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</si>
  <si>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</si>
  <si>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</si>
  <si>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</si>
  <si>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</si>
  <si>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</si>
  <si>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</si>
  <si>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</si>
  <si>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</si>
  <si>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</si>
  <si>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</si>
  <si>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</si>
  <si>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</si>
  <si>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</si>
  <si>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</si>
  <si>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</si>
  <si>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</si>
  <si>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</si>
  <si>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</si>
  <si>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</si>
  <si>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</si>
  <si>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</si>
  <si>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</si>
  <si>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</si>
  <si>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</si>
  <si>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</si>
  <si>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</si>
  <si>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</si>
  <si>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</si>
  <si>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</si>
  <si>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</si>
  <si>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</si>
  <si>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</si>
  <si>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</si>
  <si>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</si>
  <si>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</si>
  <si>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</si>
  <si>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</si>
  <si>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</si>
  <si>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</si>
  <si>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</si>
  <si>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</si>
  <si>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</si>
  <si>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</si>
  <si>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</si>
  <si>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</si>
  <si>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</si>
  <si>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</si>
  <si>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</si>
  <si>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</si>
  <si>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</si>
  <si>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</si>
  <si>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</si>
  <si>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</si>
  <si>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</si>
  <si>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</si>
  <si>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</si>
  <si>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</si>
  <si>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</si>
  <si>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</si>
  <si>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</si>
  <si>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</si>
  <si>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</si>
  <si>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</si>
  <si>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</si>
  <si>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</si>
  <si>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</si>
  <si>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</si>
  <si>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</si>
  <si>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</si>
  <si>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</si>
  <si>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</si>
  <si>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</si>
  <si>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</si>
  <si>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</si>
  <si>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</si>
  <si>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</si>
  <si>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</si>
  <si>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</si>
  <si>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</si>
  <si>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</si>
  <si>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</si>
  <si>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</si>
  <si>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</si>
  <si>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</si>
  <si>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</si>
  <si>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</si>
  <si>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</si>
  <si>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</si>
  <si>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</si>
  <si>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</si>
  <si>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</si>
  <si>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</si>
  <si>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</si>
  <si>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</si>
  <si>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</si>
  <si>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</si>
  <si>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</si>
  <si>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</si>
  <si>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</si>
  <si>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</si>
  <si>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</si>
  <si>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</si>
  <si>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</si>
  <si>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</si>
  <si>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</si>
  <si>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</si>
  <si>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</si>
  <si>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</si>
  <si>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</si>
  <si>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</si>
  <si>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</si>
  <si>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</si>
  <si>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</si>
  <si>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</si>
  <si>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</si>
  <si>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</si>
  <si>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</si>
  <si>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</si>
  <si>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</si>
  <si>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</si>
  <si>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</si>
  <si>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</si>
  <si>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</si>
  <si>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</si>
  <si>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</si>
  <si>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</si>
  <si>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</si>
  <si>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</si>
  <si>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</si>
  <si>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</si>
  <si>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</si>
  <si>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</si>
  <si>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</si>
  <si>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</si>
  <si>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</si>
  <si>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</si>
  <si>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</si>
  <si>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</si>
  <si>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</si>
  <si>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</si>
  <si>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</si>
  <si>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</si>
  <si>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</si>
  <si>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</si>
  <si>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</si>
  <si>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</si>
  <si>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</si>
  <si>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</si>
  <si>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</si>
  <si>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</si>
  <si>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</si>
  <si>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</si>
  <si>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</si>
  <si>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</si>
  <si>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</si>
  <si>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</si>
  <si>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</si>
  <si>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</si>
  <si>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</si>
  <si>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</si>
  <si>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</si>
  <si>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</si>
  <si>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</si>
  <si>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</si>
  <si>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</si>
  <si>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</si>
  <si>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</si>
  <si>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</si>
  <si>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</si>
  <si>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</si>
  <si>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</si>
  <si>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</si>
  <si>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</si>
  <si>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</si>
  <si>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</si>
  <si>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</si>
  <si>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</si>
  <si>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</si>
  <si>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</si>
  <si>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</si>
  <si>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</si>
  <si>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</si>
  <si>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</si>
  <si>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</si>
  <si>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</si>
  <si>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</si>
  <si>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</si>
  <si>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</si>
  <si>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</si>
  <si>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</si>
  <si>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</si>
  <si>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</si>
  <si>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</si>
  <si>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</si>
  <si>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</si>
  <si>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</si>
  <si>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</si>
  <si>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</si>
  <si>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</si>
  <si>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</si>
  <si>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</si>
  <si>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</si>
  <si>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</si>
  <si>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</si>
  <si>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</si>
  <si>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</si>
  <si>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</si>
  <si>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</si>
  <si>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</si>
  <si>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</si>
  <si>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</si>
  <si>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</si>
  <si>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</si>
  <si>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</si>
  <si>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</si>
  <si>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</si>
  <si>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</si>
  <si>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</si>
  <si>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</si>
  <si>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</si>
  <si>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</si>
  <si>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</si>
  <si>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</si>
  <si>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</si>
  <si>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</si>
  <si>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</si>
  <si>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</si>
  <si>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</si>
  <si>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</si>
  <si>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</si>
  <si>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</si>
  <si>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</si>
  <si>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</si>
  <si>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</si>
  <si>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</si>
  <si>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</si>
  <si>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</si>
  <si>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</si>
  <si>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</si>
  <si>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</si>
  <si>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</si>
  <si>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</si>
  <si>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</si>
  <si>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</si>
  <si>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</si>
  <si>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</si>
  <si>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</si>
  <si>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</si>
  <si>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</si>
  <si>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</si>
  <si>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</si>
  <si>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</si>
  <si>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</si>
  <si>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</si>
  <si>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</si>
  <si>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</si>
  <si>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</si>
  <si>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</si>
  <si>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</si>
  <si>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</si>
  <si>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</si>
  <si>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</si>
  <si>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</si>
  <si>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</si>
  <si>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</si>
  <si>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</si>
  <si>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</si>
  <si>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</si>
  <si>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</si>
  <si>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</si>
  <si>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</si>
  <si>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</si>
  <si>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</si>
  <si>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</si>
  <si>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</si>
  <si>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</si>
  <si>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</si>
  <si>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</si>
  <si>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</si>
  <si>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</si>
  <si>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</si>
  <si>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</si>
  <si>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</si>
  <si>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</si>
  <si>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</si>
  <si>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</si>
  <si>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</si>
  <si>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</si>
  <si>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</si>
  <si>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</si>
  <si>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</si>
  <si>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</si>
  <si>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</si>
  <si>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</si>
  <si>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</si>
  <si>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</si>
  <si>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</si>
  <si>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</si>
  <si>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</si>
  <si>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</si>
  <si>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</si>
  <si>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</si>
  <si>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</si>
  <si>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</si>
  <si>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</si>
  <si>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</si>
  <si>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</si>
  <si>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</si>
  <si>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</si>
  <si>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</si>
  <si>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</si>
  <si>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</si>
  <si>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</si>
  <si>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</si>
  <si>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</si>
  <si>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</si>
  <si>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</si>
  <si>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</si>
  <si>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</si>
  <si>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</si>
  <si>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</si>
  <si>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</si>
  <si>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</si>
  <si>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</si>
  <si>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</si>
  <si>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</si>
  <si>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</si>
  <si>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</si>
  <si>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</si>
  <si>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</si>
  <si>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</si>
  <si>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</si>
  <si>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</si>
  <si>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</si>
  <si>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</si>
  <si>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</si>
  <si>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</si>
  <si>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</si>
  <si>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</si>
  <si>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</si>
  <si>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</si>
  <si>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</si>
  <si>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</si>
  <si>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</si>
  <si>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</si>
  <si>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</si>
  <si>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</si>
  <si>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</si>
  <si>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</si>
  <si>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</si>
  <si>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</si>
  <si>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</si>
  <si>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</si>
  <si>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</si>
  <si>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</si>
  <si>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</si>
  <si>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</si>
  <si>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</si>
  <si>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</si>
  <si>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</si>
  <si>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</si>
  <si>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</si>
  <si>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</si>
  <si>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</si>
  <si>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</si>
  <si>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</si>
  <si>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</si>
  <si>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</si>
  <si>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</si>
  <si>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</si>
  <si>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</si>
  <si>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</si>
  <si>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</si>
  <si>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</si>
  <si>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</si>
  <si>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</si>
  <si>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</si>
  <si>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</si>
  <si>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</si>
  <si>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</si>
  <si>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</si>
  <si>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</si>
  <si>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</si>
  <si>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</si>
  <si>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</si>
  <si>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</si>
  <si>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</si>
  <si>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</si>
  <si>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</si>
  <si>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</si>
  <si>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</si>
  <si>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</si>
  <si>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</si>
  <si>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</si>
  <si>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</si>
  <si>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</si>
  <si>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</si>
  <si>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</si>
  <si>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</si>
  <si>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</si>
  <si>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</si>
  <si>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</si>
  <si>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</si>
  <si>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</si>
  <si>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</si>
  <si>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</si>
  <si>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</si>
  <si>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</si>
  <si>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</si>
  <si>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</si>
  <si>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</si>
  <si>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</si>
  <si>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</si>
  <si>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</si>
  <si>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</si>
  <si>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</si>
  <si>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</si>
  <si>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</si>
  <si>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</si>
  <si>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</si>
  <si>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</si>
  <si>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</si>
  <si>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</si>
  <si>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</si>
  <si>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</si>
  <si>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</si>
  <si>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</si>
  <si>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</si>
  <si>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</si>
  <si>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</si>
  <si>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</si>
  <si>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</si>
  <si>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</si>
  <si>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</si>
  <si>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</si>
  <si>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</si>
  <si>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</si>
  <si>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</si>
  <si>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</si>
  <si>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</si>
  <si>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</si>
  <si>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</si>
  <si>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</si>
  <si>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</si>
  <si>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</si>
  <si>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</si>
  <si>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</si>
  <si>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</si>
  <si>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</si>
  <si>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</si>
  <si>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</si>
  <si>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</si>
  <si>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</si>
  <si>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</si>
  <si>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</si>
  <si>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</si>
  <si>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</si>
  <si>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</si>
  <si>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</si>
  <si>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</si>
  <si>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</si>
  <si>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</si>
  <si>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</si>
  <si>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</si>
  <si>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</si>
  <si>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</si>
  <si>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</si>
  <si>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</si>
  <si>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</si>
  <si>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</si>
  <si>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</si>
  <si>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</si>
  <si>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</si>
  <si>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</si>
  <si>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</si>
  <si>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</si>
  <si>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</si>
  <si>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</si>
  <si>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</si>
  <si>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</si>
  <si>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</si>
  <si>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</si>
  <si>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</si>
  <si>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</si>
  <si>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</si>
  <si>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</si>
  <si>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</si>
  <si>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</si>
  <si>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</si>
  <si>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</si>
  <si>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</si>
  <si>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</si>
  <si>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</si>
  <si>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</si>
  <si>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</si>
  <si>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</si>
  <si>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</si>
  <si>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</si>
  <si>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</si>
  <si>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</si>
  <si>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</si>
  <si>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</si>
  <si>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</si>
  <si>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</si>
  <si>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</si>
  <si>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</si>
  <si>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</si>
  <si>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</si>
  <si>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</si>
  <si>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</si>
  <si>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</si>
  <si>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</si>
  <si>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</si>
  <si>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</si>
  <si>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</si>
  <si>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</si>
  <si>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</si>
  <si>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</si>
  <si>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</si>
  <si>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</si>
  <si>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</si>
  <si>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</si>
  <si>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</si>
  <si>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</si>
  <si>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</si>
  <si>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</si>
  <si>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</si>
  <si>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</si>
  <si>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</si>
  <si>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</si>
  <si>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</si>
  <si>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</si>
  <si>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</si>
  <si>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</si>
  <si>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</si>
  <si>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</si>
  <si>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</si>
  <si>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</si>
  <si>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</si>
  <si>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</si>
  <si>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</si>
  <si>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</si>
  <si>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</si>
  <si>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</si>
  <si>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</si>
  <si>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</si>
  <si>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</si>
  <si>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</si>
  <si>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</si>
  <si>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</si>
  <si>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</si>
  <si>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</si>
  <si>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</si>
  <si>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</si>
  <si>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</si>
  <si>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</si>
  <si>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</si>
  <si>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</si>
  <si>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</si>
  <si>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</si>
  <si>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</si>
  <si>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</si>
  <si>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</si>
  <si>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</si>
  <si>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</si>
  <si>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</si>
  <si>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</si>
  <si>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</si>
  <si>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</si>
  <si>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</si>
  <si>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</si>
  <si>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</si>
  <si>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</si>
  <si>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</si>
  <si>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</si>
  <si>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</si>
  <si>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</si>
  <si>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</si>
  <si>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</si>
  <si>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</si>
  <si>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</si>
  <si>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</si>
  <si>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</si>
  <si>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</si>
  <si>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</si>
  <si>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</si>
  <si>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</si>
  <si>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</si>
  <si>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</si>
  <si>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</si>
  <si>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</si>
  <si>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</si>
  <si>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</si>
  <si>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</si>
  <si>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</si>
  <si>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</si>
  <si>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</si>
  <si>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</si>
  <si>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</si>
  <si>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</si>
  <si>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</si>
  <si>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</si>
  <si>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</si>
  <si>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</si>
  <si>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</si>
  <si>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</si>
  <si>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</si>
  <si>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</si>
  <si>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</si>
  <si>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</si>
  <si>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</si>
  <si>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</si>
  <si>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</si>
  <si>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</si>
  <si>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</si>
  <si>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</si>
  <si>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</si>
  <si>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</si>
  <si>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</si>
  <si>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</si>
  <si>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</si>
  <si>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</si>
  <si>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</si>
  <si>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</si>
  <si>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</si>
  <si>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</si>
  <si>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</si>
  <si>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</si>
  <si>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</si>
  <si>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</si>
  <si>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</si>
  <si>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</si>
  <si>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</si>
  <si>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</si>
  <si>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</si>
  <si>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</si>
  <si>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</si>
  <si>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</si>
  <si>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</si>
  <si>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</si>
  <si>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</si>
  <si>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</si>
  <si>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</si>
  <si>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</si>
  <si>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</si>
  <si>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</si>
  <si>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</si>
  <si>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</si>
  <si>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</si>
  <si>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</si>
  <si>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</si>
  <si>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</si>
  <si>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</si>
  <si>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</si>
  <si>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</si>
  <si>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</si>
  <si>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</si>
  <si>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</si>
  <si>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</si>
  <si>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</si>
  <si>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</si>
  <si>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</si>
  <si>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</si>
  <si>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</si>
  <si>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</si>
  <si>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</si>
  <si>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</si>
  <si>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</si>
  <si>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</si>
  <si>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</si>
  <si>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</si>
  <si>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</si>
  <si>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</si>
  <si>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</si>
  <si>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</si>
  <si>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</si>
  <si>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</si>
  <si>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</si>
  <si>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</si>
  <si>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</si>
  <si>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</si>
  <si>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</si>
  <si>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</si>
  <si>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</si>
  <si>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</si>
  <si>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</si>
  <si>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</si>
  <si>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</si>
  <si>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</si>
  <si>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</si>
  <si>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</si>
  <si>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</si>
  <si>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</si>
  <si>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</si>
  <si>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</si>
  <si>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</si>
  <si>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</si>
  <si>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</si>
  <si>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</si>
  <si>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</si>
  <si>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</si>
  <si>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</si>
  <si>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</si>
  <si>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</si>
  <si>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</si>
  <si>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</si>
  <si>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</si>
  <si>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</si>
  <si>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</si>
  <si>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</si>
  <si>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</si>
  <si>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</si>
  <si>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</si>
  <si>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</si>
  <si>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</si>
  <si>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</si>
  <si>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</si>
  <si>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</si>
  <si>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</si>
  <si>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</si>
  <si>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</si>
  <si>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</si>
  <si>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</si>
  <si>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</si>
  <si>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</si>
  <si>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</si>
  <si>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</si>
  <si>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</si>
  <si>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</si>
  <si>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</si>
  <si>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</si>
  <si>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</si>
  <si>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</si>
  <si>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</si>
  <si>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</si>
  <si>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</si>
  <si>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</si>
  <si>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</si>
  <si>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</si>
  <si>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</si>
  <si>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</si>
  <si>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</si>
  <si>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</si>
  <si>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</si>
  <si>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</si>
  <si>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</si>
  <si>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</si>
  <si>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</si>
  <si>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</si>
  <si>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</si>
  <si>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</si>
  <si>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</si>
  <si>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</si>
  <si>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</si>
  <si>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</si>
  <si>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</si>
  <si>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</si>
  <si>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</si>
  <si>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</si>
  <si>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</si>
  <si>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</si>
  <si>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</si>
  <si>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</si>
  <si>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</si>
  <si>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</si>
  <si>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</si>
  <si>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</si>
  <si>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</si>
  <si>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</si>
  <si>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</si>
  <si>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</si>
  <si>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</si>
  <si>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</si>
  <si>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</si>
  <si>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</si>
  <si>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</si>
  <si>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</si>
  <si>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</si>
  <si>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</si>
  <si>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</si>
  <si>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</si>
  <si>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</si>
  <si>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</si>
  <si>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</si>
  <si>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</si>
  <si>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</si>
  <si>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</si>
  <si>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</si>
  <si>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</si>
  <si>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</si>
  <si>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</si>
  <si>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</si>
  <si>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</si>
  <si>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</si>
  <si>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</si>
  <si>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</si>
  <si>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</si>
  <si>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</si>
  <si>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</si>
  <si>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</si>
  <si>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</si>
  <si>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</si>
  <si>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</si>
  <si>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</si>
  <si>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</si>
  <si>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</si>
  <si>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</si>
  <si>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</si>
  <si>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</si>
  <si>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</si>
  <si>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</si>
  <si>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</si>
  <si>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</si>
  <si>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</si>
  <si>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</si>
  <si>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</si>
  <si>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</si>
  <si>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</si>
  <si>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</si>
  <si>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</si>
  <si>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</si>
  <si>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</si>
  <si>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</si>
  <si>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</si>
  <si>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</si>
  <si>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</si>
  <si>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</si>
  <si>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</si>
  <si>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</si>
  <si>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</si>
  <si>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</si>
  <si>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</si>
  <si>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</si>
  <si>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</si>
  <si>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</si>
  <si>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</si>
  <si>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</si>
  <si>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</si>
  <si>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</si>
  <si>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</si>
  <si>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</si>
  <si>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</si>
  <si>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</si>
  <si>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</si>
  <si>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</si>
  <si>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</si>
  <si>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</si>
  <si>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</si>
  <si>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</si>
  <si>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</si>
  <si>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</si>
  <si>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</si>
  <si>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</si>
  <si>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</si>
  <si>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</si>
  <si>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</si>
  <si>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</si>
  <si>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</si>
  <si>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</si>
  <si>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</si>
  <si>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</si>
  <si>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</si>
  <si>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</si>
  <si>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</si>
  <si>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</si>
  <si>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</si>
  <si>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</si>
  <si>
    <t>Infill 1</t>
  </si>
  <si>
    <t>Infill 2</t>
  </si>
  <si>
    <t>Post Spacing</t>
  </si>
  <si>
    <t>Picket=5'</t>
  </si>
  <si>
    <t>Galss=4'</t>
  </si>
  <si>
    <t>Cable=3'</t>
  </si>
  <si>
    <t>Post Spacing Notes</t>
  </si>
  <si>
    <t>Rail Height</t>
  </si>
  <si>
    <t>Criteria 1</t>
  </si>
  <si>
    <t>Criteria 7</t>
  </si>
  <si>
    <t>Criteria 6</t>
  </si>
  <si>
    <t>Criteria 5</t>
  </si>
  <si>
    <t>Criteria 4</t>
  </si>
  <si>
    <t>Criteria 3</t>
  </si>
  <si>
    <t>Criteria 2</t>
  </si>
  <si>
    <t>""</t>
  </si>
  <si>
    <t>Result</t>
  </si>
  <si>
    <t>Criteria 8</t>
  </si>
  <si>
    <t>Infill 1 / GR Mounting 2</t>
  </si>
  <si>
    <t>Bottom Rail / GR Mounting 1</t>
  </si>
  <si>
    <t>Overall Rail Height</t>
  </si>
  <si>
    <t>Mounting 1</t>
  </si>
  <si>
    <t>Mounting 2</t>
  </si>
  <si>
    <t>Mounting 3</t>
  </si>
  <si>
    <t>Mounting  4</t>
  </si>
  <si>
    <t>Mounting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</si>
</sst>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83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0" fontId="0" fillId="0" borderId="0" xfId="0"/>
    <xf numFmtId="0" fontId="0" fillId="0" borderId="0" xfId="0"/>
    <xf numFmtId="0" fontId="0" fillId="45" borderId="0" xfId="0" applyFill="1"/>
    <xf numFmtId="0" fontId="2" fillId="14" borderId="0" xfId="0" applyFont="1" applyFill="1"/>
    <xf numFmtId="0" fontId="0" fillId="14" borderId="0" xfId="0" applyFill="1"/>
    <xf numFmtId="0" fontId="0" fillId="0" borderId="0" xfId="0"/>
    <xf numFmtId="0" fontId="6" fillId="14" borderId="0" xfId="0" applyNumberFormat="1" applyFont="1" applyFill="1"/>
    <xf numFmtId="0" fontId="2" fillId="46" borderId="0" xfId="0" applyFont="1" applyFill="1"/>
    <xf numFmtId="49" fontId="6" fillId="46" borderId="0" xfId="0" applyNumberFormat="1" applyFont="1" applyFill="1"/>
    <xf numFmtId="0" fontId="0" fillId="46" borderId="0" xfId="0" applyFill="1"/>
    <xf numFmtId="0" fontId="6" fillId="46" borderId="0" xfId="0" applyNumberFormat="1" applyFont="1" applyFill="1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44" fontId="18" fillId="4" borderId="0" xfId="0" applyNumberFormat="1" applyFont="1" applyFill="1" applyAlignment="1">
      <alignment horizontal="left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9" fontId="4" fillId="6" borderId="0" xfId="4" applyFont="1" applyFill="1" applyAlignment="1">
      <alignment horizontal="center"/>
    </xf>
    <xf numFmtId="0" fontId="18" fillId="4" borderId="0" xfId="0" applyFont="1" applyFill="1" applyAlignment="1">
      <alignment horizontal="left" wrapText="1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8" borderId="0" xfId="0" applyNumberFormat="1" applyFont="1" applyFill="1" applyAlignment="1">
      <alignment horizontal="left"/>
    </xf>
    <xf numFmtId="4" fontId="18" fillId="9" borderId="0" xfId="0" applyNumberFormat="1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9" fontId="21" fillId="4" borderId="29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20" fillId="6" borderId="0" xfId="0" applyFont="1" applyFill="1" applyBorder="1" applyAlignment="1">
      <alignment horizontal="left" wrapText="1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4" fontId="18" fillId="4" borderId="18" xfId="2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44" fontId="4" fillId="9" borderId="6" xfId="0" applyNumberFormat="1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18" xfId="0" applyFont="1" applyFill="1" applyBorder="1" applyAlignment="1">
      <alignment horizontal="left"/>
    </xf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18" fillId="29" borderId="0" xfId="0" applyFont="1" applyFill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2" fontId="14" fillId="2" borderId="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43" fontId="14" fillId="2" borderId="4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14" fillId="2" borderId="7" xfId="0" applyNumberFormat="1" applyFont="1" applyFill="1" applyBorder="1" applyAlignment="1" applyProtection="1">
      <alignment horizontal="center" vertical="center"/>
    </xf>
    <xf numFmtId="171" fontId="14" fillId="2" borderId="20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43" fontId="14" fillId="2" borderId="20" xfId="0" applyNumberFormat="1" applyFont="1" applyFill="1" applyBorder="1" applyAlignment="1" applyProtection="1">
      <alignment horizontal="center" vertical="center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44" fontId="18" fillId="8" borderId="18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0" fontId="4" fillId="6" borderId="23" xfId="0" applyFont="1" applyFill="1" applyBorder="1" applyAlignment="1">
      <alignment horizontal="center"/>
    </xf>
    <xf numFmtId="4" fontId="19" fillId="6" borderId="0" xfId="0" applyNumberFormat="1" applyFont="1" applyFill="1" applyAlignment="1">
      <alignment horizontal="right"/>
    </xf>
    <xf numFmtId="44" fontId="19" fillId="6" borderId="18" xfId="0" applyNumberFormat="1" applyFont="1" applyFill="1" applyBorder="1" applyAlignment="1">
      <alignment horizontal="center"/>
    </xf>
    <xf numFmtId="44" fontId="21" fillId="8" borderId="29" xfId="2" applyFont="1" applyFill="1" applyBorder="1" applyAlignment="1">
      <alignment horizontal="left"/>
    </xf>
    <xf numFmtId="4" fontId="18" fillId="29" borderId="0" xfId="0" applyNumberFormat="1" applyFont="1" applyFill="1" applyAlignment="1">
      <alignment horizontal="left"/>
    </xf>
    <xf numFmtId="44" fontId="18" fillId="29" borderId="0" xfId="0" applyNumberFormat="1" applyFont="1" applyFill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4" fontId="18" fillId="8" borderId="0" xfId="0" applyNumberFormat="1" applyFont="1" applyFill="1" applyAlignment="1">
      <alignment horizontal="left"/>
    </xf>
    <xf numFmtId="44" fontId="4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44" fontId="4" fillId="29" borderId="0" xfId="0" applyNumberFormat="1" applyFont="1" applyFill="1" applyAlignment="1">
      <alignment horizontal="left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44" fontId="14" fillId="6" borderId="6" xfId="2" applyFont="1" applyFill="1" applyBorder="1" applyAlignment="1" applyProtection="1">
      <alignment horizontal="center" vertical="center"/>
    </xf>
    <xf numFmtId="171" fontId="14" fillId="2" borderId="4" xfId="0" applyNumberFormat="1" applyFont="1" applyFill="1" applyBorder="1" applyAlignment="1" applyProtection="1">
      <alignment horizontal="center" vertical="center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8" fillId="4" borderId="0" xfId="2" applyFont="1" applyFill="1" applyAlignment="1">
      <alignment horizontal="left"/>
    </xf>
    <xf numFmtId="2" fontId="14" fillId="2" borderId="13" xfId="0" applyNumberFormat="1" applyFont="1" applyFill="1" applyBorder="1" applyAlignment="1" applyProtection="1">
      <alignment horizontal="center" vertical="center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0" fontId="18" fillId="29" borderId="0" xfId="0" applyFont="1" applyFill="1" applyAlignment="1">
      <alignment horizontal="left" wrapText="1"/>
    </xf>
    <xf numFmtId="9" fontId="18" fillId="8" borderId="22" xfId="0" applyNumberFormat="1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3" fillId="11" borderId="17" xfId="0" applyFont="1" applyFill="1" applyBorder="1" applyAlignment="1" applyProtection="1">
      <alignment horizontal="center"/>
    </xf>
    <xf numFmtId="0" fontId="1" fillId="22" borderId="0" xfId="12" applyAlignment="1" applyProtection="1">
      <alignment horizontal="center" vertical="center" wrapText="1"/>
    </xf>
    <xf numFmtId="0" fontId="1" fillId="21" borderId="0" xfId="11" applyAlignment="1" applyProtection="1">
      <alignment horizontal="center" vertical="center" wrapText="1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0" xfId="0" applyFont="1" applyAlignment="1" applyProtection="1">
      <alignment horizontal="center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8:J43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F19*E19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ROUNDUP((E19*'Project Materials'!$D$18),0)</calculatedColumnFormula>
    </tableColumn>
    <tableColumn id="10" xr3:uid="{A91C76AC-A20C-4D03-A22E-DF2F30FA61D2}" name="Adjusted Cost" dataDxfId="4">
      <calculatedColumnFormula>G19+(I19*F19)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80" t="str">
        <f>IF('Project Materials'!D2="","",'Project Materials'!D2)</f>
        <v/>
      </c>
      <c r="D1" s="880"/>
      <c r="E1" s="880"/>
      <c r="F1" s="881" t="s">
        <v>490</v>
      </c>
      <c r="G1" s="881"/>
      <c r="H1" s="881"/>
      <c r="I1" s="881"/>
      <c r="J1" s="881"/>
      <c r="K1" s="881"/>
      <c r="L1" s="794"/>
      <c r="M1" s="880" t="str">
        <f>IF('Project Materials'!I2="","",'Project Materials'!I2)</f>
        <v/>
      </c>
      <c r="N1" s="880"/>
      <c r="O1" s="880"/>
      <c r="P1" s="882" t="s">
        <v>492</v>
      </c>
      <c r="Q1" s="882"/>
      <c r="R1" s="883" t="str">
        <f>IF('Project Materials'!N2="","",'Project Materials'!N2)</f>
        <v/>
      </c>
      <c r="S1" s="883"/>
      <c r="T1" s="883"/>
      <c r="U1" s="883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79" t="s">
        <v>1090</v>
      </c>
      <c r="P3" s="879"/>
      <c r="Q3" s="879"/>
      <c r="R3" s="879"/>
      <c r="S3" s="879"/>
      <c r="T3" s="879"/>
      <c r="U3" s="326"/>
      <c r="V3" s="878" t="s">
        <v>1083</v>
      </c>
      <c r="W3" s="878"/>
      <c r="X3" s="878"/>
      <c r="Y3" s="878"/>
      <c r="Z3" s="878"/>
      <c r="AA3" s="878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Rail'!J55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Rail'!J55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77" t="s">
        <v>1088</v>
      </c>
      <c r="P25" s="877"/>
      <c r="Q25" s="877"/>
      <c r="R25" s="877"/>
      <c r="S25" s="877"/>
      <c r="T25" s="877"/>
      <c r="U25" s="125"/>
      <c r="V25" s="884" t="s">
        <v>1145</v>
      </c>
      <c r="W25" s="884"/>
      <c r="X25" s="884"/>
      <c r="Y25" s="884"/>
      <c r="Z25" s="884"/>
      <c r="AA25" s="884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Rail'!J55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Rail'!J55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G28" sqref="G28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82" t="s">
        <v>491</v>
      </c>
      <c r="C2" s="882"/>
      <c r="D2" s="925"/>
      <c r="E2" s="1063"/>
      <c r="F2" s="926"/>
      <c r="G2" s="881" t="s">
        <v>490</v>
      </c>
      <c r="H2" s="881"/>
      <c r="I2" s="925"/>
      <c r="J2" s="1063"/>
      <c r="K2" s="926"/>
      <c r="L2" s="882" t="s">
        <v>492</v>
      </c>
      <c r="M2" s="882"/>
      <c r="N2" s="1076"/>
      <c r="O2" s="1077"/>
      <c r="P2" s="1078"/>
      <c r="Q2" s="882" t="s">
        <v>714</v>
      </c>
      <c r="R2" s="882"/>
      <c r="S2" s="1046"/>
      <c r="T2" s="1047"/>
      <c r="U2" s="1048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1072" t="str">
        <f>IF(C25="","Area A",C25)</f>
        <v>Area A</v>
      </c>
      <c r="C3" s="1073"/>
      <c r="D3" s="1074"/>
      <c r="E3" s="1075"/>
      <c r="F3" s="1069" t="str">
        <f>IF(C26="","Area B",C26)</f>
        <v>Area B</v>
      </c>
      <c r="G3" s="1070"/>
      <c r="H3" s="1070"/>
      <c r="I3" s="1071"/>
      <c r="J3" s="1065" t="str">
        <f>IF(C27="","Area C",C27)</f>
        <v>Area C</v>
      </c>
      <c r="K3" s="1066"/>
      <c r="L3" s="1067"/>
      <c r="M3" s="1067"/>
      <c r="N3" s="1054" t="str">
        <f>IF(C28="","Area D",C28)</f>
        <v>Area D</v>
      </c>
      <c r="O3" s="1055"/>
      <c r="P3" s="1055"/>
      <c r="Q3" s="1056"/>
      <c r="R3" s="1050" t="s">
        <v>468</v>
      </c>
      <c r="S3" s="1051"/>
      <c r="T3" s="1051"/>
      <c r="U3" s="1051"/>
      <c r="V3" s="1052"/>
      <c r="W3" s="1052"/>
      <c r="X3" s="1052"/>
      <c r="Y3" s="1053"/>
      <c r="Z3" s="510">
        <f ca="1">TODAY()</f>
        <v>44292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1057" t="s">
        <v>463</v>
      </c>
      <c r="C4" s="1058"/>
      <c r="D4" s="1059" t="s">
        <v>420</v>
      </c>
      <c r="E4" s="1060"/>
      <c r="F4" s="1057" t="s">
        <v>463</v>
      </c>
      <c r="G4" s="1058"/>
      <c r="H4" s="1068" t="s">
        <v>420</v>
      </c>
      <c r="I4" s="1060"/>
      <c r="J4" s="1057" t="s">
        <v>463</v>
      </c>
      <c r="K4" s="1058"/>
      <c r="L4" s="1068" t="s">
        <v>420</v>
      </c>
      <c r="M4" s="1060"/>
      <c r="N4" s="1057" t="s">
        <v>463</v>
      </c>
      <c r="O4" s="1058"/>
      <c r="P4" s="1059" t="s">
        <v>420</v>
      </c>
      <c r="Q4" s="1060"/>
      <c r="R4" s="892"/>
      <c r="S4" s="892"/>
      <c r="T4" s="892"/>
      <c r="U4" s="892"/>
      <c r="V4" s="892"/>
      <c r="W4" s="892"/>
      <c r="X4" s="892"/>
      <c r="Y4" s="893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21" t="s">
        <v>483</v>
      </c>
      <c r="C5" s="923"/>
      <c r="D5" s="1061">
        <f>IF('Area A'!B29&lt;&gt;"none",14.16,8.25)</f>
        <v>8.25</v>
      </c>
      <c r="E5" s="1062"/>
      <c r="F5" s="921" t="s">
        <v>483</v>
      </c>
      <c r="G5" s="923"/>
      <c r="H5" s="1064">
        <f>IF('Area B'!B29&lt;&gt;"none",14.16,8.25)</f>
        <v>8.25</v>
      </c>
      <c r="I5" s="1062"/>
      <c r="J5" s="921" t="s">
        <v>483</v>
      </c>
      <c r="K5" s="923"/>
      <c r="L5" s="1064">
        <f>IF('Area C'!B29&lt;&gt;"none",14.16,8.25)</f>
        <v>8.25</v>
      </c>
      <c r="M5" s="1062"/>
      <c r="N5" s="921" t="s">
        <v>483</v>
      </c>
      <c r="O5" s="923"/>
      <c r="P5" s="1061">
        <f>IF('Area D'!B29&lt;&gt;"none",14.16,8.25)</f>
        <v>8.25</v>
      </c>
      <c r="Q5" s="1062"/>
      <c r="R5" s="894"/>
      <c r="S5" s="894"/>
      <c r="T5" s="894"/>
      <c r="U5" s="894"/>
      <c r="V5" s="894"/>
      <c r="W5" s="894"/>
      <c r="X5" s="894"/>
      <c r="Y5" s="895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21" t="s">
        <v>804</v>
      </c>
      <c r="C6" s="923"/>
      <c r="D6" s="1006" t="s">
        <v>446</v>
      </c>
      <c r="E6" s="1007"/>
      <c r="F6" s="921" t="s">
        <v>712</v>
      </c>
      <c r="G6" s="923"/>
      <c r="H6" s="1006" t="s">
        <v>446</v>
      </c>
      <c r="I6" s="1007"/>
      <c r="J6" s="921" t="s">
        <v>712</v>
      </c>
      <c r="K6" s="923"/>
      <c r="L6" s="1006" t="s">
        <v>446</v>
      </c>
      <c r="M6" s="1007"/>
      <c r="N6" s="921" t="s">
        <v>712</v>
      </c>
      <c r="O6" s="923"/>
      <c r="P6" s="1006" t="s">
        <v>446</v>
      </c>
      <c r="Q6" s="1007"/>
      <c r="R6" s="894"/>
      <c r="S6" s="894"/>
      <c r="T6" s="894"/>
      <c r="U6" s="894"/>
      <c r="V6" s="894"/>
      <c r="W6" s="894"/>
      <c r="X6" s="894"/>
      <c r="Y6" s="895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888" t="s">
        <v>913</v>
      </c>
      <c r="B7" s="921" t="s">
        <v>808</v>
      </c>
      <c r="C7" s="922"/>
      <c r="D7" s="1008"/>
      <c r="E7" s="926"/>
      <c r="F7" s="922" t="s">
        <v>808</v>
      </c>
      <c r="G7" s="922"/>
      <c r="H7" s="925"/>
      <c r="I7" s="926"/>
      <c r="J7" s="922" t="s">
        <v>808</v>
      </c>
      <c r="K7" s="922"/>
      <c r="L7" s="925"/>
      <c r="M7" s="926"/>
      <c r="N7" s="922" t="s">
        <v>808</v>
      </c>
      <c r="O7" s="922"/>
      <c r="P7" s="925"/>
      <c r="Q7" s="926"/>
      <c r="R7" s="894"/>
      <c r="S7" s="894"/>
      <c r="T7" s="894"/>
      <c r="U7" s="894"/>
      <c r="V7" s="894"/>
      <c r="W7" s="894"/>
      <c r="X7" s="894"/>
      <c r="Y7" s="895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889"/>
      <c r="B8" s="921" t="s">
        <v>719</v>
      </c>
      <c r="C8" s="922"/>
      <c r="D8" s="925"/>
      <c r="E8" s="926"/>
      <c r="F8" s="922" t="s">
        <v>719</v>
      </c>
      <c r="G8" s="922"/>
      <c r="H8" s="925"/>
      <c r="I8" s="926"/>
      <c r="J8" s="922" t="s">
        <v>719</v>
      </c>
      <c r="K8" s="922"/>
      <c r="L8" s="925"/>
      <c r="M8" s="926"/>
      <c r="N8" s="922" t="s">
        <v>719</v>
      </c>
      <c r="O8" s="922"/>
      <c r="P8" s="925"/>
      <c r="Q8" s="926"/>
      <c r="R8" s="894"/>
      <c r="S8" s="894"/>
      <c r="T8" s="894"/>
      <c r="U8" s="894"/>
      <c r="V8" s="894"/>
      <c r="W8" s="894"/>
      <c r="X8" s="894"/>
      <c r="Y8" s="895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21" t="s">
        <v>694</v>
      </c>
      <c r="C9" s="923"/>
      <c r="D9" s="994" t="str">
        <f>IFERROR(ROUNDUP(P25/D7,0),"-")</f>
        <v>-</v>
      </c>
      <c r="E9" s="994"/>
      <c r="F9" s="921" t="s">
        <v>694</v>
      </c>
      <c r="G9" s="923"/>
      <c r="H9" s="994" t="str">
        <f>IFERROR(ROUNDUP(P26/H7,0),"-")</f>
        <v>-</v>
      </c>
      <c r="I9" s="994"/>
      <c r="J9" s="921" t="s">
        <v>694</v>
      </c>
      <c r="K9" s="923"/>
      <c r="L9" s="994" t="str">
        <f>IFERROR(ROUNDUP(P27/L7,0),"-")</f>
        <v>-</v>
      </c>
      <c r="M9" s="994"/>
      <c r="N9" s="921" t="s">
        <v>694</v>
      </c>
      <c r="O9" s="923"/>
      <c r="P9" s="1083" t="str">
        <f>IFERROR(ROUNDUP(P28/P7,0),"-")</f>
        <v>-</v>
      </c>
      <c r="Q9" s="1084"/>
      <c r="R9" s="894"/>
      <c r="S9" s="894"/>
      <c r="T9" s="894"/>
      <c r="U9" s="894"/>
      <c r="V9" s="894"/>
      <c r="W9" s="894"/>
      <c r="X9" s="894"/>
      <c r="Y9" s="895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21" t="s">
        <v>462</v>
      </c>
      <c r="C10" s="922"/>
      <c r="D10" s="925"/>
      <c r="E10" s="926"/>
      <c r="F10" s="922" t="s">
        <v>462</v>
      </c>
      <c r="G10" s="922"/>
      <c r="H10" s="925"/>
      <c r="I10" s="926"/>
      <c r="J10" s="922" t="s">
        <v>462</v>
      </c>
      <c r="K10" s="922"/>
      <c r="L10" s="925"/>
      <c r="M10" s="926"/>
      <c r="N10" s="922" t="s">
        <v>462</v>
      </c>
      <c r="O10" s="922"/>
      <c r="P10" s="925"/>
      <c r="Q10" s="926"/>
      <c r="R10" s="894"/>
      <c r="S10" s="894"/>
      <c r="T10" s="894"/>
      <c r="U10" s="894"/>
      <c r="V10" s="894"/>
      <c r="W10" s="894"/>
      <c r="X10" s="894"/>
      <c r="Y10" s="895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21" t="s">
        <v>461</v>
      </c>
      <c r="C11" s="923"/>
      <c r="D11" s="1004">
        <f>S25</f>
        <v>0</v>
      </c>
      <c r="E11" s="1005"/>
      <c r="F11" s="921" t="s">
        <v>461</v>
      </c>
      <c r="G11" s="923"/>
      <c r="H11" s="988">
        <f>S26</f>
        <v>0</v>
      </c>
      <c r="I11" s="989"/>
      <c r="J11" s="1079" t="s">
        <v>461</v>
      </c>
      <c r="K11" s="1080"/>
      <c r="L11" s="988">
        <f>S27</f>
        <v>0</v>
      </c>
      <c r="M11" s="989"/>
      <c r="N11" s="1079" t="s">
        <v>461</v>
      </c>
      <c r="O11" s="1080"/>
      <c r="P11" s="1086">
        <f>S28</f>
        <v>0</v>
      </c>
      <c r="Q11" s="989"/>
      <c r="R11" s="894"/>
      <c r="S11" s="894"/>
      <c r="T11" s="894"/>
      <c r="U11" s="894"/>
      <c r="V11" s="894"/>
      <c r="W11" s="894"/>
      <c r="X11" s="894"/>
      <c r="Y11" s="895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1002" t="s">
        <v>441</v>
      </c>
      <c r="C12" s="1003"/>
      <c r="D12" s="1011">
        <f>IFERROR(IF(R25=0,((D11/D13)*D10)/144,(S25*D10)/144),0)</f>
        <v>0</v>
      </c>
      <c r="E12" s="996"/>
      <c r="F12" s="1002" t="s">
        <v>441</v>
      </c>
      <c r="G12" s="1003"/>
      <c r="H12" s="1011">
        <f>IFERROR(IF(R26=0,((H11/H13)*H10)/144,(S26*H10)/144),0)</f>
        <v>0</v>
      </c>
      <c r="I12" s="996"/>
      <c r="J12" s="1002" t="s">
        <v>441</v>
      </c>
      <c r="K12" s="1003"/>
      <c r="L12" s="995">
        <f>IFERROR(IF(R27=0,((L11/L13)*L10)/144,(S27*L10)/144),0)</f>
        <v>0</v>
      </c>
      <c r="M12" s="996"/>
      <c r="N12" s="1002" t="s">
        <v>441</v>
      </c>
      <c r="O12" s="1003"/>
      <c r="P12" s="1011">
        <f>IFERROR(IF(R28=0,((P11/P13)*P10)/144,(S28*P10)/144),0)</f>
        <v>0</v>
      </c>
      <c r="Q12" s="996"/>
      <c r="R12" s="894"/>
      <c r="S12" s="894"/>
      <c r="T12" s="894"/>
      <c r="U12" s="894"/>
      <c r="V12" s="894"/>
      <c r="W12" s="894"/>
      <c r="X12" s="894"/>
      <c r="Y12" s="895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1002" t="s">
        <v>504</v>
      </c>
      <c r="C13" s="1003"/>
      <c r="D13" s="1000">
        <f>IF(R25=0,ROUNDUP(P25/4,0)*Q25,($O$25-1)*$Q$25)</f>
        <v>0</v>
      </c>
      <c r="E13" s="1001"/>
      <c r="F13" s="1002" t="s">
        <v>504</v>
      </c>
      <c r="G13" s="1003"/>
      <c r="H13" s="1012">
        <f>IF(R26=0,ROUNDUP(P26/4,0)*Q26,($O$26-1)*$Q$26)</f>
        <v>0</v>
      </c>
      <c r="I13" s="1013"/>
      <c r="J13" s="1002" t="s">
        <v>504</v>
      </c>
      <c r="K13" s="1003"/>
      <c r="L13" s="1082">
        <f>IF(R27=0,ROUNDUP(P27/4,0)*Q27,($O$27-1)*$Q$27)</f>
        <v>0</v>
      </c>
      <c r="M13" s="1001"/>
      <c r="N13" s="1002" t="s">
        <v>504</v>
      </c>
      <c r="O13" s="1003"/>
      <c r="P13" s="1000">
        <f>IF(R28=0,ROUNDUP(P28/4,0)*Q28,($O$28-1)*$Q$28)</f>
        <v>0</v>
      </c>
      <c r="Q13" s="1001"/>
      <c r="R13" s="894"/>
      <c r="S13" s="894"/>
      <c r="T13" s="894"/>
      <c r="U13" s="894"/>
      <c r="V13" s="894"/>
      <c r="W13" s="894"/>
      <c r="X13" s="894"/>
      <c r="Y13" s="895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07" t="s">
        <v>424</v>
      </c>
      <c r="C14" s="924"/>
      <c r="D14" s="999">
        <f>P25*Q25</f>
        <v>0</v>
      </c>
      <c r="E14" s="993"/>
      <c r="F14" s="907" t="s">
        <v>424</v>
      </c>
      <c r="G14" s="924"/>
      <c r="H14" s="992">
        <f>P26*Q26</f>
        <v>0</v>
      </c>
      <c r="I14" s="993"/>
      <c r="J14" s="907" t="s">
        <v>424</v>
      </c>
      <c r="K14" s="924"/>
      <c r="L14" s="992">
        <f>P27*Q27</f>
        <v>0</v>
      </c>
      <c r="M14" s="993"/>
      <c r="N14" s="907" t="s">
        <v>424</v>
      </c>
      <c r="O14" s="924"/>
      <c r="P14" s="999">
        <f>P28*Q28</f>
        <v>0</v>
      </c>
      <c r="Q14" s="993"/>
      <c r="R14" s="894"/>
      <c r="S14" s="894"/>
      <c r="T14" s="894"/>
      <c r="U14" s="894"/>
      <c r="V14" s="894"/>
      <c r="W14" s="894"/>
      <c r="X14" s="894"/>
      <c r="Y14" s="895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07" t="s">
        <v>477</v>
      </c>
      <c r="C15" s="924"/>
      <c r="D15" s="997" t="str">
        <f>IFERROR(K43/D14,"")</f>
        <v/>
      </c>
      <c r="E15" s="998"/>
      <c r="F15" s="907" t="s">
        <v>477</v>
      </c>
      <c r="G15" s="924"/>
      <c r="H15" s="990" t="str">
        <f>IFERROR(K56/H14,"")</f>
        <v/>
      </c>
      <c r="I15" s="991"/>
      <c r="J15" s="907" t="s">
        <v>477</v>
      </c>
      <c r="K15" s="924"/>
      <c r="L15" s="1081" t="str">
        <f>IFERROR(K69/L14,"")</f>
        <v/>
      </c>
      <c r="M15" s="998"/>
      <c r="N15" s="907" t="s">
        <v>477</v>
      </c>
      <c r="O15" s="924"/>
      <c r="P15" s="997" t="str">
        <f>IFERROR(O69/P14,"")</f>
        <v/>
      </c>
      <c r="Q15" s="998"/>
      <c r="R15" s="894"/>
      <c r="S15" s="894"/>
      <c r="T15" s="894"/>
      <c r="U15" s="894"/>
      <c r="V15" s="894"/>
      <c r="W15" s="894"/>
      <c r="X15" s="894"/>
      <c r="Y15" s="895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890" t="s">
        <v>915</v>
      </c>
      <c r="B16" s="907" t="s">
        <v>651</v>
      </c>
      <c r="C16" s="906"/>
      <c r="D16" s="908"/>
      <c r="E16" s="909"/>
      <c r="F16" s="906" t="s">
        <v>651</v>
      </c>
      <c r="G16" s="906"/>
      <c r="H16" s="908"/>
      <c r="I16" s="909"/>
      <c r="J16" s="906" t="s">
        <v>651</v>
      </c>
      <c r="K16" s="906"/>
      <c r="L16" s="908"/>
      <c r="M16" s="909"/>
      <c r="N16" s="906" t="s">
        <v>651</v>
      </c>
      <c r="O16" s="906"/>
      <c r="P16" s="908"/>
      <c r="Q16" s="909"/>
      <c r="R16" s="894"/>
      <c r="S16" s="894"/>
      <c r="T16" s="894"/>
      <c r="U16" s="894"/>
      <c r="V16" s="894"/>
      <c r="W16" s="894"/>
      <c r="X16" s="894"/>
      <c r="Y16" s="895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8" ht="15" x14ac:dyDescent="0.35">
      <c r="A17" s="891"/>
      <c r="B17" s="907" t="s">
        <v>652</v>
      </c>
      <c r="C17" s="906"/>
      <c r="D17" s="908"/>
      <c r="E17" s="909"/>
      <c r="F17" s="906" t="s">
        <v>805</v>
      </c>
      <c r="G17" s="906"/>
      <c r="H17" s="908"/>
      <c r="I17" s="909"/>
      <c r="J17" s="906" t="s">
        <v>805</v>
      </c>
      <c r="K17" s="906"/>
      <c r="L17" s="908"/>
      <c r="M17" s="909"/>
      <c r="N17" s="906" t="s">
        <v>805</v>
      </c>
      <c r="O17" s="906"/>
      <c r="P17" s="908"/>
      <c r="Q17" s="909"/>
      <c r="R17" s="894"/>
      <c r="S17" s="894"/>
      <c r="T17" s="894"/>
      <c r="U17" s="894"/>
      <c r="V17" s="894"/>
      <c r="W17" s="894"/>
      <c r="X17" s="894"/>
      <c r="Y17" s="895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8" ht="15" x14ac:dyDescent="0.35">
      <c r="A18" s="891"/>
      <c r="B18" s="907" t="s">
        <v>493</v>
      </c>
      <c r="C18" s="906"/>
      <c r="D18" s="908"/>
      <c r="E18" s="909"/>
      <c r="F18" s="906" t="s">
        <v>493</v>
      </c>
      <c r="G18" s="906"/>
      <c r="H18" s="908"/>
      <c r="I18" s="909"/>
      <c r="J18" s="906" t="s">
        <v>493</v>
      </c>
      <c r="K18" s="906"/>
      <c r="L18" s="908"/>
      <c r="M18" s="909"/>
      <c r="N18" s="906" t="s">
        <v>493</v>
      </c>
      <c r="O18" s="906"/>
      <c r="P18" s="908"/>
      <c r="Q18" s="909"/>
      <c r="R18" s="894"/>
      <c r="S18" s="894"/>
      <c r="T18" s="894"/>
      <c r="U18" s="894"/>
      <c r="V18" s="894"/>
      <c r="W18" s="894"/>
      <c r="X18" s="894"/>
      <c r="Y18" s="895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8" ht="15.45" thickBot="1" x14ac:dyDescent="0.4">
      <c r="A19" s="891"/>
      <c r="B19" s="907" t="s">
        <v>487</v>
      </c>
      <c r="C19" s="906"/>
      <c r="D19" s="908">
        <v>0.04</v>
      </c>
      <c r="E19" s="909"/>
      <c r="F19" s="1015" t="s">
        <v>487</v>
      </c>
      <c r="G19" s="1015"/>
      <c r="H19" s="908">
        <v>0.04</v>
      </c>
      <c r="I19" s="909"/>
      <c r="J19" s="906" t="s">
        <v>487</v>
      </c>
      <c r="K19" s="906"/>
      <c r="L19" s="908">
        <v>0.04</v>
      </c>
      <c r="M19" s="909"/>
      <c r="N19" s="906" t="s">
        <v>487</v>
      </c>
      <c r="O19" s="906"/>
      <c r="P19" s="908">
        <v>0.04</v>
      </c>
      <c r="Q19" s="909"/>
      <c r="R19" s="896"/>
      <c r="S19" s="896"/>
      <c r="T19" s="896"/>
      <c r="U19" s="896"/>
      <c r="V19" s="896"/>
      <c r="W19" s="896"/>
      <c r="X19" s="896"/>
      <c r="Y19" s="897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8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8" ht="19.5" hidden="1" customHeight="1" thickBot="1" x14ac:dyDescent="0.4">
      <c r="A21" s="512"/>
      <c r="B21" s="900" t="s">
        <v>488</v>
      </c>
      <c r="C21" s="901"/>
      <c r="D21" s="910" t="str">
        <f ca="1">IFERROR(ROUNDUP((Z4-Z3)/30,0),"")</f>
        <v/>
      </c>
      <c r="E21" s="911"/>
      <c r="F21" s="900" t="s">
        <v>488</v>
      </c>
      <c r="G21" s="901"/>
      <c r="H21" s="910" t="str">
        <f ca="1">IFERROR(ROUNDUP((AA4-Z3)/30,0),"")</f>
        <v/>
      </c>
      <c r="I21" s="911"/>
      <c r="J21" s="900" t="s">
        <v>488</v>
      </c>
      <c r="K21" s="901"/>
      <c r="L21" s="910" t="str">
        <f ca="1">IFERROR(ROUNDUP((AB4-Z3)/30,0),"")</f>
        <v/>
      </c>
      <c r="M21" s="911"/>
      <c r="N21" s="939" t="s">
        <v>488</v>
      </c>
      <c r="O21" s="940"/>
      <c r="P21" s="904">
        <f>IFERROR(ROUNDUP((AF4-AD3)/30,0),"")</f>
        <v>0</v>
      </c>
      <c r="Q21" s="905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8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8" ht="15.75" customHeight="1" thickBot="1" x14ac:dyDescent="0.4">
      <c r="A23" s="504"/>
      <c r="B23" s="524"/>
      <c r="C23" s="525"/>
      <c r="D23" s="525"/>
      <c r="E23" s="525"/>
      <c r="F23" s="526"/>
      <c r="G23" s="526"/>
      <c r="H23" s="527"/>
      <c r="I23" s="526"/>
      <c r="J23" s="526"/>
      <c r="K23" s="912" t="s">
        <v>799</v>
      </c>
      <c r="L23" s="913"/>
      <c r="M23" s="913"/>
      <c r="N23" s="913"/>
      <c r="O23" s="914"/>
      <c r="P23" s="933" t="s">
        <v>427</v>
      </c>
      <c r="Q23" s="935" t="s">
        <v>428</v>
      </c>
      <c r="R23" s="937" t="s">
        <v>366</v>
      </c>
      <c r="S23" s="902" t="s">
        <v>716</v>
      </c>
      <c r="T23" s="932" t="s">
        <v>426</v>
      </c>
      <c r="U23" s="932"/>
      <c r="V23" s="932"/>
      <c r="W23" s="902" t="s">
        <v>447</v>
      </c>
      <c r="X23" s="902" t="s">
        <v>466</v>
      </c>
      <c r="Y23" s="898" t="s">
        <v>467</v>
      </c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</row>
    <row r="24" spans="1:38" s="21" customFormat="1" ht="63" customHeight="1" thickBot="1" x14ac:dyDescent="0.5">
      <c r="A24" s="505"/>
      <c r="B24" s="528" t="s">
        <v>362</v>
      </c>
      <c r="C24" s="930" t="s">
        <v>800</v>
      </c>
      <c r="D24" s="930"/>
      <c r="E24" s="930"/>
      <c r="F24" s="529" t="s">
        <v>1201</v>
      </c>
      <c r="G24" s="529" t="s">
        <v>464</v>
      </c>
      <c r="H24" s="530" t="s">
        <v>465</v>
      </c>
      <c r="I24" s="529" t="s">
        <v>717</v>
      </c>
      <c r="J24" s="529" t="s">
        <v>718</v>
      </c>
      <c r="K24" s="531" t="s">
        <v>364</v>
      </c>
      <c r="L24" s="532" t="s">
        <v>365</v>
      </c>
      <c r="M24" s="532" t="s">
        <v>709</v>
      </c>
      <c r="N24" s="532" t="s">
        <v>708</v>
      </c>
      <c r="O24" s="533" t="s">
        <v>367</v>
      </c>
      <c r="P24" s="934"/>
      <c r="Q24" s="936"/>
      <c r="R24" s="938"/>
      <c r="S24" s="903"/>
      <c r="T24" s="534" t="s">
        <v>364</v>
      </c>
      <c r="U24" s="534" t="s">
        <v>365</v>
      </c>
      <c r="V24" s="534" t="s">
        <v>809</v>
      </c>
      <c r="W24" s="903"/>
      <c r="X24" s="903"/>
      <c r="Y24" s="899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</row>
    <row r="25" spans="1:38" ht="17.149999999999999" customHeight="1" x14ac:dyDescent="0.4">
      <c r="A25" s="885" t="s">
        <v>916</v>
      </c>
      <c r="B25" s="675" t="s">
        <v>1</v>
      </c>
      <c r="C25" s="915"/>
      <c r="D25" s="916"/>
      <c r="E25" s="917"/>
      <c r="F25" s="373">
        <v>36</v>
      </c>
      <c r="G25" s="373"/>
      <c r="H25" s="374"/>
      <c r="I25" s="375"/>
      <c r="J25" s="375"/>
      <c r="K25" s="373"/>
      <c r="L25" s="373"/>
      <c r="M25" s="373"/>
      <c r="N25" s="373"/>
      <c r="O25" s="535">
        <f>SUM(K25:N25)</f>
        <v>0</v>
      </c>
      <c r="P25" s="371"/>
      <c r="Q25" s="372"/>
      <c r="R25" s="536">
        <f>+Q25*O25</f>
        <v>0</v>
      </c>
      <c r="S25" s="537">
        <f>IF(R25=0,P25*12,IF(P25=0,0,P25/(O25-1))*12)</f>
        <v>0</v>
      </c>
      <c r="T25" s="538">
        <f t="shared" ref="T25:U27" si="0">+$Q25*K25</f>
        <v>0</v>
      </c>
      <c r="U25" s="538">
        <f t="shared" si="0"/>
        <v>0</v>
      </c>
      <c r="V25" s="538">
        <f>+$Q25*(N25+M25)</f>
        <v>0</v>
      </c>
      <c r="W25" s="538">
        <f>(P25*3)*Q25</f>
        <v>0</v>
      </c>
      <c r="X25" s="538">
        <f t="shared" ref="X25:Y27" si="1">+G25*$Q25</f>
        <v>0</v>
      </c>
      <c r="Y25" s="539">
        <f t="shared" si="1"/>
        <v>0</v>
      </c>
      <c r="Z25" s="173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</row>
    <row r="26" spans="1:38" ht="17.149999999999999" customHeight="1" x14ac:dyDescent="0.4">
      <c r="A26" s="886"/>
      <c r="B26" s="676" t="s">
        <v>2</v>
      </c>
      <c r="C26" s="918"/>
      <c r="D26" s="919"/>
      <c r="E26" s="920"/>
      <c r="F26" s="373">
        <v>42</v>
      </c>
      <c r="G26" s="373"/>
      <c r="H26" s="374"/>
      <c r="I26" s="375"/>
      <c r="J26" s="375"/>
      <c r="K26" s="373"/>
      <c r="L26" s="373"/>
      <c r="M26" s="373"/>
      <c r="N26" s="373"/>
      <c r="O26" s="540">
        <f>SUM(K26:N26)</f>
        <v>0</v>
      </c>
      <c r="P26" s="371"/>
      <c r="Q26" s="372"/>
      <c r="R26" s="541">
        <f>+Q26*O26</f>
        <v>0</v>
      </c>
      <c r="S26" s="542">
        <f>IF(R26=0,P26*12,IF(P26=0,0,P26/(O26-1))*12)</f>
        <v>0</v>
      </c>
      <c r="T26" s="543">
        <f t="shared" si="0"/>
        <v>0</v>
      </c>
      <c r="U26" s="543">
        <f t="shared" si="0"/>
        <v>0</v>
      </c>
      <c r="V26" s="543">
        <f>+$Q26*N26</f>
        <v>0</v>
      </c>
      <c r="W26" s="544">
        <f>(P26*3)*Q26</f>
        <v>0</v>
      </c>
      <c r="X26" s="543">
        <f t="shared" si="1"/>
        <v>0</v>
      </c>
      <c r="Y26" s="545">
        <f t="shared" si="1"/>
        <v>0</v>
      </c>
      <c r="Z26" s="174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</row>
    <row r="27" spans="1:38" ht="17.149999999999999" customHeight="1" x14ac:dyDescent="0.4">
      <c r="A27" s="886"/>
      <c r="B27" s="677" t="s">
        <v>3</v>
      </c>
      <c r="C27" s="985"/>
      <c r="D27" s="986"/>
      <c r="E27" s="987"/>
      <c r="F27" s="373">
        <v>36</v>
      </c>
      <c r="G27" s="373"/>
      <c r="H27" s="374"/>
      <c r="I27" s="375"/>
      <c r="J27" s="375"/>
      <c r="K27" s="373"/>
      <c r="L27" s="373"/>
      <c r="M27" s="373"/>
      <c r="N27" s="373"/>
      <c r="O27" s="540">
        <f>SUM(K27:N27)</f>
        <v>0</v>
      </c>
      <c r="P27" s="371"/>
      <c r="Q27" s="372"/>
      <c r="R27" s="541">
        <f>+Q27*O27</f>
        <v>0</v>
      </c>
      <c r="S27" s="542">
        <f>IF(R27=0,P27*12,IF(P27=0,0,P27/(O27-1))*12)</f>
        <v>0</v>
      </c>
      <c r="T27" s="543">
        <f t="shared" si="0"/>
        <v>0</v>
      </c>
      <c r="U27" s="543">
        <f t="shared" si="0"/>
        <v>0</v>
      </c>
      <c r="V27" s="543">
        <f>+$Q27*N27</f>
        <v>0</v>
      </c>
      <c r="W27" s="544">
        <f>(P27*3)*Q27</f>
        <v>0</v>
      </c>
      <c r="X27" s="543">
        <f t="shared" si="1"/>
        <v>0</v>
      </c>
      <c r="Y27" s="545">
        <f t="shared" si="1"/>
        <v>0</v>
      </c>
      <c r="Z27" s="175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</row>
    <row r="28" spans="1:38" ht="17.149999999999999" customHeight="1" thickBot="1" x14ac:dyDescent="0.45">
      <c r="A28" s="887"/>
      <c r="B28" s="678" t="s">
        <v>798</v>
      </c>
      <c r="C28" s="1090"/>
      <c r="D28" s="1091"/>
      <c r="E28" s="1092"/>
      <c r="F28" s="373">
        <v>38</v>
      </c>
      <c r="G28" s="373"/>
      <c r="H28" s="376"/>
      <c r="I28" s="375"/>
      <c r="J28" s="375"/>
      <c r="K28" s="373"/>
      <c r="L28" s="373"/>
      <c r="M28" s="373"/>
      <c r="N28" s="373"/>
      <c r="O28" s="546">
        <f>SUM(K28:N28)</f>
        <v>0</v>
      </c>
      <c r="P28" s="371"/>
      <c r="Q28" s="372"/>
      <c r="R28" s="547">
        <f>+Q28*O28</f>
        <v>0</v>
      </c>
      <c r="S28" s="548">
        <f>IF(R28=0,P28*12,IF(P28=0,0,P28/(O28-1))*12)</f>
        <v>0</v>
      </c>
      <c r="T28" s="549">
        <f>+$Q28*K28</f>
        <v>0</v>
      </c>
      <c r="U28" s="549">
        <f>+$Q28*L28</f>
        <v>0</v>
      </c>
      <c r="V28" s="549">
        <f>+$Q28*N28</f>
        <v>0</v>
      </c>
      <c r="W28" s="550">
        <f>(P28*3)*Q28</f>
        <v>0</v>
      </c>
      <c r="X28" s="549">
        <f>+G28*$Q28</f>
        <v>0</v>
      </c>
      <c r="Y28" s="551">
        <f>+H28*$Q28</f>
        <v>0</v>
      </c>
      <c r="Z28" s="17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</row>
    <row r="29" spans="1:38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8" s="107" customFormat="1" ht="33" customHeight="1" thickBot="1" x14ac:dyDescent="0.45">
      <c r="A30" s="106"/>
      <c r="B30" s="166" t="s">
        <v>362</v>
      </c>
      <c r="C30" s="959" t="s">
        <v>416</v>
      </c>
      <c r="D30" s="959"/>
      <c r="E30" s="959" t="s">
        <v>475</v>
      </c>
      <c r="F30" s="959"/>
      <c r="G30" s="959"/>
      <c r="H30" s="165" t="s">
        <v>480</v>
      </c>
      <c r="I30" s="968" t="s">
        <v>485</v>
      </c>
      <c r="J30" s="968"/>
      <c r="K30" s="1017" t="s">
        <v>476</v>
      </c>
      <c r="L30" s="1017"/>
      <c r="M30" s="968" t="s">
        <v>499</v>
      </c>
      <c r="N30" s="968"/>
      <c r="O30" s="965" t="s">
        <v>503</v>
      </c>
      <c r="P30" s="965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8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7"/>
      <c r="L31" s="927"/>
      <c r="M31" s="927"/>
      <c r="N31" s="927"/>
      <c r="O31" s="927"/>
      <c r="P31" s="927"/>
      <c r="Q31" s="927"/>
      <c r="R31" s="927"/>
      <c r="S31" s="927"/>
      <c r="T31" s="927"/>
      <c r="U31" s="927"/>
      <c r="V31" s="927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8" s="107" customFormat="1" ht="30" customHeight="1" x14ac:dyDescent="0.35">
      <c r="A32" s="106"/>
      <c r="B32" s="928" t="e">
        <f>#REF!</f>
        <v>#REF!</v>
      </c>
      <c r="C32" s="943" t="s">
        <v>0</v>
      </c>
      <c r="D32" s="943"/>
      <c r="E32" s="943" t="str">
        <f>CONCATENATE(IF('Area A'!B5="None","",'Area A'!B5), "   ",,IF('Area A'!B7="None","",'Area A'!B7))</f>
        <v xml:space="preserve">TR200 Blk   </v>
      </c>
      <c r="F32" s="943"/>
      <c r="G32" s="943"/>
      <c r="H32" s="100" t="s">
        <v>481</v>
      </c>
      <c r="I32" s="964" t="str">
        <f>CONCATENATE(IF('Area A'!$B$5="None","",'Area A'!$D$5), "   ",,IF('Area A'!$B$7="None","",'Area A'!$D$7))</f>
        <v xml:space="preserve">0   </v>
      </c>
      <c r="J32" s="964"/>
      <c r="K32" s="931">
        <f>'Area A'!G5+'Area A'!G7</f>
        <v>0</v>
      </c>
      <c r="L32" s="931"/>
      <c r="M32" s="964" t="str">
        <f>CONCATENATE(IF('Area A'!$B$5="None","",'Area A'!$H$5), "   ",,IF('Area A'!$B$7="None","",'Area A'!$H$7))</f>
        <v xml:space="preserve">0   </v>
      </c>
      <c r="N32" s="964"/>
      <c r="O32" s="966">
        <f>'Area A'!J5+'Area A'!J7</f>
        <v>0</v>
      </c>
      <c r="P32" s="967"/>
      <c r="Q32" s="110">
        <f>IFERROR(O32/O43,0)</f>
        <v>0</v>
      </c>
      <c r="R32" s="941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928"/>
      <c r="C33" s="943" t="s">
        <v>413</v>
      </c>
      <c r="D33" s="943"/>
      <c r="E33" s="943" t="str">
        <f>CONCATENATE(IF('Area A'!B6="None","",'Area A'!B6), "    ",,IF('Area A'!B8="None","",'Area A'!B8))</f>
        <v xml:space="preserve">BR200- Blk    </v>
      </c>
      <c r="F33" s="943"/>
      <c r="G33" s="943"/>
      <c r="H33" s="100" t="s">
        <v>481</v>
      </c>
      <c r="I33" s="964" t="str">
        <f>CONCATENATE(IF('Area A'!$B$6="None","",'Area A'!$D$6), "   ",,IF('Area A'!$B$8="None","",'Area A'!$D$8))</f>
        <v xml:space="preserve">0   </v>
      </c>
      <c r="J33" s="964"/>
      <c r="K33" s="931">
        <f>'Area A'!G6+'Area A'!G8</f>
        <v>0</v>
      </c>
      <c r="L33" s="931"/>
      <c r="M33" s="964" t="str">
        <f>CONCATENATE(IF('Area A'!$B$6="None","",'Area A'!$H$6), "   ",,IF('Area A'!$B$8="None","",'Area A'!$H$8))</f>
        <v xml:space="preserve">0   </v>
      </c>
      <c r="N33" s="964"/>
      <c r="O33" s="974">
        <f>'Area A'!J6+'Area A'!J8</f>
        <v>0</v>
      </c>
      <c r="P33" s="975"/>
      <c r="Q33" s="110">
        <f>IFERROR(O33/O43,0)</f>
        <v>0</v>
      </c>
      <c r="R33" s="941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928"/>
      <c r="C34" s="943" t="s">
        <v>4</v>
      </c>
      <c r="D34" s="943"/>
      <c r="E34" s="942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FP45- Blk FP45- Blk FP45- Blk</v>
      </c>
      <c r="F34" s="942"/>
      <c r="G34" s="942"/>
      <c r="H34" s="100" t="s">
        <v>481</v>
      </c>
      <c r="I34" s="964" t="str">
        <f>CONCATENATE(IF('Area A'!B12="None","",'Area A'!D12)," ",IF('Area A'!B15="none","",'Area A'!E15))</f>
        <v xml:space="preserve"> 0</v>
      </c>
      <c r="J34" s="964"/>
      <c r="K34" s="931">
        <f>'Area A'!G19</f>
        <v>0</v>
      </c>
      <c r="L34" s="931"/>
      <c r="M34" s="964" t="str">
        <f>CONCATENATE(IF('Area A'!$B$12="None","",'Area A'!$H$12)," ",IF('Area A'!B15="None","",'Area A'!H15))</f>
        <v xml:space="preserve"> 0</v>
      </c>
      <c r="N34" s="964"/>
      <c r="O34" s="966">
        <f>'Area A'!J19</f>
        <v>0</v>
      </c>
      <c r="P34" s="967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928"/>
      <c r="C35" s="943" t="s">
        <v>6</v>
      </c>
      <c r="D35" s="943"/>
      <c r="E35" s="943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FMPBS3- Blk    </v>
      </c>
      <c r="F35" s="943"/>
      <c r="G35" s="943"/>
      <c r="H35" s="100" t="s">
        <v>482</v>
      </c>
      <c r="I35" s="964" t="str">
        <f>CONCATENATE(IF('Area A'!$B$22="None","",'Area A'!$E$22),"    ",IF('Area A'!$B$23="none","",'Area A'!$E$23),"    ",IF('Area A'!$B$24="None","",'Area A'!$E$24),"    ",IF('Area A'!$B$25="None","",'Area A'!$E$25))</f>
        <v xml:space="preserve">0    0    0    </v>
      </c>
      <c r="J35" s="964"/>
      <c r="K35" s="931">
        <f>'Area A'!G26</f>
        <v>0</v>
      </c>
      <c r="L35" s="931"/>
      <c r="M35" s="964" t="str">
        <f>CONCATENATE(IF('Area A'!$B$22="None","",'Area A'!$I$22),"    ",IF('Area A'!$B$23="none","",'Area A'!$I$23),"    ",IF('Area A'!$B$24="None","",'Area A'!$I$24),"    ",IF('Area A'!$B$25="None","",'Area A'!$I$25))</f>
        <v xml:space="preserve">0    0    0    </v>
      </c>
      <c r="N35" s="964"/>
      <c r="O35" s="966">
        <f>'Area A'!J26</f>
        <v>0</v>
      </c>
      <c r="P35" s="967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928"/>
      <c r="C36" s="943" t="s">
        <v>8</v>
      </c>
      <c r="D36" s="943"/>
      <c r="E36" s="943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        CTLG - 1/2                    </v>
      </c>
      <c r="F36" s="943"/>
      <c r="G36" s="943"/>
      <c r="H36" s="100" t="s">
        <v>484</v>
      </c>
      <c r="I36" s="969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     0        </v>
      </c>
      <c r="J36" s="969"/>
      <c r="K36" s="931">
        <f>'Area A'!G37</f>
        <v>0</v>
      </c>
      <c r="L36" s="931"/>
      <c r="M36" s="969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     0        </v>
      </c>
      <c r="N36" s="969"/>
      <c r="O36" s="966">
        <f>'Area A'!J37</f>
        <v>0</v>
      </c>
      <c r="P36" s="967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928"/>
      <c r="C37" s="943" t="s">
        <v>363</v>
      </c>
      <c r="D37" s="943"/>
      <c r="E37" s="943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943"/>
      <c r="G37" s="943"/>
      <c r="H37" s="100" t="s">
        <v>482</v>
      </c>
      <c r="I37" s="964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964"/>
      <c r="K37" s="931">
        <f>'Area A'!G44</f>
        <v>0</v>
      </c>
      <c r="L37" s="931"/>
      <c r="M37" s="964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964"/>
      <c r="O37" s="966">
        <f>'Area A'!J44</f>
        <v>0</v>
      </c>
      <c r="P37" s="967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928"/>
      <c r="C38" s="943" t="s">
        <v>7</v>
      </c>
      <c r="D38" s="943"/>
      <c r="E38" s="943"/>
      <c r="F38" s="943"/>
      <c r="G38" s="943"/>
      <c r="H38" s="100"/>
      <c r="I38" s="964"/>
      <c r="J38" s="964"/>
      <c r="K38" s="931">
        <f>'Area A'!G196</f>
        <v>0</v>
      </c>
      <c r="L38" s="931"/>
      <c r="M38" s="101"/>
      <c r="N38" s="101"/>
      <c r="O38" s="966">
        <f>'Area A'!J196</f>
        <v>0</v>
      </c>
      <c r="P38" s="967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928"/>
      <c r="C39" s="943" t="s">
        <v>429</v>
      </c>
      <c r="D39" s="943"/>
      <c r="E39" s="943"/>
      <c r="F39" s="943"/>
      <c r="G39" s="943"/>
      <c r="H39" s="100"/>
      <c r="I39" s="964"/>
      <c r="J39" s="964"/>
      <c r="K39" s="931">
        <f>'Area A'!G266</f>
        <v>0</v>
      </c>
      <c r="L39" s="931"/>
      <c r="M39" s="101"/>
      <c r="N39" s="101"/>
      <c r="O39" s="966">
        <f>'Area A'!J266</f>
        <v>0</v>
      </c>
      <c r="P39" s="967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928"/>
      <c r="C40" s="943" t="s">
        <v>430</v>
      </c>
      <c r="D40" s="943"/>
      <c r="E40" s="943"/>
      <c r="F40" s="943"/>
      <c r="G40" s="943"/>
      <c r="H40" s="100"/>
      <c r="I40" s="964"/>
      <c r="J40" s="964"/>
      <c r="K40" s="1085">
        <f>IF(D4="no",0,SUM(D14)*D5)</f>
        <v>0</v>
      </c>
      <c r="L40" s="1085"/>
      <c r="M40" s="101"/>
      <c r="N40" s="101"/>
      <c r="O40" s="966">
        <f>K40</f>
        <v>0</v>
      </c>
      <c r="P40" s="967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929"/>
      <c r="C41" s="950" t="s">
        <v>431</v>
      </c>
      <c r="D41" s="950"/>
      <c r="E41" s="950"/>
      <c r="F41" s="950"/>
      <c r="G41" s="950"/>
      <c r="H41" s="102"/>
      <c r="I41" s="1014"/>
      <c r="J41" s="1014"/>
      <c r="K41" s="970">
        <f>SUM(K32:K40)</f>
        <v>0</v>
      </c>
      <c r="L41" s="970"/>
      <c r="M41" s="54"/>
      <c r="N41" s="54"/>
      <c r="O41" s="970">
        <f>SUM(O32:O40)</f>
        <v>0</v>
      </c>
      <c r="P41" s="970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943" t="s">
        <v>494</v>
      </c>
      <c r="D42" s="943"/>
      <c r="E42" s="963">
        <f>D19</f>
        <v>0.04</v>
      </c>
      <c r="F42" s="963"/>
      <c r="G42" s="963"/>
      <c r="H42" s="100"/>
      <c r="I42" s="1106"/>
      <c r="J42" s="1106"/>
      <c r="K42" s="955">
        <f>SUM(K41*$E$42)</f>
        <v>0</v>
      </c>
      <c r="L42" s="955"/>
      <c r="M42" s="55"/>
      <c r="N42" s="55"/>
      <c r="O42" s="955">
        <f>SUM(O41*$E$42)</f>
        <v>0</v>
      </c>
      <c r="P42" s="955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976" t="s">
        <v>367</v>
      </c>
      <c r="D43" s="976"/>
      <c r="E43" s="951"/>
      <c r="F43" s="951"/>
      <c r="G43" s="951"/>
      <c r="H43" s="190"/>
      <c r="I43" s="1110"/>
      <c r="J43" s="1110"/>
      <c r="K43" s="973">
        <f>SUM(K41:L42)</f>
        <v>0</v>
      </c>
      <c r="L43" s="973"/>
      <c r="M43" s="191"/>
      <c r="N43" s="191"/>
      <c r="O43" s="973">
        <f>SUM(O41:P42)</f>
        <v>0</v>
      </c>
      <c r="P43" s="973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945"/>
      <c r="D44" s="945"/>
      <c r="E44" s="945"/>
      <c r="F44" s="945"/>
      <c r="G44" s="945"/>
      <c r="H44" s="187"/>
      <c r="I44" s="947"/>
      <c r="J44" s="947"/>
      <c r="K44" s="945"/>
      <c r="L44" s="945"/>
      <c r="M44" s="945"/>
      <c r="N44" s="945"/>
      <c r="O44" s="945"/>
      <c r="P44" s="945"/>
      <c r="Q44" s="927"/>
      <c r="R44" s="927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956" t="e">
        <f>#REF!</f>
        <v>#REF!</v>
      </c>
      <c r="C45" s="944" t="s">
        <v>0</v>
      </c>
      <c r="D45" s="944"/>
      <c r="E45" s="944" t="str">
        <f>CONCATENATE(IF('Area B'!B5="None","",'Area B'!B5), "   ",,IF('Area B'!B7="None","",'Area B'!B7))</f>
        <v xml:space="preserve">TR200 Blk   </v>
      </c>
      <c r="F45" s="944"/>
      <c r="G45" s="944"/>
      <c r="H45" s="223" t="s">
        <v>481</v>
      </c>
      <c r="I45" s="971" t="str">
        <f>CONCATENATE(IF('Area B'!$B$5="None","",'Area B'!$D$5), "   ",,IF('Area B'!$B$7="None","",'Area B'!$D$7))</f>
        <v xml:space="preserve">0   </v>
      </c>
      <c r="J45" s="971"/>
      <c r="K45" s="954">
        <f>'Area B'!G5+'Area B'!G7</f>
        <v>0</v>
      </c>
      <c r="L45" s="954"/>
      <c r="M45" s="971" t="str">
        <f>CONCATENATE(IF('Area B'!$B$5="None","",'Area B'!$H$5), "   ",,IF('Area B'!$B$7="None","",'Area B'!$H$7))</f>
        <v xml:space="preserve">0   </v>
      </c>
      <c r="N45" s="971"/>
      <c r="O45" s="972">
        <f>'Area B'!J5+'Area B'!J7</f>
        <v>0</v>
      </c>
      <c r="P45" s="972"/>
      <c r="Q45" s="110">
        <f>IFERROR(O45/O56,0)</f>
        <v>0</v>
      </c>
      <c r="R45" s="941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957"/>
      <c r="C46" s="960" t="s">
        <v>413</v>
      </c>
      <c r="D46" s="960"/>
      <c r="E46" s="960" t="str">
        <f>CONCATENATE(IF('Area B'!B6="None","",'Area B'!B6), "   ",,IF('Area B'!B8="None","",'Area B'!B8))</f>
        <v xml:space="preserve">   </v>
      </c>
      <c r="F46" s="960"/>
      <c r="G46" s="960"/>
      <c r="H46" s="223" t="s">
        <v>481</v>
      </c>
      <c r="I46" s="949" t="str">
        <f>CONCATENATE(IF('Area B'!$B$6="None","",'Area B'!$D$6), "   ",,IF('Area B'!$B$8="None","",'Area B'!$D$8))</f>
        <v xml:space="preserve">   </v>
      </c>
      <c r="J46" s="949"/>
      <c r="K46" s="952">
        <f>'Area B'!G6+'Area B'!G8</f>
        <v>0</v>
      </c>
      <c r="L46" s="952"/>
      <c r="M46" s="949" t="str">
        <f>CONCATENATE(IF('Area B'!$B$6="None","",'Area B'!$H$6), "   ",,IF('Area B'!$B$8="None","",'Area B'!$H$8))</f>
        <v xml:space="preserve">   </v>
      </c>
      <c r="N46" s="949"/>
      <c r="O46" s="1038">
        <f>'Area B'!J6+'Area B'!J8</f>
        <v>0</v>
      </c>
      <c r="P46" s="1038"/>
      <c r="Q46" s="110">
        <f>IFERROR(O46/O56,0)</f>
        <v>0</v>
      </c>
      <c r="R46" s="941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957"/>
      <c r="C47" s="960" t="s">
        <v>4</v>
      </c>
      <c r="D47" s="960"/>
      <c r="E47" s="962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P361- Blk U P361- Blk U P361- Blk U</v>
      </c>
      <c r="F47" s="962"/>
      <c r="G47" s="962"/>
      <c r="H47" s="223" t="s">
        <v>481</v>
      </c>
      <c r="I47" s="949" t="str">
        <f>CONCATENATE(IF('Area B'!$B$12="None","",'Area B'!$D$12)," ",IF('Area B'!B15="None","",'Area B'!E15))</f>
        <v xml:space="preserve"> 0</v>
      </c>
      <c r="J47" s="949"/>
      <c r="K47" s="952">
        <f>'Area B'!G19</f>
        <v>0</v>
      </c>
      <c r="L47" s="952"/>
      <c r="M47" s="949" t="str">
        <f>CONCATENATE(IF('Area B'!$B$12="None","",'Area B'!$H$12)," ",IF('Area B'!B15="None","",'Area B'!H15))</f>
        <v xml:space="preserve"> 0</v>
      </c>
      <c r="N47" s="949"/>
      <c r="O47" s="1038">
        <f>'Area B'!J19</f>
        <v>0</v>
      </c>
      <c r="P47" s="1038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957"/>
      <c r="C48" s="960" t="s">
        <v>6</v>
      </c>
      <c r="D48" s="960"/>
      <c r="E48" s="960" t="str">
        <f>CONCATENATE(IF('Area B'!B22="None","",'Area B'!B22),"   ",IF('Area B'!B23="none","",'Area B'!B23),"   ",IF('Area B'!B24="None","",'Area B'!B24),"   ",IF('Area B'!B25="None","",'Area B'!B25))</f>
        <v xml:space="preserve">BP-6SC Blk         </v>
      </c>
      <c r="F48" s="960"/>
      <c r="G48" s="960"/>
      <c r="H48" s="223" t="s">
        <v>482</v>
      </c>
      <c r="I48" s="949" t="str">
        <f>CONCATENATE(IF('Area B'!$B$22="None","",'Area B'!$E$22),"    ",IF('Area B'!$B$23="none","",'Area B'!$E$23),"    ",IF('Area B'!$B$24="None","",'Area B'!$E$24),"    ",IF('Area B'!$B$25="None","",'Area B'!$E$25))</f>
        <v xml:space="preserve">0            </v>
      </c>
      <c r="J48" s="949"/>
      <c r="K48" s="952">
        <f>'Area B'!G26</f>
        <v>0</v>
      </c>
      <c r="L48" s="952"/>
      <c r="M48" s="949" t="str">
        <f>CONCATENATE(IF('Area B'!$B$22="None","",'Area B'!$I$22),"    ",IF('Area B'!$B$23="none","",'Area B'!$I$23),"    ",IF('Area B'!$B$24="None","",'Area B'!$I$24),"    ",IF('Area B'!$B$25="None","",'Area B'!$I$25))</f>
        <v xml:space="preserve">0            </v>
      </c>
      <c r="N48" s="949"/>
      <c r="O48" s="1038">
        <f>'Area B'!J26</f>
        <v>0</v>
      </c>
      <c r="P48" s="1038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957"/>
      <c r="C49" s="960" t="s">
        <v>8</v>
      </c>
      <c r="D49" s="960"/>
      <c r="E49" s="960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CTG - CL 1/2   CTG - PE 1/2            </v>
      </c>
      <c r="F49" s="960"/>
      <c r="G49" s="960"/>
      <c r="H49" s="223" t="s">
        <v>484</v>
      </c>
      <c r="I49" s="949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0    0    </v>
      </c>
      <c r="J49" s="949"/>
      <c r="K49" s="952">
        <f>'Area B'!G37</f>
        <v>0</v>
      </c>
      <c r="L49" s="952"/>
      <c r="M49" s="949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0    0    </v>
      </c>
      <c r="N49" s="949"/>
      <c r="O49" s="1038">
        <f>'Area B'!J37</f>
        <v>0</v>
      </c>
      <c r="P49" s="1038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957"/>
      <c r="C50" s="960" t="s">
        <v>363</v>
      </c>
      <c r="D50" s="960"/>
      <c r="E50" s="960" t="str">
        <f>CONCATENATE(IF('Area B'!B40="None","",'Area B'!B40),"   ",IF('Area B'!B41="none","",'Area B'!B41),"   ",IF('Area B'!B42="none","",'Area B'!B42),"   ",IF('Area B'!B43="None","",'Area B'!B43),"   ")</f>
        <v xml:space="preserve">200EP POW Blk            </v>
      </c>
      <c r="F50" s="960"/>
      <c r="G50" s="960"/>
      <c r="H50" s="223" t="s">
        <v>482</v>
      </c>
      <c r="I50" s="949" t="str">
        <f>CONCATENATE(IF('Area B'!$B$40="None","",'Area B'!$E$40),"    ",IF('Area B'!$B$41="none","",'Area B'!$E$41),"    ",IF('Area B'!$B$42="None","",'Area B'!$E$42),"    ",IF('Area B'!$B$43="None","",'Area B'!$E$43))</f>
        <v xml:space="preserve">0            </v>
      </c>
      <c r="J50" s="949"/>
      <c r="K50" s="952">
        <f>'Area B'!G44</f>
        <v>0</v>
      </c>
      <c r="L50" s="952"/>
      <c r="M50" s="949" t="str">
        <f>CONCATENATE(IF('Area B'!$B$40="None","",'Area B'!$I$40),"    ",IF('Area B'!$B$41="none","",'Area B'!$I$41),"    ",IF('Area B'!$B$42="None","",'Area B'!$I$42),"    ",IF('Area B'!$B$43="None","",'Area B'!$I$43))</f>
        <v xml:space="preserve">0            </v>
      </c>
      <c r="N50" s="949"/>
      <c r="O50" s="1038">
        <f>'Area B'!J44</f>
        <v>0</v>
      </c>
      <c r="P50" s="1038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957"/>
      <c r="C51" s="960" t="s">
        <v>7</v>
      </c>
      <c r="D51" s="960"/>
      <c r="E51" s="960"/>
      <c r="F51" s="960"/>
      <c r="G51" s="960"/>
      <c r="H51" s="223"/>
      <c r="I51" s="949"/>
      <c r="J51" s="949"/>
      <c r="K51" s="952">
        <f>'Area B'!G196</f>
        <v>0</v>
      </c>
      <c r="L51" s="952"/>
      <c r="M51" s="949"/>
      <c r="N51" s="949"/>
      <c r="O51" s="1038">
        <f>'Area B'!J196</f>
        <v>0</v>
      </c>
      <c r="P51" s="1038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957"/>
      <c r="C52" s="960" t="s">
        <v>429</v>
      </c>
      <c r="D52" s="960"/>
      <c r="E52" s="960"/>
      <c r="F52" s="960"/>
      <c r="G52" s="960"/>
      <c r="H52" s="223"/>
      <c r="I52" s="949"/>
      <c r="J52" s="949"/>
      <c r="K52" s="952">
        <f>'Area B'!G266</f>
        <v>0</v>
      </c>
      <c r="L52" s="952"/>
      <c r="M52" s="949"/>
      <c r="N52" s="949"/>
      <c r="O52" s="1038">
        <f>'Area B'!J266</f>
        <v>0</v>
      </c>
      <c r="P52" s="1038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957"/>
      <c r="C53" s="960" t="s">
        <v>430</v>
      </c>
      <c r="D53" s="960"/>
      <c r="E53" s="960"/>
      <c r="F53" s="960"/>
      <c r="G53" s="960"/>
      <c r="H53" s="223"/>
      <c r="I53" s="949"/>
      <c r="J53" s="949"/>
      <c r="K53" s="953">
        <f>IF(H4="no",0,SUM(H14)*H5)</f>
        <v>0</v>
      </c>
      <c r="L53" s="953"/>
      <c r="M53" s="949"/>
      <c r="N53" s="949"/>
      <c r="O53" s="1038">
        <f>K53</f>
        <v>0</v>
      </c>
      <c r="P53" s="1038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958"/>
      <c r="C54" s="961" t="s">
        <v>431</v>
      </c>
      <c r="D54" s="961"/>
      <c r="E54" s="961"/>
      <c r="F54" s="961"/>
      <c r="G54" s="961"/>
      <c r="H54" s="224"/>
      <c r="I54" s="1026"/>
      <c r="J54" s="1026"/>
      <c r="K54" s="1039">
        <f>SUM(K45:K53)</f>
        <v>0</v>
      </c>
      <c r="L54" s="1039"/>
      <c r="M54" s="1026"/>
      <c r="N54" s="1026"/>
      <c r="O54" s="1039">
        <f>SUM(O45:O53)</f>
        <v>0</v>
      </c>
      <c r="P54" s="1039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983" t="s">
        <v>494</v>
      </c>
      <c r="D55" s="983"/>
      <c r="E55" s="1108">
        <f>H19</f>
        <v>0.04</v>
      </c>
      <c r="F55" s="1108"/>
      <c r="G55" s="1108"/>
      <c r="H55" s="223"/>
      <c r="I55" s="1027"/>
      <c r="J55" s="1027"/>
      <c r="K55" s="1030">
        <f>SUM(K54*E55)</f>
        <v>0</v>
      </c>
      <c r="L55" s="1030"/>
      <c r="M55" s="57"/>
      <c r="N55" s="57"/>
      <c r="O55" s="1040">
        <f>O54*E55</f>
        <v>0</v>
      </c>
      <c r="P55" s="1040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984" t="s">
        <v>367</v>
      </c>
      <c r="D56" s="984"/>
      <c r="E56" s="1109"/>
      <c r="F56" s="1109"/>
      <c r="G56" s="1109"/>
      <c r="H56" s="185"/>
      <c r="I56" s="1028"/>
      <c r="J56" s="1028"/>
      <c r="K56" s="1031">
        <f>SUM(K54:L55)</f>
        <v>0</v>
      </c>
      <c r="L56" s="1031"/>
      <c r="M56" s="186"/>
      <c r="N56" s="186"/>
      <c r="O56" s="1031">
        <f>SUM(O54:P55)</f>
        <v>0</v>
      </c>
      <c r="P56" s="1031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945"/>
      <c r="D57" s="945"/>
      <c r="E57" s="945"/>
      <c r="F57" s="945"/>
      <c r="G57" s="945"/>
      <c r="H57" s="187"/>
      <c r="I57" s="947"/>
      <c r="J57" s="947"/>
      <c r="K57" s="945"/>
      <c r="L57" s="945"/>
      <c r="M57" s="945"/>
      <c r="N57" s="945"/>
      <c r="O57" s="945"/>
      <c r="P57" s="945"/>
      <c r="Q57" s="927"/>
      <c r="R57" s="927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09" t="e">
        <f>#REF!</f>
        <v>#REF!</v>
      </c>
      <c r="C58" s="946" t="s">
        <v>0</v>
      </c>
      <c r="D58" s="946"/>
      <c r="E58" s="946" t="str">
        <f>CONCATENATE(IF('Area C'!$B$5="None","",'Area C'!$B$5), "   ",IF('Area C'!$B$7="None","",'Area C'!$B$7))</f>
        <v xml:space="preserve">TR200 Blk   </v>
      </c>
      <c r="F58" s="946"/>
      <c r="G58" s="946"/>
      <c r="H58" s="147" t="s">
        <v>481</v>
      </c>
      <c r="I58" s="948" t="str">
        <f>CONCATENATE(IF('Area C'!$B$5="None","",'Area C'!$D$5), "   ",,IF('Area C'!$B$7="None","",'Area C'!$D$7))</f>
        <v xml:space="preserve">0   </v>
      </c>
      <c r="J58" s="948"/>
      <c r="K58" s="1037">
        <f>'Area C'!$G$5+'Area C'!$G$7</f>
        <v>0</v>
      </c>
      <c r="L58" s="1037"/>
      <c r="M58" s="948" t="str">
        <f>CONCATENATE(IF('Area C'!$B$5="None","",'Area C'!$H$5), "   ",,IF('Area C'!$B$7="None","",'Area C'!$H$7))</f>
        <v xml:space="preserve">0   </v>
      </c>
      <c r="N58" s="948"/>
      <c r="O58" s="1036">
        <f>'Area C'!$J$5+'Area C'!$J$7</f>
        <v>0</v>
      </c>
      <c r="P58" s="1036"/>
      <c r="Q58" s="110">
        <f>IFERROR(O58/O69,0)</f>
        <v>0</v>
      </c>
      <c r="R58" s="941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09"/>
      <c r="C59" s="946" t="s">
        <v>413</v>
      </c>
      <c r="D59" s="946"/>
      <c r="E59" s="946" t="str">
        <f>CONCATENATE(IF('Area C'!$B$6="None","",'Area C'!$B$6), "   ",IF('Area C'!$B$8="None","",'Area C'!$B$8))</f>
        <v xml:space="preserve">BR200- Blk   </v>
      </c>
      <c r="F59" s="946"/>
      <c r="G59" s="946"/>
      <c r="H59" s="147" t="s">
        <v>481</v>
      </c>
      <c r="I59" s="948" t="str">
        <f>CONCATENATE(IF('Area C'!$B$6="None","",'Area C'!$D$6), "   ",,IF('Area C'!$B$8="None","",'Area C'!$D$8))</f>
        <v xml:space="preserve">0   </v>
      </c>
      <c r="J59" s="948"/>
      <c r="K59" s="1037">
        <f>'Area C'!$G$6+'Area C'!$G$8</f>
        <v>0</v>
      </c>
      <c r="L59" s="1037"/>
      <c r="M59" s="948" t="str">
        <f>CONCATENATE(IF('Area C'!$B$6="None","",'Area C'!$H$6), "   ",,IF('Area C'!$B$8="None","",'Area C'!$H$8))</f>
        <v xml:space="preserve">0   </v>
      </c>
      <c r="N59" s="948"/>
      <c r="O59" s="1043">
        <f>'Area C'!$J$6+'Area C'!$J$8</f>
        <v>0</v>
      </c>
      <c r="P59" s="1043"/>
      <c r="Q59" s="110">
        <f>IFERROR(O59/O69,0)</f>
        <v>0</v>
      </c>
      <c r="R59" s="941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09"/>
      <c r="C60" s="946" t="s">
        <v>4</v>
      </c>
      <c r="D60" s="946"/>
      <c r="E60" s="1107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1107"/>
      <c r="G60" s="1107"/>
      <c r="H60" s="147" t="s">
        <v>481</v>
      </c>
      <c r="I60" s="948" t="str">
        <f>CONCATENATE(IF('Area C'!$B$12="None","",'Area C'!$D$12)," ",IF('Area C'!$B$15="None","",'Area C'!$E$15))</f>
        <v xml:space="preserve"> 0</v>
      </c>
      <c r="J60" s="948"/>
      <c r="K60" s="1037">
        <f>'Area C'!$G$19</f>
        <v>0</v>
      </c>
      <c r="L60" s="1037"/>
      <c r="M60" s="948" t="str">
        <f>CONCATENATE(IF('Area C'!$B$12="None","",'Area C'!$H$12)," ",IF('Area C'!$B$15="None","",'Area C'!$H$15))</f>
        <v xml:space="preserve"> 0</v>
      </c>
      <c r="N60" s="948"/>
      <c r="O60" s="1043">
        <f>'Area C'!$J$19</f>
        <v>0</v>
      </c>
      <c r="P60" s="1043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09"/>
      <c r="C61" s="946" t="s">
        <v>6</v>
      </c>
      <c r="D61" s="946"/>
      <c r="E61" s="946" t="str">
        <f>CONCATENATE(IF('Area C'!$B$22="None","",'Area C'!$B$22),"   ",IF('Area C'!$B$23="none","",'Area C'!$B$23),"   ",IF('Area C'!$B$24="None","",'Area C'!$B$24),"   ",IF('Area C'!$B$25="None","",'Area C'!$B$25))</f>
        <v xml:space="preserve">L Brackets         </v>
      </c>
      <c r="F61" s="946"/>
      <c r="G61" s="946"/>
      <c r="H61" s="147" t="s">
        <v>482</v>
      </c>
      <c r="I61" s="948" t="str">
        <f>CONCATENATE(IF('Area C'!$B$22="None","",'Area C'!$E$22),"    ",IF('Area C'!$B$23="none","",'Area C'!$E$23),"    ",IF('Area C'!$B$24="None","",'Area C'!$E$24),"    ",IF('Area C'!$B$25="None","",'Area C'!$E$25))</f>
        <v xml:space="preserve">0            </v>
      </c>
      <c r="J61" s="948"/>
      <c r="K61" s="1037">
        <f>'Area C'!$G$26</f>
        <v>0</v>
      </c>
      <c r="L61" s="1037"/>
      <c r="M61" s="948" t="str">
        <f>CONCATENATE(IF('Area C'!$B$22="None","",'Area C'!$I$22),"    ",IF('Area C'!$B$23="none","",'Area C'!$I$23),"    ",IF('Area C'!$B$24="None","",'Area C'!$I$24),"    ",IF('Area C'!$B$25="None","",'Area C'!$I$25))</f>
        <v xml:space="preserve">0            </v>
      </c>
      <c r="N61" s="948"/>
      <c r="O61" s="1043">
        <f>'Area C'!$J$26</f>
        <v>0</v>
      </c>
      <c r="P61" s="1043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09"/>
      <c r="C62" s="946" t="s">
        <v>8</v>
      </c>
      <c r="D62" s="946"/>
      <c r="E62" s="946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946"/>
      <c r="G62" s="946"/>
      <c r="H62" s="147" t="s">
        <v>484</v>
      </c>
      <c r="I62" s="948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948"/>
      <c r="K62" s="1037">
        <f>'Area C'!$G$37</f>
        <v>0</v>
      </c>
      <c r="L62" s="1037"/>
      <c r="M62" s="948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948"/>
      <c r="O62" s="1043">
        <f>'Area C'!$J$37</f>
        <v>0</v>
      </c>
      <c r="P62" s="1043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09"/>
      <c r="C63" s="946" t="s">
        <v>363</v>
      </c>
      <c r="D63" s="946"/>
      <c r="E63" s="946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946"/>
      <c r="G63" s="946"/>
      <c r="H63" s="147" t="s">
        <v>482</v>
      </c>
      <c r="I63" s="948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948"/>
      <c r="K63" s="1037">
        <f>'Area C'!G57</f>
        <v>0</v>
      </c>
      <c r="L63" s="1037"/>
      <c r="M63" s="948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948"/>
      <c r="O63" s="1043">
        <f>'Area C'!$J$44</f>
        <v>0</v>
      </c>
      <c r="P63" s="1043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09"/>
      <c r="C64" s="946" t="s">
        <v>7</v>
      </c>
      <c r="D64" s="946"/>
      <c r="E64" s="946"/>
      <c r="F64" s="946"/>
      <c r="G64" s="946"/>
      <c r="H64" s="147"/>
      <c r="I64" s="948"/>
      <c r="J64" s="948"/>
      <c r="K64" s="1037">
        <f>'Area C'!G196</f>
        <v>0</v>
      </c>
      <c r="L64" s="1037"/>
      <c r="M64" s="948"/>
      <c r="N64" s="948"/>
      <c r="O64" s="1043">
        <f>'Area C'!$J$196</f>
        <v>0</v>
      </c>
      <c r="P64" s="1043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09"/>
      <c r="C65" s="946" t="s">
        <v>429</v>
      </c>
      <c r="D65" s="946"/>
      <c r="E65" s="946"/>
      <c r="F65" s="946"/>
      <c r="G65" s="946"/>
      <c r="H65" s="147"/>
      <c r="I65" s="948"/>
      <c r="J65" s="948"/>
      <c r="K65" s="1037">
        <f>'Area C'!G266</f>
        <v>0</v>
      </c>
      <c r="L65" s="1037"/>
      <c r="M65" s="948"/>
      <c r="N65" s="948"/>
      <c r="O65" s="1043">
        <f>'Area C'!$J$266</f>
        <v>0</v>
      </c>
      <c r="P65" s="1043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09"/>
      <c r="C66" s="946" t="s">
        <v>430</v>
      </c>
      <c r="D66" s="946"/>
      <c r="E66" s="946"/>
      <c r="F66" s="946"/>
      <c r="G66" s="946"/>
      <c r="H66" s="147"/>
      <c r="I66" s="948"/>
      <c r="J66" s="948"/>
      <c r="K66" s="1033">
        <f>IF(L4="no",0,SUM(L14)*L5)</f>
        <v>0</v>
      </c>
      <c r="L66" s="1033"/>
      <c r="M66" s="948"/>
      <c r="N66" s="948"/>
      <c r="O66" s="1043">
        <f>K66</f>
        <v>0</v>
      </c>
      <c r="P66" s="1043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0"/>
      <c r="C67" s="978" t="s">
        <v>431</v>
      </c>
      <c r="D67" s="978"/>
      <c r="E67" s="978"/>
      <c r="F67" s="978"/>
      <c r="G67" s="978"/>
      <c r="H67" s="148"/>
      <c r="I67" s="1019"/>
      <c r="J67" s="1019"/>
      <c r="K67" s="1018">
        <f>SUM(K58:K66)</f>
        <v>0</v>
      </c>
      <c r="L67" s="1018"/>
      <c r="M67" s="1019"/>
      <c r="N67" s="1019"/>
      <c r="O67" s="1018">
        <f>SUM(O58:O66)</f>
        <v>0</v>
      </c>
      <c r="P67" s="1018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979" t="s">
        <v>494</v>
      </c>
      <c r="D68" s="979"/>
      <c r="E68" s="1104">
        <f>L19</f>
        <v>0.04</v>
      </c>
      <c r="F68" s="1104"/>
      <c r="G68" s="1104"/>
      <c r="H68" s="147"/>
      <c r="I68" s="1035"/>
      <c r="J68" s="1035"/>
      <c r="K68" s="1105">
        <f>SUM(K58:L65)*E68</f>
        <v>0</v>
      </c>
      <c r="L68" s="1105"/>
      <c r="M68" s="59"/>
      <c r="N68" s="59"/>
      <c r="O68" s="1044">
        <f>O67*E68</f>
        <v>0</v>
      </c>
      <c r="P68" s="1044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980" t="s">
        <v>367</v>
      </c>
      <c r="D69" s="980"/>
      <c r="E69" s="1034"/>
      <c r="F69" s="1034"/>
      <c r="G69" s="1034"/>
      <c r="H69" s="182"/>
      <c r="I69" s="1029"/>
      <c r="J69" s="1029"/>
      <c r="K69" s="1023">
        <f>SUM(K67:L68)</f>
        <v>0</v>
      </c>
      <c r="L69" s="1023"/>
      <c r="M69" s="183"/>
      <c r="N69" s="183"/>
      <c r="O69" s="1045">
        <f>SUM(O67:P68)</f>
        <v>0</v>
      </c>
      <c r="P69" s="1045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945"/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1101" t="e">
        <f>#REF!</f>
        <v>#REF!</v>
      </c>
      <c r="C71" s="981" t="s">
        <v>0</v>
      </c>
      <c r="D71" s="981"/>
      <c r="E71" s="981" t="str">
        <f>CONCATENATE(IF('Area D'!$B$5="None","",'Area D'!$B$5), "   ",IF('Area D'!$B$7="None","",'Area D'!$B$7))</f>
        <v xml:space="preserve">TR200 Blk   </v>
      </c>
      <c r="F71" s="981"/>
      <c r="G71" s="981"/>
      <c r="H71" s="355" t="s">
        <v>481</v>
      </c>
      <c r="I71" s="1024" t="str">
        <f>CONCATENATE(IF('Area D'!$B$5="None","",'Area D'!$D$5), "   ",,IF('Area D'!$B$7="None","",'Area D'!$D$7))</f>
        <v xml:space="preserve">0   </v>
      </c>
      <c r="J71" s="1024"/>
      <c r="K71" s="1025">
        <f>'Area D'!$G$5+'Area D'!$G$7</f>
        <v>0</v>
      </c>
      <c r="L71" s="1025"/>
      <c r="M71" s="1024" t="str">
        <f>CONCATENATE(IF('Area D'!$B$5="None","",'Area D'!$H$5), "   ",,IF('Area D'!$B$7="None","",'Area D'!$H$7))</f>
        <v xml:space="preserve">0   </v>
      </c>
      <c r="N71" s="1024"/>
      <c r="O71" s="1049">
        <f>'Area D'!$J$5+'Area D'!$J$7</f>
        <v>0</v>
      </c>
      <c r="P71" s="1049"/>
      <c r="Q71" s="110">
        <f>IFERROR(O71/O82,0)</f>
        <v>0</v>
      </c>
      <c r="R71" s="941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1101"/>
      <c r="C72" s="981" t="s">
        <v>413</v>
      </c>
      <c r="D72" s="981"/>
      <c r="E72" s="981" t="str">
        <f>CONCATENATE(IF('Area D'!$B$6="None","",'Area D'!$B$6), "   ",IF('Area D'!$B$8="None","",'Area D'!$B$8))</f>
        <v xml:space="preserve">BR200- Blk   </v>
      </c>
      <c r="F72" s="981"/>
      <c r="G72" s="981"/>
      <c r="H72" s="355" t="s">
        <v>481</v>
      </c>
      <c r="I72" s="1024" t="str">
        <f>CONCATENATE(IF('Area D'!$B$6="None","",'Area D'!$D$6), "   ",,IF('Area D'!$B$8="None","",'Area D'!$D$8))</f>
        <v xml:space="preserve">0   </v>
      </c>
      <c r="J72" s="1024"/>
      <c r="K72" s="1025">
        <f>'Area D'!$G$6+'Area D'!$G$8</f>
        <v>0</v>
      </c>
      <c r="L72" s="1025"/>
      <c r="M72" s="1024" t="str">
        <f>CONCATENATE(IF('Area D'!$B$6="None","",'Area D'!$H$6), "   ",,IF('Area D'!$B$8="None","",'Area D'!$H$8))</f>
        <v xml:space="preserve">0   </v>
      </c>
      <c r="N72" s="1024"/>
      <c r="O72" s="1049">
        <f>'Area D'!$J$6+'Area D'!$J$8</f>
        <v>0</v>
      </c>
      <c r="P72" s="1049"/>
      <c r="Q72" s="110">
        <f>IFERROR(O72/O82,0)</f>
        <v>0</v>
      </c>
      <c r="R72" s="941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1101"/>
      <c r="C73" s="981" t="s">
        <v>4</v>
      </c>
      <c r="D73" s="981"/>
      <c r="E73" s="1103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1103"/>
      <c r="G73" s="1103"/>
      <c r="H73" s="355" t="s">
        <v>481</v>
      </c>
      <c r="I73" s="1024" t="str">
        <f>CONCATENATE(IF('Area D'!$B$12="None","",'Area D'!$D$12)," ",IF('Area D'!$B$15="None","",'Area D'!$E$15))</f>
        <v xml:space="preserve"> 0</v>
      </c>
      <c r="J73" s="1024"/>
      <c r="K73" s="1025">
        <f>'Area D'!$G$19</f>
        <v>0</v>
      </c>
      <c r="L73" s="1025"/>
      <c r="M73" s="1024" t="str">
        <f>CONCATENATE(IF('Area D'!$B$12="None","",'Area D'!$H$12)," ",IF('Area D'!$B$15="None","",'Area D'!$H$15))</f>
        <v xml:space="preserve"> 0</v>
      </c>
      <c r="N73" s="1024"/>
      <c r="O73" s="1049">
        <f>'Area D'!$J$19</f>
        <v>0</v>
      </c>
      <c r="P73" s="1049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1101"/>
      <c r="C74" s="981" t="s">
        <v>6</v>
      </c>
      <c r="D74" s="981"/>
      <c r="E74" s="981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81"/>
      <c r="G74" s="981"/>
      <c r="H74" s="355" t="s">
        <v>482</v>
      </c>
      <c r="I74" s="1024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1024"/>
      <c r="K74" s="1025">
        <f>'Area D'!$G$26</f>
        <v>0</v>
      </c>
      <c r="L74" s="1025"/>
      <c r="M74" s="1024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1024"/>
      <c r="O74" s="1049">
        <f>'Area D'!$J$26</f>
        <v>0</v>
      </c>
      <c r="P74" s="1049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1101"/>
      <c r="C75" s="981" t="s">
        <v>8</v>
      </c>
      <c r="D75" s="981"/>
      <c r="E75" s="981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81"/>
      <c r="G75" s="981"/>
      <c r="H75" s="355" t="s">
        <v>484</v>
      </c>
      <c r="I75" s="1024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1024"/>
      <c r="K75" s="1025">
        <f>'Area D'!$G$37</f>
        <v>0</v>
      </c>
      <c r="L75" s="1025"/>
      <c r="M75" s="1024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1024"/>
      <c r="O75" s="1049">
        <f>'Area D'!$J$37</f>
        <v>0</v>
      </c>
      <c r="P75" s="1049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1101"/>
      <c r="C76" s="981" t="s">
        <v>363</v>
      </c>
      <c r="D76" s="981"/>
      <c r="E76" s="981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81"/>
      <c r="G76" s="981"/>
      <c r="H76" s="355" t="s">
        <v>482</v>
      </c>
      <c r="I76" s="1024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1024"/>
      <c r="K76" s="1025">
        <f>'Area D'!$G$44</f>
        <v>0</v>
      </c>
      <c r="L76" s="1025"/>
      <c r="M76" s="1024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1024"/>
      <c r="O76" s="1049">
        <f>'Area D'!$J$44</f>
        <v>0</v>
      </c>
      <c r="P76" s="1049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1101"/>
      <c r="C77" s="981" t="s">
        <v>7</v>
      </c>
      <c r="D77" s="981"/>
      <c r="E77" s="981"/>
      <c r="F77" s="981"/>
      <c r="G77" s="981"/>
      <c r="H77" s="355"/>
      <c r="I77" s="1024"/>
      <c r="J77" s="1024"/>
      <c r="K77" s="1025">
        <f>'Area D'!$G$160</f>
        <v>0</v>
      </c>
      <c r="L77" s="1025"/>
      <c r="M77" s="1024"/>
      <c r="N77" s="1024"/>
      <c r="O77" s="1049">
        <f>'Area D'!$J$196</f>
        <v>0</v>
      </c>
      <c r="P77" s="1049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1101"/>
      <c r="C78" s="981" t="s">
        <v>429</v>
      </c>
      <c r="D78" s="981"/>
      <c r="E78" s="981"/>
      <c r="F78" s="981"/>
      <c r="G78" s="981"/>
      <c r="H78" s="355"/>
      <c r="I78" s="1024"/>
      <c r="J78" s="1024"/>
      <c r="K78" s="1025">
        <f>'Area D'!$G$196</f>
        <v>0</v>
      </c>
      <c r="L78" s="1025"/>
      <c r="M78" s="1024"/>
      <c r="N78" s="1024"/>
      <c r="O78" s="1049">
        <f>'Area D'!$J$266</f>
        <v>0</v>
      </c>
      <c r="P78" s="1049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1101"/>
      <c r="C79" s="981" t="s">
        <v>430</v>
      </c>
      <c r="D79" s="981"/>
      <c r="E79" s="981"/>
      <c r="F79" s="981"/>
      <c r="G79" s="981"/>
      <c r="H79" s="355"/>
      <c r="I79" s="1024"/>
      <c r="J79" s="1024"/>
      <c r="K79" s="1096">
        <f>IF(P4="no",0,SUM(P14)*P5)</f>
        <v>0</v>
      </c>
      <c r="L79" s="1096"/>
      <c r="M79" s="1024"/>
      <c r="N79" s="1024"/>
      <c r="O79" s="1049">
        <f>K79</f>
        <v>0</v>
      </c>
      <c r="P79" s="1049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1102"/>
      <c r="C80" s="1097" t="s">
        <v>431</v>
      </c>
      <c r="D80" s="1097"/>
      <c r="E80" s="1097"/>
      <c r="F80" s="1097"/>
      <c r="G80" s="1097"/>
      <c r="H80" s="356"/>
      <c r="I80" s="1098"/>
      <c r="J80" s="1098"/>
      <c r="K80" s="1089">
        <f>SUM(K71:K79)</f>
        <v>0</v>
      </c>
      <c r="L80" s="1089"/>
      <c r="M80" s="1098"/>
      <c r="N80" s="1098"/>
      <c r="O80" s="1089">
        <f>SUM(O71:O79)</f>
        <v>0</v>
      </c>
      <c r="P80" s="1089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1087" t="s">
        <v>494</v>
      </c>
      <c r="D81" s="1087"/>
      <c r="E81" s="1088">
        <f>P19</f>
        <v>0.04</v>
      </c>
      <c r="F81" s="1088"/>
      <c r="G81" s="1088"/>
      <c r="H81" s="355"/>
      <c r="I81" s="1093"/>
      <c r="J81" s="1093"/>
      <c r="K81" s="1094">
        <f>SUM(K71:L78)*E81</f>
        <v>0</v>
      </c>
      <c r="L81" s="1094"/>
      <c r="M81" s="358"/>
      <c r="N81" s="358"/>
      <c r="O81" s="1095">
        <f>O80*E81</f>
        <v>0</v>
      </c>
      <c r="P81" s="1095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982" t="s">
        <v>367</v>
      </c>
      <c r="D82" s="982"/>
      <c r="E82" s="1099"/>
      <c r="F82" s="1099"/>
      <c r="G82" s="1099"/>
      <c r="H82" s="360"/>
      <c r="I82" s="1100"/>
      <c r="J82" s="1100"/>
      <c r="K82" s="1032">
        <f>SUM(K80:L81)</f>
        <v>0</v>
      </c>
      <c r="L82" s="1032"/>
      <c r="M82" s="361"/>
      <c r="N82" s="361"/>
      <c r="O82" s="1032">
        <f>SUM(O80:P81)</f>
        <v>0</v>
      </c>
      <c r="P82" s="1032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945"/>
      <c r="D83" s="945"/>
      <c r="E83" s="188"/>
      <c r="F83" s="188"/>
      <c r="G83" s="188"/>
      <c r="H83" s="188"/>
      <c r="I83" s="947"/>
      <c r="J83" s="947"/>
      <c r="K83" s="945"/>
      <c r="L83" s="945"/>
      <c r="M83" s="945"/>
      <c r="N83" s="945"/>
      <c r="O83" s="945"/>
      <c r="P83" s="945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977" t="s">
        <v>489</v>
      </c>
      <c r="D84" s="977"/>
      <c r="E84" s="114"/>
      <c r="F84" s="114"/>
      <c r="G84" s="114"/>
      <c r="H84" s="114"/>
      <c r="I84" s="1021"/>
      <c r="J84" s="1021"/>
      <c r="K84" s="1022">
        <f>K43+K56+K69+K82</f>
        <v>0</v>
      </c>
      <c r="L84" s="1022"/>
      <c r="M84" s="1041"/>
      <c r="N84" s="1041"/>
      <c r="O84" s="1022">
        <f>O43+O56+O69+O82</f>
        <v>0</v>
      </c>
      <c r="P84" s="1022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6"/>
      <c r="J85" s="1016"/>
      <c r="K85" s="1020"/>
      <c r="L85" s="1020"/>
      <c r="M85" s="1042"/>
      <c r="N85" s="1042"/>
      <c r="O85" s="1020"/>
      <c r="P85" s="1020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electLockedCells="1"/>
  <mergeCells count="499"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S31:T31"/>
    <mergeCell ref="U31:V31"/>
    <mergeCell ref="B32:B41"/>
    <mergeCell ref="C24:E24"/>
    <mergeCell ref="K37:L37"/>
    <mergeCell ref="K38:L38"/>
    <mergeCell ref="T23:V23"/>
    <mergeCell ref="L16:M16"/>
    <mergeCell ref="L18:M18"/>
    <mergeCell ref="N18:O18"/>
    <mergeCell ref="P18:Q18"/>
    <mergeCell ref="N19:O19"/>
    <mergeCell ref="P19:Q19"/>
    <mergeCell ref="S23:S24"/>
    <mergeCell ref="P23:P24"/>
    <mergeCell ref="Q23:Q24"/>
    <mergeCell ref="R23:R24"/>
    <mergeCell ref="N21:O21"/>
    <mergeCell ref="N17:O17"/>
    <mergeCell ref="L17:M17"/>
    <mergeCell ref="B18:C18"/>
    <mergeCell ref="D18:E18"/>
    <mergeCell ref="H18:I18"/>
    <mergeCell ref="F18:G18"/>
    <mergeCell ref="A25:A28"/>
    <mergeCell ref="A7:A8"/>
    <mergeCell ref="A16:A19"/>
    <mergeCell ref="R4:Y19"/>
    <mergeCell ref="Y23:Y24"/>
    <mergeCell ref="B21:C21"/>
    <mergeCell ref="W23:W24"/>
    <mergeCell ref="X23:X24"/>
    <mergeCell ref="P21:Q21"/>
    <mergeCell ref="F21:G21"/>
    <mergeCell ref="J18:K18"/>
    <mergeCell ref="B19:C19"/>
    <mergeCell ref="L19:M19"/>
    <mergeCell ref="L21:M21"/>
    <mergeCell ref="K23:O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15" sqref="B15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13" t="str">
        <f>IF('Project Materials'!C25="","",'Project Materials'!C25)</f>
        <v/>
      </c>
      <c r="B1" s="1114"/>
      <c r="C1" s="1114"/>
      <c r="D1" s="1114"/>
      <c r="E1" s="1114"/>
      <c r="F1" s="1114"/>
      <c r="G1" s="1114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15" t="str">
        <f>IF(ISBLANK('Project Materials'!I2),"",'Project Materials'!I2)</f>
        <v/>
      </c>
      <c r="E2" s="1115"/>
      <c r="F2" s="35" t="s">
        <v>492</v>
      </c>
      <c r="G2" s="42" t="str">
        <f>IF(ISBLANK('Project Materials'!N2),"",'Project Materials'!N2)</f>
        <v/>
      </c>
      <c r="H2" s="1118"/>
      <c r="I2" s="1118"/>
      <c r="J2" s="1118"/>
    </row>
    <row r="3" spans="1:67" ht="15.9" x14ac:dyDescent="0.45">
      <c r="A3" s="1119" t="s">
        <v>479</v>
      </c>
      <c r="B3" s="1119"/>
      <c r="C3" s="1119"/>
      <c r="D3" s="1119"/>
      <c r="E3" s="1119"/>
      <c r="F3" s="1119"/>
      <c r="G3" s="1119"/>
      <c r="H3" s="1119"/>
      <c r="I3" s="1119"/>
      <c r="J3" s="1119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12" t="s">
        <v>866</v>
      </c>
      <c r="M4" s="1112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Materials'!$P$25*'Project Materials'!$Q$25))</f>
        <v>0</v>
      </c>
      <c r="E5" s="554">
        <f>IF(K5="",(CEILING(('Project Materials'!$P$25/20),L5)*'Project Materials'!$Q$25),(CEILING(('Project Materials'!$P$25/K5),L5)*'Project Materials'!$Q$25))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6">
        <v>0.5</v>
      </c>
      <c r="M5" s="1116"/>
      <c r="N5" s="230" t="s">
        <v>867</v>
      </c>
      <c r="O5" s="1117"/>
      <c r="P5" s="1117"/>
    </row>
    <row r="6" spans="1:67" x14ac:dyDescent="0.4">
      <c r="A6" s="552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Materials'!$P$25*'Project Materials'!$Q$25))</f>
        <v>0</v>
      </c>
      <c r="E6" s="554">
        <f>IFERROR(CEILING(IF(K6="",(CEILING(('Project Materials'!$P$25/VLOOKUP(B6,'Item List'!B:AM,3,FALSE)),L6)*'Project Materials'!$Q$25),(CEILING(('Project Materials'!$P$25/K6),L6)*'Project Materials'!$Q$25)),L6),0)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6">
        <v>0.25</v>
      </c>
      <c r="M6" s="1116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Materials'!$P$25*'Project Materials'!$Q$25))</f>
        <v>0</v>
      </c>
      <c r="E7" s="560">
        <f>IF(K7="",(CEILING(('Project Materials'!$P$25/20),0.5)*'Project Materials'!$Q$25),(CEILING(('Project Materials'!$P$25/K7),0.5)*'Project Materials'!$Q$25))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Materials'!$P$25*'Project Materials'!$Q$25))</f>
        <v>0</v>
      </c>
      <c r="E8" s="560">
        <f>CEILING(IF(K8="",(CEILING(('Project Materials'!$P$25/20),0.25)*'Project Materials'!$Q$25),(CEILING(('Project Materials'!$P$25/K8),0.25)*'Project Materials'!$Q$25)),0.5)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Materials'!L25*('Project Materials'!I25/12))*'Project Materials'!Q25)</f>
        <v>0</v>
      </c>
      <c r="E12" s="558">
        <f>IFERROR(IF(B12="none",0,'Project Materials'!L25/(ROUNDDOWN(1/('Project Materials'!$I$25/(VLOOKUP('Area A'!B12,'Item List'!B:AJ,3,FALSE)*12)),0)))*'Project Materials'!Q25,0)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Materials'!K25*('Project Materials'!I25/12))*'Project Materials'!Q25)</f>
        <v>0</v>
      </c>
      <c r="E13" s="558">
        <f>IFERROR(IF(B13="none",0,'Project Materials'!K25/(ROUNDDOWN(1/('Project Materials'!$I$25/(VLOOKUP('Area A'!B13,'Item List'!B:AJ,3,FALSE)*12)),0)))*'Project Materials'!Q25,0)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Materials'!N25*('Project Materials'!I25/12))*'Project Materials'!Q25)</f>
        <v>0</v>
      </c>
      <c r="E14" s="558">
        <f>IFERROR(IF(B14="none",0,('Project Materials'!M25+'Project Materials'!N25)/(ROUNDDOWN(1/('Project Materials'!$I$25/(VLOOKUP('Area A'!B14,'Item List'!B:AJ,3,FALSE)*12)),0)))*'Project Materials'!Q25,0)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394</v>
      </c>
      <c r="C15" s="78" t="str">
        <f>VLOOKUP(B15,'Item List'!B:AJ,2,FALSE)</f>
        <v>45" Fascia Post- Black</v>
      </c>
      <c r="D15" s="574"/>
      <c r="E15" s="575">
        <f>IF(B15="None",0,SUM('Project Materials'!L25*'Project Materials'!Q25))</f>
        <v>0</v>
      </c>
      <c r="F15" s="555">
        <f>VLOOKUP(B15,'Item List'!B:AJ,4,FALSE)</f>
        <v>18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394</v>
      </c>
      <c r="C16" s="78" t="str">
        <f>VLOOKUP(B16,'Item List'!B:AJ,2,FALSE)</f>
        <v>45" Fascia Post- Black</v>
      </c>
      <c r="D16" s="574"/>
      <c r="E16" s="575">
        <f>IF(B16="None",0,SUM('Project Materials'!K25*'Project Materials'!Q25))</f>
        <v>0</v>
      </c>
      <c r="F16" s="555">
        <f>VLOOKUP(B16,'Item List'!B:AJ,4,FALSE)</f>
        <v>18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394</v>
      </c>
      <c r="C17" s="78" t="str">
        <f>VLOOKUP(B17,'Item List'!B:AJ,2,FALSE)</f>
        <v>45" Fascia Post- Black</v>
      </c>
      <c r="D17" s="574"/>
      <c r="E17" s="575">
        <f>IF(B17="None",0,SUM('Project Materials'!M25*'Project Materials'!Q25))</f>
        <v>0</v>
      </c>
      <c r="F17" s="555">
        <f>VLOOKUP(B17,'Item List'!B:AJ,4,FALSE)</f>
        <v>18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394</v>
      </c>
      <c r="C18" s="78" t="str">
        <f>VLOOKUP(B18,'Item List'!B:AJ,2,FALSE)</f>
        <v>45" Fascia Post- Black</v>
      </c>
      <c r="D18" s="574"/>
      <c r="E18" s="575">
        <f>IF(B18="None",0,SUM('Project Materials'!N25*'Project Materials'!Q25))</f>
        <v>0</v>
      </c>
      <c r="F18" s="555">
        <f>VLOOKUP(B18,'Item List'!B:AJ,4,FALSE)</f>
        <v>18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11"/>
      <c r="M21" s="1111"/>
      <c r="N21" s="1111"/>
      <c r="O21" s="1111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309</v>
      </c>
      <c r="C24" s="582" t="str">
        <f>VLOOKUP(B24,'Item List'!B:AH,2,FALSE)</f>
        <v>Inside Corner Fascia Mount Bracket 6"- with bottom plate and six screws- Black</v>
      </c>
      <c r="D24" s="78"/>
      <c r="E24" s="575">
        <f>VLOOKUP(B24,'Item List'!B:AJ,33,FALSE)</f>
        <v>0</v>
      </c>
      <c r="F24" s="555">
        <f>IF(B24="None",0,VLOOKUP(B24,'Item List'!B:AH,4,FALSE))</f>
        <v>18.05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Materials'!$W$25*'Project Materials'!$J$25)/12),0)</f>
        <v>0</v>
      </c>
      <c r="E29" s="575">
        <f>IF(B29="None",0,ROUNDUP(SUM(('Project Materials'!P25*'Project Materials'!Q25)*VLOOKUP(B29,'Item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Materials'!$W$25*'Project Materials'!$J$25)/12)</f>
        <v>0</v>
      </c>
      <c r="E30" s="575">
        <f>IF(B30="None",0,ROUNDUP(SUM('Project Materials'!P25*VLOOKUP(B30,'Item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663</v>
      </c>
      <c r="C31" s="78" t="str">
        <f>VLOOKUP(B31,'Item List'!B:AH,2,FALSE)</f>
        <v>CLEAR TEMPERED/LAMINATED GLASS 1/2"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12.12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Materials'!R25=0,(((('Project Materials'!P25/4)*(2*'Project Materials'!D10))+('Project Materials'!P25*2*12))*'Project Materials'!Q25),('Project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Materials'!$Q$25)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Materials'!$Q$25)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Materials'!J25,0),0))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Materials'!$X$25)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Materials'!$Y$25)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Materials'!$X$25)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Materials'!$Y$25)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3/8" x 5" SS Lag Screw</v>
      </c>
      <c r="C107" s="614" t="str">
        <f>VLOOKUP(B107,'Item List'!B:AH,2,FALSE)</f>
        <v>3/8" x 5" Stainless Steel Lag Screw</v>
      </c>
      <c r="D107" s="614"/>
      <c r="E107" s="612">
        <f>$E$24*VLOOKUP(B107,'Item List'!B:AM,38,FALSE)</f>
        <v>0</v>
      </c>
      <c r="F107" s="595">
        <f>VLOOKUP(B107,'Item List'!B:AH,4,FALSE)</f>
        <v>0.6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List'!B:AM,33,FALSE)</f>
        <v>0</v>
      </c>
      <c r="F203" s="555">
        <f>VLOOKUP(B203,'Item List'!B:AJ,4,FALSE)</f>
        <v>0.28000000000000003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None</v>
      </c>
      <c r="C211" s="78" t="str">
        <f>VLOOKUP(B211,'Item List'!B:AH,2,FALSE)</f>
        <v>None</v>
      </c>
      <c r="D211" s="78"/>
      <c r="E211" s="557">
        <f>VLOOKUP(B211,'Item List'!B:AM,33,FALSE)</f>
        <v>0</v>
      </c>
      <c r="F211" s="555">
        <f>VLOOKUP(B211,'Item List'!B:AJ,4,FALSE)</f>
        <v>0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None</v>
      </c>
      <c r="C212" s="78" t="str">
        <f>VLOOKUP(B212,'Item List'!B:AH,2,FALSE)</f>
        <v>None</v>
      </c>
      <c r="D212" s="78"/>
      <c r="E212" s="557">
        <f>VLOOKUP(B212,'Item List'!B:AM,33,FALSE)</f>
        <v>0</v>
      </c>
      <c r="F212" s="555">
        <f>VLOOKUP(B212,'Item List'!B:AJ,4,FALSE)</f>
        <v>0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topLeftCell="A10" zoomScaleNormal="100" workbookViewId="0">
      <selection activeCell="B32" sqref="B32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1" t="str">
        <f>IF('Project Materials'!C26="","",'Project Materials'!C26)</f>
        <v/>
      </c>
      <c r="B1" s="1122"/>
      <c r="C1" s="1122"/>
      <c r="D1" s="1122"/>
      <c r="E1" s="1122"/>
      <c r="F1" s="1122"/>
      <c r="G1" s="1122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23" t="str">
        <f>IF(ISBLANK('Project Materials'!I2),"",'Project Materials'!I2)</f>
        <v/>
      </c>
      <c r="E2" s="1123"/>
      <c r="F2" s="581" t="s">
        <v>492</v>
      </c>
      <c r="G2" s="651" t="str">
        <f>IF(ISBLANK('Project Materials'!N2),"",'Project Materials'!N2)</f>
        <v/>
      </c>
      <c r="H2" s="1124"/>
      <c r="I2" s="1124"/>
      <c r="J2" s="1124"/>
    </row>
    <row r="3" spans="1:67" ht="15.9" x14ac:dyDescent="0.45">
      <c r="A3" s="1125" t="s">
        <v>479</v>
      </c>
      <c r="B3" s="1125"/>
      <c r="C3" s="1125"/>
      <c r="D3" s="1125"/>
      <c r="E3" s="1125"/>
      <c r="F3" s="1125"/>
      <c r="G3" s="1125"/>
      <c r="H3" s="1125"/>
      <c r="I3" s="1125"/>
      <c r="J3" s="1125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26" t="s">
        <v>866</v>
      </c>
      <c r="M4" s="1126"/>
    </row>
    <row r="5" spans="1:67" x14ac:dyDescent="0.4">
      <c r="A5" s="654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Materials'!$P$26*'Project Materials'!$Q$26))</f>
        <v>0</v>
      </c>
      <c r="E5" s="554">
        <f>IF(K5="",(CEILING(('Project Materials'!$P$26/20),L5)*'Project Materials'!$Q$26),(CEILING(('Project Materials'!$P$26/K5),L5)*'Project Materials'!$Q$26))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20">
        <v>0.5</v>
      </c>
      <c r="M5" s="1120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Materials'!$P$26*'Project Materials'!$Q$26))</f>
        <v>0</v>
      </c>
      <c r="E6" s="554">
        <f>IFERROR(CEILING(IF(K6="",(CEILING(('Project Materials'!$P$26/VLOOKUP(B6,'Item List'!B:AM,3,FALSE)),L6)*'Project Materials'!$Q$26),(CEILING(('Project Materials'!$P$26/K6),L6)*'Project Materials'!$Q$26)),L6),0)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20">
        <v>0.25</v>
      </c>
      <c r="M6" s="1120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Materials'!$P$26*'Project Materials'!$Q$26))</f>
        <v>0</v>
      </c>
      <c r="E7" s="560">
        <f>IF(K7="",(CEILING(('Project Materials'!$P$26/20),0.5)*'Project Materials'!$Q$26),(CEILING(('Project Materials'!$P$26/K7),0.5)*'Project Materials'!$Q$26))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Materials'!$P$26*'Project Materials'!$Q$26))</f>
        <v>0</v>
      </c>
      <c r="E8" s="560">
        <f>CEILING(IF(K8="",(CEILING(('Project Materials'!$P$26/20),0.25)*'Project Materials'!$Q$26),(CEILING(('Project Materials'!$P$26/K8),0.25)*'Project Materials'!$Q$26)),0.5)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Materials'!L26*('Project Materials'!I26/12))*'Project Materials'!Q26)</f>
        <v>0</v>
      </c>
      <c r="E12" s="558">
        <f>IFERROR(IF(B12="none",0,'Project Materials'!L26/(ROUNDDOWN(1/('Project Materials'!$I$26/(VLOOKUP('Area B'!B12,'Item List'!B:AJ,3,FALSE)*12)),0)))*'Project Materials'!Q26,0)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Materials'!K26*('Project Materials'!I26/12))*'Project Materials'!Q26)</f>
        <v>0</v>
      </c>
      <c r="E13" s="558">
        <f>IFERROR(IF(B13="none",0,'Project Materials'!K26/(ROUNDDOWN(1/('Project Materials'!$I$26/(VLOOKUP('Area B'!B13,'Item List'!B:AJ,3,FALSE)*12)),0)))*'Project Materials'!Q26,0)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Materials'!N26*('Project Materials'!I26/12))*'Project Materials'!Q26)</f>
        <v>0</v>
      </c>
      <c r="E14" s="558">
        <f>IFERROR(IF(B14="none",0,('Project Materials'!M26+'Project Materials'!N26)/(ROUNDDOWN(1/('Project Materials'!$I$26/(VLOOKUP('Area B'!B14,'Item List'!B:AJ,3,FALSE)*12)),0)))*'Project Materials'!Q26,0)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551</v>
      </c>
      <c r="C15" s="78" t="str">
        <f>VLOOKUP(B15,'Item List'!B:AJ,2,FALSE)</f>
        <v>Post-36" with 5" x 5" Base Plate  (36 5/8")- Black Unlined</v>
      </c>
      <c r="D15" s="574"/>
      <c r="E15" s="575">
        <f>IF(B15="None",0,SUM('Project Materials'!L26*'Project Materials'!Q26))</f>
        <v>0</v>
      </c>
      <c r="F15" s="555">
        <f>VLOOKUP(B15,'Item List'!B:AJ,4,FALSE)</f>
        <v>22.17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551</v>
      </c>
      <c r="C16" s="78" t="str">
        <f>VLOOKUP(B16,'Item List'!B:AJ,2,FALSE)</f>
        <v>Post-36" with 5" x 5" Base Plate  (36 5/8")- Black Unlined</v>
      </c>
      <c r="D16" s="574"/>
      <c r="E16" s="575">
        <f>IF(B16="None",0,SUM('Project Materials'!K26*'Project Materials'!Q26))</f>
        <v>0</v>
      </c>
      <c r="F16" s="555">
        <f>VLOOKUP(B16,'Item List'!B:AJ,4,FALSE)</f>
        <v>22.17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551</v>
      </c>
      <c r="C17" s="78" t="str">
        <f>VLOOKUP(B17,'Item List'!B:AJ,2,FALSE)</f>
        <v>Post-36" with 5" x 5" Base Plate  (36 5/8")- Black Unlined</v>
      </c>
      <c r="D17" s="574"/>
      <c r="E17" s="575">
        <f>IF(B17="None",0,SUM('Project Materials'!M26*'Project Materials'!Q26))</f>
        <v>0</v>
      </c>
      <c r="F17" s="555">
        <f>VLOOKUP(B17,'Item List'!B:AJ,4,FALSE)</f>
        <v>22.17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551</v>
      </c>
      <c r="C18" s="78" t="str">
        <f>VLOOKUP(B18,'Item List'!B:AJ,2,FALSE)</f>
        <v>Post-36" with 5" x 5" Base Plate  (36 5/8")- Black Unlined</v>
      </c>
      <c r="D18" s="574"/>
      <c r="E18" s="575">
        <f>IF(B18="None",0,SUM('Project Materials'!N26*'Project Materials'!Q26))</f>
        <v>0</v>
      </c>
      <c r="F18" s="555">
        <f>VLOOKUP(B18,'Item List'!B:AJ,4,FALSE)</f>
        <v>22.17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76</v>
      </c>
      <c r="C22" s="78" t="str">
        <f>VLOOKUP(B22,'Item List'!B:AH,2,FALSE)</f>
        <v>Six screw chase post base plate 5 x 5 - Black</v>
      </c>
      <c r="D22" s="78"/>
      <c r="E22" s="575">
        <f>VLOOKUP(B22,'Item List'!B:AJ,34,FALSE)</f>
        <v>0</v>
      </c>
      <c r="F22" s="555">
        <f>IF(B22="None",0,VLOOKUP(B22,'Item List'!B:AH,4,FALSE))</f>
        <v>3.39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Materials'!$W$26*'Project Materials'!$J$26)/12),0)</f>
        <v>0</v>
      </c>
      <c r="E29" s="575">
        <f>IF(B29="None",0,ROUNDUP(SUM(('Project Materials'!P26*'Project Materials'!Q26)*VLOOKUP(B29,'Item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Materials'!$W$26*'Project Materials'!$J$26)/12)</f>
        <v>0</v>
      </c>
      <c r="E30" s="575">
        <f>IF(B30="None",0,ROUNDUP(SUM('Project Materials'!P26*VLOOKUP(B30,'Item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350</v>
      </c>
      <c r="C31" s="78" t="str">
        <f>VLOOKUP(B31,'Item List'!B:AH,2,FALSE)</f>
        <v>1/2" Clear Tempered Glass per Sq Ft</v>
      </c>
      <c r="D31" s="573">
        <f>ROUNDUP(IF(B31="None",0,'Project Materials'!H12*'Project Materials'!H13),1)</f>
        <v>0</v>
      </c>
      <c r="F31" s="555">
        <f>IF(B31="None",0,VLOOKUP(B31,'Item List'!B:AH,4,FALSE))</f>
        <v>11.02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356</v>
      </c>
      <c r="C32" s="78" t="str">
        <f>VLOOKUP(B32,'Item List'!B:AH,2,FALSE)</f>
        <v>Polished Edges 1/2" Glass, per inch</v>
      </c>
      <c r="D32" s="590">
        <f>IF(B32="none",0,IF('Project Materials'!R26=0,(((('Project Materials'!P26/4)*(2*'Project Materials'!H10))+('Project Materials'!P26*2*12))*'Project Materials'!Q26),('Project Materials'!H11*2+'Project Materials'!H10*2)*'Project Materials'!H13))</f>
        <v>0</v>
      </c>
      <c r="F32" s="555">
        <f>IF(B32="None",0,VLOOKUP(B32,'Item List'!B:AH,4,FALSE))</f>
        <v>0.12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Materials'!$Q$26)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Materials'!$Q$26)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Materials'!J26,0),0))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Materials'!$X$26)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Materials'!$Y$26)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Materials'!$X$26)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Materials'!$Y$26)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List'!B:AM,34,FALSE)</f>
        <v>0</v>
      </c>
      <c r="F199" s="555">
        <f>VLOOKUP(B199,'Item List'!B:AJ,4,FALSE)</f>
        <v>5.47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7" zoomScaleNormal="100" workbookViewId="0">
      <selection activeCell="B32" sqref="B32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7" t="str">
        <f>IF('Project Materials'!C27="","",'Project Materials'!C27)</f>
        <v/>
      </c>
      <c r="B1" s="1128"/>
      <c r="C1" s="1128"/>
      <c r="D1" s="1128"/>
      <c r="E1" s="1128"/>
      <c r="F1" s="1128"/>
      <c r="G1" s="1128"/>
      <c r="H1" s="1128"/>
      <c r="I1" s="1128"/>
      <c r="J1" s="1128"/>
      <c r="K1" s="112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23" t="str">
        <f>IF(ISBLANK('Project Materials'!I2),"",'Project Materials'!I2)</f>
        <v/>
      </c>
      <c r="E2" s="1123"/>
      <c r="F2" s="581" t="s">
        <v>492</v>
      </c>
      <c r="G2" s="651" t="str">
        <f>IF(ISBLANK('Project Materials'!N2),"",'Project Materials'!N2)</f>
        <v/>
      </c>
      <c r="H2" s="1124"/>
      <c r="I2" s="1124"/>
      <c r="J2" s="1124"/>
    </row>
    <row r="3" spans="1:67" ht="15.9" x14ac:dyDescent="0.45">
      <c r="A3" s="1125" t="s">
        <v>479</v>
      </c>
      <c r="B3" s="1125"/>
      <c r="C3" s="1125"/>
      <c r="D3" s="1125"/>
      <c r="E3" s="1125"/>
      <c r="F3" s="1125"/>
      <c r="G3" s="1125"/>
      <c r="H3" s="1125"/>
      <c r="I3" s="1125"/>
      <c r="J3" s="1125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26" t="s">
        <v>866</v>
      </c>
      <c r="M4" s="1126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Materials'!$P$27*'Project Materials'!$Q$27))</f>
        <v>0</v>
      </c>
      <c r="E5" s="554">
        <f>IF(K5="",(CEILING(('Project Materials'!$P$27/20),L5)*'Project Materials'!$Q$27),(CEILING(('Project Materials'!$P$27/K5),L5)*'Project Materials'!$Q$27))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20">
        <v>0.5</v>
      </c>
      <c r="M5" s="1120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Materials'!$P$27*'Project Materials'!$Q$27))</f>
        <v>0</v>
      </c>
      <c r="E6" s="554">
        <f>IFERROR(CEILING(IF(K6="",(CEILING(('Project Materials'!$P$27/VLOOKUP(B6,'Item List'!B:AM,3,FALSE)),L6)*'Project Materials'!$Q$27),(CEILING(('Project Materials'!$P$27/K6),L6)*'Project Materials'!$Q$27)),L6),0)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20">
        <v>0.25</v>
      </c>
      <c r="M6" s="1120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Materials'!$P$27*'Project Materials'!$Q$27))</f>
        <v>0</v>
      </c>
      <c r="E7" s="560">
        <f>IF(K7="",(CEILING(('Project Materials'!$P$27/20),0.5)*'Project Materials'!$Q$27),(CEILING(('Project Materials'!$P$27/K7),0.5)*'Project Materials'!$Q$27))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Materials'!$P$27*'Project Materials'!$Q$27))</f>
        <v>0</v>
      </c>
      <c r="E8" s="560">
        <f>CEILING(IF(K8="",(CEILING(('Project Materials'!$P$27/20),0.25)*'Project Materials'!$Q$27),(CEILING(('Project Materials'!$P$27/K8),0.25)*'Project Materials'!$Q$27)),0.5)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Materials'!L27*('Project Materials'!I27/12))*'Project Materials'!Q27)</f>
        <v>0</v>
      </c>
      <c r="E12" s="558">
        <f>IFERROR(IF(B12="none",0,'Project Materials'!L27/(ROUNDDOWN(1/('Project Materials'!$I$27/(VLOOKUP('Area C'!B12,'Item List'!B:AJ,3,FALSE)*12)),0)))*'Project Materials'!Q27,0)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Materials'!K27*('Project Materials'!I27/12))*'Project Materials'!Q27)</f>
        <v>0</v>
      </c>
      <c r="E13" s="558">
        <f>IFERROR(IF(B13="none",0,'Project Materials'!K27/(ROUNDDOWN(1/('Project Materials'!$I$27/(VLOOKUP('Area C'!B13,'Item List'!B:AJ,3,FALSE)*12)),0)))*'Project Materials'!Q27,0)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Materials'!N27*('Project Materials'!I27/12))*'Project Materials'!Q27)</f>
        <v>0</v>
      </c>
      <c r="E14" s="558">
        <f>IFERROR(IF(B14="none",0,('Project Materials'!M27+'Project Materials'!N27)/(ROUNDDOWN(1/('Project Materials'!$I$27/(VLOOKUP('Area C'!B14,'Item List'!B:AJ,3,FALSE)*12)),0)))*'Project Materials'!Q27,0)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Materials'!L27*'Project Materials'!Q27))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Materials'!K27*'Project Materials'!Q27))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Materials'!M27*'Project Materials'!Q27))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Materials'!N27*'Project Materials'!Q27))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811</v>
      </c>
      <c r="C22" s="78" t="str">
        <f>VLOOKUP(B22,'Item List'!B:AH,2,FALSE)</f>
        <v>3/8 Aluminum Angle Brackets</v>
      </c>
      <c r="D22" s="78"/>
      <c r="E22" s="575">
        <f>VLOOKUP(B22,'Item List'!B:AJ,35,FALSE)</f>
        <v>0</v>
      </c>
      <c r="F22" s="555">
        <f>IF(B22="None",0,VLOOKUP(B22,'Item List'!B:AH,4,FALSE))</f>
        <v>7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Materials'!$W$27*'Project Materials'!$J$27)/12),0)</f>
        <v>0</v>
      </c>
      <c r="E29" s="575">
        <f>IF(B29="None",0,ROUNDUP(SUM(('Project Materials'!P27*'Project Materials'!Q27)*VLOOKUP(B29,'Item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Materials'!$W$27*'Project Materials'!$J$27)/12)</f>
        <v>0</v>
      </c>
      <c r="E30" s="575">
        <f>IF(B30="None",0,ROUNDUP(SUM('Project Materials'!P27*VLOOKUP(B30,'Item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Materials'!R27=0,(((('Project Materials'!P27/4)*(2*'Project Materials'!L10))+('Project Materials'!P27*2*12))*'Project Materials'!Q27),('Project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Materials'!$Q$27)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Materials'!$Q$27)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Materials'!$X$27)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Materials'!$Y$27)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Materials'!$X$27)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Materials'!$Y$27)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3/8 x 4" SS Hex Cap Bolt</v>
      </c>
      <c r="C96" s="78" t="str">
        <f>VLOOKUP(B96,'Item List'!B:AH,2,FALSE)</f>
        <v>3/8" x 4" SS Hex Cap Screw</v>
      </c>
      <c r="D96" s="78"/>
      <c r="E96" s="612">
        <f>$E$22*VLOOKUP(B96,'Item List'!B:AM,38,FALSE)</f>
        <v>0</v>
      </c>
      <c r="F96" s="595">
        <f>VLOOKUP(B96,'Item List'!B:AH,4,FALSE)</f>
        <v>0.38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Bottom Cap for PEU-Mill Finish</v>
      </c>
      <c r="C97" s="78" t="str">
        <f>VLOOKUP(B97,'Item List'!B:AH,2,FALSE)</f>
        <v>Standard post bottom cap - Mill Finish</v>
      </c>
      <c r="D97" s="78"/>
      <c r="E97" s="612">
        <f>$E$22*VLOOKUP(B97,'Item List'!B:AM,38,FALSE)</f>
        <v>0</v>
      </c>
      <c r="F97" s="595">
        <f>VLOOKUP(B97,'Item List'!B:AH,4,FALSE)</f>
        <v>1.75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3" zoomScaleNormal="100" workbookViewId="0">
      <selection activeCell="B15" sqref="B15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30" t="str">
        <f>IF('Project Materials'!C28="","",'Project Materials'!C28)</f>
        <v/>
      </c>
      <c r="B1" s="1131"/>
      <c r="C1" s="1131"/>
      <c r="D1" s="1131"/>
      <c r="E1" s="1131"/>
      <c r="F1" s="1131"/>
      <c r="G1" s="1131"/>
      <c r="H1" s="1131"/>
      <c r="I1" s="1131"/>
      <c r="J1" s="1131"/>
      <c r="K1" s="1132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23" t="str">
        <f>IF(ISBLANK('Project Materials'!I2),"",'Project Materials'!I2)</f>
        <v/>
      </c>
      <c r="E2" s="1123"/>
      <c r="F2" s="581" t="s">
        <v>492</v>
      </c>
      <c r="G2" s="651" t="str">
        <f>IF(ISBLANK('Project Materials'!N2),"",'Project Materials'!N2)</f>
        <v/>
      </c>
      <c r="H2" s="1124"/>
      <c r="I2" s="1124"/>
      <c r="J2" s="1124"/>
    </row>
    <row r="3" spans="1:67" ht="15.9" x14ac:dyDescent="0.45">
      <c r="A3" s="1125" t="s">
        <v>479</v>
      </c>
      <c r="B3" s="1125"/>
      <c r="C3" s="1125"/>
      <c r="D3" s="1125"/>
      <c r="E3" s="1125"/>
      <c r="F3" s="1125"/>
      <c r="G3" s="1125"/>
      <c r="H3" s="1125"/>
      <c r="I3" s="1125"/>
      <c r="J3" s="1125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26" t="s">
        <v>866</v>
      </c>
      <c r="M4" s="1126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Materials'!$P$28*'Project Materials'!$Q$28))</f>
        <v>0</v>
      </c>
      <c r="E5" s="554">
        <f>IF(K5="",(CEILING(('Project Materials'!$P$28/20),L5)*'Project Materials'!$Q$28),(CEILING(('Project Materials'!$P$28/K5),L5)*'Project Materials'!$Q$28))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20">
        <v>0.5</v>
      </c>
      <c r="M5" s="1120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Materials'!$P$28*'Project Materials'!$Q$28))</f>
        <v>0</v>
      </c>
      <c r="E6" s="554">
        <f>IFERROR(CEILING(IF(K6="",(CEILING(('Project Materials'!$P$28/VLOOKUP(B6,'Item List'!B:AM,3,FALSE)),L6)*'Project Materials'!$Q$28),(CEILING(('Project Materials'!$P$28/K6),L6)*'Project Materials'!$Q$28)),L6),0)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20">
        <v>0.25</v>
      </c>
      <c r="M6" s="1120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Materials'!$P$28*'Project Materials'!$Q$28))</f>
        <v>0</v>
      </c>
      <c r="E7" s="560">
        <f>IF(K7="",(CEILING(('Project Materials'!$P$28/20),0.5)*'Project Materials'!$Q$28),(CEILING(('Project Materials'!$P$28/K7),0.5)*'Project Materials'!$Q$28))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Materials'!$P$28*'Project Materials'!$Q$28))</f>
        <v>0</v>
      </c>
      <c r="E8" s="560">
        <f>CEILING(IF(K8="",(CEILING(('Project Materials'!$P$28/20),0.25)*'Project Materials'!$Q$28),(CEILING(('Project Materials'!$P$28/K8),0.25)*'Project Materials'!$Q$28)),0.5)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Materials'!L27*('Project Materials'!I27/12))*'Project Materials'!Q27)</f>
        <v>0</v>
      </c>
      <c r="E12" s="558">
        <f>IFERROR(IF(B12="none",0,'Project Materials'!L28/(ROUNDDOWN(1/('Project Materials'!$I$28/(VLOOKUP('Area D'!B12,'Item List'!B:AK,3,FALSE)*12)),0)))*'Project Materials'!Q28,0)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Materials'!K27*('Project Materials'!I27/12))*'Project Materials'!Q27)</f>
        <v>0</v>
      </c>
      <c r="E13" s="558">
        <f>IFERROR(IF(B13="none",0,'Project Materials'!K28/(ROUNDDOWN(1/('Project Materials'!$I$28/(VLOOKUP('Area D'!B13,'Item List'!B:AK,3,FALSE)*12)),0)))*'Project Materials'!Q28,0)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Materials'!N27*('Project Materials'!I27/12))*'Project Materials'!Q27)</f>
        <v>0</v>
      </c>
      <c r="E14" s="558">
        <f>IFERROR(IF(B14="none",0,('Project Materials'!M28+'Project Materials'!N28)/(ROUNDDOWN(1/('Project Materials'!$I$28/(VLOOKUP('Area D'!B14,'Item List'!B:AK,3,FALSE)*12)),0)))*'Project Materials'!Q28,0)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Materials'!L28*'Project Materials'!Q28))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Materials'!K28*'Project Materials'!Q28))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Materials'!M28*'Project Materials'!Q28))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Materials'!N28*'Project Materials'!Q28))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Materials'!$W$28*'Project Materials'!$J$28)/12),0)</f>
        <v>0</v>
      </c>
      <c r="E29" s="575">
        <f>IF(B29="None",0,ROUNDUP(SUM(('Project Materials'!P28*'Project Materials'!Q28)*VLOOKUP(B29,'Item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Materials'!$W$28*'Project Materials'!$J$28)/12)</f>
        <v>0</v>
      </c>
      <c r="E30" s="575">
        <f>IF(B30="None",0,ROUNDUP(SUM('Project Materials'!P27*VLOOKUP(B30,'Item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Materials'!R27=0,(((('Project Materials'!P27/4)*(2*'Project Materials'!P10))+('Project Materials'!P27*2*12))*'Project Materials'!Q27),('Project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Materials'!$Q$28)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Materials'!$Q$28)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Materials'!$X$28)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Materials'!$Y$28)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Materials'!$X$28)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Materials'!$Y$28)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6"/>
  <sheetViews>
    <sheetView workbookViewId="0">
      <selection activeCell="H7" sqref="H7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33" t="s">
        <v>1188</v>
      </c>
      <c r="B1" s="1134"/>
      <c r="C1" s="738">
        <v>42</v>
      </c>
      <c r="D1" s="770" t="s">
        <v>1047</v>
      </c>
    </row>
    <row r="2" spans="1:4" ht="18.45" x14ac:dyDescent="0.4">
      <c r="A2" s="1133" t="s">
        <v>997</v>
      </c>
      <c r="B2" s="1134"/>
      <c r="C2" s="736" t="s">
        <v>938</v>
      </c>
      <c r="D2" s="770" t="s">
        <v>1046</v>
      </c>
    </row>
    <row r="3" spans="1:4" ht="18.45" x14ac:dyDescent="0.4">
      <c r="A3" s="1133" t="s">
        <v>928</v>
      </c>
      <c r="B3" s="1134"/>
      <c r="C3" s="737" t="s">
        <v>941</v>
      </c>
      <c r="D3" s="770" t="s">
        <v>1046</v>
      </c>
    </row>
    <row r="4" spans="1:4" ht="18.45" x14ac:dyDescent="0.4">
      <c r="A4" s="1133" t="s">
        <v>927</v>
      </c>
      <c r="B4" s="1134"/>
      <c r="C4" s="737" t="s">
        <v>936</v>
      </c>
      <c r="D4" s="770" t="s">
        <v>1046</v>
      </c>
    </row>
    <row r="5" spans="1:4" ht="18.45" x14ac:dyDescent="0.4">
      <c r="A5" s="1133" t="s">
        <v>712</v>
      </c>
      <c r="B5" s="1134"/>
      <c r="C5" s="737" t="s">
        <v>1063</v>
      </c>
      <c r="D5" s="770" t="s">
        <v>1046</v>
      </c>
    </row>
    <row r="6" spans="1:4" ht="18.45" x14ac:dyDescent="0.4">
      <c r="A6" s="1134" t="s">
        <v>989</v>
      </c>
      <c r="B6" s="1135"/>
      <c r="C6" s="737" t="s">
        <v>418</v>
      </c>
      <c r="D6" s="770" t="s">
        <v>1046</v>
      </c>
    </row>
    <row r="7" spans="1:4" ht="18.45" x14ac:dyDescent="0.4">
      <c r="A7" s="1134" t="s">
        <v>974</v>
      </c>
      <c r="B7" s="1135"/>
      <c r="C7" s="737">
        <v>0</v>
      </c>
      <c r="D7" s="770" t="s">
        <v>1047</v>
      </c>
    </row>
    <row r="8" spans="1:4" ht="18.45" x14ac:dyDescent="0.4">
      <c r="A8" s="1133" t="s">
        <v>973</v>
      </c>
      <c r="B8" s="1134"/>
      <c r="C8" s="737">
        <v>0</v>
      </c>
      <c r="D8" s="770" t="s">
        <v>1047</v>
      </c>
    </row>
    <row r="9" spans="1:4" ht="18.45" x14ac:dyDescent="0.4">
      <c r="A9" s="1133" t="s">
        <v>1051</v>
      </c>
      <c r="B9" s="1134"/>
      <c r="C9" s="737">
        <v>0</v>
      </c>
      <c r="D9" s="770" t="s">
        <v>1047</v>
      </c>
    </row>
    <row r="10" spans="1:4" ht="18.45" x14ac:dyDescent="0.4">
      <c r="A10" s="1133" t="s">
        <v>1060</v>
      </c>
      <c r="B10" s="1134"/>
      <c r="C10" s="771">
        <f>IFERROR(IF(C4="Wall",0,SUM(1+(C8/C13))*C7),0)</f>
        <v>0</v>
      </c>
      <c r="D10" s="770"/>
    </row>
    <row r="11" spans="1:4" ht="18.45" x14ac:dyDescent="0.4">
      <c r="A11" s="1133" t="s">
        <v>975</v>
      </c>
      <c r="B11" s="1134"/>
      <c r="C11" s="738"/>
      <c r="D11" s="770" t="s">
        <v>1047</v>
      </c>
    </row>
    <row r="12" spans="1:4" ht="18.45" x14ac:dyDescent="0.4">
      <c r="A12" s="1133" t="s">
        <v>976</v>
      </c>
      <c r="B12" s="1134"/>
      <c r="C12" s="738"/>
      <c r="D12" s="770" t="s">
        <v>1047</v>
      </c>
    </row>
    <row r="13" spans="1:4" ht="18.45" x14ac:dyDescent="0.4">
      <c r="A13" s="1133" t="s">
        <v>1050</v>
      </c>
      <c r="B13" s="1134"/>
      <c r="C13" s="737">
        <v>0</v>
      </c>
      <c r="D13" s="770" t="s">
        <v>1047</v>
      </c>
    </row>
    <row r="14" spans="1:4" ht="18.45" x14ac:dyDescent="0.4">
      <c r="A14" s="1133" t="s">
        <v>1043</v>
      </c>
      <c r="B14" s="1134"/>
      <c r="C14" s="737"/>
      <c r="D14" s="770" t="s">
        <v>1047</v>
      </c>
    </row>
    <row r="15" spans="1:4" ht="18.45" x14ac:dyDescent="0.4">
      <c r="A15" s="1133" t="s">
        <v>935</v>
      </c>
      <c r="B15" s="1134"/>
      <c r="C15" s="737"/>
      <c r="D15" s="770" t="s">
        <v>1046</v>
      </c>
    </row>
    <row r="16" spans="1:4" ht="18.45" x14ac:dyDescent="0.4">
      <c r="A16" s="1133" t="s">
        <v>962</v>
      </c>
      <c r="B16" s="1134"/>
      <c r="C16" s="739"/>
      <c r="D16" s="770" t="s">
        <v>1047</v>
      </c>
    </row>
    <row r="18" spans="1:13" ht="29.15" x14ac:dyDescent="0.4">
      <c r="A18" s="772" t="s">
        <v>952</v>
      </c>
      <c r="B18" s="83" t="s">
        <v>11</v>
      </c>
      <c r="C18" s="83" t="s">
        <v>12</v>
      </c>
      <c r="D18" s="587" t="s">
        <v>435</v>
      </c>
      <c r="E18" s="571" t="s">
        <v>436</v>
      </c>
      <c r="F18" s="581" t="s">
        <v>437</v>
      </c>
      <c r="G18" s="588" t="s">
        <v>425</v>
      </c>
      <c r="H18" s="570" t="s">
        <v>977</v>
      </c>
      <c r="I18" s="571" t="s">
        <v>715</v>
      </c>
      <c r="J18" s="570" t="s">
        <v>500</v>
      </c>
    </row>
    <row r="19" spans="1:13" x14ac:dyDescent="0.4">
      <c r="A19" s="552" t="s">
        <v>952</v>
      </c>
      <c r="B19" s="710" t="str">
        <f>IFERROR(VLOOKUP(C2,'Grab Rail Item List'!B23:F25,2,FALSE),)</f>
        <v>GR-Round 20'</v>
      </c>
      <c r="C19" s="711" t="str">
        <f>IFERROR(VLOOKUP(B19,'Grab Rail Item List'!C:D,2,FALSE),"")</f>
        <v>1-1/2" Schedule 40 Round Grab Rail 20'</v>
      </c>
      <c r="D19" s="752">
        <f>IF(B19="none",0,SUM((C8*C9)*C7))</f>
        <v>0</v>
      </c>
      <c r="E19" s="753">
        <f>IFERROR(IF(Table113[[#This Row],[Item]]="None",0,(ROUNDUP(Table113[[#This Row],[Qty (Feet)]]/(VLOOKUP(Table113[[#This Row],[Item]],'Grab Rail Item List'!C:E,3,FALSE)),0))),0)</f>
        <v>0</v>
      </c>
      <c r="F19" s="715">
        <f>IFERROR(VLOOKUP(Table113[[#This Row],[Item]],'Grab Rail Item List'!C:F,4,FALSE),0)</f>
        <v>56.62</v>
      </c>
      <c r="G19" s="716">
        <f>F19*E19</f>
        <v>0</v>
      </c>
      <c r="H19" s="720">
        <f>IFERROR(+(Table113[[#This Row],[Qty (Feet)]]*C16),0)</f>
        <v>0</v>
      </c>
      <c r="I19" s="721">
        <f>IFERROR(IF(Table113[[#This Row],[Item]]="None",0,ROUNDUP(Table113[[#This Row],[Coushion Qty LF]]/VLOOKUP(Table113[[#This Row],[Item]],'Grab Rail Item List'!C:E,3,FALSE),2)),)</f>
        <v>0</v>
      </c>
      <c r="J19" s="718">
        <f>G19+(I19*F19)</f>
        <v>0</v>
      </c>
      <c r="L19" s="773" t="s">
        <v>1049</v>
      </c>
      <c r="M19" s="774"/>
    </row>
    <row r="20" spans="1:13" x14ac:dyDescent="0.4">
      <c r="A20" s="640" t="s">
        <v>1052</v>
      </c>
      <c r="B20" s="746" t="str">
        <f>IFERROR(IF(C4="Wall","None",VLOOKUP(C2,'Grab Rail Item List'!B23:F25,2,FALSE)),"None")</f>
        <v>None</v>
      </c>
      <c r="C20" s="741" t="str">
        <f>IFERROR(VLOOKUP(B20,'Grab Rail Item List'!C:D,2,FALSE),"")</f>
        <v>None</v>
      </c>
      <c r="D20" s="754">
        <f>IF(C13=0,0,IF(B20="none",0,SUM(((1+(C8/C13))*C7)*3)))</f>
        <v>0</v>
      </c>
      <c r="E20" s="755">
        <f>IFERROR(IF(Table113[[#This Row],[Item]]="None",0,(ROUNDUP(Table113[[#This Row],[Qty (Feet)]]/(VLOOKUP(Table113[[#This Row],[Item]],'Grab Rail Item List'!C:E,3,FALSE)),0))),0)</f>
        <v>0</v>
      </c>
      <c r="F20" s="747">
        <f>IFERROR(VLOOKUP(Table113[[#This Row],[Item]],'Grab Rail Item List'!C:F,4,FALSE),0)</f>
        <v>0</v>
      </c>
      <c r="G20" s="748">
        <f>F20*E20</f>
        <v>0</v>
      </c>
      <c r="H20" s="749">
        <f>IFERROR(+(Table113[[#This Row],[Qty (Feet)]]*C16),0)</f>
        <v>0</v>
      </c>
      <c r="I20" s="750">
        <f>IFERROR(IF(Table113[[#This Row],[Item]]="None",0,ROUNDUP(Table113[[#This Row],[Coushion Qty LF]]/VLOOKUP(Table113[[#This Row],[Item]],'Grab Rail Item List'!C:E,3,FALSE),2)),)</f>
        <v>0</v>
      </c>
      <c r="J20" s="733">
        <f>G20+(I20*F20)</f>
        <v>0</v>
      </c>
    </row>
    <row r="21" spans="1:13" ht="15" thickBot="1" x14ac:dyDescent="0.45">
      <c r="A21" s="562"/>
      <c r="B21" s="562"/>
      <c r="C21" s="562"/>
      <c r="D21" s="743"/>
      <c r="E21" s="743"/>
      <c r="F21" s="674"/>
      <c r="G21" s="744">
        <f>SUM(G19:G20)</f>
        <v>0</v>
      </c>
      <c r="H21" s="745"/>
      <c r="I21" s="745"/>
      <c r="J21" s="744">
        <f>SUM(J19:J20)</f>
        <v>0</v>
      </c>
    </row>
    <row r="22" spans="1:13" ht="16.3" thickTop="1" x14ac:dyDescent="0.45">
      <c r="A22" s="565"/>
      <c r="B22" s="565"/>
      <c r="C22" s="565"/>
      <c r="D22" s="565"/>
      <c r="E22" s="565"/>
      <c r="F22" s="565"/>
      <c r="G22" s="565"/>
      <c r="H22" s="565"/>
      <c r="I22" s="565"/>
      <c r="J22" s="565"/>
    </row>
    <row r="23" spans="1:13" ht="29.15" x14ac:dyDescent="0.4">
      <c r="A23" s="740" t="s">
        <v>960</v>
      </c>
      <c r="B23" s="83" t="s">
        <v>11</v>
      </c>
      <c r="C23" s="83" t="s">
        <v>12</v>
      </c>
      <c r="D23" s="567" t="s">
        <v>435</v>
      </c>
      <c r="E23" s="568" t="s">
        <v>436</v>
      </c>
      <c r="F23" s="569" t="s">
        <v>437</v>
      </c>
      <c r="G23" s="570" t="s">
        <v>425</v>
      </c>
      <c r="H23" s="570" t="s">
        <v>501</v>
      </c>
      <c r="I23" s="571" t="s">
        <v>988</v>
      </c>
      <c r="J23" s="570" t="s">
        <v>500</v>
      </c>
    </row>
    <row r="24" spans="1:13" x14ac:dyDescent="0.4">
      <c r="A24" s="572" t="s">
        <v>948</v>
      </c>
      <c r="B24" s="710" t="str">
        <f>IFERROR(IF(C11&lt;1,"None",VLOOKUP(C2,'Grab Rail Item List'!B27:F32,2,FALSE)),"")</f>
        <v>None</v>
      </c>
      <c r="C24" s="711" t="str">
        <f>IFERROR(VLOOKUP(B24,'Grab Rail Item List'!C:D,2,FALSE),"")</f>
        <v>None</v>
      </c>
      <c r="D24" s="756">
        <f>IF(Table113[[#This Row],[Item]]="None",0,(1*C11)*$C$7)</f>
        <v>0</v>
      </c>
      <c r="E24" s="714">
        <f>IFERROR(IF(B24="none",0,('Grab Rail'!C11*'Grab Rail'!C7)),0)</f>
        <v>0</v>
      </c>
      <c r="F24" s="715">
        <f>IF(Table113[[#This Row],[Item]]="None",0,(VLOOKUP(B24,'Grab Rail Item List'!C:F,4,FALSE)))</f>
        <v>0</v>
      </c>
      <c r="G24" s="716">
        <f t="shared" ref="G24" si="0">F24*E24</f>
        <v>0</v>
      </c>
      <c r="H24" s="717">
        <f>ROUNDUP(E24*C16,0)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955</v>
      </c>
      <c r="B25" s="710" t="str">
        <f>IFERROR(IF(C12&lt;1,"None",VLOOKUP(C2,'Grab Rail Item List'!B19:F21,2,FALSE)),"")</f>
        <v>None</v>
      </c>
      <c r="C25" s="711" t="str">
        <f>IFERROR(VLOOKUP(B25,'Grab Rail Item List'!C:D,2,FALSE),"")</f>
        <v>None</v>
      </c>
      <c r="D25" s="756">
        <f>IF(Table113[[#This Row],[Item]]="None",0,(3*C12)*$C$7)</f>
        <v>0</v>
      </c>
      <c r="E25" s="714">
        <f>IFERROR(IF(B25="none",0,('Grab Rail'!C12*'Grab Rail'!C7)),0)</f>
        <v>0</v>
      </c>
      <c r="F25" s="715">
        <f>IF(Table113[[#This Row],[Item]]="None",0,(VLOOKUP(B25,'Grab Rail Item List'!C:F,4,FALSE)))</f>
        <v>0</v>
      </c>
      <c r="G25" s="716">
        <f t="shared" ref="G25:G27" si="1">F25*E25</f>
        <v>0</v>
      </c>
      <c r="H25" s="717">
        <f>ROUNDUP(E25*C16,0)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951</v>
      </c>
      <c r="B26" s="712" t="str">
        <f>IF(C14&lt;1,"none",VLOOKUP(C2,'Grab Rail Item List'!B4:F6,2,FALSE))</f>
        <v>none</v>
      </c>
      <c r="C26" s="711" t="str">
        <f>IFERROR(VLOOKUP(B26,'Grab Rail Item List'!C:D,2,FALSE),"")</f>
        <v>None</v>
      </c>
      <c r="D26" s="574"/>
      <c r="E26" s="714">
        <f>IFERROR(IF(B26="none",0,(C14*C7)),0)</f>
        <v>0</v>
      </c>
      <c r="F26" s="715">
        <f>IF(Table113[[#This Row],[Item]]="None",0,(VLOOKUP(B26,'Grab Rail Item List'!C:F,4,FALSE)))</f>
        <v>0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x14ac:dyDescent="0.4">
      <c r="A27" s="572" t="s">
        <v>949</v>
      </c>
      <c r="B27" s="741" t="str">
        <f>IFERROR(IF($C$15="No","None",VLOOKUP($C$2,'Grab Rail Item List'!$B$33:$D$36,2,FALSE)),"")</f>
        <v>GR-Round Splice</v>
      </c>
      <c r="C27" s="711" t="str">
        <f>IFERROR(VLOOKUP(B27,'Grab Rail Item List'!C:D,2,FALSE),"")</f>
        <v>Coupling Splice for  1-1/2" Round  Pipe Grab Rail</v>
      </c>
      <c r="D27" s="574"/>
      <c r="E27" s="714">
        <f>IF(Table113[[#This Row],[Item]]="None",0,IF(C8&gt;20,((_xlfn.FLOOR.MATH(C8/20))*C9)*C7,0))</f>
        <v>0</v>
      </c>
      <c r="F27" s="715">
        <f>IFERROR(IF(Table113[[#This Row],[Item]]="None",0,(VLOOKUP(B27,'Grab Rail Item List'!C:F,4,FALSE))),0)</f>
        <v>2.06</v>
      </c>
      <c r="G27" s="716">
        <f t="shared" si="1"/>
        <v>0</v>
      </c>
      <c r="H27" s="717">
        <f>ROUNDUP(E27*C17,0)</f>
        <v>0</v>
      </c>
      <c r="I27" s="714">
        <f>Table113[[#This Row],[Unit Cost]]*Table113[[#This Row],[Coushion Qty LF]]</f>
        <v>0</v>
      </c>
      <c r="J27" s="718">
        <f>G27+(I27)</f>
        <v>0</v>
      </c>
    </row>
    <row r="28" spans="1:13" ht="15" thickBot="1" x14ac:dyDescent="0.45">
      <c r="A28" s="561" t="s">
        <v>713</v>
      </c>
      <c r="B28" s="562"/>
      <c r="C28" s="561"/>
      <c r="D28" s="577"/>
      <c r="E28" s="385"/>
      <c r="F28" s="578"/>
      <c r="G28" s="719">
        <f>SUM(G24:G27)</f>
        <v>0</v>
      </c>
      <c r="H28" s="578"/>
      <c r="I28" s="719">
        <f>SUM(I24:I27)</f>
        <v>0</v>
      </c>
      <c r="J28" s="719">
        <f>SUM(J24:J27)</f>
        <v>0</v>
      </c>
    </row>
    <row r="29" spans="1:13" ht="16.75" thickTop="1" thickBot="1" x14ac:dyDescent="0.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16.3" thickTop="1" x14ac:dyDescent="0.45">
      <c r="A30" s="565"/>
      <c r="B30" s="565"/>
      <c r="C30" s="565"/>
      <c r="D30" s="565"/>
      <c r="E30" s="565"/>
      <c r="F30" s="565"/>
      <c r="G30" s="565"/>
      <c r="H30" s="565"/>
      <c r="I30" s="565"/>
      <c r="J30" s="565"/>
    </row>
    <row r="31" spans="1:13" ht="29.15" x14ac:dyDescent="0.4">
      <c r="A31" s="740" t="s">
        <v>963</v>
      </c>
      <c r="B31" s="580" t="s">
        <v>11</v>
      </c>
      <c r="C31" s="580"/>
      <c r="D31" s="580"/>
      <c r="E31" s="571" t="s">
        <v>436</v>
      </c>
      <c r="F31" s="581" t="s">
        <v>437</v>
      </c>
      <c r="G31" s="588" t="s">
        <v>425</v>
      </c>
      <c r="H31" s="570" t="s">
        <v>1096</v>
      </c>
      <c r="I31" s="571" t="s">
        <v>1097</v>
      </c>
      <c r="J31" s="570" t="s">
        <v>500</v>
      </c>
    </row>
    <row r="32" spans="1:13" ht="29.15" x14ac:dyDescent="0.4">
      <c r="A32" s="552" t="s">
        <v>956</v>
      </c>
      <c r="B32" s="710" t="str">
        <f>IF($C$4="Wall",'Grab Rail Item List'!C3,"None")</f>
        <v>Grabrail Bracket</v>
      </c>
      <c r="C32" s="713" t="str">
        <f>IF(Table113[[#This Row],[Item]]="None","",(VLOOKUP(B32,'Grab Rail Item List'!C:D,2,FALSE)))</f>
        <v>Handrail Bracket, Aluminum, Extruded, 2-1/2 Inch from Wall to center of handrail, 1-1/2 Inch drop, Round Base</v>
      </c>
      <c r="D32" s="574"/>
      <c r="E32" s="722" t="e">
        <f>IF(Table113[[#This Row],[Item]]="None",0,(((C8/C13)+1)*C7))</f>
        <v>#DIV/0!</v>
      </c>
      <c r="F32" s="723">
        <f>IF(Table113[[#This Row],[Item]]="None",0,VLOOKUP(Table113[[#This Row],[Item]],'Grab Rail Item List'!C:G,4,FALSE))</f>
        <v>12.58</v>
      </c>
      <c r="G32" s="716" t="e">
        <f>Table113[[#This Row],[Unit Cost]]*Table113[[#This Row],[Unit Count]]</f>
        <v>#DIV/0!</v>
      </c>
      <c r="H32" s="724" t="e">
        <f>IF(Table113[[#This Row],[Item]]="None","",Table113[[#This Row],[Unit Count]]*$C$16)</f>
        <v>#DIV/0!</v>
      </c>
      <c r="I32" s="725" t="str">
        <f>IFERROR(SUM(IF(Table113[[#This Row],[Item]]="none",0,VLOOKUP(Table113[[#This Row],[Item]],'Grab Rail Item List'!C:F,4,FALSE))*Table113[[#This Row],[Coushion Qty LF]]),"")</f>
        <v/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987</v>
      </c>
      <c r="B33" s="710" t="str">
        <f>IF(C4="Floor",C6,"None")</f>
        <v>None</v>
      </c>
      <c r="C33" s="713" t="str">
        <f>IF(Table113[[#This Row],[Item]]="None","",(VLOOKUP(B33,'Grab Rail Item List'!C:D,2,FALSE)))</f>
        <v/>
      </c>
      <c r="D33" s="574"/>
      <c r="E33" s="722">
        <f>IF( C13=0,0,IF(Table113[[#This Row],[Item]]="None",0,((1+(C8/C13))*C7)))</f>
        <v>0</v>
      </c>
      <c r="F33" s="723">
        <f>IF(Table113[[#This Row],[Item]]="None",0,VLOOKUP(Table113[[#This Row],[Item]],'Grab Rail Item List'!C:G,4,FALSE))</f>
        <v>0</v>
      </c>
      <c r="G33" s="715">
        <f>F33*E33</f>
        <v>0</v>
      </c>
      <c r="H33" s="724" t="str">
        <f>IF(Table113[[#This Row],[Item]]="None","",Table113[[#This Row],[Unit Count]]*$C$16)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IF($B$32="None","none",VLOOKUP(C5,'Grab Rail Item List'!B36:F37,2,FALSE))</f>
        <v>SS Concrete Wedge Anchor</v>
      </c>
      <c r="C34" s="713" t="str">
        <f>IF(Table113[[#This Row],[Item]]="None","",VLOOKUP(B34,'Grab Rail Item List'!C:D,2,FALSE))</f>
        <v>3/8"x3-3/4" 18-8 Stainless Steel Wedge Anchor</v>
      </c>
      <c r="D34" s="574"/>
      <c r="E34" s="722" t="e">
        <f>IF(Table113[[#This Row],[Item]]="None",0,VLOOKUP(Table113[[#This Row],[Item]],'Grab Rail Item List'!C:P,14,FALSE))</f>
        <v>#DIV/0!</v>
      </c>
      <c r="F34" s="723">
        <f>IF(Table113[[#This Row],[Item]]="None",0,VLOOKUP(Table113[[#This Row],[Item]],'Grab Rail Item List'!C:G,4,FALSE))</f>
        <v>2.12</v>
      </c>
      <c r="G34" s="715" t="e">
        <f t="shared" ref="G34:G39" si="2">F34*E34</f>
        <v>#DIV/0!</v>
      </c>
      <c r="H34" s="724" t="e">
        <f>IF(Table113[[#This Row],[Item]]="None","",Table113[[#This Row],[Unit Count]]*$C$16)</f>
        <v>#DIV/0!</v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ht="29.15" x14ac:dyDescent="0.4">
      <c r="A35" s="552" t="s">
        <v>990</v>
      </c>
      <c r="B35" s="710" t="str">
        <f>IF($B$32="None","none",VLOOKUP(C3,'Grab Rail Item List'!B8:F12,2,FALSE))</f>
        <v>SS W805X100 - Blk</v>
      </c>
      <c r="C35" s="713" t="str">
        <f>IF(Table113[[#This Row],[Item]]="None","",VLOOKUP(B35,'Grab Rail Item List'!C:D,2,FALSE))</f>
        <v>TR &amp; BR Screws - #10 x 5/8" Phillips Pan Head Self Drill Stainless Steel Zinc Plated - Black- One screw</v>
      </c>
      <c r="D35" s="574"/>
      <c r="E35" s="722" t="e">
        <f>IF(Table113[[#This Row],[Item]]="None",0,VLOOKUP(Table113[[#This Row],[Item]],'Grab Rail Item List'!C:P,14,FALSE))</f>
        <v>#DIV/0!</v>
      </c>
      <c r="F35" s="723">
        <f>IF(Table113[[#This Row],[Item]]="None",0,VLOOKUP(Table113[[#This Row],[Item]],'Grab Rail Item List'!C:G,4,FALSE))</f>
        <v>2.8</v>
      </c>
      <c r="G35" s="715" t="e">
        <f t="shared" si="2"/>
        <v>#DIV/0!</v>
      </c>
      <c r="H35" s="724" t="e">
        <f>IF(Table113[[#This Row],[Item]]="None","",Table113[[#This Row],[Unit Count]]*$C$16)</f>
        <v>#DIV/0!</v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IF($B$32="None","none",VLOOKUP(C3,'Grab Rail Item List'!B13:F17,2,FALSE))</f>
        <v>NC- Blk</v>
      </c>
      <c r="C36" s="713" t="str">
        <f>IF(Table113[[#This Row],[Item]]="None","",VLOOKUP(B36,'Grab Rail Item List'!C:D,2,FALSE))</f>
        <v>Nylon Bolt Cap- Black</v>
      </c>
      <c r="D36" s="574"/>
      <c r="E36" s="722" t="e">
        <f>IF(Table113[[#This Row],[Item]]="None",0,VLOOKUP(Table113[[#This Row],[Item]],'Grab Rail Item List'!C:P,14,FALSE))</f>
        <v>#DIV/0!</v>
      </c>
      <c r="F36" s="723">
        <f>IF(Table113[[#This Row],[Item]]="None",0,VLOOKUP(Table113[[#This Row],[Item]],'Grab Rail Item List'!C:G,4,FALSE))</f>
        <v>7.1279999999999996E-2</v>
      </c>
      <c r="G36" s="715" t="e">
        <f t="shared" si="2"/>
        <v>#DIV/0!</v>
      </c>
      <c r="H36" s="724" t="e">
        <f>IF(Table113[[#This Row],[Item]]="None","",Table113[[#This Row],[Unit Count]]*$C$16)</f>
        <v>#DIV/0!</v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552" t="s">
        <v>990</v>
      </c>
      <c r="B37" s="710" t="str">
        <f>IF($B$32="None","none",VLOOKUP($B$32,'Grab Rail Item List'!C:O,12,FALSE))</f>
        <v>CW POW</v>
      </c>
      <c r="C37" s="713" t="str">
        <f>IF(Table113[[#This Row],[Item]]="None","",VLOOKUP(B37,'Grab Rail Item List'!C:D,2,FALSE))</f>
        <v>Washer - Bolt Head Cover</v>
      </c>
      <c r="D37" s="574"/>
      <c r="E37" s="722" t="e">
        <f>IF(Table113[[#This Row],[Item]]="None",0,VLOOKUP(Table113[[#This Row],[Item]],'Grab Rail Item List'!C:P,14,FALSE))</f>
        <v>#DIV/0!</v>
      </c>
      <c r="F37" s="723">
        <f>IF(Table113[[#This Row],[Item]]="None",0,VLOOKUP(Table113[[#This Row],[Item]],'Grab Rail Item List'!C:G,4,FALSE))</f>
        <v>0.11799999999999999</v>
      </c>
      <c r="G37" s="715" t="e">
        <f t="shared" si="2"/>
        <v>#DIV/0!</v>
      </c>
      <c r="H37" s="724" t="e">
        <f>IF(Table113[[#This Row],[Item]]="None","",Table113[[#This Row],[Unit Count]]*$C$16)</f>
        <v>#DIV/0!</v>
      </c>
      <c r="I37" s="725" t="str">
        <f>IFERROR(SUM(IF(Table113[[#This Row],[Item]]="none",0,VLOOKUP(Table113[[#This Row],[Item]],'Grab Rail Item List'!C:F,4,FALSE))*Table113[[#This Row],[Coushion Qty LF]]),"")</f>
        <v/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IF($B$33="None","None",VLOOKUP($B$33,'Grab Rail Item List'!C:O,9,FALSE))</f>
        <v>None</v>
      </c>
      <c r="C38" s="713" t="str">
        <f>IFERROR(VLOOKUP(Table113[[#This Row],[Item]],'Grab Rail Item List'!C:F,2,FALSE),"")</f>
        <v>None</v>
      </c>
      <c r="D38" s="574"/>
      <c r="E38" s="722">
        <f>IF(Table113[[#This Row],[Item]]="None",0,VLOOKUP(Table113[[#This Row],[Item]],'Grab Rail Item List'!C:Q,15,FALSE))</f>
        <v>0</v>
      </c>
      <c r="F38" s="723">
        <f>IF(Table113[[#This Row],[Item]]="None",0,VLOOKUP(Table113[[#This Row],[Item]],'Grab Rail Item List'!C:G,4,FALSE))</f>
        <v>0</v>
      </c>
      <c r="G38" s="715">
        <f t="shared" si="2"/>
        <v>0</v>
      </c>
      <c r="H38" s="724" t="str">
        <f>IF(Table113[[#This Row],[Item]]="None","",Table113[[#This Row],[Unit Count]]*$C$16)</f>
        <v/>
      </c>
      <c r="I38" s="725" t="str">
        <f>IFERROR(SUM(IF(Table113[[#This Row],[Item]]="none",0,VLOOKUP(Table113[[#This Row],[Item]],'Grab Rail Item List'!C:F,4,FALSE))*Table113[[#This Row],[Coushion Qty LF]]),"")</f>
        <v/>
      </c>
      <c r="J38" s="718">
        <f>IFERROR(Table113[[#This Row],[Coushion Unit Count]]+Table113[[#This Row],[Extended Cost]],0)</f>
        <v>0</v>
      </c>
    </row>
    <row r="39" spans="1:10" x14ac:dyDescent="0.4">
      <c r="A39" s="687" t="s">
        <v>991</v>
      </c>
      <c r="B39" s="710" t="str">
        <f>IFERROR(IF($B$33="Core Hole","None",IF(C6="None","None",VLOOKUP(C3,'Grab Rail Item List'!B13:F17,2,FALSE))),"")</f>
        <v>None</v>
      </c>
      <c r="C39" s="713" t="str">
        <f>IFERROR(VLOOKUP(Table113[[#This Row],[Item]],'Grab Rail Item List'!C:F,2,FALSE),"")</f>
        <v>None</v>
      </c>
      <c r="D39" s="574"/>
      <c r="E39" s="722">
        <f>IFERROR(IF(Table113[[#This Row],[Item]]="None",0,VLOOKUP(Table113[[#This Row],[Item]],'Grab Rail Item List'!C:Q,15,FALSE)),0)</f>
        <v>0</v>
      </c>
      <c r="F39" s="723">
        <f>IFERROR(IF(Table113[[#This Row],[Item]]="None",0,VLOOKUP(Table113[[#This Row],[Item]],'Grab Rail Item List'!C:G,4,FALSE)),0)</f>
        <v>0</v>
      </c>
      <c r="G39" s="715">
        <f t="shared" si="2"/>
        <v>0</v>
      </c>
      <c r="H39" s="724" t="str">
        <f>IF(Table113[[#This Row],[Item]]="None","",Table113[[#This Row],[Unit Count]]*$C$16)</f>
        <v/>
      </c>
      <c r="I39" s="725" t="str">
        <f>IFERROR(SUM(IF(Table113[[#This Row],[Item]]="none",0,VLOOKUP(Table113[[#This Row],[Item]],'Grab Rail Item List'!C:F,4,FALSE))*Table113[[#This Row],[Coushion Qty LF]]),"")</f>
        <v/>
      </c>
      <c r="J39" s="718">
        <f>IFERROR(Table113[[#This Row],[Coushion Unit Count]]+Table113[[#This Row],[Extended Cost]],0)</f>
        <v>0</v>
      </c>
    </row>
    <row r="40" spans="1:10" ht="29.15" x14ac:dyDescent="0.4">
      <c r="A40" s="687" t="s">
        <v>1029</v>
      </c>
      <c r="B40" s="710" t="str">
        <f>IFERROR(IF(B27="None","None",VLOOKUP(C3,'Grab Rail Item List'!B8:F12,2,FALSE)),"")</f>
        <v>SS W805X100 - Blk</v>
      </c>
      <c r="C40" s="713" t="str">
        <f>IFERROR(IF(Table113[[#This Row],[Item]]="None","",VLOOKUP(B40,'Grab Rail Item List'!C:D,2,FALSE)),"")</f>
        <v>TR &amp; BR Screws - #10 x 5/8" Phillips Pan Head Self Drill Stainless Steel Zinc Plated - Black- One screw</v>
      </c>
      <c r="D40" s="574"/>
      <c r="E40" s="757">
        <f>IF(B27="None",0,E27*2)</f>
        <v>0</v>
      </c>
      <c r="F40" s="723">
        <f>IFERROR(IF(Table113[[#This Row],[Item]]="None",0,VLOOKUP(Table113[[#This Row],[Item]],'Grab Rail Item List'!C:G,4,FALSE)),0)</f>
        <v>2.8</v>
      </c>
      <c r="G40" s="715">
        <f t="shared" ref="G40" si="3">F40*E40</f>
        <v>0</v>
      </c>
      <c r="H40" s="726"/>
      <c r="I40" s="725">
        <f>IFERROR(SUM(IF(Table113[[#This Row],[Item]]="none",0,VLOOKUP(Table113[[#This Row],[Item]],'Grab Rail Item List'!C:F,4,FALSE))*Table113[[#This Row],[Coushion Qty LF]]),"")</f>
        <v>0</v>
      </c>
      <c r="J40" s="718">
        <f>IFERROR(Table113[[#This Row],[Coushion Unit Count]]+Table113[[#This Row],[Extended Cost]],0)</f>
        <v>0</v>
      </c>
    </row>
    <row r="41" spans="1:10" ht="15" thickBot="1" x14ac:dyDescent="0.45">
      <c r="A41" s="561"/>
      <c r="B41" s="388"/>
      <c r="C41" s="388"/>
      <c r="D41" s="389"/>
      <c r="E41" s="727"/>
      <c r="F41" s="728"/>
      <c r="G41" s="719" t="e">
        <f>SUM(G32:G40)</f>
        <v>#DIV/0!</v>
      </c>
      <c r="H41" s="727"/>
      <c r="I41" s="719">
        <f>SUM(I32:I40)</f>
        <v>0</v>
      </c>
      <c r="J41" s="719">
        <f>SUM(J32:J40)</f>
        <v>0</v>
      </c>
    </row>
    <row r="42" spans="1:10" ht="16.75" thickTop="1" thickBot="1" x14ac:dyDescent="0.5">
      <c r="A42" s="695"/>
      <c r="B42" s="695"/>
      <c r="C42" s="695"/>
      <c r="D42" s="695"/>
      <c r="E42" s="695"/>
      <c r="F42" s="695"/>
      <c r="G42" s="695"/>
      <c r="H42" s="695"/>
      <c r="I42" s="695"/>
      <c r="J42" s="695"/>
    </row>
    <row r="43" spans="1:10" ht="15" thickTop="1" x14ac:dyDescent="0.4">
      <c r="A43" s="692"/>
      <c r="B43" s="692"/>
      <c r="C43" s="692"/>
      <c r="D43" s="693"/>
      <c r="E43" s="693"/>
      <c r="F43" s="693"/>
      <c r="G43" s="693"/>
      <c r="H43" s="693"/>
      <c r="I43" s="693"/>
      <c r="J43" s="693"/>
    </row>
    <row r="44" spans="1:10" ht="29.6" x14ac:dyDescent="0.45">
      <c r="A44" s="694" t="s">
        <v>1048</v>
      </c>
      <c r="B44" s="580" t="s">
        <v>11</v>
      </c>
      <c r="C44" s="580"/>
      <c r="D44" s="571" t="s">
        <v>436</v>
      </c>
      <c r="E44" s="581" t="s">
        <v>1040</v>
      </c>
      <c r="F44" s="581" t="s">
        <v>1041</v>
      </c>
      <c r="G44" s="588" t="s">
        <v>425</v>
      </c>
      <c r="H44" s="570" t="s">
        <v>971</v>
      </c>
      <c r="I44" s="571" t="s">
        <v>972</v>
      </c>
      <c r="J44" s="570" t="s">
        <v>500</v>
      </c>
    </row>
    <row r="45" spans="1:10" x14ac:dyDescent="0.4">
      <c r="A45" s="552" t="s">
        <v>979</v>
      </c>
      <c r="B45" s="711" t="s">
        <v>964</v>
      </c>
      <c r="C45" s="711" t="s">
        <v>965</v>
      </c>
      <c r="D45" s="751">
        <f>C7*'Work Area'!G40</f>
        <v>0</v>
      </c>
      <c r="E45" s="714">
        <f>D45*'Work Area'!E40</f>
        <v>0</v>
      </c>
      <c r="F45" s="730">
        <f>'Work Area'!$D$37</f>
        <v>20.88</v>
      </c>
      <c r="G45" s="716">
        <f t="shared" ref="G45:G51" si="4">F45*E45</f>
        <v>0</v>
      </c>
      <c r="H45" s="724">
        <f t="shared" ref="H45:H51" si="5">E45*$C$16</f>
        <v>0</v>
      </c>
      <c r="I45" s="731">
        <f t="shared" ref="I45:I51" si="6">H45*F45</f>
        <v>0</v>
      </c>
      <c r="J45" s="718">
        <f t="shared" ref="J45:J51" si="7">I45+G45</f>
        <v>0</v>
      </c>
    </row>
    <row r="46" spans="1:10" x14ac:dyDescent="0.4">
      <c r="A46" s="552" t="s">
        <v>980</v>
      </c>
      <c r="B46" s="711" t="s">
        <v>964</v>
      </c>
      <c r="C46" s="711" t="s">
        <v>965</v>
      </c>
      <c r="D46" s="751">
        <f>(C11*'Work Area'!G41)*'Grab Rail'!C7</f>
        <v>0</v>
      </c>
      <c r="E46" s="714">
        <f>D46*'Work Area'!E41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981</v>
      </c>
      <c r="B47" s="711" t="s">
        <v>964</v>
      </c>
      <c r="C47" s="711" t="s">
        <v>965</v>
      </c>
      <c r="D47" s="751">
        <f>(C12*'Work Area'!G42)*'Grab Rail'!C7</f>
        <v>0</v>
      </c>
      <c r="E47" s="714">
        <f>D47*'Work Area'!E42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1054</v>
      </c>
      <c r="B48" s="711" t="s">
        <v>964</v>
      </c>
      <c r="C48" s="711" t="s">
        <v>965</v>
      </c>
      <c r="D48" s="751">
        <f>IF(C4="Wall",0,SUM(C10)*C9)</f>
        <v>0</v>
      </c>
      <c r="E48" s="714">
        <f>D48*'Work Area'!E43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1055</v>
      </c>
      <c r="B49" s="711" t="s">
        <v>964</v>
      </c>
      <c r="C49" s="711" t="s">
        <v>965</v>
      </c>
      <c r="D49" s="751">
        <f>IF(C6="Core Hole",0,C10)</f>
        <v>0</v>
      </c>
      <c r="E49" s="714">
        <f>D49*'Work Area'!E44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1056</v>
      </c>
      <c r="B50" s="711" t="s">
        <v>1053</v>
      </c>
      <c r="C50" s="711" t="s">
        <v>1057</v>
      </c>
      <c r="D50" s="751">
        <f>IF(C6="Core Hole",0,C10)</f>
        <v>0</v>
      </c>
      <c r="E50" s="714">
        <f>D50*'Work Area'!E47</f>
        <v>0</v>
      </c>
      <c r="F50" s="730">
        <f>'Work Area'!$D$37</f>
        <v>20.88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x14ac:dyDescent="0.4">
      <c r="A51" s="552" t="s">
        <v>1026</v>
      </c>
      <c r="B51" s="711" t="str">
        <f>IFERROR(VLOOKUP(C3,'Grab Rail Item List'!B42:F46,2,FALSE),"")</f>
        <v>Powder Coating - Black</v>
      </c>
      <c r="C51" s="713" t="str">
        <f>IFERROR(VLOOKUP(B51,'Grab Rail Item List'!C42:F47,2,FALSE),"")</f>
        <v>Black Powder Coating Per LF</v>
      </c>
      <c r="D51" s="732"/>
      <c r="E51" s="729">
        <f>IF(B51="None",0,SUM(D25+D24+D20+D19))</f>
        <v>0</v>
      </c>
      <c r="F51" s="730">
        <f>IFERROR(VLOOKUP(B51,'Grab Rail Item List'!C42:F47,4,FALSE),)</f>
        <v>5</v>
      </c>
      <c r="G51" s="716">
        <f t="shared" si="4"/>
        <v>0</v>
      </c>
      <c r="H51" s="724">
        <f t="shared" si="5"/>
        <v>0</v>
      </c>
      <c r="I51" s="731">
        <f t="shared" si="6"/>
        <v>0</v>
      </c>
      <c r="J51" s="718">
        <f t="shared" si="7"/>
        <v>0</v>
      </c>
    </row>
    <row r="52" spans="1:10" ht="15" thickBot="1" x14ac:dyDescent="0.45">
      <c r="A52" s="561"/>
      <c r="B52" s="734"/>
      <c r="C52" s="734"/>
      <c r="D52" s="735"/>
      <c r="E52" s="727"/>
      <c r="F52" s="728"/>
      <c r="G52" s="719">
        <f>SUM(G45:G51)</f>
        <v>0</v>
      </c>
      <c r="H52" s="727"/>
      <c r="I52" s="719">
        <f>SUM(I45:I51)</f>
        <v>0</v>
      </c>
      <c r="J52" s="719">
        <f>SUM(J45:J51)</f>
        <v>0</v>
      </c>
    </row>
    <row r="53" spans="1:10" ht="15" thickTop="1" x14ac:dyDescent="0.4"/>
    <row r="55" spans="1:10" ht="15" thickBot="1" x14ac:dyDescent="0.45">
      <c r="A55" s="561" t="s">
        <v>978</v>
      </c>
      <c r="B55" s="388"/>
      <c r="C55" s="388"/>
      <c r="D55" s="389"/>
      <c r="E55" s="387"/>
      <c r="F55" s="564"/>
      <c r="G55" s="386"/>
      <c r="H55" s="387"/>
      <c r="I55" s="564"/>
      <c r="J55" s="719">
        <f>J21+J28+J41+J52</f>
        <v>0</v>
      </c>
    </row>
    <row r="56" spans="1:10" ht="15" thickTop="1" x14ac:dyDescent="0.4"/>
  </sheetData>
  <mergeCells count="16">
    <mergeCell ref="A1:B1"/>
    <mergeCell ref="A2:B2"/>
    <mergeCell ref="A3:B3"/>
    <mergeCell ref="A12:B12"/>
    <mergeCell ref="A16:B16"/>
    <mergeCell ref="A13:B13"/>
    <mergeCell ref="A15:B15"/>
    <mergeCell ref="A8:B8"/>
    <mergeCell ref="A11:B11"/>
    <mergeCell ref="A4:B4"/>
    <mergeCell ref="A14:B14"/>
    <mergeCell ref="A6:B6"/>
    <mergeCell ref="A7:B7"/>
    <mergeCell ref="A9:B9"/>
    <mergeCell ref="A10:B10"/>
    <mergeCell ref="A5:B5"/>
  </mergeCells>
  <conditionalFormatting sqref="B34:B39">
    <cfRule type="containsText" dxfId="28" priority="30" operator="containsText" text="none">
      <formula>NOT(ISERROR(SEARCH("none",B34)))</formula>
    </cfRule>
  </conditionalFormatting>
  <conditionalFormatting sqref="E28">
    <cfRule type="expression" dxfId="27" priority="38">
      <formula>(E28-#REF!)&lt;&gt;0</formula>
    </cfRule>
  </conditionalFormatting>
  <conditionalFormatting sqref="B45:B47 B50:B51">
    <cfRule type="containsText" dxfId="26" priority="17" operator="containsText" text="none">
      <formula>NOT(ISERROR(SEARCH("none",B45)))</formula>
    </cfRule>
  </conditionalFormatting>
  <conditionalFormatting sqref="B32">
    <cfRule type="containsText" dxfId="25" priority="12" operator="containsText" text="none">
      <formula>NOT(ISERROR(SEARCH("none",B32)))</formula>
    </cfRule>
  </conditionalFormatting>
  <conditionalFormatting sqref="B33:B37">
    <cfRule type="containsText" dxfId="24" priority="10" operator="containsText" text="none">
      <formula>NOT(ISERROR(SEARCH("none",B33)))</formula>
    </cfRule>
  </conditionalFormatting>
  <conditionalFormatting sqref="B40">
    <cfRule type="containsText" dxfId="23" priority="9" operator="containsText" text="none">
      <formula>NOT(ISERROR(SEARCH("none",B40)))</formula>
    </cfRule>
  </conditionalFormatting>
  <conditionalFormatting sqref="B25">
    <cfRule type="containsText" dxfId="22" priority="8" operator="containsText" text="none">
      <formula>NOT(ISERROR(SEARCH("none",B25)))</formula>
    </cfRule>
  </conditionalFormatting>
  <conditionalFormatting sqref="B24">
    <cfRule type="containsText" dxfId="21" priority="6" operator="containsText" text="none">
      <formula>NOT(ISERROR(SEARCH("none",B24)))</formula>
    </cfRule>
  </conditionalFormatting>
  <conditionalFormatting sqref="B19:B20">
    <cfRule type="containsText" dxfId="20" priority="5" operator="containsText" text="none">
      <formula>NOT(ISERROR(SEARCH("none",B19)))</formula>
    </cfRule>
  </conditionalFormatting>
  <conditionalFormatting sqref="B27">
    <cfRule type="containsText" dxfId="19" priority="4" operator="containsText" text="none">
      <formula>NOT(ISERROR(SEARCH("none",B27)))</formula>
    </cfRule>
  </conditionalFormatting>
  <conditionalFormatting sqref="B26">
    <cfRule type="containsText" dxfId="18" priority="3" operator="containsText" text="none">
      <formula>NOT(ISERROR(SEARCH("none",B26)))</formula>
    </cfRule>
  </conditionalFormatting>
  <conditionalFormatting sqref="B48">
    <cfRule type="containsText" dxfId="17" priority="2" operator="containsText" text="none">
      <formula>NOT(ISERROR(SEARCH("none",B48)))</formula>
    </cfRule>
  </conditionalFormatting>
  <conditionalFormatting sqref="B49">
    <cfRule type="containsText" dxfId="16" priority="1" operator="containsText" text="none">
      <formula>NOT(ISERROR(SEARCH("none",B49)))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C4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C15</xm:sqref>
        </x14:dataValidation>
        <x14:dataValidation type="list" allowBlank="1" showInputMessage="1" showErrorMessage="1" xr:uid="{864C9AF2-3FD9-4CF1-9CF3-89570E8EABFA}">
          <x14:formula1>
            <xm:f>'Grab Rail Item List'!$A$64:$A$69</xm:f>
          </x14:formula1>
          <xm:sqref>C3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C6</xm:sqref>
        </x14:dataValidation>
        <x14:dataValidation type="list" allowBlank="1" showInputMessage="1" showErrorMessage="1" xr:uid="{E3E5DE60-EBBE-44FF-8A49-F62D7AB71B6C}">
          <x14:formula1>
            <xm:f>'Grab Rail Item List'!$A$59:$A$63</xm:f>
          </x14:formula1>
          <xm:sqref>C2</xm:sqref>
        </x14:dataValidation>
        <x14:dataValidation type="list" allowBlank="1" showInputMessage="1" showErrorMessage="1" xr:uid="{D5B0645A-57FA-440F-8FBA-7C8D34EE5B4D}">
          <x14:formula1>
            <xm:f>'Grab Rail Item List'!$A$70:$A$71</xm:f>
          </x14:formula1>
          <xm:sqref>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39" t="s">
        <v>908</v>
      </c>
      <c r="B1" s="392" t="s">
        <v>739</v>
      </c>
      <c r="C1" s="1136" t="str">
        <f>IF('Project Materials'!I2="","",'Project Materials'!I2)</f>
        <v/>
      </c>
      <c r="D1" s="1136"/>
      <c r="E1" s="1136"/>
      <c r="F1" s="1136"/>
      <c r="G1" s="767"/>
      <c r="H1" s="1143" t="s">
        <v>738</v>
      </c>
      <c r="I1" s="1143"/>
      <c r="J1" s="1143"/>
      <c r="K1" s="1136" t="str">
        <f>IF('Project Materials'!S2="","",'Project Materials'!S2)</f>
        <v/>
      </c>
      <c r="L1" s="1136"/>
      <c r="M1" s="1136"/>
      <c r="N1" s="1136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40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46" t="s">
        <v>896</v>
      </c>
      <c r="K3" s="1147"/>
      <c r="L3" s="1147"/>
      <c r="M3" s="1147"/>
      <c r="N3" s="1148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61" t="s">
        <v>924</v>
      </c>
      <c r="M4" s="1161"/>
      <c r="N4" s="1162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49" t="s">
        <v>905</v>
      </c>
      <c r="L5" s="1149"/>
      <c r="M5" s="1149"/>
      <c r="N5" s="1150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49" t="s">
        <v>1118</v>
      </c>
      <c r="L6" s="1149"/>
      <c r="M6" s="1149"/>
      <c r="N6" s="1150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4" t="s">
        <v>902</v>
      </c>
      <c r="E7" s="1144"/>
      <c r="F7" s="1145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4" t="s">
        <v>897</v>
      </c>
      <c r="L8" s="1144"/>
      <c r="M8" s="1144"/>
      <c r="N8" s="1145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4" t="s">
        <v>901</v>
      </c>
      <c r="E11" s="1144"/>
      <c r="F11" s="1145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58" t="s">
        <v>907</v>
      </c>
      <c r="C13" s="1159"/>
      <c r="D13" s="1159"/>
      <c r="E13" s="1159"/>
      <c r="F13" s="1160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57" t="s">
        <v>904</v>
      </c>
      <c r="E14" s="1157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41" t="s">
        <v>737</v>
      </c>
      <c r="C19" s="1137" t="str">
        <f>IF('Project Materials'!C25="","",'Project Materials'!C25)</f>
        <v/>
      </c>
      <c r="D19" s="1138" t="str">
        <f>IF('Project Materials'!C26="","",'Project Materials'!C26)</f>
        <v/>
      </c>
      <c r="E19" s="1137" t="str">
        <f>IF('Project Materials'!C27="","",'Project Materials'!C27)</f>
        <v/>
      </c>
      <c r="F19" s="1138" t="str">
        <f>IF('Project Materials'!C28="","",'Project Materials'!C28)</f>
        <v/>
      </c>
      <c r="G19" s="769" t="s">
        <v>952</v>
      </c>
      <c r="H19" s="1142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41"/>
      <c r="C20" s="1137"/>
      <c r="D20" s="1138"/>
      <c r="E20" s="1137"/>
      <c r="F20" s="1138"/>
      <c r="G20" s="769"/>
      <c r="H20" s="1142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Materials'!P25</f>
        <v>0</v>
      </c>
      <c r="D21" s="433">
        <f>'Project Materials'!P26</f>
        <v>0</v>
      </c>
      <c r="E21" s="433">
        <f>'Project Materials'!P27</f>
        <v>0</v>
      </c>
      <c r="F21" s="434">
        <f>'Project Materials'!P28</f>
        <v>0</v>
      </c>
      <c r="G21" s="434">
        <f>'Grab Rail'!C8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Materials'!Q25</f>
        <v>0</v>
      </c>
      <c r="D22" s="438">
        <f>'Project Materials'!Q26</f>
        <v>0</v>
      </c>
      <c r="E22" s="438">
        <f>'Project Materials'!Q27</f>
        <v>0</v>
      </c>
      <c r="F22" s="439">
        <f>'Project Materials'!Q28</f>
        <v>0</v>
      </c>
      <c r="G22" s="439">
        <f>'Grab Rail'!C7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46" t="s">
        <v>1117</v>
      </c>
      <c r="K23" s="1147"/>
      <c r="L23" s="1147"/>
      <c r="M23" s="1147"/>
      <c r="N23" s="1148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41" t="s">
        <v>737</v>
      </c>
      <c r="K31" s="1163" t="str">
        <f>+C19</f>
        <v/>
      </c>
      <c r="L31" s="1164" t="str">
        <f>+D19</f>
        <v/>
      </c>
      <c r="M31" s="1163" t="str">
        <f>+E19</f>
        <v/>
      </c>
      <c r="N31" s="1164" t="str">
        <f>+F19</f>
        <v/>
      </c>
      <c r="O31" s="1166" t="s">
        <v>952</v>
      </c>
      <c r="P31" s="1165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41"/>
      <c r="K32" s="1163"/>
      <c r="L32" s="1164"/>
      <c r="M32" s="1163"/>
      <c r="N32" s="1164"/>
      <c r="O32" s="1166"/>
      <c r="P32" s="1165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53"/>
      <c r="B41" s="1153"/>
      <c r="C41" s="1153"/>
      <c r="D41" s="1153"/>
      <c r="E41" s="1153"/>
      <c r="F41" s="1153"/>
      <c r="G41" s="1153"/>
      <c r="H41" s="1153"/>
      <c r="I41" s="1153"/>
      <c r="J41" s="1153"/>
      <c r="K41" s="1153"/>
      <c r="L41" s="1153"/>
      <c r="M41" s="1153"/>
      <c r="N41" s="1153"/>
      <c r="O41" s="1153"/>
      <c r="P41" s="1153"/>
      <c r="Q41" s="1153"/>
      <c r="R41" s="1153"/>
      <c r="S41" s="1153"/>
      <c r="T41" s="1153"/>
      <c r="U41" s="1154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55" t="s">
        <v>845</v>
      </c>
      <c r="C43" s="1155"/>
      <c r="D43" s="1155"/>
      <c r="E43" s="1155"/>
      <c r="F43" s="1155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52" t="s">
        <v>851</v>
      </c>
      <c r="C50" s="1152"/>
      <c r="D50" s="1152"/>
      <c r="E50" s="1152"/>
      <c r="F50" s="1152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56" t="s">
        <v>846</v>
      </c>
      <c r="D51" s="1156"/>
      <c r="E51" s="1156"/>
      <c r="F51" s="1156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51" t="s">
        <v>847</v>
      </c>
      <c r="D57" s="1151"/>
      <c r="E57" s="1151"/>
      <c r="F57" s="1151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31:K32"/>
    <mergeCell ref="L31:L32"/>
    <mergeCell ref="M31:M32"/>
    <mergeCell ref="N31:N32"/>
    <mergeCell ref="P31:P32"/>
    <mergeCell ref="O31:O32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67" t="s">
        <v>432</v>
      </c>
      <c r="B1" s="1167"/>
      <c r="C1" s="1167"/>
      <c r="D1" s="1167"/>
      <c r="E1" s="1167"/>
      <c r="G1" s="1168" t="s">
        <v>433</v>
      </c>
      <c r="H1" s="1168"/>
      <c r="I1" s="1168"/>
      <c r="J1" s="1168"/>
      <c r="K1" s="1168"/>
      <c r="M1" s="1169" t="s">
        <v>434</v>
      </c>
      <c r="N1" s="1169"/>
      <c r="O1" s="1169"/>
      <c r="P1" s="1169"/>
      <c r="Q1" s="1169"/>
      <c r="S1" s="1170" t="s">
        <v>925</v>
      </c>
      <c r="T1" s="1170"/>
      <c r="U1" s="1170"/>
      <c r="V1" s="1170"/>
      <c r="W1" s="1170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AB131" activePane="bottomRight" state="frozen"/>
      <selection pane="topRight" activeCell="D1" sqref="D1"/>
      <selection pane="bottomLeft" activeCell="A3" sqref="A3"/>
      <selection pane="bottomRight" activeCell="B141" sqref="B141:B149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Materials'!$P$25*'Project Materials'!$Q$25)/'Item List'!D44,0)</f>
        <v>0</v>
      </c>
      <c r="AI44" s="27">
        <f>ROUNDUP(('Project Materials'!$P$26*'Project Materials'!$Q$26)/'Item List'!$D$44,0)</f>
        <v>0</v>
      </c>
      <c r="AJ44" s="28">
        <f>ROUNDUP(('Project Materials'!$P$27*'Project Materials'!$Q$27)/'Item List'!$D$44,0)</f>
        <v>0</v>
      </c>
      <c r="AK44" s="256">
        <f>ROUNDUP(('Project Materials'!$P$28*'Project Materials'!$Q$28)/'Item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SP42-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SP42-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Materials'!$R$25</f>
        <v>0</v>
      </c>
      <c r="AI156" s="27">
        <f>'Project Materials'!$R$26</f>
        <v>0</v>
      </c>
      <c r="AJ156" s="28">
        <f>'Project Materials'!$R$27</f>
        <v>0</v>
      </c>
      <c r="AK156" s="256">
        <f>'Project Materials'!$R$28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Materials'!$R$25</f>
        <v>0</v>
      </c>
      <c r="AI157" s="27">
        <f>'Project Materials'!$R$26</f>
        <v>0</v>
      </c>
      <c r="AJ157" s="28">
        <f>'Project Materials'!$R$27</f>
        <v>0</v>
      </c>
      <c r="AK157" s="256">
        <f>'Project Materials'!$R$28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Materials'!$R$25</f>
        <v>0</v>
      </c>
      <c r="AI158" s="27">
        <f>'Project Materials'!$R$26</f>
        <v>0</v>
      </c>
      <c r="AJ158" s="28">
        <f>'Project Materials'!$R$27</f>
        <v>0</v>
      </c>
      <c r="AK158" s="256">
        <f>'Project Materials'!$R$28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Materials'!$R$25</f>
        <v>0</v>
      </c>
      <c r="AI159" s="27">
        <f>'Project Materials'!$R$26</f>
        <v>0</v>
      </c>
      <c r="AJ159" s="28">
        <f>'Project Materials'!$R$27</f>
        <v>0</v>
      </c>
      <c r="AK159" s="256">
        <f>'Project Materials'!$R$28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Materials'!$R$25</f>
        <v>0</v>
      </c>
      <c r="AI160" s="27">
        <f>'Project Materials'!$R$26</f>
        <v>0</v>
      </c>
      <c r="AJ160" s="28">
        <f>'Project Materials'!$R$27</f>
        <v>0</v>
      </c>
      <c r="AK160" s="256">
        <f>'Project Materials'!$R$28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Materials'!$R$25</f>
        <v>0</v>
      </c>
      <c r="AI161" s="27">
        <f>'Project Materials'!$R$26</f>
        <v>0</v>
      </c>
      <c r="AJ161" s="28">
        <f>'Project Materials'!$R$27</f>
        <v>0</v>
      </c>
      <c r="AK161" s="256">
        <f>'Project Materials'!$R$28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Materials'!$R$25</f>
        <v>0</v>
      </c>
      <c r="AI162" s="27">
        <f>'Project Materials'!$R$26</f>
        <v>0</v>
      </c>
      <c r="AJ162" s="28">
        <f>'Project Materials'!$R$27</f>
        <v>0</v>
      </c>
      <c r="AK162" s="256">
        <f>'Project Materials'!$R$28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Materials'!$R$25</f>
        <v>0</v>
      </c>
      <c r="AI163" s="27">
        <f>'Project Materials'!$R$26</f>
        <v>0</v>
      </c>
      <c r="AJ163" s="28">
        <f>'Project Materials'!$R$27</f>
        <v>0</v>
      </c>
      <c r="AK163" s="256">
        <f>'Project Materials'!$R$28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Materials'!$R$25</f>
        <v>0</v>
      </c>
      <c r="AI165" s="27">
        <f>'Project Materials'!$R$26</f>
        <v>0</v>
      </c>
      <c r="AJ165" s="28">
        <f>'Project Materials'!$R$27</f>
        <v>0</v>
      </c>
      <c r="AK165" s="256">
        <f>'Project Materials'!$R$28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Materials'!$R$25</f>
        <v>0</v>
      </c>
      <c r="AI166" s="27">
        <f>'Project Materials'!$R$26</f>
        <v>0</v>
      </c>
      <c r="AJ166" s="28">
        <f>'Project Materials'!$R$27</f>
        <v>0</v>
      </c>
      <c r="AK166" s="256">
        <f>'Project Materials'!$R$28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Materials'!$R$25</f>
        <v>0</v>
      </c>
      <c r="AI167" s="27">
        <f>'Project Materials'!$R$26</f>
        <v>0</v>
      </c>
      <c r="AJ167" s="28">
        <f>'Project Materials'!$R$27</f>
        <v>0</v>
      </c>
      <c r="AK167" s="256">
        <f>'Project Materials'!$R$28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Materials'!$K$25+'Project Materials'!$L$25))*'Project Materials'!$Q$25</f>
        <v>0</v>
      </c>
      <c r="AI168" s="27">
        <f>(('Project Materials'!$K$26+'Project Materials'!$L$26))*'Project Materials'!$Q$26</f>
        <v>0</v>
      </c>
      <c r="AJ168" s="28">
        <f>(('Project Materials'!$K$27+'Project Materials'!$L$27))*'Project Materials'!$Q$27</f>
        <v>0</v>
      </c>
      <c r="AK168" s="256">
        <f>(('Project Materials'!$K$28+'Project Materials'!$L$28))*'Project Materials'!$Q$28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Materials'!$K$25+'Project Materials'!$L$25))*'Project Materials'!$Q$25</f>
        <v>0</v>
      </c>
      <c r="AI169" s="27">
        <f>(('Project Materials'!$K$26+'Project Materials'!$L$26))*'Project Materials'!$Q$26</f>
        <v>0</v>
      </c>
      <c r="AJ169" s="28">
        <f>(('Project Materials'!$K$27+'Project Materials'!$L$27))*'Project Materials'!$Q$27</f>
        <v>0</v>
      </c>
      <c r="AK169" s="256">
        <f>(('Project Materials'!$K$28+'Project Materials'!$L$28))*'Project Materials'!$Q$28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Materials'!$K$25+'Project Materials'!$L$25))*'Project Materials'!$Q$25</f>
        <v>0</v>
      </c>
      <c r="AI170" s="27">
        <f>(('Project Materials'!$K$26+'Project Materials'!$L$26))*'Project Materials'!$Q$26</f>
        <v>0</v>
      </c>
      <c r="AJ170" s="28">
        <f>(('Project Materials'!$K$27+'Project Materials'!$L$27))*'Project Materials'!$Q$27</f>
        <v>0</v>
      </c>
      <c r="AK170" s="256">
        <f>(('Project Materials'!$K$28+'Project Materials'!$L$28))*'Project Materials'!$Q$28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Materials'!$K$25+'Project Materials'!$L$25))*'Project Materials'!$Q$25</f>
        <v>0</v>
      </c>
      <c r="AI171" s="27">
        <f>(('Project Materials'!$K$26+'Project Materials'!$L$26))*'Project Materials'!$Q$26</f>
        <v>0</v>
      </c>
      <c r="AJ171" s="28">
        <f>(('Project Materials'!$K$27+'Project Materials'!$L$27))*'Project Materials'!$Q$27</f>
        <v>0</v>
      </c>
      <c r="AK171" s="256">
        <f>(('Project Materials'!$K$28+'Project Materials'!$L$28))*'Project Materials'!$Q$28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Materials'!$N$25))*'Project Materials'!$Q$25</f>
        <v>0</v>
      </c>
      <c r="AI172" s="27">
        <f>(('Project Materials'!$N$26))*'Project Materials'!$Q$26</f>
        <v>0</v>
      </c>
      <c r="AJ172" s="28">
        <f>(('Project Materials'!$N$27))*'Project Materials'!$Q$27</f>
        <v>0</v>
      </c>
      <c r="AK172" s="256">
        <f>(('Project Materials'!$N$28))*'Project Materials'!$Q$28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Materials'!$K$25+'Project Materials'!$L$25)*'Project Materials'!$Q$25</f>
        <v>0</v>
      </c>
      <c r="AI173" s="27">
        <f>('Project Materials'!$K$26+'Project Materials'!$L$26)*'Project Materials'!$Q$26</f>
        <v>0</v>
      </c>
      <c r="AJ173" s="28">
        <f>('Project Materials'!$K$27+'Project Materials'!$L$27)*'Project Materials'!$Q$27</f>
        <v>0</v>
      </c>
      <c r="AK173" s="256">
        <f>('Project Materials'!$K$28+'Project Materials'!$L$28)*'Project Materials'!$Q$28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Materials'!$K$25+'Project Materials'!$L$25)*'Project Materials'!$Q$25</f>
        <v>0</v>
      </c>
      <c r="AI174" s="27">
        <f>('Project Materials'!$K$26+'Project Materials'!$L$26)*'Project Materials'!$Q$26</f>
        <v>0</v>
      </c>
      <c r="AJ174" s="28">
        <f>('Project Materials'!$K$27+'Project Materials'!$L$27)*'Project Materials'!$Q$27</f>
        <v>0</v>
      </c>
      <c r="AK174" s="256">
        <f>('Project Materials'!$K$28+'Project Materials'!$L$28)*'Project Materials'!$Q$28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Materials'!$K$25+'Project Materials'!$L$25)*'Project Materials'!$Q$25</f>
        <v>0</v>
      </c>
      <c r="AI175" s="27">
        <f>('Project Materials'!$K$26+'Project Materials'!$L$26)*'Project Materials'!$Q$26</f>
        <v>0</v>
      </c>
      <c r="AJ175" s="28">
        <f>('Project Materials'!$K$27+'Project Materials'!$L$27)*'Project Materials'!$Q$27</f>
        <v>0</v>
      </c>
      <c r="AK175" s="256">
        <f>('Project Materials'!$K$28+'Project Materials'!$L$28)*'Project Materials'!$Q$28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Materials'!$K$25+'Project Materials'!$L$25)*'Project Materials'!$Q$25</f>
        <v>0</v>
      </c>
      <c r="AI176" s="27">
        <f>('Project Materials'!$K$26+'Project Materials'!$L$26)*'Project Materials'!$Q$26</f>
        <v>0</v>
      </c>
      <c r="AJ176" s="28">
        <f>('Project Materials'!$K$27+'Project Materials'!$L$27)*'Project Materials'!$Q$27</f>
        <v>0</v>
      </c>
      <c r="AK176" s="256">
        <f>('Project Materials'!$K$28+'Project Materials'!$L$28)*'Project Materials'!$Q$28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Materials'!$N$25*'Project Materials'!$Q$25</f>
        <v>0</v>
      </c>
      <c r="AI177" s="27">
        <f>'Project Materials'!$N$26*'Project Materials'!$Q$26</f>
        <v>0</v>
      </c>
      <c r="AJ177" s="28">
        <f>'Project Materials'!$N$27*'Project Materials'!$Q$27</f>
        <v>0</v>
      </c>
      <c r="AK177" s="256">
        <f>'Project Materials'!$N$28*'Project Materials'!$Q$28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Materials'!$N$25*'Project Materials'!$Q$25</f>
        <v>0</v>
      </c>
      <c r="AI178" s="27">
        <f>'Project Materials'!$N$26*'Project Materials'!$Q$26</f>
        <v>0</v>
      </c>
      <c r="AJ178" s="28">
        <f>'Project Materials'!$N$27*'Project Materials'!$Q$27</f>
        <v>0</v>
      </c>
      <c r="AK178" s="256">
        <f>'Project Materials'!$N$28*'Project Materials'!$Q$28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Materials'!$N$25*'Project Materials'!$Q$25</f>
        <v>0</v>
      </c>
      <c r="AI179" s="27">
        <f>'Project Materials'!$N$26*'Project Materials'!$Q$26</f>
        <v>0</v>
      </c>
      <c r="AJ179" s="28">
        <f>'Project Materials'!$N$27*'Project Materials'!$Q$27</f>
        <v>0</v>
      </c>
      <c r="AK179" s="256">
        <f>'Project Materials'!$N$28*'Project Materials'!$Q$28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Materials'!$N$25*'Project Materials'!$Q$25</f>
        <v>0</v>
      </c>
      <c r="AI180" s="27">
        <f>'Project Materials'!$N$26*'Project Materials'!$Q$26</f>
        <v>0</v>
      </c>
      <c r="AJ180" s="28">
        <f>'Project Materials'!$N$27*'Project Materials'!$Q$27</f>
        <v>0</v>
      </c>
      <c r="AK180" s="256">
        <f>'Project Materials'!$N$28*'Project Materials'!$Q$28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Materials'!$M$25*'Project Materials'!$Q$25</f>
        <v>0</v>
      </c>
      <c r="AI181" s="27">
        <f>'Project Materials'!$M$26*'Project Materials'!$Q$26</f>
        <v>0</v>
      </c>
      <c r="AJ181" s="28">
        <f>'Project Materials'!$M$27*'Project Materials'!$Q$27</f>
        <v>0</v>
      </c>
      <c r="AK181" s="256">
        <f>'Project Materials'!$M$28*'Project Materials'!$Q$28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Materials'!$M$25*'Project Materials'!$Q$25</f>
        <v>0</v>
      </c>
      <c r="AI182" s="27">
        <f>'Project Materials'!$M$26*'Project Materials'!$Q$26</f>
        <v>0</v>
      </c>
      <c r="AJ182" s="28">
        <f>'Project Materials'!$M$27*'Project Materials'!$Q$27</f>
        <v>0</v>
      </c>
      <c r="AK182" s="256">
        <f>'Project Materials'!$M$28*'Project Materials'!$Q$28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Materials'!$M$25*'Project Materials'!$Q$25</f>
        <v>0</v>
      </c>
      <c r="AI183" s="27">
        <f>'Project Materials'!$M$26*'Project Materials'!$Q$26</f>
        <v>0</v>
      </c>
      <c r="AJ183" s="28">
        <f>'Project Materials'!$M$27*'Project Materials'!$Q$27</f>
        <v>0</v>
      </c>
      <c r="AK183" s="256">
        <f>'Project Materials'!$M$28*'Project Materials'!$Q$28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Materials'!$M$25*'Project Materials'!$Q$25</f>
        <v>0</v>
      </c>
      <c r="AI184" s="27">
        <f>'Project Materials'!$M$26*'Project Materials'!$Q$26</f>
        <v>0</v>
      </c>
      <c r="AJ184" s="28">
        <f>'Project Materials'!$M$27*'Project Materials'!$Q$27</f>
        <v>0</v>
      </c>
      <c r="AK184" s="256">
        <f>'Project Materials'!$M$28*'Project Materials'!$Q$28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Materials'!$O$25*'Project Materials'!$Q$25</f>
        <v>0</v>
      </c>
      <c r="AI186" s="27">
        <f>'Project Materials'!$O$26*'Project Materials'!$Q$26</f>
        <v>0</v>
      </c>
      <c r="AJ186" s="28">
        <f>'Project Materials'!$O$27*'Project Materials'!$Q$27</f>
        <v>0</v>
      </c>
      <c r="AK186" s="256">
        <f>'Project Materials'!$O$28*'Project Materials'!$Q$28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Materials'!$O$25*'Project Materials'!$Q$25</f>
        <v>0</v>
      </c>
      <c r="AI187" s="27">
        <f>'Project Materials'!$O$26*'Project Materials'!$Q$26</f>
        <v>0</v>
      </c>
      <c r="AJ187" s="28">
        <f>'Project Materials'!$O$27*'Project Materials'!$Q$27</f>
        <v>0</v>
      </c>
      <c r="AK187" s="256">
        <f>'Project Materials'!$O$28*'Project Materials'!$Q$28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Materials'!$O$25*'Project Materials'!$Q$25</f>
        <v>0</v>
      </c>
      <c r="AI188" s="27">
        <f>'Project Materials'!$O$26*'Project Materials'!$Q$26</f>
        <v>0</v>
      </c>
      <c r="AJ188" s="28">
        <f>'Project Materials'!$O$27*'Project Materials'!$Q$27</f>
        <v>0</v>
      </c>
      <c r="AK188" s="256">
        <f>'Project Materials'!$O$28*'Project Materials'!$Q$28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Materials'!$O$25*'Project Materials'!$Q$25</f>
        <v>0</v>
      </c>
      <c r="AI189" s="27">
        <f>'Project Materials'!$O$26*'Project Materials'!$Q$26</f>
        <v>0</v>
      </c>
      <c r="AJ189" s="28">
        <f>'Project Materials'!$O$27*'Project Materials'!$Q$27</f>
        <v>0</v>
      </c>
      <c r="AK189" s="256">
        <f>'Project Materials'!$O$28*'Project Materials'!$Q$28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Materials'!$R$25</f>
        <v>0</v>
      </c>
      <c r="AI190" s="208">
        <f>'Project Materials'!$R$26</f>
        <v>0</v>
      </c>
      <c r="AJ190" s="209">
        <f>'Project Materials'!$R$27</f>
        <v>0</v>
      </c>
      <c r="AK190" s="256">
        <f>'Project Materials'!$R$28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Materials'!$G$25+'Project Materials'!$H$25)*'Project Materials'!$Q$25)*2</f>
        <v>0</v>
      </c>
      <c r="AI192" s="27">
        <f>(('Project Materials'!$G$26+'Project Materials'!$H$26)*'Project Materials'!$Q$26)*2</f>
        <v>0</v>
      </c>
      <c r="AJ192" s="28">
        <f>(('Project Materials'!$G$27+'Project Materials'!$H$27)*'Project Materials'!$Q$27)*2</f>
        <v>0</v>
      </c>
      <c r="AK192" s="256">
        <f>(('Project Materials'!$G$28+'Project Materials'!$H$28)*'Project Materials'!$Q$28)*2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Materials'!$G$25+'Project Materials'!$H$25)*'Project Materials'!$Q$25)*2</f>
        <v>0</v>
      </c>
      <c r="AI193" s="27">
        <f>(('Project Materials'!$G$26+'Project Materials'!$H$26)*'Project Materials'!$Q$26)*2</f>
        <v>0</v>
      </c>
      <c r="AJ193" s="28">
        <f>(('Project Materials'!$G$27+'Project Materials'!$H$27)*'Project Materials'!$Q$27)*2</f>
        <v>0</v>
      </c>
      <c r="AK193" s="256">
        <f>(('Project Materials'!$G$28+'Project Materials'!$H$28)*'Project Materials'!$Q$28)*2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Materials'!$G$25+'Project Materials'!$H$25)*'Project Materials'!$Q$25)*2</f>
        <v>0</v>
      </c>
      <c r="AI194" s="27">
        <f>(('Project Materials'!$G$26+'Project Materials'!$H$26)*'Project Materials'!$Q$26)*2</f>
        <v>0</v>
      </c>
      <c r="AJ194" s="28">
        <f>(('Project Materials'!$G$27+'Project Materials'!$H$27)*'Project Materials'!$Q$27)*2</f>
        <v>0</v>
      </c>
      <c r="AK194" s="256">
        <f>(('Project Materials'!$G$28+'Project Materials'!$H$28)*'Project Materials'!$Q$28)*2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Materials'!$G$25+'Project Materials'!$H$25)*'Project Materials'!$Q$25)*2</f>
        <v>0</v>
      </c>
      <c r="AI195" s="27">
        <f>(('Project Materials'!$G$26+'Project Materials'!$H$26)*'Project Materials'!$Q$26)*2</f>
        <v>0</v>
      </c>
      <c r="AJ195" s="28">
        <f>(('Project Materials'!$G$27+'Project Materials'!$H$27)*'Project Materials'!$Q$27)*2</f>
        <v>0</v>
      </c>
      <c r="AK195" s="256">
        <f>(('Project Materials'!$G$28+'Project Materials'!$H$28)*'Project Materials'!$Q$28)*2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Materials'!$G$25+'Project Materials'!$H$25)*'Project Materials'!$Q$25)*2</f>
        <v>0</v>
      </c>
      <c r="AI196" s="27">
        <f>(('Project Materials'!$G$26+'Project Materials'!$H$26)*'Project Materials'!$Q$26)*2</f>
        <v>0</v>
      </c>
      <c r="AJ196" s="28">
        <f>(('Project Materials'!$G$27+'Project Materials'!$H$27)*'Project Materials'!$Q$27)*2</f>
        <v>0</v>
      </c>
      <c r="AK196" s="256">
        <f>(('Project Materials'!$G$28+'Project Materials'!$H$28)*'Project Materials'!$Q$28)*2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Materials'!$G$25+'Project Materials'!$H$25)*'Project Materials'!$Q$25)*2</f>
        <v>0</v>
      </c>
      <c r="AI197" s="27">
        <f>(('Project Materials'!$G$26+'Project Materials'!$H$26)*'Project Materials'!$Q$26)*2</f>
        <v>0</v>
      </c>
      <c r="AJ197" s="28">
        <f>(('Project Materials'!$G$27+'Project Materials'!$H$27)*'Project Materials'!$Q$27)*2</f>
        <v>0</v>
      </c>
      <c r="AK197" s="256">
        <f>(('Project Materials'!$G$28+'Project Materials'!$H$28)*'Project Materials'!$Q$28)*2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Materials'!$G$25+'Project Materials'!$H$25)*'Project Materials'!$Q$25)*2</f>
        <v>0</v>
      </c>
      <c r="AI198" s="27">
        <f>(('Project Materials'!$G$26+'Project Materials'!$H$26)*'Project Materials'!$Q$26)*2</f>
        <v>0</v>
      </c>
      <c r="AJ198" s="28">
        <f>(('Project Materials'!$G$27+'Project Materials'!$H$27)*'Project Materials'!$Q$27)*2</f>
        <v>0</v>
      </c>
      <c r="AK198" s="256">
        <f>(('Project Materials'!$G$28+'Project Materials'!$H$28)*'Project Materials'!$Q$28)*2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Materials'!$G$25+'Project Materials'!$H$25)*'Project Materials'!$Q$25)*2</f>
        <v>0</v>
      </c>
      <c r="AI199" s="27">
        <f>(('Project Materials'!$G$26+'Project Materials'!$H$26)*'Project Materials'!$Q$26)*2</f>
        <v>0</v>
      </c>
      <c r="AJ199" s="28">
        <f>(('Project Materials'!$G$27+'Project Materials'!$H$27)*'Project Materials'!$Q$27)*2</f>
        <v>0</v>
      </c>
      <c r="AK199" s="256">
        <f>(('Project Materials'!$G$28+'Project Materials'!$H$28)*'Project Materials'!$Q$28)*2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Materials'!$G$25+'Project Materials'!$H$25)*'Project Materials'!$Q$25)*2</f>
        <v>0</v>
      </c>
      <c r="AI200" s="27">
        <f>(('Project Materials'!$G$26+'Project Materials'!$H$26)*'Project Materials'!$Q$26)*2</f>
        <v>0</v>
      </c>
      <c r="AJ200" s="28">
        <f>(('Project Materials'!$G$27+'Project Materials'!$H$27)*'Project Materials'!$Q$27)*2</f>
        <v>0</v>
      </c>
      <c r="AK200" s="256">
        <f>(('Project Materials'!$G$28+'Project Materials'!$H$28)*'Project Materials'!$Q$28)*2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Materials'!$G$25+'Project Materials'!$H$25)*'Project Materials'!$Q$25)*2</f>
        <v>0</v>
      </c>
      <c r="AI201" s="27">
        <f>(('Project Materials'!$G$26+'Project Materials'!$H$26)*'Project Materials'!$Q$26)*2</f>
        <v>0</v>
      </c>
      <c r="AJ201" s="28">
        <f>(('Project Materials'!$G$27+'Project Materials'!$H$27)*'Project Materials'!$Q$27)*2</f>
        <v>0</v>
      </c>
      <c r="AK201" s="256">
        <f>(('Project Materials'!$G$28+'Project Materials'!$H$28)*'Project Materials'!$Q$28)*2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Materials'!$G$25+'Project Materials'!$H$25)*'Project Materials'!$Q$25)*2</f>
        <v>0</v>
      </c>
      <c r="AI202" s="27">
        <f>(('Project Materials'!$G$26+'Project Materials'!$H$26)*'Project Materials'!$Q$26)*2</f>
        <v>0</v>
      </c>
      <c r="AJ202" s="28">
        <f>(('Project Materials'!$G$27+'Project Materials'!$H$27)*'Project Materials'!$Q$27)*2</f>
        <v>0</v>
      </c>
      <c r="AK202" s="256">
        <f>(('Project Materials'!$G$28+'Project Materials'!$H$28)*'Project Materials'!$Q$28)*2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Materials'!$G$25+'Project Materials'!$H$25)*'Project Materials'!$Q$25)*2</f>
        <v>0</v>
      </c>
      <c r="AI203" s="27">
        <f>(('Project Materials'!$G$26+'Project Materials'!$H$26)*'Project Materials'!$Q$26)*2</f>
        <v>0</v>
      </c>
      <c r="AJ203" s="28">
        <f>(('Project Materials'!$G$27+'Project Materials'!$H$27)*'Project Materials'!$Q$27)*2</f>
        <v>0</v>
      </c>
      <c r="AK203" s="256">
        <f>(('Project Materials'!$G$28+'Project Materials'!$H$28)*'Project Materials'!$Q$28)*2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Materials'!$G$25+'Project Materials'!$H$25)*'Project Materials'!$Q$25)*2</f>
        <v>0</v>
      </c>
      <c r="AI204" s="27">
        <f>(('Project Materials'!$G$26+'Project Materials'!$H$26)*'Project Materials'!$Q$26)*2</f>
        <v>0</v>
      </c>
      <c r="AJ204" s="28">
        <f>(('Project Materials'!$G$27+'Project Materials'!$H$27)*'Project Materials'!$Q$27)*2</f>
        <v>0</v>
      </c>
      <c r="AK204" s="256">
        <f>(('Project Materials'!$G$28+'Project Materials'!$H$28)*'Project Materials'!$Q$28)*2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Materials'!$G$25+'Project Materials'!$H$25)*'Project Materials'!$Q$25)*2</f>
        <v>0</v>
      </c>
      <c r="AI206" s="27">
        <f>(('Project Materials'!$G$26+'Project Materials'!$H$26)*'Project Materials'!$Q$26)*2</f>
        <v>0</v>
      </c>
      <c r="AJ206" s="28">
        <f>(('Project Materials'!$G$27+'Project Materials'!$H$27)*'Project Materials'!$Q$27)*2</f>
        <v>0</v>
      </c>
      <c r="AK206" s="204">
        <f>(('Project Materials'!$G$28+'Project Materials'!$H$28)*'Project Materials'!$Q$28)*2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Materials'!$G$25+'Project Materials'!$H$25)*'Project Materials'!$Q$25)*2</f>
        <v>0</v>
      </c>
      <c r="AI207" s="27">
        <f>(('Project Materials'!$G$26+'Project Materials'!$H$26)*'Project Materials'!$Q$26)*2</f>
        <v>0</v>
      </c>
      <c r="AJ207" s="28">
        <f>(('Project Materials'!$G$27+'Project Materials'!$H$27)*'Project Materials'!$Q$27)*2</f>
        <v>0</v>
      </c>
      <c r="AK207" s="204">
        <f>(('Project Materials'!$G$28+'Project Materials'!$H$28)*'Project Materials'!$Q$28)*2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Materials'!$O$25*'Project Materials'!$Q$25)*4</f>
        <v>0</v>
      </c>
      <c r="AI210" s="27">
        <f>('Project Materials'!$O$26*'Project Materials'!$Q$26)*4</f>
        <v>0</v>
      </c>
      <c r="AJ210" s="28">
        <f>('Project Materials'!$O$27*'Project Materials'!$Q$27)*4</f>
        <v>0</v>
      </c>
      <c r="AK210" s="256">
        <f>('Project Materials'!$O$28*'Project Materials'!$Q$28)*4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Materials'!$R$25*4</f>
        <v>0</v>
      </c>
      <c r="AI211" s="27">
        <f>'Project Materials'!$R$26*4</f>
        <v>0</v>
      </c>
      <c r="AJ211" s="28">
        <f>'Project Materials'!$R$27*4</f>
        <v>0</v>
      </c>
      <c r="AK211" s="256">
        <f>'Project Materials'!$R$28*4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Materials'!$R$25*4</f>
        <v>0</v>
      </c>
      <c r="AI212" s="27">
        <f>'Project Materials'!$R$26*4</f>
        <v>0</v>
      </c>
      <c r="AJ212" s="28">
        <f>'Project Materials'!$R$27*4</f>
        <v>0</v>
      </c>
      <c r="AK212" s="256">
        <f>'Project Materials'!$R$28*4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Materials'!$R$25*4</f>
        <v>0</v>
      </c>
      <c r="AI213" s="27">
        <f>'Project Materials'!$R$26*4</f>
        <v>0</v>
      </c>
      <c r="AJ213" s="28">
        <f>'Project Materials'!$R$27*4</f>
        <v>0</v>
      </c>
      <c r="AK213" s="256">
        <f>'Project Materials'!$R$28*4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Materials'!$R$25*4</f>
        <v>0</v>
      </c>
      <c r="AI214" s="27">
        <f>'Project Materials'!$R$26*4</f>
        <v>0</v>
      </c>
      <c r="AJ214" s="28">
        <f>'Project Materials'!$R$27*4</f>
        <v>0</v>
      </c>
      <c r="AK214" s="256">
        <f>'Project Materials'!$R$28*4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Materials'!$R$25*4</f>
        <v>0</v>
      </c>
      <c r="AI215" s="27">
        <f>'Project Materials'!$R$26*4</f>
        <v>0</v>
      </c>
      <c r="AJ215" s="28">
        <f>'Project Materials'!$R$27*4</f>
        <v>0</v>
      </c>
      <c r="AK215" s="256">
        <f>'Project Materials'!$R$28*4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Materials'!$R$25*4</f>
        <v>0</v>
      </c>
      <c r="AI216" s="27">
        <f>'Project Materials'!$R$26*4</f>
        <v>0</v>
      </c>
      <c r="AJ216" s="28">
        <f>'Project Materials'!$R$27*4</f>
        <v>0</v>
      </c>
      <c r="AK216" s="256">
        <f>'Project Materials'!$R$28*4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Materials'!$R$25*4</f>
        <v>0</v>
      </c>
      <c r="AI217" s="27">
        <f>'Project Materials'!$R$26*4</f>
        <v>0</v>
      </c>
      <c r="AJ217" s="28">
        <f>'Project Materials'!$R$27*4</f>
        <v>0</v>
      </c>
      <c r="AK217" s="256">
        <f>'Project Materials'!$R$28*4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Materials'!$R$25*4</f>
        <v>0</v>
      </c>
      <c r="AI218" s="27">
        <f>'Project Materials'!$R$26*4</f>
        <v>0</v>
      </c>
      <c r="AJ218" s="28">
        <f>'Project Materials'!$R$27*4</f>
        <v>0</v>
      </c>
      <c r="AK218" s="256">
        <f>'Project Materials'!$R$28*4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Materials'!$R$25*4</f>
        <v>0</v>
      </c>
      <c r="AI219" s="27">
        <f>'Project Materials'!$R$26*4</f>
        <v>0</v>
      </c>
      <c r="AJ219" s="28">
        <f>'Project Materials'!$R$27*4</f>
        <v>0</v>
      </c>
      <c r="AK219" s="256">
        <f>'Project Materials'!$R$28*4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Materials'!$R$25*4</f>
        <v>0</v>
      </c>
      <c r="AI220" s="27">
        <f>'Project Materials'!$R$26*4</f>
        <v>0</v>
      </c>
      <c r="AJ220" s="28">
        <f>'Project Materials'!$R$27*4</f>
        <v>0</v>
      </c>
      <c r="AK220" s="256">
        <f>'Project Materials'!$R$28*4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Materials'!$R$25*4</f>
        <v>0</v>
      </c>
      <c r="AI221" s="27">
        <f>'Project Materials'!$R$26*4</f>
        <v>0</v>
      </c>
      <c r="AJ221" s="28">
        <f>'Project Materials'!$R$27*4</f>
        <v>0</v>
      </c>
      <c r="AK221" s="256">
        <f>'Project Materials'!$R$28*4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Materials'!$R$25*4</f>
        <v>0</v>
      </c>
      <c r="AI222" s="27">
        <f>'Project Materials'!$R$26*4</f>
        <v>0</v>
      </c>
      <c r="AJ222" s="28">
        <f>'Project Materials'!$R$27*4</f>
        <v>0</v>
      </c>
      <c r="AK222" s="256">
        <f>'Project Materials'!$R$28*4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Materials'!$R$25*4</f>
        <v>0</v>
      </c>
      <c r="AI223" s="27">
        <f>'Project Materials'!$R$26*4</f>
        <v>0</v>
      </c>
      <c r="AJ223" s="28">
        <f>'Project Materials'!$R$27*4</f>
        <v>0</v>
      </c>
      <c r="AK223" s="256">
        <f>'Project Materials'!$R$28*4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Materials'!$R$25*4</f>
        <v>0</v>
      </c>
      <c r="AI224" s="27">
        <f>'Project Materials'!$R$26*4</f>
        <v>0</v>
      </c>
      <c r="AJ224" s="28">
        <f>'Project Materials'!$R$27*4</f>
        <v>0</v>
      </c>
      <c r="AK224" s="256">
        <f>'Project Materials'!$R$28*4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Materials'!$R$25*4</f>
        <v>0</v>
      </c>
      <c r="AI225" s="27">
        <f>'Project Materials'!$R$26*4</f>
        <v>0</v>
      </c>
      <c r="AJ225" s="28">
        <f>'Project Materials'!$R$27*4</f>
        <v>0</v>
      </c>
      <c r="AK225" s="256">
        <f>'Project Materials'!$R$28*4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Materials'!$R$25*4</f>
        <v>0</v>
      </c>
      <c r="AI226" s="27">
        <f>'Project Materials'!$R$26*4</f>
        <v>0</v>
      </c>
      <c r="AJ226" s="28">
        <f>'Project Materials'!$R$27*4</f>
        <v>0</v>
      </c>
      <c r="AK226" s="256">
        <f>'Project Materials'!$R$28*4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Materials'!$R$25*4</f>
        <v>0</v>
      </c>
      <c r="AI227" s="27">
        <f>'Project Materials'!$R$26*4</f>
        <v>0</v>
      </c>
      <c r="AJ227" s="28">
        <f>'Project Materials'!$R$27*4</f>
        <v>0</v>
      </c>
      <c r="AK227" s="256">
        <f>'Project Materials'!$R$28*4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Materials'!$R$25*4</f>
        <v>0</v>
      </c>
      <c r="AI228" s="27">
        <f>'Project Materials'!$R$26*4</f>
        <v>0</v>
      </c>
      <c r="AJ228" s="28">
        <f>'Project Materials'!$R$27*4</f>
        <v>0</v>
      </c>
      <c r="AK228" s="256">
        <f>'Project Materials'!$R$28*4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Materials'!$R$25)-(1*'Project Materials'!$L$25))*4</f>
        <v>0</v>
      </c>
      <c r="AI229" s="27">
        <f>((2*'Project Materials'!$R$26)-(1*'Project Materials'!$L$26))*4</f>
        <v>0</v>
      </c>
      <c r="AJ229" s="28">
        <f>((2*'Project Materials'!$R$27)-(1*'Project Materials'!$L$27))*4</f>
        <v>0</v>
      </c>
      <c r="AK229" s="256">
        <f>((2*'Project Materials'!$R$28)-(1*'Project Materials'!$L$28))*4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Materials'!$R$25*5</f>
        <v>0</v>
      </c>
      <c r="AI231" s="27">
        <f>'Project Materials'!$R$26*5</f>
        <v>0</v>
      </c>
      <c r="AJ231" s="28">
        <f>'Project Materials'!$R$27*5</f>
        <v>0</v>
      </c>
      <c r="AK231" s="256">
        <f>'Project Materials'!$R$28*5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Materials'!$R$25*5</f>
        <v>0</v>
      </c>
      <c r="AI232" s="27">
        <f>'Project Materials'!$R$26*5</f>
        <v>0</v>
      </c>
      <c r="AJ232" s="28">
        <f>'Project Materials'!$R$27*5</f>
        <v>0</v>
      </c>
      <c r="AK232" s="256">
        <f>'Project Materials'!$R$28*5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Materials'!$R$25*4</f>
        <v>0</v>
      </c>
      <c r="AI233" s="27">
        <f>'Project Materials'!$R$26*4</f>
        <v>0</v>
      </c>
      <c r="AJ233" s="28">
        <f>'Project Materials'!$R$27*4</f>
        <v>0</v>
      </c>
      <c r="AK233" s="256">
        <f>'Project Materials'!$R$28*5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Materials'!$R$25*5</f>
        <v>0</v>
      </c>
      <c r="AI234" s="27">
        <f>'Project Materials'!$R$26*5</f>
        <v>0</v>
      </c>
      <c r="AJ234" s="28">
        <f>'Project Materials'!$R$27*5</f>
        <v>0</v>
      </c>
      <c r="AK234" s="256">
        <f>'Project Materials'!$R$28*5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Materials'!$R$25*2</f>
        <v>0</v>
      </c>
      <c r="AI235" s="27">
        <f>'Project Materials'!$R$26*2</f>
        <v>0</v>
      </c>
      <c r="AJ235" s="28">
        <f>'Project Materials'!$R$27*2</f>
        <v>0</v>
      </c>
      <c r="AK235" s="256">
        <f>'Project Materials'!$R$28*2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Materials'!$R$25*2</f>
        <v>0</v>
      </c>
      <c r="AI236" s="27">
        <f>'Project Materials'!$R$26*2</f>
        <v>0</v>
      </c>
      <c r="AJ236" s="28">
        <f>'Project Materials'!$R$27*2</f>
        <v>0</v>
      </c>
      <c r="AK236" s="256">
        <f>'Project Materials'!$R$28*2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Materials'!$R$25*2</f>
        <v>0</v>
      </c>
      <c r="AI237" s="27">
        <f>'Project Materials'!$R$26*2</f>
        <v>0</v>
      </c>
      <c r="AJ237" s="28">
        <f>'Project Materials'!$R$27*2</f>
        <v>0</v>
      </c>
      <c r="AK237" s="256">
        <f>'Project Materials'!$R$28*2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Materials'!$R$25*4</f>
        <v>0</v>
      </c>
      <c r="AI242" s="27">
        <f>'Project Materials'!$R$26*4</f>
        <v>0</v>
      </c>
      <c r="AJ242" s="28">
        <f>'Project Materials'!$R$27*4</f>
        <v>0</v>
      </c>
      <c r="AK242" s="255">
        <f>'Project Materials'!$R$28*4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Materials'!$G$25+'Project Materials'!$H$25)*'Project Materials'!$Q$25)*2</f>
        <v>0</v>
      </c>
      <c r="AI243" s="27">
        <f>(('Project Materials'!$G$26+'Project Materials'!$H$26)*'Project Materials'!$Q$26)*2</f>
        <v>0</v>
      </c>
      <c r="AJ243" s="28">
        <f>(('Project Materials'!$G$27+'Project Materials'!$H$27)*'Project Materials'!$Q$27)*2</f>
        <v>0</v>
      </c>
      <c r="AK243" s="255">
        <f>(('Project Materials'!$G$28+'Project Materials'!$H$28)*'Project Materials'!$Q$28)*2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Materials'!$R$25</f>
        <v>0</v>
      </c>
      <c r="AI246" s="27">
        <f>2*'Project Materials'!$R$26</f>
        <v>0</v>
      </c>
      <c r="AJ246" s="28">
        <f>2*'Project Materials'!$R$27</f>
        <v>0</v>
      </c>
      <c r="AK246" s="256">
        <f>2*'Project Materials'!$R$28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Materials'!$R$25</f>
        <v>0</v>
      </c>
      <c r="AI247" s="27">
        <f>2*'Project Materials'!$R$26</f>
        <v>0</v>
      </c>
      <c r="AJ247" s="28">
        <f>2*'Project Materials'!$R$27</f>
        <v>0</v>
      </c>
      <c r="AK247" s="256">
        <f>2*'Project Materials'!$R$28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Materials'!$R$25</f>
        <v>0</v>
      </c>
      <c r="AI248" s="27">
        <f>2*'Project Materials'!$R$26</f>
        <v>0</v>
      </c>
      <c r="AJ248" s="28">
        <f>2*'Project Materials'!$R$27</f>
        <v>0</v>
      </c>
      <c r="AK248" s="256">
        <f>2*'Project Materials'!$R$28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Materials'!$R$25</f>
        <v>0</v>
      </c>
      <c r="AI249" s="27">
        <f>'Project Materials'!$R$26</f>
        <v>0</v>
      </c>
      <c r="AJ249" s="28">
        <f>'Project Materials'!$R$27</f>
        <v>0</v>
      </c>
      <c r="AK249" s="256">
        <f>'Project Materials'!$R$28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Materials'!$R$25</f>
        <v>0</v>
      </c>
      <c r="AI250" s="27">
        <f>'Project Materials'!$R$26</f>
        <v>0</v>
      </c>
      <c r="AJ250" s="28">
        <f>'Project Materials'!$R$27</f>
        <v>0</v>
      </c>
      <c r="AK250" s="256">
        <f>'Project Materials'!$R$28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Materials'!$R$25</f>
        <v>0</v>
      </c>
      <c r="AI251" s="27">
        <f>'Project Materials'!$R$26</f>
        <v>0</v>
      </c>
      <c r="AJ251" s="28">
        <f>'Project Materials'!$R$27</f>
        <v>0</v>
      </c>
      <c r="AK251" s="256">
        <f>'Project Materials'!$R$28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Materials'!$R$25</f>
        <v>0</v>
      </c>
      <c r="AI252" s="27">
        <f>'Project Materials'!$R$26</f>
        <v>0</v>
      </c>
      <c r="AJ252" s="28">
        <f>'Project Materials'!$R$27</f>
        <v>0</v>
      </c>
      <c r="AK252" s="256">
        <f>'Project Materials'!$R$28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Materials'!$R$25</f>
        <v>0</v>
      </c>
      <c r="AI253" s="27">
        <f>2*'Project Materials'!$R$26</f>
        <v>0</v>
      </c>
      <c r="AJ253" s="28">
        <f>2*'Project Materials'!$R$27</f>
        <v>0</v>
      </c>
      <c r="AK253" s="256">
        <f>2*'Project Materials'!$R$28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Materials'!$P$25/D254),0.25)*'Project Materials'!$Q$25))),0.5)</f>
        <v>0</v>
      </c>
      <c r="AI254" s="157">
        <f>CEILING((((CEILING(('Project Materials'!$P$26/D254),0.25)*'Project Materials'!$Q$26))),0.5)</f>
        <v>0</v>
      </c>
      <c r="AJ254" s="152">
        <f>CEILING((((CEILING(('Project Materials'!$P$27/D254),0.25)*'Project Materials'!$Q$27))),0.5)</f>
        <v>0</v>
      </c>
      <c r="AK254" s="255">
        <f>CEILING((((CEILING(('Project Materials'!$P$28/D254),0.25)*'Project Materials'!$Q$28))),0.5)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Materials'!$P$25/D255),0.25)*'Project Materials'!$Q$25))),0.5)</f>
        <v>0</v>
      </c>
      <c r="AI255" s="157">
        <f>CEILING((((CEILING(('Project Materials'!$P$26/D255),0.25)*'Project Materials'!$Q$26))),0.5)</f>
        <v>0</v>
      </c>
      <c r="AJ255" s="152">
        <f>CEILING((((CEILING(('Project Materials'!$P$27/D255),0.25)*'Project Materials'!$Q$27))),0.5)</f>
        <v>0</v>
      </c>
      <c r="AK255" s="255">
        <f>CEILING((((CEILING(('Project Materials'!$P$28/D255),0.25)*'Project Materials'!$Q$28))),0.5)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Materials'!$P$25/D256),0.25)*'Project Materials'!$Q$25))),0.5)</f>
        <v>0</v>
      </c>
      <c r="AI256" s="157">
        <f>CEILING((((CEILING(('Project Materials'!$P$26/D256),0.25)*'Project Materials'!$Q$26))),0.5)</f>
        <v>0</v>
      </c>
      <c r="AJ256" s="152">
        <f>CEILING((((CEILING(('Project Materials'!$P$27/D256),0.25)*'Project Materials'!$Q$27))),0.5)</f>
        <v>0</v>
      </c>
      <c r="AK256" s="255">
        <f>CEILING((((CEILING(('Project Materials'!$P$28/D256),0.25)*'Project Materials'!$Q$28))),0.5)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Materials'!$P$25/D257),0.25)*'Project Materials'!$Q$25))),0.5)</f>
        <v>0</v>
      </c>
      <c r="AI257" s="157">
        <f>CEILING((((CEILING(('Project Materials'!$P$26/D257),0.25)*'Project Materials'!$Q$26))),0.5)</f>
        <v>0</v>
      </c>
      <c r="AJ257" s="152">
        <f>CEILING((((CEILING(('Project Materials'!$P$27/D257),0.25)*'Project Materials'!$Q$27))),0.5)</f>
        <v>0</v>
      </c>
      <c r="AK257" s="255">
        <f>CEILING((((CEILING(('Project Materials'!$P$28/D257),0.25)*'Project Materials'!$Q$28))),0.5)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Materials'!N25+'Project Materials'!M25)*'Project Materials'!$Q$25</f>
        <v>0</v>
      </c>
      <c r="AI258" s="27">
        <f>('Project Materials'!N26+'Project Materials'!M26)*'Project Materials'!$Q$26</f>
        <v>0</v>
      </c>
      <c r="AJ258" s="28">
        <f>('Project Materials'!N27+'Project Materials'!M27)*'Project Materials'!$Q$27</f>
        <v>0</v>
      </c>
      <c r="AK258" s="255">
        <f>('Project Materials'!N28+'Project Materials'!M28)*'Project Materials'!$Q$28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Materials'!$R$25</f>
        <v>0</v>
      </c>
      <c r="AI266" s="208">
        <f>'Project Materials'!$R$26</f>
        <v>0</v>
      </c>
      <c r="AJ266" s="209">
        <f>'Project Materials'!$R$27</f>
        <v>0</v>
      </c>
      <c r="AK266" s="258">
        <f>'Project Materials'!$R$28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Materials'!$R$25</f>
        <v>0</v>
      </c>
      <c r="AI267" s="208">
        <f>'Project Materials'!$R$26</f>
        <v>0</v>
      </c>
      <c r="AJ267" s="209">
        <f>'Project Materials'!$R$27</f>
        <v>0</v>
      </c>
      <c r="AK267" s="258">
        <f>'Project Materials'!$R$28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Materials'!$R$25</f>
        <v>0</v>
      </c>
      <c r="AI268" s="208">
        <f>'Project Materials'!$R$26</f>
        <v>0</v>
      </c>
      <c r="AJ268" s="209">
        <f>'Project Materials'!$R$27</f>
        <v>0</v>
      </c>
      <c r="AK268" s="258">
        <f>'Project Materials'!$R$28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Materials'!$R$25</f>
        <v>0</v>
      </c>
      <c r="AI269" s="208">
        <f>'Project Materials'!$R$26</f>
        <v>0</v>
      </c>
      <c r="AJ269" s="209">
        <f>'Project Materials'!$R$27</f>
        <v>0</v>
      </c>
      <c r="AK269" s="258">
        <f>'Project Materials'!$R$28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Materials'!R25</f>
        <v>0</v>
      </c>
      <c r="AI271" s="245">
        <f>'Project Materials'!R26</f>
        <v>0</v>
      </c>
      <c r="AJ271" s="244">
        <f>'Project Materials'!R27</f>
        <v>0</v>
      </c>
      <c r="AK271" s="246">
        <f>'Project Materials'!R28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Materials'!$P$25/D272),0.25)*'Project Materials'!$Q$25))),0.5)</f>
        <v>0</v>
      </c>
      <c r="AI272" s="244">
        <f>CEILING((((CEILING(('Project Materials'!$P$26/D272),0.25)*'Project Materials'!$Q$26))),0.5)</f>
        <v>0</v>
      </c>
      <c r="AJ272" s="244">
        <f>CEILING((((CEILING(('Project Materials'!$P$27/D272),0.25)*'Project Materials'!$Q$27))),0.5)</f>
        <v>0</v>
      </c>
      <c r="AK272" s="245">
        <f>CEILING((((CEILING(('Project Materials'!$P$28/D272),0.25)*'Project Materials'!$Q$28))),0.5)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Materials'!$P$25/D273),0.25)*'Project Materials'!$Q$25))),0.5)</f>
        <v>0</v>
      </c>
      <c r="AI273" s="244">
        <f>CEILING((((CEILING(('Project Materials'!$P$26/D273),0.25)*'Project Materials'!$Q$26))),0.5)</f>
        <v>0</v>
      </c>
      <c r="AJ273" s="244">
        <f>CEILING((((CEILING(('Project Materials'!$P$27/D273),0.25)*'Project Materials'!$Q$27))),0.5)</f>
        <v>0</v>
      </c>
      <c r="AK273" s="245">
        <f>CEILING((((CEILING(('Project Materials'!$P$28/D273),0.25)*'Project Materials'!$Q$28))),0.5)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Materials'!$P$25/D274),0.25)*'Project Materials'!$Q$25))),0.5)</f>
        <v>0</v>
      </c>
      <c r="AI274" s="244">
        <f>CEILING((((CEILING(('Project Materials'!$P$26/D274),0.25)*'Project Materials'!$Q$26))),0.5)</f>
        <v>0</v>
      </c>
      <c r="AJ274" s="244">
        <f>CEILING((((CEILING(('Project Materials'!$P$27/D274),0.25)*'Project Materials'!$Q$27))),0.5)</f>
        <v>0</v>
      </c>
      <c r="AK274" s="245">
        <f>CEILING((((CEILING(('Project Materials'!$P$28/D274),0.25)*'Project Materials'!$Q$28))),0.5)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Materials'!$P$25/D275),0.25)*'Project Materials'!$Q$25))),0.5)</f>
        <v>0</v>
      </c>
      <c r="AI275" s="244">
        <f>CEILING((((CEILING(('Project Materials'!$P$26/D275),0.25)*'Project Materials'!$Q$26))),0.5)</f>
        <v>0</v>
      </c>
      <c r="AJ275" s="244">
        <f>CEILING((((CEILING(('Project Materials'!$P$27/D275),0.25)*'Project Materials'!$Q$27))),0.5)</f>
        <v>0</v>
      </c>
      <c r="AK275" s="245">
        <f>CEILING((((CEILING(('Project Materials'!$P$28/D275),0.25)*'Project Materials'!$Q$28))),0.5)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Materials'!$R$25)*2)+(IF('Area A'!B5="TR375 Blk",'Project Materials'!$R$25,0)))</f>
        <v>0</v>
      </c>
      <c r="AI276" s="27">
        <f>((('Project Materials'!$R$26)*2)+(IF('Area B'!B5="TR375 Blk",'Project Materials'!$R$26,0)))</f>
        <v>0</v>
      </c>
      <c r="AJ276" s="28">
        <f>((('Project Materials'!$R$27)*2)+(IF('Area C'!B5="TR375 Blk",'Project Materials'!$R$27,0)))</f>
        <v>0</v>
      </c>
      <c r="AK276" s="200">
        <f>((('Project Materials'!$R$28)*2)+(IF('Area D'!B5="TR375 Blk",'Project Materials'!$R$28,0)))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Materials'!$R$25)*2</f>
        <v>0</v>
      </c>
      <c r="AI277" s="27">
        <f>('Project Materials'!$R$26)*2</f>
        <v>0</v>
      </c>
      <c r="AJ277" s="28">
        <f>('Project Materials'!$R$27)*2</f>
        <v>0</v>
      </c>
      <c r="AK277" s="200">
        <f>('Project Materials'!$R$28)*2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Materials'!$R$25)*2</f>
        <v>0</v>
      </c>
      <c r="AI278" s="27">
        <f>('Project Materials'!$R$26)*2</f>
        <v>0</v>
      </c>
      <c r="AJ278" s="28">
        <f>('Project Materials'!$R$27)*2</f>
        <v>0</v>
      </c>
      <c r="AK278" s="200">
        <f>('Project Materials'!$R$28)*2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Materials'!$R$25)-(1*('Project Materials'!$L$25*'Project Materials'!$Q$25)))</f>
        <v>0</v>
      </c>
      <c r="AI290" s="27">
        <f>((2*'Project Materials'!$R$26)-(1*('Project Materials'!$L$26*'Project Materials'!$Q$26)))</f>
        <v>0</v>
      </c>
      <c r="AJ290" s="28">
        <f>((2*'Project Materials'!$R$27)-(1*('Project Materials'!$L$27*'Project Materials'!$Q$27)))</f>
        <v>0</v>
      </c>
      <c r="AK290" s="200">
        <f>((2*'Project Materials'!$R$28)-(1*('Project Materials'!$L$28*'Project Materials'!$Q$28)))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Materials'!$R$25)-(1*('Project Materials'!$L$25*'Project Materials'!$Q$25)))</f>
        <v>0</v>
      </c>
      <c r="AI291" s="27">
        <f>((2*'Project Materials'!$R$26)-(1*('Project Materials'!$L$26*'Project Materials'!$Q$26)))</f>
        <v>0</v>
      </c>
      <c r="AJ291" s="28">
        <f>((2*'Project Materials'!$R$27)-(1*('Project Materials'!$L$27*'Project Materials'!$Q$27)))</f>
        <v>0</v>
      </c>
      <c r="AK291" s="200">
        <f>((2*'Project Materials'!$R$28)-(1*('Project Materials'!$L$28*'Project Materials'!$Q$28)))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Materials'!$R$25)-(1*('Project Materials'!$L$25*'Project Materials'!$Q$25)))</f>
        <v>0</v>
      </c>
      <c r="AI292" s="27">
        <f>((2*'Project Materials'!$R$26)-(1*('Project Materials'!$L$26*'Project Materials'!$Q$26)))</f>
        <v>0</v>
      </c>
      <c r="AJ292" s="28">
        <f>((2*'Project Materials'!$R$27)-(1*('Project Materials'!$L$27*'Project Materials'!$Q$27)))</f>
        <v>0</v>
      </c>
      <c r="AK292" s="200">
        <f>((2*'Project Materials'!$R$28)-(1*('Project Materials'!$L$28*'Project Materials'!$Q$28)))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Materials'!$R$25)-(1*('Project Materials'!$L$25*'Project Materials'!$Q$25)))</f>
        <v>0</v>
      </c>
      <c r="AI293" s="27">
        <f>((2*'Project Materials'!$R$26)-(1*('Project Materials'!$L$26*'Project Materials'!$Q$26)))</f>
        <v>0</v>
      </c>
      <c r="AJ293" s="28">
        <f>((2*'Project Materials'!$R$27)-(1*('Project Materials'!$L$27*'Project Materials'!$Q$27)))</f>
        <v>0</v>
      </c>
      <c r="AK293" s="200">
        <f>((2*'Project Materials'!$R$28)-(1*('Project Materials'!$L$28*'Project Materials'!$Q$28)))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Materials'!$R$25)-(1*('Project Materials'!$L$25*'Project Materials'!$Q$25)))</f>
        <v>0</v>
      </c>
      <c r="AI294" s="27">
        <f>((2*'Project Materials'!$R$26)-(1*('Project Materials'!$L$26*'Project Materials'!$Q$26)))</f>
        <v>0</v>
      </c>
      <c r="AJ294" s="28">
        <f>((2*'Project Materials'!$R$27)-(1*('Project Materials'!$L$27*'Project Materials'!$Q$27)))</f>
        <v>0</v>
      </c>
      <c r="AK294" s="200">
        <f>((2*'Project Materials'!$R$28)-(1*('Project Materials'!$L$28*'Project Materials'!$Q$28)))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Materials'!$P$25*'Project Materials'!$Q$25)*3</f>
        <v>0</v>
      </c>
      <c r="AI295" s="260">
        <f>('Project Materials'!$P$26*'Project Materials'!$Q$26)*3</f>
        <v>0</v>
      </c>
      <c r="AJ295" s="261">
        <f>('Project Materials'!$P$27*'Project Materials'!$Q$27)*3</f>
        <v>0</v>
      </c>
      <c r="AK295" s="262">
        <f>('Project Materials'!$P$28*'Project Materials'!$Q$28)*3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Materials'!$P$25*'Project Materials'!$Q$25)*3</f>
        <v>0</v>
      </c>
      <c r="AI296" s="260">
        <f>('Project Materials'!$P$26*'Project Materials'!$Q$26)*3</f>
        <v>0</v>
      </c>
      <c r="AJ296" s="261">
        <f>('Project Materials'!$P$27*'Project Materials'!$Q$27)*3</f>
        <v>0</v>
      </c>
      <c r="AK296" s="262">
        <f>('Project Materials'!$P$28*'Project Materials'!$Q$28)*3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Materials'!$P$25*'Project Materials'!$Q$25)*3</f>
        <v>0</v>
      </c>
      <c r="AI297" s="260">
        <f>('Project Materials'!$P$26*'Project Materials'!$Q$26)*3</f>
        <v>0</v>
      </c>
      <c r="AJ297" s="261">
        <f>('Project Materials'!$P$27*'Project Materials'!$Q$27)*3</f>
        <v>0</v>
      </c>
      <c r="AK297" s="262">
        <f>('Project Materials'!$P$28*'Project Materials'!$Q$28)*3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Materials'!$P$25*'Project Materials'!$Q$25)*3</f>
        <v>0</v>
      </c>
      <c r="AI298" s="260">
        <f>('Project Materials'!$P$26*'Project Materials'!$Q$26)*3</f>
        <v>0</v>
      </c>
      <c r="AJ298" s="261">
        <f>('Project Materials'!$P$27*'Project Materials'!$Q$27)*3</f>
        <v>0</v>
      </c>
      <c r="AK298" s="262">
        <f>('Project Materials'!$P$28*'Project Materials'!$Q$28)*3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Materials'!$P$25*'Project Materials'!$Q$25)*3</f>
        <v>0</v>
      </c>
      <c r="AI299" s="260">
        <f>('Project Materials'!$P$26*'Project Materials'!$Q$26)*3</f>
        <v>0</v>
      </c>
      <c r="AJ299" s="261">
        <f>('Project Materials'!$P$27*'Project Materials'!$Q$27)*3</f>
        <v>0</v>
      </c>
      <c r="AK299" s="262">
        <f>('Project Materials'!$P$28*'Project Materials'!$Q$28)*3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Materials'!$P$25*'Project Materials'!$Q$25)*3</f>
        <v>0</v>
      </c>
      <c r="AI300" s="260">
        <f>('Project Materials'!$P$26*'Project Materials'!$Q$26)*3</f>
        <v>0</v>
      </c>
      <c r="AJ300" s="261">
        <f>('Project Materials'!$P$27*'Project Materials'!$Q$27)*3</f>
        <v>0</v>
      </c>
      <c r="AK300" s="262">
        <f>('Project Materials'!$P$28*'Project Materials'!$Q$28)*3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Materials'!$P$25*'Project Materials'!$Q$25)*3</f>
        <v>0</v>
      </c>
      <c r="AI301" s="260">
        <f>('Project Materials'!$P$26*'Project Materials'!$Q$26)*3</f>
        <v>0</v>
      </c>
      <c r="AJ301" s="261">
        <f>('Project Materials'!$P$27*'Project Materials'!$Q$27)*3</f>
        <v>0</v>
      </c>
      <c r="AK301" s="262">
        <f>('Project Materials'!$P$28*'Project Materials'!$Q$28)*3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Materials'!$P$25*'Project Materials'!$Q$25)*3</f>
        <v>0</v>
      </c>
      <c r="AI302" s="260">
        <f>('Project Materials'!$P$26*'Project Materials'!$Q$26)*3</f>
        <v>0</v>
      </c>
      <c r="AJ302" s="261">
        <f>('Project Materials'!$P$27*'Project Materials'!$Q$27)*3</f>
        <v>0</v>
      </c>
      <c r="AK302" s="262">
        <f>('Project Materials'!$P$28*'Project Materials'!$Q$28)*3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Materials'!R25,2)</f>
        <v>0</v>
      </c>
      <c r="AI305" s="27">
        <f>ROUNDUP(0.125*'Project Materials'!R26,2)</f>
        <v>0</v>
      </c>
      <c r="AJ305" s="28">
        <f>ROUNDUP(0.125*'Project Materials'!R27,2)</f>
        <v>0</v>
      </c>
      <c r="AK305" s="200">
        <f>ROUNDUP(0.125*'Project Materials'!R28,2)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Materials'!R25</f>
        <v>0</v>
      </c>
      <c r="AI306" s="158">
        <f>'Project Materials'!R26</f>
        <v>0</v>
      </c>
      <c r="AJ306" s="153">
        <f>'Project Materials'!R27</f>
        <v>0</v>
      </c>
      <c r="AK306" s="205">
        <f>'Project Materials'!R28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Materials'!$Q$25</f>
        <v>#VALUE!</v>
      </c>
      <c r="AI316" s="27" t="e">
        <f>('Project Materials'!$H$8*'Project Materials'!$H$9)*'Project Materials'!$Q$26</f>
        <v>#VALUE!</v>
      </c>
      <c r="AJ316" s="28" t="e">
        <f>('Project Materials'!$L$8*'Project Materials'!$L$9)*'Project Materials'!$Q$27</f>
        <v>#VALUE!</v>
      </c>
      <c r="AK316" s="200" t="e">
        <f>('Project Materials'!$P$8*'Project Materials'!$P$9)*'Project Materials'!$Q$28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Materials'!$Q$25</f>
        <v>#VALUE!</v>
      </c>
      <c r="AI317" s="27" t="e">
        <f>('Project Materials'!$H$8*'Project Materials'!$H$9)*'Project Materials'!$Q$26</f>
        <v>#VALUE!</v>
      </c>
      <c r="AJ317" s="28" t="e">
        <f>('Project Materials'!$L$8*'Project Materials'!$L$9)*'Project Materials'!$Q$27</f>
        <v>#VALUE!</v>
      </c>
      <c r="AK317" s="200" t="e">
        <f>('Project Materials'!$P$8*'Project Materials'!$P$9)*'Project Materials'!$Q$28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Materials'!$Q$25</f>
        <v>#VALUE!</v>
      </c>
      <c r="AI319" s="27" t="e">
        <f>('Project Materials'!$H$8*'Project Materials'!$H$9)*'Project Materials'!$Q$26</f>
        <v>#VALUE!</v>
      </c>
      <c r="AJ319" s="28" t="e">
        <f>('Project Materials'!$L$8*'Project Materials'!$L$9)*'Project Materials'!$Q$27</f>
        <v>#VALUE!</v>
      </c>
      <c r="AK319" s="200" t="e">
        <f>('Project Materials'!$P$8*'Project Materials'!$P$9)*'Project Materials'!$Q$28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Materials'!$Q$25</f>
        <v>#VALUE!</v>
      </c>
      <c r="AI320" s="27" t="e">
        <f>('Project Materials'!$H$8*'Project Materials'!$H$9)*'Project Materials'!$Q$26</f>
        <v>#VALUE!</v>
      </c>
      <c r="AJ320" s="28" t="e">
        <f>('Project Materials'!$L$8*'Project Materials'!$L$9)*'Project Materials'!$Q$27</f>
        <v>#VALUE!</v>
      </c>
      <c r="AK320" s="200" t="e">
        <f>('Project Materials'!$P$8*'Project Materials'!$P$9)*'Project Materials'!$Q$28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Materials'!$Q$25</f>
        <v>#VALUE!</v>
      </c>
      <c r="AI321" s="27" t="e">
        <f>('Project Materials'!$H$8*'Project Materials'!$H$9)*'Project Materials'!$Q$26</f>
        <v>#VALUE!</v>
      </c>
      <c r="AJ321" s="28" t="e">
        <f>('Project Materials'!$L$8*'Project Materials'!$L$9)*'Project Materials'!$Q$27</f>
        <v>#VALUE!</v>
      </c>
      <c r="AK321" s="200" t="e">
        <f>('Project Materials'!$P$8*'Project Materials'!$P$9)*'Project Materials'!$Q$28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Materials'!$Q$25</f>
        <v>#VALUE!</v>
      </c>
      <c r="AI322" s="27" t="e">
        <f>('Project Materials'!$H$8*'Project Materials'!$H$9)*'Project Materials'!$Q$26</f>
        <v>#VALUE!</v>
      </c>
      <c r="AJ322" s="28" t="e">
        <f>('Project Materials'!$L$8*'Project Materials'!$L$9)*'Project Materials'!$Q$27</f>
        <v>#VALUE!</v>
      </c>
      <c r="AK322" s="200" t="e">
        <f>('Project Materials'!$P$8*'Project Materials'!$P$9)*'Project Materials'!$Q$28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Materials'!$Q$25</f>
        <v>#VALUE!</v>
      </c>
      <c r="AI323" s="27" t="e">
        <f>('Project Materials'!$H$8*'Project Materials'!$H$9)*'Project Materials'!$Q$26</f>
        <v>#VALUE!</v>
      </c>
      <c r="AJ323" s="28" t="e">
        <f>('Project Materials'!$L$8*'Project Materials'!$L$9)*'Project Materials'!$Q$27</f>
        <v>#VALUE!</v>
      </c>
      <c r="AK323" s="200" t="e">
        <f>('Project Materials'!$P$8*'Project Materials'!$P$9)*'Project Materials'!$Q$28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Materials'!$Q$25</f>
        <v>#VALUE!</v>
      </c>
      <c r="AI324" s="27" t="e">
        <f>('Project Materials'!$H$8*'Project Materials'!$H$9)*'Project Materials'!$Q$26</f>
        <v>#VALUE!</v>
      </c>
      <c r="AJ324" s="28" t="e">
        <f>('Project Materials'!$L$8*'Project Materials'!$L$9)*'Project Materials'!$Q$27</f>
        <v>#VALUE!</v>
      </c>
      <c r="AK324" s="200" t="e">
        <f>('Project Materials'!$P$8*'Project Materials'!$P$9)*'Project Materials'!$Q$28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Materials'!$Q$25</f>
        <v>#VALUE!</v>
      </c>
      <c r="AI325" s="27" t="e">
        <f>('Project Materials'!$H$8*'Project Materials'!$H$9)*'Project Materials'!$Q$26</f>
        <v>#VALUE!</v>
      </c>
      <c r="AJ325" s="28" t="e">
        <f>('Project Materials'!$L$8*'Project Materials'!$L$9)*'Project Materials'!$Q$27</f>
        <v>#VALUE!</v>
      </c>
      <c r="AK325" s="200" t="e">
        <f>('Project Materials'!$P$8*'Project Materials'!$P$9)*'Project Materials'!$Q$28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Materials'!$Q$25</f>
        <v>#VALUE!</v>
      </c>
      <c r="AI326" s="27" t="e">
        <f>('Project Materials'!$H$8*'Project Materials'!$H$9)*'Project Materials'!$Q$26</f>
        <v>#VALUE!</v>
      </c>
      <c r="AJ326" s="28" t="e">
        <f>('Project Materials'!$L$8*'Project Materials'!$L$9)*'Project Materials'!$Q$27</f>
        <v>#VALUE!</v>
      </c>
      <c r="AK326" s="200" t="e">
        <f>('Project Materials'!$P$8*'Project Materials'!$P$9)*'Project Materials'!$Q$28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71"/>
  <sheetViews>
    <sheetView workbookViewId="0">
      <pane xSplit="6" ySplit="2" topLeftCell="G33" activePane="bottomRight" state="frozen"/>
      <selection pane="topRight" activeCell="H1" sqref="H1"/>
      <selection pane="bottomLeft" activeCell="A2" sqref="A2"/>
      <selection pane="bottomRight" activeCell="A54" sqref="A54:XFD54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 t="e">
        <f>'Grab Rail'!$E$32</f>
        <v>#DIV/0!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 t="e">
        <f>'Grab Rail'!$E$32*2</f>
        <v>#DIV/0!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 t="e">
        <f>'Grab Rail'!$E$32*2</f>
        <v>#DIV/0!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 t="e">
        <f>'Grab Rail'!$E$32*2</f>
        <v>#DIV/0!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 t="e">
        <f>'Grab Rail'!$E$32*2</f>
        <v>#DIV/0!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 t="e">
        <f>'Grab Rail'!$E$32*2</f>
        <v>#DIV/0!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 t="e">
        <f>'Grab Rail'!$E$32</f>
        <v>#DIV/0!</v>
      </c>
      <c r="Q13" s="699">
        <f>'Grab Rail'!$E$33*4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 t="e">
        <f>'Grab Rail'!$E$32</f>
        <v>#DIV/0!</v>
      </c>
      <c r="Q14" s="699">
        <f>'Grab Rail'!$E$33*4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 t="e">
        <f>'Grab Rail'!$E$32</f>
        <v>#DIV/0!</v>
      </c>
      <c r="Q15" s="699">
        <f>'Grab Rail'!$E$33*4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 t="e">
        <f>'Grab Rail'!$E$32</f>
        <v>#DIV/0!</v>
      </c>
      <c r="Q16" s="699">
        <f>'Grab Rail'!$E$33*4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 t="e">
        <f>'Grab Rail'!$E$32</f>
        <v>#DIV/0!</v>
      </c>
      <c r="Q17" s="699">
        <f>'Grab Rail'!$E$33*4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 t="e">
        <f>'Grab Rail'!$E$32</f>
        <v>#DIV/0!</v>
      </c>
      <c r="Q36" s="699">
        <f>'Grab Rail'!E33*4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 t="e">
        <f>'Grab Rail'!$E$32</f>
        <v>#DIV/0!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Rail'!E33/4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/>
    </row>
    <row r="60" spans="1:1" x14ac:dyDescent="0.35">
      <c r="A60" s="697" t="s">
        <v>946</v>
      </c>
    </row>
    <row r="61" spans="1:1" x14ac:dyDescent="0.35">
      <c r="A61" s="697" t="s">
        <v>938</v>
      </c>
    </row>
    <row r="62" spans="1:1" x14ac:dyDescent="0.35">
      <c r="A62" s="697" t="s">
        <v>939</v>
      </c>
    </row>
    <row r="63" spans="1:1" x14ac:dyDescent="0.35">
      <c r="A63" s="697" t="s">
        <v>940</v>
      </c>
    </row>
    <row r="64" spans="1:1" x14ac:dyDescent="0.35">
      <c r="A64" s="697" t="s">
        <v>941</v>
      </c>
    </row>
    <row r="65" spans="1:1" x14ac:dyDescent="0.35">
      <c r="A65" s="697" t="s">
        <v>942</v>
      </c>
    </row>
    <row r="66" spans="1:1" x14ac:dyDescent="0.35">
      <c r="A66" s="697" t="s">
        <v>943</v>
      </c>
    </row>
    <row r="67" spans="1:1" x14ac:dyDescent="0.35">
      <c r="A67" s="697" t="s">
        <v>944</v>
      </c>
    </row>
    <row r="68" spans="1:1" x14ac:dyDescent="0.35">
      <c r="A68" s="697" t="s">
        <v>945</v>
      </c>
    </row>
    <row r="69" spans="1:1" x14ac:dyDescent="0.35">
      <c r="A69" s="697" t="s">
        <v>946</v>
      </c>
    </row>
    <row r="70" spans="1:1" x14ac:dyDescent="0.35">
      <c r="A70" s="697" t="s">
        <v>1063</v>
      </c>
    </row>
    <row r="71" spans="1:1" x14ac:dyDescent="0.35">
      <c r="A71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workbookViewId="0">
      <selection activeCell="H2" sqref="H2"/>
    </sheetView>
  </sheetViews>
  <sheetFormatPr defaultRowHeight="14.6" x14ac:dyDescent="0.4"/>
  <cols>
    <col min="1" max="1" width="23.53515625" customWidth="1"/>
    <col min="2" max="2" width="49.69140625" customWidth="1"/>
    <col min="3" max="3" width="23.84375" customWidth="1"/>
    <col min="4" max="4" width="9.3828125" customWidth="1"/>
    <col min="5" max="5" width="13.69140625" customWidth="1"/>
    <col min="6" max="6" width="54.3828125" customWidth="1"/>
    <col min="7" max="7" width="18.53515625" customWidth="1"/>
    <col min="8" max="8" width="18.3828125" customWidth="1"/>
    <col min="9" max="10" width="18.3046875" customWidth="1"/>
    <col min="11" max="11" width="18.3828125" customWidth="1"/>
  </cols>
  <sheetData>
    <row r="1" spans="1:11" ht="25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4" customHeight="1" x14ac:dyDescent="0.4">
      <c r="A2" t="s">
        <v>1149</v>
      </c>
      <c r="B2" s="863" t="s">
        <v>1165</v>
      </c>
      <c r="C2">
        <f>'Project Materials'!C25:E25</f>
        <v>0</v>
      </c>
      <c r="D2">
        <f>'Project Materials'!P25</f>
        <v>0</v>
      </c>
      <c r="E2" s="862">
        <f>'Estimate Total'!O7</f>
        <v>0</v>
      </c>
      <c r="F2" t="s">
        <v>1163</v>
      </c>
      <c r="G2">
        <f>'Auto Write Lookup'!N14</f>
        <v>0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f>'Auto Write Lookup'!O14</f>
        <v>1</v>
      </c>
    </row>
    <row r="4" spans="1:11" ht="43.75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'Estimate Total'!Q7</f>
        <v>0</v>
      </c>
      <c r="F4" s="861" t="s">
        <v>1178</v>
      </c>
      <c r="G4">
        <f>'Auto Write Lookup'!P14</f>
        <v>0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 s="864">
        <f>'Auto Write Lookup'!Q14</f>
        <v>0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'Estimate Total'!S7</f>
        <v>0</v>
      </c>
      <c r="F6" s="861" t="s">
        <v>1172</v>
      </c>
      <c r="G6" s="864">
        <f>'Auto Write Lookup'!R14</f>
        <v>0</v>
      </c>
    </row>
    <row r="7" spans="1:11" ht="49" customHeight="1" x14ac:dyDescent="0.4">
      <c r="A7" s="860"/>
      <c r="F7" s="861" t="s">
        <v>1171</v>
      </c>
      <c r="G7" s="864">
        <f>'Auto Write Lookup'!S14</f>
        <v>3</v>
      </c>
    </row>
    <row r="8" spans="1:11" x14ac:dyDescent="0.4">
      <c r="A8" s="860"/>
      <c r="B8" s="88"/>
      <c r="F8" s="861" t="s">
        <v>1161</v>
      </c>
      <c r="G8">
        <f>'Auto Write Lookup'!T14</f>
        <v>3</v>
      </c>
    </row>
    <row r="9" spans="1:11" x14ac:dyDescent="0.4">
      <c r="A9" s="860"/>
      <c r="F9" s="861" t="s">
        <v>1164</v>
      </c>
      <c r="G9">
        <f>'Auto Write Lookup'!U14</f>
        <v>1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400000000000006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6040-E2C8-4468-BD01-38831541FB3E}">
  <sheetPr>
    <tabColor theme="8"/>
  </sheetPr>
  <dimension ref="A1:BV90"/>
  <sheetViews>
    <sheetView tabSelected="1" topLeftCell="AW2" zoomScale="98" zoomScaleNormal="98" workbookViewId="0">
      <selection activeCell="BJ18" sqref="BJ18"/>
    </sheetView>
  </sheetViews>
  <sheetFormatPr defaultRowHeight="14.6" x14ac:dyDescent="0.4"/>
  <cols>
    <col min="1" max="1" width="12" style="867" bestFit="1" customWidth="1"/>
    <col min="2" max="2" width="12.69140625" style="867" customWidth="1"/>
    <col min="3" max="9" width="9.15234375" style="867"/>
    <col min="10" max="10" width="13.69140625" customWidth="1"/>
    <col min="14" max="19" width="12.84375" customWidth="1"/>
    <col min="20" max="20" width="13.15234375" customWidth="1"/>
    <col min="21" max="21" width="12.53515625" customWidth="1"/>
    <col min="28" max="28" width="11.3046875" bestFit="1" customWidth="1"/>
    <col min="29" max="29" width="11.15234375" customWidth="1"/>
    <col min="60" max="60" width="11.3828125" customWidth="1"/>
    <col min="61" max="61" width="12" customWidth="1"/>
    <col min="67" max="67" width="26.3828125" bestFit="1" customWidth="1"/>
  </cols>
  <sheetData>
    <row r="1" spans="1:74" s="871" customFormat="1" x14ac:dyDescent="0.4">
      <c r="M1" s="1173" t="s">
        <v>432</v>
      </c>
      <c r="N1" s="1173"/>
      <c r="O1" s="1173"/>
      <c r="P1" s="1173"/>
      <c r="Q1" s="1173"/>
      <c r="R1" s="1173"/>
      <c r="S1" s="1173"/>
      <c r="T1" s="1173"/>
      <c r="U1" s="1173"/>
      <c r="W1" s="1174" t="s">
        <v>433</v>
      </c>
      <c r="X1" s="1174"/>
      <c r="Y1" s="1174"/>
      <c r="Z1" s="1174"/>
      <c r="AA1" s="1174"/>
      <c r="AB1" s="1174"/>
      <c r="AC1" s="1174"/>
      <c r="AD1" s="1174"/>
      <c r="AE1" s="1174"/>
      <c r="AG1" s="1175" t="s">
        <v>434</v>
      </c>
      <c r="AH1" s="1175"/>
      <c r="AI1" s="1175"/>
      <c r="AJ1" s="1175"/>
      <c r="AK1" s="1175"/>
      <c r="AL1" s="1175"/>
      <c r="AM1" s="1175"/>
      <c r="AN1" s="1175"/>
      <c r="AO1" s="1175"/>
      <c r="AQ1" s="1176" t="s">
        <v>925</v>
      </c>
      <c r="AR1" s="1176"/>
      <c r="AS1" s="1176"/>
      <c r="AT1" s="1176"/>
      <c r="AU1" s="1176"/>
      <c r="AV1" s="1176"/>
      <c r="AW1" s="1176"/>
      <c r="AX1" s="1176"/>
      <c r="AY1" s="1176"/>
      <c r="BA1" s="1177" t="s">
        <v>952</v>
      </c>
      <c r="BB1" s="1177"/>
      <c r="BC1" s="1177"/>
      <c r="BD1" s="1177"/>
      <c r="BE1" s="1177"/>
      <c r="BF1" s="1177"/>
      <c r="BG1" s="1177"/>
      <c r="BH1" s="1177"/>
      <c r="BI1" s="1177"/>
    </row>
    <row r="2" spans="1:74" s="866" customFormat="1" x14ac:dyDescent="0.4">
      <c r="A2" s="866" t="s">
        <v>1188</v>
      </c>
      <c r="B2" s="1172" t="s">
        <v>1163</v>
      </c>
      <c r="C2" s="1172"/>
      <c r="D2" s="1172"/>
      <c r="E2" s="1172"/>
      <c r="F2" s="1172"/>
      <c r="G2" s="1172"/>
      <c r="H2" s="1172"/>
      <c r="I2" s="867"/>
      <c r="M2" s="287"/>
      <c r="N2" s="287" t="s">
        <v>1188</v>
      </c>
      <c r="O2" s="287" t="s">
        <v>5</v>
      </c>
      <c r="P2" s="287" t="s">
        <v>6</v>
      </c>
      <c r="Q2" s="287" t="s">
        <v>0</v>
      </c>
      <c r="R2" s="287" t="s">
        <v>413</v>
      </c>
      <c r="S2" s="287" t="s">
        <v>1181</v>
      </c>
      <c r="T2" s="287" t="s">
        <v>1183</v>
      </c>
      <c r="U2" s="287" t="s">
        <v>1182</v>
      </c>
      <c r="V2" s="287"/>
      <c r="W2" s="287"/>
      <c r="X2" s="287" t="s">
        <v>1188</v>
      </c>
      <c r="Y2" s="287" t="s">
        <v>5</v>
      </c>
      <c r="Z2" s="287" t="s">
        <v>6</v>
      </c>
      <c r="AA2" s="287" t="s">
        <v>0</v>
      </c>
      <c r="AB2" s="287" t="s">
        <v>413</v>
      </c>
      <c r="AC2" s="287" t="s">
        <v>1181</v>
      </c>
      <c r="AD2" s="287" t="s">
        <v>1183</v>
      </c>
      <c r="AE2" s="287" t="s">
        <v>1182</v>
      </c>
      <c r="AG2" s="287"/>
      <c r="AH2" s="287" t="s">
        <v>1188</v>
      </c>
      <c r="AI2" s="287" t="s">
        <v>5</v>
      </c>
      <c r="AJ2" s="287" t="s">
        <v>6</v>
      </c>
      <c r="AK2" s="287" t="s">
        <v>0</v>
      </c>
      <c r="AL2" s="287" t="s">
        <v>413</v>
      </c>
      <c r="AM2" s="287" t="s">
        <v>1181</v>
      </c>
      <c r="AN2" s="287" t="s">
        <v>1183</v>
      </c>
      <c r="AO2" s="287" t="s">
        <v>1182</v>
      </c>
      <c r="AQ2" s="287"/>
      <c r="AR2" s="287" t="s">
        <v>1188</v>
      </c>
      <c r="AS2" s="287" t="s">
        <v>5</v>
      </c>
      <c r="AT2" s="287" t="s">
        <v>6</v>
      </c>
      <c r="AU2" s="287" t="s">
        <v>0</v>
      </c>
      <c r="AV2" s="287" t="s">
        <v>413</v>
      </c>
      <c r="AW2" s="287" t="s">
        <v>1181</v>
      </c>
      <c r="AX2" s="287" t="s">
        <v>1183</v>
      </c>
      <c r="AY2" s="287" t="s">
        <v>1182</v>
      </c>
      <c r="BA2" s="287"/>
      <c r="BB2" s="287" t="s">
        <v>1188</v>
      </c>
      <c r="BC2" s="287" t="s">
        <v>5</v>
      </c>
      <c r="BD2" s="287" t="s">
        <v>1202</v>
      </c>
      <c r="BE2" s="287" t="s">
        <v>1203</v>
      </c>
      <c r="BF2" s="287" t="s">
        <v>1204</v>
      </c>
      <c r="BG2" s="287" t="s">
        <v>1206</v>
      </c>
      <c r="BH2" s="287" t="s">
        <v>1183</v>
      </c>
      <c r="BI2" s="287" t="s">
        <v>1182</v>
      </c>
      <c r="BO2" s="871" t="s">
        <v>1188</v>
      </c>
      <c r="BP2" s="1172" t="s">
        <v>1163</v>
      </c>
      <c r="BQ2" s="1172"/>
      <c r="BR2" s="1172"/>
      <c r="BS2" s="1172"/>
      <c r="BT2" s="1172"/>
      <c r="BU2" s="1172"/>
      <c r="BV2" s="1172"/>
    </row>
    <row r="3" spans="1:74" ht="47.25" customHeight="1" x14ac:dyDescent="0.4">
      <c r="A3" t="s">
        <v>5</v>
      </c>
      <c r="B3" s="1171" t="s">
        <v>1162</v>
      </c>
      <c r="C3" s="1171"/>
      <c r="D3" s="1171"/>
      <c r="E3" s="1171"/>
      <c r="F3" s="1171"/>
      <c r="G3" s="1171"/>
      <c r="H3" s="1171"/>
      <c r="J3" s="99"/>
      <c r="M3" s="287" t="s">
        <v>1189</v>
      </c>
      <c r="N3">
        <f>IFERROR(VLOOKUP('Project Materials'!F25,'Auto Write Lookup'!$A$22:$B$90,2,FALSE),"""""")</f>
        <v>0</v>
      </c>
      <c r="O3" t="str">
        <f>IFERROR(VLOOKUP('Area A'!B12,'Auto Write Lookup'!$D$22:$E$90,2,"false"),"""""")</f>
        <v>""</v>
      </c>
      <c r="P3">
        <f>IFERROR(VLOOKUP('Area A'!$B$22,'Auto Write Lookup'!$G$22:$H$52,2,FALSE),"")</f>
        <v>0</v>
      </c>
      <c r="Q3">
        <f>IFERROR(VLOOKUP('Area A'!$B$5,'Auto Write Lookup'!$J$22:$K$37,2,FALSE),"")</f>
        <v>0</v>
      </c>
      <c r="R3">
        <f>VLOOKUP('Area A'!$B$6,'Auto Write Lookup'!$M$22:$N$35,2,FALSE)</f>
        <v>0</v>
      </c>
      <c r="S3" t="str">
        <f>VLOOKUP('Area A'!$B$29,'Auto Write Lookup'!$Q$22:$R$44,2,FALSE)</f>
        <v>""</v>
      </c>
      <c r="T3" t="str">
        <f t="shared" ref="T3:T9" si="0">VLOOKUP(S3,$T$22:$U$33,2,FALSE)</f>
        <v>""</v>
      </c>
      <c r="U3" t="str">
        <f t="shared" ref="U3:U9" si="1">VLOOKUP(S3,$W$22:$X$33,2,FALSE)</f>
        <v>""</v>
      </c>
      <c r="W3" s="287" t="s">
        <v>1189</v>
      </c>
      <c r="X3" s="871">
        <f>IFERROR(VLOOKUP('Project Materials'!F26,'Auto Write Lookup'!$A$22:$B$90,2,FALSE),"""""")</f>
        <v>1</v>
      </c>
      <c r="Y3" s="871" t="str">
        <f>IFERROR(VLOOKUP('Area B'!B12,'Auto Write Lookup'!$D$22:$E$90,2,"false"),"""""")</f>
        <v>""</v>
      </c>
      <c r="Z3" s="871">
        <f>IFERROR(VLOOKUP('Area B'!$B$22,'Auto Write Lookup'!$G$22:$H$52,2,FALSE),"")</f>
        <v>3</v>
      </c>
      <c r="AA3" s="871">
        <f>IFERROR(VLOOKUP('Area B'!$B$5,'Auto Write Lookup'!$J$22:$K$37,2,FALSE),"")</f>
        <v>0</v>
      </c>
      <c r="AB3" s="871">
        <f>VLOOKUP('Area B'!$B$6,'Auto Write Lookup'!$M$22:$N$35,2,FALSE)</f>
        <v>4</v>
      </c>
      <c r="AC3" s="871" t="str">
        <f>VLOOKUP('Area B'!$B$29,'Auto Write Lookup'!$Q$22:$R$44,2,FALSE)</f>
        <v>""</v>
      </c>
      <c r="AD3" s="871" t="str">
        <f t="shared" ref="AD3:AD9" si="2">VLOOKUP(AC3,$T$22:$U$33,2,FALSE)</f>
        <v>""</v>
      </c>
      <c r="AE3" s="871" t="str">
        <f t="shared" ref="AE3:AE9" si="3">VLOOKUP(AC3,$W$22:$X$33,2,FALSE)</f>
        <v>""</v>
      </c>
      <c r="AG3" s="287" t="s">
        <v>1189</v>
      </c>
      <c r="AH3" s="871">
        <f>IFERROR(VLOOKUP('Project Materials'!F27,'Auto Write Lookup'!$A$22:$B$90,2,FALSE),"""""")</f>
        <v>0</v>
      </c>
      <c r="AI3" s="871" t="str">
        <f>IFERROR(VLOOKUP('Area C'!B12,'Auto Write Lookup'!$D$22:$E$90,2,"false"),"""""")</f>
        <v>""</v>
      </c>
      <c r="AJ3" s="871">
        <f>IFERROR(VLOOKUP('Area C'!$B$22,'Auto Write Lookup'!$G$22:$H$52,2,FALSE),"")</f>
        <v>10</v>
      </c>
      <c r="AK3" s="871">
        <f>IFERROR(VLOOKUP('Area C'!$B$5,'Auto Write Lookup'!$J$22:$K$37,2,FALSE),"")</f>
        <v>0</v>
      </c>
      <c r="AL3" s="871">
        <f>VLOOKUP('Area C'!$B$6,'Auto Write Lookup'!$M$22:$N$35,2,FALSE)</f>
        <v>0</v>
      </c>
      <c r="AM3" s="871" t="str">
        <f>VLOOKUP('Area C'!$B$29,'Auto Write Lookup'!$Q$22:$R$44,2,FALSE)</f>
        <v>""</v>
      </c>
      <c r="AN3" s="871" t="str">
        <f t="shared" ref="AN3:AN9" si="4">VLOOKUP(AM3,$T$22:$U$33,2,FALSE)</f>
        <v>""</v>
      </c>
      <c r="AO3" s="871" t="str">
        <f t="shared" ref="AO3:AO9" si="5">VLOOKUP(AM3,$W$22:$X$33,2,FALSE)</f>
        <v>""</v>
      </c>
      <c r="AQ3" s="287" t="s">
        <v>1189</v>
      </c>
      <c r="AR3" s="871">
        <f>IFERROR(VLOOKUP('Project Materials'!F28,'Auto Write Lookup'!$A$22:$B$90,2,FALSE),"""""")</f>
        <v>2</v>
      </c>
      <c r="AS3" s="871" t="str">
        <f>IFERROR(VLOOKUP('Area D'!B12,'Auto Write Lookup'!$D$22:$E$90,2,"false"),"""""")</f>
        <v>""</v>
      </c>
      <c r="AT3" s="871">
        <f>IFERROR(VLOOKUP('Area D'!$B$22,'Auto Write Lookup'!$G$22:$H$52,2,FALSE),"")</f>
        <v>10</v>
      </c>
      <c r="AU3" s="871">
        <f>IFERROR(VLOOKUP('Area D'!$B$5,'Auto Write Lookup'!$J$22:$K$37,2,FALSE),"")</f>
        <v>0</v>
      </c>
      <c r="AV3" s="871">
        <f>VLOOKUP('Area D'!$B$6,'Auto Write Lookup'!$M$22:$N$35,2,FALSE)</f>
        <v>0</v>
      </c>
      <c r="AW3" s="871" t="str">
        <f>VLOOKUP('Area D'!$B$29,'Auto Write Lookup'!$Q$22:$R$44,2,FALSE)</f>
        <v>""</v>
      </c>
      <c r="AX3" s="871" t="str">
        <f t="shared" ref="AX3:AX9" si="6">VLOOKUP(AW3,$T$22:$U$33,2,FALSE)</f>
        <v>""</v>
      </c>
      <c r="AY3" s="871" t="str">
        <f t="shared" ref="AY3:AY9" si="7">VLOOKUP(AW3,$W$22:$X$33,2,FALSE)</f>
        <v>""</v>
      </c>
      <c r="BA3" s="287" t="s">
        <v>1189</v>
      </c>
      <c r="BB3" s="871">
        <f>VLOOKUP('Grab Rail'!C1,'Auto Write Lookup'!BA21:BB29,2,FALSE)</f>
        <v>1</v>
      </c>
      <c r="BC3" s="871">
        <f>IF(ISBLANK('Grab Rail'!C2),"""""",VLOOKUP('Grab Rail'!C2,'Auto Write Lookup'!BC22:BD25,2,FALSE))</f>
        <v>3</v>
      </c>
      <c r="BD3" s="871"/>
      <c r="BE3" s="871"/>
      <c r="BF3" s="871"/>
      <c r="BG3" s="871"/>
      <c r="BH3" s="871"/>
      <c r="BI3" s="871"/>
      <c r="BO3" s="871" t="s">
        <v>5</v>
      </c>
      <c r="BP3" s="1171" t="s">
        <v>1162</v>
      </c>
      <c r="BQ3" s="1171"/>
      <c r="BR3" s="1171"/>
      <c r="BS3" s="1171"/>
      <c r="BT3" s="1171"/>
      <c r="BU3" s="1171"/>
      <c r="BV3" s="1171"/>
    </row>
    <row r="4" spans="1:74" ht="47.25" customHeight="1" x14ac:dyDescent="0.4">
      <c r="A4" t="s">
        <v>6</v>
      </c>
      <c r="B4" s="1171" t="s">
        <v>1178</v>
      </c>
      <c r="C4" s="1171"/>
      <c r="D4" s="1171"/>
      <c r="E4" s="1171"/>
      <c r="F4" s="1171"/>
      <c r="G4" s="1171"/>
      <c r="H4" s="1171"/>
      <c r="J4" s="99"/>
      <c r="M4" s="287" t="s">
        <v>1195</v>
      </c>
      <c r="N4" s="867"/>
      <c r="O4" s="867">
        <f>IFERROR(VLOOKUP('Area A'!B15,'Auto Write Lookup'!$D$22:$E$90,2,"false"),"""""")</f>
        <v>1</v>
      </c>
      <c r="S4" s="867" t="str">
        <f>VLOOKUP('Area A'!$B$30,'Auto Write Lookup'!$Q$22:$R$44,2,FALSE)</f>
        <v>""</v>
      </c>
      <c r="T4" s="867" t="str">
        <f t="shared" si="0"/>
        <v>""</v>
      </c>
      <c r="U4" s="867" t="str">
        <f t="shared" si="1"/>
        <v>""</v>
      </c>
      <c r="W4" s="287" t="s">
        <v>1195</v>
      </c>
      <c r="X4" s="871"/>
      <c r="Y4" s="871">
        <f>IFERROR(VLOOKUP('Area B'!B15,'Auto Write Lookup'!$D$22:$E$90,2,"false"),"""""")</f>
        <v>1</v>
      </c>
      <c r="Z4" s="871"/>
      <c r="AA4" s="871"/>
      <c r="AB4" s="871"/>
      <c r="AC4" s="871" t="str">
        <f>VLOOKUP('Area B'!$B$30,'Auto Write Lookup'!$Q$22:$R$44,2,FALSE)</f>
        <v>""</v>
      </c>
      <c r="AD4" s="871" t="str">
        <f t="shared" si="2"/>
        <v>""</v>
      </c>
      <c r="AE4" s="871" t="str">
        <f t="shared" si="3"/>
        <v>""</v>
      </c>
      <c r="AG4" s="287" t="s">
        <v>1195</v>
      </c>
      <c r="AH4" s="871"/>
      <c r="AI4" s="871">
        <f>IFERROR(VLOOKUP('Area C'!B15,'Auto Write Lookup'!$D$22:$E$90,2,"false"),"""""")</f>
        <v>1</v>
      </c>
      <c r="AJ4" s="871"/>
      <c r="AK4" s="871"/>
      <c r="AL4" s="871"/>
      <c r="AM4" s="871" t="str">
        <f>VLOOKUP('Area C'!$B$30,'Auto Write Lookup'!$Q$22:$R$44,2,FALSE)</f>
        <v>""</v>
      </c>
      <c r="AN4" s="871" t="str">
        <f t="shared" si="4"/>
        <v>""</v>
      </c>
      <c r="AO4" s="871" t="str">
        <f t="shared" si="5"/>
        <v>""</v>
      </c>
      <c r="AQ4" s="287" t="s">
        <v>1195</v>
      </c>
      <c r="AR4" s="871"/>
      <c r="AS4" s="871">
        <f>IFERROR(VLOOKUP('Area D'!B15,'Auto Write Lookup'!$D$22:$E$90,2,"false"),"""""")</f>
        <v>1</v>
      </c>
      <c r="AT4" s="871"/>
      <c r="AU4" s="871"/>
      <c r="AV4" s="871"/>
      <c r="AW4" s="871" t="str">
        <f>VLOOKUP('Area D'!$B$30,'Auto Write Lookup'!$Q$22:$R$44,2,FALSE)</f>
        <v>""</v>
      </c>
      <c r="AX4" s="871" t="str">
        <f t="shared" si="6"/>
        <v>""</v>
      </c>
      <c r="AY4" s="871" t="str">
        <f t="shared" si="7"/>
        <v>""</v>
      </c>
      <c r="BA4" s="287" t="s">
        <v>1195</v>
      </c>
      <c r="BB4" s="871"/>
      <c r="BC4" s="871"/>
      <c r="BD4" s="871"/>
      <c r="BE4" s="871"/>
      <c r="BF4" s="871"/>
      <c r="BG4" s="871"/>
      <c r="BH4" s="871"/>
      <c r="BI4" s="871"/>
      <c r="BO4" s="871" t="s">
        <v>1202</v>
      </c>
      <c r="BP4" s="1171" t="s">
        <v>1178</v>
      </c>
      <c r="BQ4" s="1171"/>
      <c r="BR4" s="1171"/>
      <c r="BS4" s="1171"/>
      <c r="BT4" s="1171"/>
      <c r="BU4" s="1171"/>
      <c r="BV4" s="1171"/>
    </row>
    <row r="5" spans="1:74" ht="47.25" customHeight="1" x14ac:dyDescent="0.4">
      <c r="A5" t="s">
        <v>0</v>
      </c>
      <c r="B5" s="1171" t="s">
        <v>1173</v>
      </c>
      <c r="C5" s="1171"/>
      <c r="D5" s="1171"/>
      <c r="E5" s="1171"/>
      <c r="F5" s="1171"/>
      <c r="G5" s="1171"/>
      <c r="H5" s="1171"/>
      <c r="J5" s="99"/>
      <c r="M5" s="287" t="s">
        <v>1194</v>
      </c>
      <c r="N5" s="867"/>
      <c r="O5" s="867">
        <f>IFERROR((VLOOKUP('Area A'!B16,'Auto Write Lookup'!$D$22:$E$90,2,"false")-$O$4),"""""")</f>
        <v>0</v>
      </c>
      <c r="S5" s="867">
        <f>VLOOKUP('Area A'!$B$31,'Auto Write Lookup'!$Q$22:$R$44,2,FALSE)</f>
        <v>3</v>
      </c>
      <c r="T5" s="867">
        <f t="shared" si="0"/>
        <v>3</v>
      </c>
      <c r="U5" s="867">
        <f t="shared" si="1"/>
        <v>1</v>
      </c>
      <c r="W5" s="287" t="s">
        <v>1194</v>
      </c>
      <c r="X5" s="871"/>
      <c r="Y5" s="871">
        <f>IFERROR((VLOOKUP('Area B'!B16,'Auto Write Lookup'!$D$22:$E$90,2,"false")-$Y$4),"""""")</f>
        <v>0</v>
      </c>
      <c r="Z5" s="871"/>
      <c r="AA5" s="871"/>
      <c r="AB5" s="871"/>
      <c r="AC5" s="871">
        <f>VLOOKUP('Area B'!$B$31,'Auto Write Lookup'!$Q$22:$R$44,2,FALSE)</f>
        <v>3</v>
      </c>
      <c r="AD5" s="871">
        <f t="shared" si="2"/>
        <v>3</v>
      </c>
      <c r="AE5" s="871">
        <f t="shared" si="3"/>
        <v>1</v>
      </c>
      <c r="AG5" s="287" t="s">
        <v>1194</v>
      </c>
      <c r="AH5" s="871"/>
      <c r="AI5" s="871">
        <f>IFERROR((VLOOKUP('Area C'!B16,'Auto Write Lookup'!$D$22:$E$90,2,"false")-$Y$4),"""""")</f>
        <v>0</v>
      </c>
      <c r="AJ5" s="871"/>
      <c r="AK5" s="871"/>
      <c r="AL5" s="871"/>
      <c r="AM5" s="871">
        <f>VLOOKUP('Area C'!$B$31,'Auto Write Lookup'!$Q$22:$R$44,2,FALSE)</f>
        <v>1</v>
      </c>
      <c r="AN5" s="871">
        <f t="shared" si="4"/>
        <v>3</v>
      </c>
      <c r="AO5" s="871">
        <f t="shared" si="5"/>
        <v>1</v>
      </c>
      <c r="AQ5" s="287" t="s">
        <v>1194</v>
      </c>
      <c r="AR5" s="871"/>
      <c r="AS5" s="871">
        <f>IFERROR((VLOOKUP('Area D'!B16,'Auto Write Lookup'!$D$22:$E$90,2,"false")-$Y$4),"""""")</f>
        <v>0</v>
      </c>
      <c r="AT5" s="871"/>
      <c r="AU5" s="871"/>
      <c r="AV5" s="871"/>
      <c r="AW5" s="871">
        <f>VLOOKUP('Area D'!$B$31,'Auto Write Lookup'!$Q$22:$R$44,2,FALSE)</f>
        <v>2</v>
      </c>
      <c r="AX5" s="871">
        <f t="shared" si="6"/>
        <v>3</v>
      </c>
      <c r="AY5" s="871">
        <f t="shared" si="7"/>
        <v>1</v>
      </c>
      <c r="BA5" s="287" t="s">
        <v>1194</v>
      </c>
      <c r="BB5" s="871"/>
      <c r="BC5" s="871"/>
      <c r="BD5" s="871"/>
      <c r="BE5" s="871"/>
      <c r="BF5" s="871"/>
      <c r="BG5" s="871"/>
      <c r="BH5" s="871"/>
      <c r="BI5" s="871"/>
      <c r="BO5" s="871" t="s">
        <v>1203</v>
      </c>
      <c r="BP5" s="1171" t="s">
        <v>1173</v>
      </c>
      <c r="BQ5" s="1171"/>
      <c r="BR5" s="1171"/>
      <c r="BS5" s="1171"/>
      <c r="BT5" s="1171"/>
      <c r="BU5" s="1171"/>
      <c r="BV5" s="1171"/>
    </row>
    <row r="6" spans="1:74" ht="47.25" customHeight="1" x14ac:dyDescent="0.4">
      <c r="A6" t="s">
        <v>1200</v>
      </c>
      <c r="B6" s="1171" t="s">
        <v>1172</v>
      </c>
      <c r="C6" s="1171"/>
      <c r="D6" s="1171"/>
      <c r="E6" s="1171"/>
      <c r="F6" s="1171"/>
      <c r="G6" s="1171"/>
      <c r="H6" s="1171"/>
      <c r="J6" s="99"/>
      <c r="M6" s="287" t="s">
        <v>1193</v>
      </c>
      <c r="N6" s="867"/>
      <c r="O6" s="867">
        <f>IFERROR((VLOOKUP('Area A'!B17,'Auto Write Lookup'!$D$22:$E$90,2,"false")-$O$4),"""""")</f>
        <v>0</v>
      </c>
      <c r="S6" s="867" t="str">
        <f>VLOOKUP('Area A'!$B$32,'Auto Write Lookup'!$Q$22:$R$68,2,FALSE)</f>
        <v>""</v>
      </c>
      <c r="T6" s="867" t="str">
        <f t="shared" si="0"/>
        <v>""</v>
      </c>
      <c r="U6" s="867" t="str">
        <f t="shared" si="1"/>
        <v>""</v>
      </c>
      <c r="W6" s="287" t="s">
        <v>1193</v>
      </c>
      <c r="X6" s="871"/>
      <c r="Y6" s="871">
        <f>IFERROR((VLOOKUP('Area B'!B17,'Auto Write Lookup'!$D$22:$E$90,2,"false")-$Y$4),"""""")</f>
        <v>0</v>
      </c>
      <c r="Z6" s="871"/>
      <c r="AA6" s="871"/>
      <c r="AB6" s="871"/>
      <c r="AC6" s="871" t="str">
        <f>VLOOKUP('Area B'!$B$32,'Auto Write Lookup'!$Q$22:$R$68,2,FALSE)</f>
        <v>""</v>
      </c>
      <c r="AD6" s="871" t="str">
        <f t="shared" si="2"/>
        <v>""</v>
      </c>
      <c r="AE6" s="871" t="str">
        <f t="shared" si="3"/>
        <v>""</v>
      </c>
      <c r="AG6" s="287" t="s">
        <v>1193</v>
      </c>
      <c r="AH6" s="871"/>
      <c r="AI6" s="871">
        <f>IFERROR((VLOOKUP('Area C'!B17,'Auto Write Lookup'!$D$22:$E$90,2,"false")-$Y$4),"""""")</f>
        <v>0</v>
      </c>
      <c r="AJ6" s="871"/>
      <c r="AK6" s="871"/>
      <c r="AL6" s="871"/>
      <c r="AM6" s="871" t="str">
        <f>VLOOKUP('Area C'!$B$32,'Auto Write Lookup'!$Q$22:$R$68,2,FALSE)</f>
        <v>""</v>
      </c>
      <c r="AN6" s="871" t="str">
        <f t="shared" si="4"/>
        <v>""</v>
      </c>
      <c r="AO6" s="871" t="str">
        <f t="shared" si="5"/>
        <v>""</v>
      </c>
      <c r="AQ6" s="287" t="s">
        <v>1193</v>
      </c>
      <c r="AR6" s="871"/>
      <c r="AS6" s="871">
        <f>IFERROR((VLOOKUP('Area D'!B17,'Auto Write Lookup'!$D$22:$E$90,2,"false")-$Y$4),"""""")</f>
        <v>0</v>
      </c>
      <c r="AT6" s="871"/>
      <c r="AU6" s="871"/>
      <c r="AV6" s="871"/>
      <c r="AW6" s="871" t="str">
        <f>VLOOKUP('Area D'!$B$32,'Auto Write Lookup'!$Q$22:$R$68,2,FALSE)</f>
        <v>""</v>
      </c>
      <c r="AX6" s="871" t="str">
        <f t="shared" si="6"/>
        <v>""</v>
      </c>
      <c r="AY6" s="871" t="str">
        <f t="shared" si="7"/>
        <v>""</v>
      </c>
      <c r="BA6" s="287" t="s">
        <v>1193</v>
      </c>
      <c r="BB6" s="871"/>
      <c r="BC6" s="871"/>
      <c r="BD6" s="871"/>
      <c r="BE6" s="871"/>
      <c r="BF6" s="871"/>
      <c r="BG6" s="871"/>
      <c r="BH6" s="871"/>
      <c r="BI6" s="871"/>
      <c r="BO6" s="871" t="s">
        <v>1204</v>
      </c>
      <c r="BP6" s="1171" t="s">
        <v>1172</v>
      </c>
      <c r="BQ6" s="1171"/>
      <c r="BR6" s="1171"/>
      <c r="BS6" s="1171"/>
      <c r="BT6" s="1171"/>
      <c r="BU6" s="1171"/>
      <c r="BV6" s="1171"/>
    </row>
    <row r="7" spans="1:74" ht="47.25" customHeight="1" x14ac:dyDescent="0.4">
      <c r="A7" s="861" t="s">
        <v>1199</v>
      </c>
      <c r="B7" s="1171" t="s">
        <v>1171</v>
      </c>
      <c r="C7" s="1171"/>
      <c r="D7" s="1171"/>
      <c r="E7" s="1171"/>
      <c r="F7" s="1171"/>
      <c r="G7" s="1171"/>
      <c r="H7" s="1171"/>
      <c r="J7" s="99"/>
      <c r="M7" s="287" t="s">
        <v>1192</v>
      </c>
      <c r="N7" s="867"/>
      <c r="O7" s="867">
        <f>IFERROR((VLOOKUP('Area A'!B18,'Auto Write Lookup'!$D$22:$E$90,2,"false")-$O$4),"""""")</f>
        <v>0</v>
      </c>
      <c r="S7" s="867" t="str">
        <f>VLOOKUP('Area A'!$B$33,'Auto Write Lookup'!$Q$22:$R$68,2,FALSE)</f>
        <v>""</v>
      </c>
      <c r="T7" s="867" t="str">
        <f t="shared" si="0"/>
        <v>""</v>
      </c>
      <c r="U7" s="867" t="str">
        <f t="shared" si="1"/>
        <v>""</v>
      </c>
      <c r="W7" s="287" t="s">
        <v>1192</v>
      </c>
      <c r="X7" s="871"/>
      <c r="Y7" s="871">
        <f>IFERROR((VLOOKUP('Area B'!B18,'Auto Write Lookup'!$D$22:$E$90,2,"false")-$Y$4),"""""")</f>
        <v>0</v>
      </c>
      <c r="Z7" s="871"/>
      <c r="AA7" s="871"/>
      <c r="AB7" s="871"/>
      <c r="AC7" s="871" t="str">
        <f>VLOOKUP('Area B'!$B$33,'Auto Write Lookup'!$Q$22:$R$68,2,FALSE)</f>
        <v>""</v>
      </c>
      <c r="AD7" s="871" t="str">
        <f t="shared" si="2"/>
        <v>""</v>
      </c>
      <c r="AE7" s="871" t="str">
        <f t="shared" si="3"/>
        <v>""</v>
      </c>
      <c r="AG7" s="287" t="s">
        <v>1192</v>
      </c>
      <c r="AH7" s="871"/>
      <c r="AI7" s="871">
        <f>IFERROR((VLOOKUP('Area C'!B18,'Auto Write Lookup'!$D$22:$E$90,2,"false")-$Y$4),"""""")</f>
        <v>0</v>
      </c>
      <c r="AJ7" s="871"/>
      <c r="AK7" s="871"/>
      <c r="AL7" s="871"/>
      <c r="AM7" s="871" t="str">
        <f>VLOOKUP('Area C'!$B$33,'Auto Write Lookup'!$Q$22:$R$68,2,FALSE)</f>
        <v>""</v>
      </c>
      <c r="AN7" s="871" t="str">
        <f t="shared" si="4"/>
        <v>""</v>
      </c>
      <c r="AO7" s="871" t="str">
        <f t="shared" si="5"/>
        <v>""</v>
      </c>
      <c r="AQ7" s="287" t="s">
        <v>1192</v>
      </c>
      <c r="AR7" s="871"/>
      <c r="AS7" s="871">
        <f>IFERROR((VLOOKUP('Area D'!B18,'Auto Write Lookup'!$D$22:$E$90,2,"false")-$Y$4),"""""")</f>
        <v>0</v>
      </c>
      <c r="AT7" s="871"/>
      <c r="AU7" s="871"/>
      <c r="AV7" s="871"/>
      <c r="AW7" s="871" t="str">
        <f>VLOOKUP('Area D'!$B$33,'Auto Write Lookup'!$Q$22:$R$68,2,FALSE)</f>
        <v>""</v>
      </c>
      <c r="AX7" s="871" t="str">
        <f t="shared" si="6"/>
        <v>""</v>
      </c>
      <c r="AY7" s="871" t="str">
        <f t="shared" si="7"/>
        <v>""</v>
      </c>
      <c r="BA7" s="287" t="s">
        <v>1192</v>
      </c>
      <c r="BB7" s="871"/>
      <c r="BC7" s="871"/>
      <c r="BD7" s="871"/>
      <c r="BE7" s="871"/>
      <c r="BF7" s="871"/>
      <c r="BG7" s="871"/>
      <c r="BH7" s="871"/>
      <c r="BI7" s="871"/>
      <c r="BO7" s="861" t="s">
        <v>1205</v>
      </c>
      <c r="BP7" s="1171" t="s">
        <v>1171</v>
      </c>
      <c r="BQ7" s="1171"/>
      <c r="BR7" s="1171"/>
      <c r="BS7" s="1171"/>
      <c r="BT7" s="1171"/>
      <c r="BU7" s="1171"/>
      <c r="BV7" s="1171"/>
    </row>
    <row r="8" spans="1:74" ht="47.25" customHeight="1" x14ac:dyDescent="0.4">
      <c r="A8" t="s">
        <v>1183</v>
      </c>
      <c r="B8" s="1171" t="s">
        <v>1161</v>
      </c>
      <c r="C8" s="1171"/>
      <c r="D8" s="1171"/>
      <c r="E8" s="1171"/>
      <c r="F8" s="1171"/>
      <c r="G8" s="1171"/>
      <c r="H8" s="1171"/>
      <c r="J8" s="99"/>
      <c r="M8" s="287" t="s">
        <v>1191</v>
      </c>
      <c r="N8" s="867"/>
      <c r="O8" t="str">
        <f>IFERROR(VLOOKUP('Area A'!B6,'Auto Write Lookup'!D22:E90,2,FALSE),"""""")</f>
        <v>""</v>
      </c>
      <c r="S8" s="867" t="str">
        <f>VLOOKUP('Area A'!$B$34,'Auto Write Lookup'!$Q$22:$R$68,2,FALSE)</f>
        <v>""</v>
      </c>
      <c r="T8" s="867" t="str">
        <f t="shared" si="0"/>
        <v>""</v>
      </c>
      <c r="U8" s="867" t="str">
        <f t="shared" si="1"/>
        <v>""</v>
      </c>
      <c r="W8" s="287" t="s">
        <v>1191</v>
      </c>
      <c r="X8" s="871"/>
      <c r="Y8" s="871" t="str">
        <f>IFERROR(VLOOKUP('Area B'!B6,'Auto Write Lookup'!N22:O90,2,FALSE),"""""")</f>
        <v>""</v>
      </c>
      <c r="Z8" s="871"/>
      <c r="AA8" s="871"/>
      <c r="AB8" s="871"/>
      <c r="AC8" s="871" t="str">
        <f>VLOOKUP('Area B'!$B$34,'Auto Write Lookup'!$Q$22:$R$68,2,FALSE)</f>
        <v>""</v>
      </c>
      <c r="AD8" s="871" t="str">
        <f t="shared" si="2"/>
        <v>""</v>
      </c>
      <c r="AE8" s="871" t="str">
        <f t="shared" si="3"/>
        <v>""</v>
      </c>
      <c r="AG8" s="287" t="s">
        <v>1191</v>
      </c>
      <c r="AH8" s="871"/>
      <c r="AI8" s="871" t="str">
        <f>IFERROR(VLOOKUP('Area C'!B6,'Auto Write Lookup'!X22:Y90,2,FALSE),"""""")</f>
        <v>""</v>
      </c>
      <c r="AJ8" s="871"/>
      <c r="AK8" s="871"/>
      <c r="AL8" s="871"/>
      <c r="AM8" s="871" t="str">
        <f>VLOOKUP('Area C'!$B$34,'Auto Write Lookup'!$Q$22:$R$68,2,FALSE)</f>
        <v>""</v>
      </c>
      <c r="AN8" s="871" t="str">
        <f t="shared" si="4"/>
        <v>""</v>
      </c>
      <c r="AO8" s="871" t="str">
        <f t="shared" si="5"/>
        <v>""</v>
      </c>
      <c r="AQ8" s="287" t="s">
        <v>1191</v>
      </c>
      <c r="AR8" s="871"/>
      <c r="AS8" s="871" t="str">
        <f>IFERROR(VLOOKUP('Area D'!B6,'Auto Write Lookup'!AH22:AI90,2,FALSE),"""""")</f>
        <v>""</v>
      </c>
      <c r="AT8" s="871"/>
      <c r="AU8" s="871"/>
      <c r="AV8" s="871"/>
      <c r="AW8" s="871" t="str">
        <f>VLOOKUP('Area D'!$B$34,'Auto Write Lookup'!$Q$22:$R$68,2,FALSE)</f>
        <v>""</v>
      </c>
      <c r="AX8" s="871" t="str">
        <f t="shared" si="6"/>
        <v>""</v>
      </c>
      <c r="AY8" s="871" t="str">
        <f t="shared" si="7"/>
        <v>""</v>
      </c>
      <c r="BA8" s="287" t="s">
        <v>1191</v>
      </c>
      <c r="BB8" s="871"/>
      <c r="BC8" s="871"/>
      <c r="BD8" s="871"/>
      <c r="BE8" s="871"/>
      <c r="BF8" s="871"/>
      <c r="BG8" s="871"/>
      <c r="BH8" s="871"/>
      <c r="BI8" s="871"/>
      <c r="BO8" s="871" t="s">
        <v>1183</v>
      </c>
      <c r="BP8" s="1171" t="s">
        <v>1161</v>
      </c>
      <c r="BQ8" s="1171"/>
      <c r="BR8" s="1171"/>
      <c r="BS8" s="1171"/>
      <c r="BT8" s="1171"/>
      <c r="BU8" s="1171"/>
      <c r="BV8" s="1171"/>
    </row>
    <row r="9" spans="1:74" ht="47.25" customHeight="1" x14ac:dyDescent="0.4">
      <c r="A9" t="s">
        <v>1182</v>
      </c>
      <c r="B9" s="1171" t="s">
        <v>1164</v>
      </c>
      <c r="C9" s="1171"/>
      <c r="D9" s="1171"/>
      <c r="E9" s="1171"/>
      <c r="F9" s="1171"/>
      <c r="G9" s="1171"/>
      <c r="H9" s="1171"/>
      <c r="J9" s="99"/>
      <c r="M9" s="287" t="s">
        <v>1190</v>
      </c>
      <c r="S9" s="867" t="str">
        <f>VLOOKUP('Area A'!$B$35,'Auto Write Lookup'!$Q$22:$R$68,2,FALSE)</f>
        <v>""</v>
      </c>
      <c r="T9" s="867" t="str">
        <f t="shared" si="0"/>
        <v>""</v>
      </c>
      <c r="U9" s="867" t="str">
        <f t="shared" si="1"/>
        <v>""</v>
      </c>
      <c r="W9" s="287" t="s">
        <v>1190</v>
      </c>
      <c r="X9" s="871"/>
      <c r="Y9" s="871"/>
      <c r="Z9" s="871"/>
      <c r="AA9" s="871"/>
      <c r="AB9" s="871"/>
      <c r="AC9" s="871" t="str">
        <f>VLOOKUP('Area B'!$B$35,'Auto Write Lookup'!$Q$22:$R$68,2,FALSE)</f>
        <v>""</v>
      </c>
      <c r="AD9" s="871" t="str">
        <f t="shared" si="2"/>
        <v>""</v>
      </c>
      <c r="AE9" s="871" t="str">
        <f t="shared" si="3"/>
        <v>""</v>
      </c>
      <c r="AG9" s="287" t="s">
        <v>1190</v>
      </c>
      <c r="AH9" s="871"/>
      <c r="AI9" s="871"/>
      <c r="AJ9" s="871"/>
      <c r="AK9" s="871"/>
      <c r="AL9" s="871"/>
      <c r="AM9" s="871" t="str">
        <f>VLOOKUP('Area C'!$B$35,'Auto Write Lookup'!$Q$22:$R$68,2,FALSE)</f>
        <v>""</v>
      </c>
      <c r="AN9" s="871" t="str">
        <f t="shared" si="4"/>
        <v>""</v>
      </c>
      <c r="AO9" s="871" t="str">
        <f t="shared" si="5"/>
        <v>""</v>
      </c>
      <c r="AQ9" s="287" t="s">
        <v>1190</v>
      </c>
      <c r="AR9" s="871"/>
      <c r="AS9" s="871"/>
      <c r="AT9" s="871"/>
      <c r="AU9" s="871"/>
      <c r="AV9" s="871"/>
      <c r="AW9" s="871" t="str">
        <f>VLOOKUP('Area D'!$B$35,'Auto Write Lookup'!$Q$22:$R$68,2,FALSE)</f>
        <v>""</v>
      </c>
      <c r="AX9" s="871" t="str">
        <f t="shared" si="6"/>
        <v>""</v>
      </c>
      <c r="AY9" s="871" t="str">
        <f t="shared" si="7"/>
        <v>""</v>
      </c>
      <c r="BA9" s="287" t="s">
        <v>1190</v>
      </c>
      <c r="BB9" s="871"/>
      <c r="BC9" s="871"/>
      <c r="BD9" s="871"/>
      <c r="BE9" s="871"/>
      <c r="BF9" s="871"/>
      <c r="BG9" s="871"/>
      <c r="BH9" s="871"/>
      <c r="BI9" s="871"/>
      <c r="BO9" s="871" t="s">
        <v>1182</v>
      </c>
      <c r="BP9" s="1171" t="s">
        <v>1164</v>
      </c>
      <c r="BQ9" s="1171"/>
      <c r="BR9" s="1171"/>
      <c r="BS9" s="1171"/>
      <c r="BT9" s="1171"/>
      <c r="BU9" s="1171"/>
      <c r="BV9" s="1171"/>
    </row>
    <row r="10" spans="1:74" x14ac:dyDescent="0.4">
      <c r="J10" s="99"/>
      <c r="M10" s="287" t="s">
        <v>1198</v>
      </c>
      <c r="N10" s="867"/>
      <c r="O10" s="867"/>
      <c r="P10" s="867"/>
      <c r="Q10" s="867"/>
      <c r="R10" s="867"/>
      <c r="S10" s="867"/>
      <c r="T10" s="867"/>
      <c r="U10" s="867"/>
      <c r="W10" s="287" t="s">
        <v>1198</v>
      </c>
      <c r="X10" s="871"/>
      <c r="Y10" s="871"/>
      <c r="Z10" s="871"/>
      <c r="AA10" s="871"/>
      <c r="AB10" s="871"/>
      <c r="AC10" s="871"/>
      <c r="AD10" s="871"/>
      <c r="AE10" s="871"/>
      <c r="AG10" s="287" t="s">
        <v>1198</v>
      </c>
      <c r="AH10" s="871"/>
      <c r="AI10" s="871"/>
      <c r="AJ10" s="871"/>
      <c r="AK10" s="871"/>
      <c r="AL10" s="871"/>
      <c r="AM10" s="871"/>
      <c r="AN10" s="871"/>
      <c r="AO10" s="871"/>
      <c r="AQ10" s="287" t="s">
        <v>1198</v>
      </c>
      <c r="AR10" s="871"/>
      <c r="AS10" s="871"/>
      <c r="AT10" s="871"/>
      <c r="AU10" s="871"/>
      <c r="AV10" s="871"/>
      <c r="AW10" s="871"/>
      <c r="AX10" s="871"/>
      <c r="AY10" s="871"/>
      <c r="BA10" s="287" t="s">
        <v>1198</v>
      </c>
      <c r="BB10" s="871"/>
      <c r="BC10" s="871"/>
      <c r="BD10" s="871"/>
      <c r="BE10" s="871"/>
      <c r="BF10" s="871"/>
      <c r="BG10" s="871"/>
      <c r="BH10" s="871"/>
      <c r="BI10" s="871"/>
    </row>
    <row r="11" spans="1:74" x14ac:dyDescent="0.4">
      <c r="M11" s="287"/>
      <c r="N11" s="867"/>
      <c r="O11" s="867"/>
      <c r="P11" s="867"/>
      <c r="Q11" s="867"/>
      <c r="R11" s="867"/>
      <c r="S11" s="867"/>
      <c r="T11" s="867"/>
      <c r="U11" s="867"/>
      <c r="W11" s="287"/>
      <c r="X11" s="871"/>
      <c r="Y11" s="871"/>
      <c r="Z11" s="871"/>
      <c r="AA11" s="871"/>
      <c r="AB11" s="871"/>
      <c r="AC11" s="871"/>
      <c r="AD11" s="871"/>
      <c r="AE11" s="871"/>
      <c r="AG11" s="287"/>
      <c r="AH11" s="871"/>
      <c r="AI11" s="871"/>
      <c r="AJ11" s="871"/>
      <c r="AK11" s="871"/>
      <c r="AL11" s="871"/>
      <c r="AM11" s="871"/>
      <c r="AN11" s="871"/>
      <c r="AO11" s="871"/>
      <c r="AQ11" s="287"/>
      <c r="AR11" s="871"/>
      <c r="AS11" s="871"/>
      <c r="AT11" s="871"/>
      <c r="AU11" s="871"/>
      <c r="AV11" s="871"/>
      <c r="AW11" s="871"/>
      <c r="AX11" s="871"/>
      <c r="AY11" s="871"/>
      <c r="BA11" s="287"/>
      <c r="BB11" s="871"/>
      <c r="BC11" s="871"/>
      <c r="BD11" s="871"/>
      <c r="BE11" s="871"/>
      <c r="BF11" s="871"/>
      <c r="BG11" s="871"/>
      <c r="BH11" s="871"/>
      <c r="BI11" s="871"/>
    </row>
    <row r="12" spans="1:74" x14ac:dyDescent="0.4">
      <c r="A12" t="s">
        <v>1187</v>
      </c>
      <c r="M12" s="287"/>
      <c r="N12" s="867"/>
      <c r="O12" s="867"/>
      <c r="P12" s="867"/>
      <c r="Q12" s="867"/>
      <c r="R12" s="867"/>
      <c r="S12" s="867"/>
      <c r="T12" s="867"/>
      <c r="U12" s="867"/>
      <c r="W12" s="287"/>
      <c r="X12" s="871"/>
      <c r="Y12" s="871"/>
      <c r="Z12" s="871"/>
      <c r="AA12" s="871"/>
      <c r="AB12" s="871"/>
      <c r="AC12" s="871"/>
      <c r="AD12" s="871"/>
      <c r="AE12" s="871"/>
      <c r="AG12" s="287"/>
      <c r="AH12" s="871"/>
      <c r="AI12" s="871"/>
      <c r="AJ12" s="871"/>
      <c r="AK12" s="871"/>
      <c r="AL12" s="871"/>
      <c r="AM12" s="871"/>
      <c r="AN12" s="871"/>
      <c r="AO12" s="871"/>
      <c r="AQ12" s="287"/>
      <c r="AR12" s="871"/>
      <c r="AS12" s="871"/>
      <c r="AT12" s="871"/>
      <c r="AU12" s="871"/>
      <c r="AV12" s="871"/>
      <c r="AW12" s="871"/>
      <c r="AX12" s="871"/>
      <c r="AY12" s="871"/>
      <c r="BA12" s="287"/>
      <c r="BB12" s="871"/>
      <c r="BC12" s="871"/>
      <c r="BD12" s="871"/>
      <c r="BE12" s="871"/>
      <c r="BF12" s="871"/>
      <c r="BG12" s="871"/>
      <c r="BH12" s="871"/>
      <c r="BI12" s="871"/>
    </row>
    <row r="13" spans="1:74" x14ac:dyDescent="0.4">
      <c r="A13" t="s">
        <v>1184</v>
      </c>
      <c r="M13" s="287"/>
      <c r="N13" s="867"/>
      <c r="O13" s="867"/>
      <c r="P13" s="867"/>
      <c r="Q13" s="867"/>
      <c r="R13" s="867"/>
      <c r="S13" s="867"/>
      <c r="T13" s="867"/>
      <c r="U13" s="867"/>
      <c r="W13" s="287"/>
      <c r="X13" s="871"/>
      <c r="Y13" s="871"/>
      <c r="Z13" s="871"/>
      <c r="AA13" s="871"/>
      <c r="AB13" s="871"/>
      <c r="AC13" s="871"/>
      <c r="AD13" s="871"/>
      <c r="AE13" s="871"/>
      <c r="AG13" s="287"/>
      <c r="AH13" s="871"/>
      <c r="AI13" s="871"/>
      <c r="AJ13" s="871"/>
      <c r="AK13" s="871"/>
      <c r="AL13" s="871"/>
      <c r="AM13" s="871"/>
      <c r="AN13" s="871"/>
      <c r="AO13" s="871"/>
      <c r="AQ13" s="287"/>
      <c r="AR13" s="871"/>
      <c r="AS13" s="871"/>
      <c r="AT13" s="871"/>
      <c r="AU13" s="871"/>
      <c r="AV13" s="871"/>
      <c r="AW13" s="871"/>
      <c r="AX13" s="871"/>
      <c r="AY13" s="871"/>
      <c r="BA13" s="287"/>
      <c r="BB13" s="871"/>
      <c r="BC13" s="871"/>
      <c r="BD13" s="871"/>
      <c r="BE13" s="871"/>
      <c r="BF13" s="871"/>
      <c r="BG13" s="871"/>
      <c r="BH13" s="871"/>
      <c r="BI13" s="871"/>
    </row>
    <row r="14" spans="1:74" x14ac:dyDescent="0.4">
      <c r="A14" t="s">
        <v>1185</v>
      </c>
      <c r="M14" s="287" t="s">
        <v>1197</v>
      </c>
      <c r="N14" s="868">
        <f>SUM(N3:N9)</f>
        <v>0</v>
      </c>
      <c r="O14" s="868">
        <f>SUM(O3:O9)</f>
        <v>1</v>
      </c>
      <c r="P14" s="868">
        <f>P3</f>
        <v>0</v>
      </c>
      <c r="Q14" s="868">
        <f>SUM(Q3:Q9)</f>
        <v>0</v>
      </c>
      <c r="R14" s="868">
        <f>SUM(R3:R9)</f>
        <v>0</v>
      </c>
      <c r="S14" s="868">
        <f>SUM(S3:S9)</f>
        <v>3</v>
      </c>
      <c r="T14" s="868">
        <f>SUM(T3:T9)</f>
        <v>3</v>
      </c>
      <c r="U14" s="868">
        <f>SUM(U3:U9)</f>
        <v>1</v>
      </c>
      <c r="W14" s="287" t="s">
        <v>1197</v>
      </c>
      <c r="X14" s="868">
        <f>SUM(X3:X9)</f>
        <v>1</v>
      </c>
      <c r="Y14" s="868">
        <f>SUM(Y3:Y9)</f>
        <v>1</v>
      </c>
      <c r="Z14" s="868">
        <f>Z3</f>
        <v>3</v>
      </c>
      <c r="AA14" s="868">
        <f>SUM(AA3:AA9)</f>
        <v>0</v>
      </c>
      <c r="AB14" s="868">
        <f>SUM(AB3:AB9)</f>
        <v>4</v>
      </c>
      <c r="AC14" s="868">
        <f>SUM(AC3:AC9)</f>
        <v>3</v>
      </c>
      <c r="AD14" s="868">
        <f>SUM(AD3:AD9)</f>
        <v>3</v>
      </c>
      <c r="AE14" s="868">
        <f>SUM(AE3:AE9)</f>
        <v>1</v>
      </c>
      <c r="AG14" s="287" t="s">
        <v>1197</v>
      </c>
      <c r="AH14" s="868">
        <f>SUM(AH3:AH9)</f>
        <v>0</v>
      </c>
      <c r="AI14" s="868">
        <f>SUM(AI3:AI9)</f>
        <v>1</v>
      </c>
      <c r="AJ14" s="868">
        <f>AJ3</f>
        <v>10</v>
      </c>
      <c r="AK14" s="868">
        <f>SUM(AK3:AK9)</f>
        <v>0</v>
      </c>
      <c r="AL14" s="868">
        <f>SUM(AL3:AL9)</f>
        <v>0</v>
      </c>
      <c r="AM14" s="868">
        <f>SUM(AM3:AM9)</f>
        <v>1</v>
      </c>
      <c r="AN14" s="868">
        <f>SUM(AN3:AN9)</f>
        <v>3</v>
      </c>
      <c r="AO14" s="868">
        <f>SUM(AO3:AO9)</f>
        <v>1</v>
      </c>
      <c r="AQ14" s="287" t="s">
        <v>1197</v>
      </c>
      <c r="AR14" s="868">
        <f>SUM(AR3:AR9)</f>
        <v>2</v>
      </c>
      <c r="AS14" s="868">
        <f>SUM(AS3:AS9)</f>
        <v>1</v>
      </c>
      <c r="AT14" s="868">
        <f>AT3</f>
        <v>10</v>
      </c>
      <c r="AU14" s="868">
        <f>SUM(AU3:AU9)</f>
        <v>0</v>
      </c>
      <c r="AV14" s="868">
        <f>SUM(AV3:AV9)</f>
        <v>0</v>
      </c>
      <c r="AW14" s="868">
        <f>SUM(AW3:AW9)</f>
        <v>2</v>
      </c>
      <c r="AX14" s="868">
        <f>SUM(AX3:AX9)</f>
        <v>3</v>
      </c>
      <c r="AY14" s="868">
        <f>SUM(AY3:AY9)</f>
        <v>1</v>
      </c>
      <c r="BA14" s="287" t="s">
        <v>1197</v>
      </c>
      <c r="BB14" s="868">
        <f>SUM(BB3:BB9)</f>
        <v>1</v>
      </c>
      <c r="BC14" s="868">
        <f>SUM(BC3:BC9)</f>
        <v>3</v>
      </c>
      <c r="BD14" s="868">
        <f>BD3</f>
        <v>0</v>
      </c>
      <c r="BE14" s="868">
        <f>SUM(BE3:BE9)</f>
        <v>0</v>
      </c>
      <c r="BF14" s="868">
        <f>SUM(BF3:BF9)</f>
        <v>0</v>
      </c>
      <c r="BG14" s="868">
        <f>SUM(BG3:BG9)</f>
        <v>0</v>
      </c>
      <c r="BH14" s="868">
        <f>SUM(BH3:BH9)</f>
        <v>0</v>
      </c>
      <c r="BI14" s="868">
        <f>SUM(BI3:BI9)</f>
        <v>0</v>
      </c>
    </row>
    <row r="15" spans="1:74" x14ac:dyDescent="0.4">
      <c r="A15" t="s">
        <v>1186</v>
      </c>
      <c r="N15" s="64"/>
    </row>
    <row r="16" spans="1:74" x14ac:dyDescent="0.4">
      <c r="N16" s="64"/>
    </row>
    <row r="17" spans="1:68" x14ac:dyDescent="0.4">
      <c r="N17" s="64"/>
    </row>
    <row r="21" spans="1:68" x14ac:dyDescent="0.4">
      <c r="A21" s="869" t="s">
        <v>1188</v>
      </c>
      <c r="B21" s="869"/>
      <c r="C21" s="869"/>
      <c r="D21" s="869" t="s">
        <v>5</v>
      </c>
      <c r="E21" s="869"/>
      <c r="F21" s="869"/>
      <c r="G21" s="869" t="s">
        <v>6</v>
      </c>
      <c r="H21" s="869"/>
      <c r="I21" s="869"/>
      <c r="J21" s="869" t="s">
        <v>0</v>
      </c>
      <c r="K21" s="869"/>
      <c r="L21" s="869"/>
      <c r="M21" s="869" t="s">
        <v>413</v>
      </c>
      <c r="N21" s="869"/>
      <c r="O21" s="869"/>
      <c r="P21" s="869"/>
      <c r="Q21" s="869" t="s">
        <v>1181</v>
      </c>
      <c r="R21" s="869"/>
      <c r="S21" s="870"/>
      <c r="T21" s="869" t="s">
        <v>1183</v>
      </c>
      <c r="U21" s="870"/>
      <c r="V21" s="870"/>
      <c r="W21" s="869" t="s">
        <v>1182</v>
      </c>
      <c r="X21" s="870"/>
      <c r="Y21" s="870"/>
      <c r="BA21" s="873" t="s">
        <v>1188</v>
      </c>
      <c r="BB21" s="873" t="s">
        <v>1188</v>
      </c>
      <c r="BC21" s="873" t="s">
        <v>5</v>
      </c>
      <c r="BD21" s="873" t="s">
        <v>5</v>
      </c>
      <c r="BE21" s="873" t="s">
        <v>1202</v>
      </c>
      <c r="BF21" s="873" t="s">
        <v>1202</v>
      </c>
      <c r="BG21" s="873" t="s">
        <v>1203</v>
      </c>
      <c r="BH21" s="873" t="s">
        <v>1203</v>
      </c>
      <c r="BI21" s="873" t="s">
        <v>1204</v>
      </c>
      <c r="BJ21" s="873" t="s">
        <v>1204</v>
      </c>
      <c r="BK21" s="873" t="s">
        <v>1206</v>
      </c>
      <c r="BL21" s="873" t="s">
        <v>1206</v>
      </c>
      <c r="BM21" s="873" t="s">
        <v>1183</v>
      </c>
      <c r="BN21" s="873" t="s">
        <v>1183</v>
      </c>
      <c r="BO21" s="873" t="s">
        <v>1182</v>
      </c>
      <c r="BP21" s="873" t="s">
        <v>1182</v>
      </c>
    </row>
    <row r="22" spans="1:68" x14ac:dyDescent="0.4">
      <c r="A22" s="60" t="s">
        <v>418</v>
      </c>
      <c r="B22" s="870" t="s">
        <v>1196</v>
      </c>
      <c r="C22" s="870"/>
      <c r="D22" s="60" t="s">
        <v>418</v>
      </c>
      <c r="E22" s="870" t="s">
        <v>1196</v>
      </c>
      <c r="F22" s="870"/>
      <c r="G22" s="60" t="s">
        <v>76</v>
      </c>
      <c r="H22" s="870">
        <v>3</v>
      </c>
      <c r="I22" s="870"/>
      <c r="J22" s="870" t="s">
        <v>418</v>
      </c>
      <c r="K22" s="870">
        <v>4</v>
      </c>
      <c r="L22" s="870"/>
      <c r="M22" s="870" t="s">
        <v>418</v>
      </c>
      <c r="N22" s="870">
        <v>4</v>
      </c>
      <c r="O22" s="870"/>
      <c r="P22" s="870"/>
      <c r="Q22" s="870" t="s">
        <v>418</v>
      </c>
      <c r="R22" s="870" t="s">
        <v>1196</v>
      </c>
      <c r="S22" s="870"/>
      <c r="T22" s="870">
        <v>0</v>
      </c>
      <c r="U22" s="870">
        <v>4</v>
      </c>
      <c r="V22" s="870"/>
      <c r="W22" s="870">
        <v>0</v>
      </c>
      <c r="X22" s="870">
        <v>0</v>
      </c>
      <c r="Y22" s="870"/>
      <c r="BA22" s="874" t="s">
        <v>418</v>
      </c>
      <c r="BB22" s="875" t="s">
        <v>1196</v>
      </c>
      <c r="BC22" s="875" t="s">
        <v>938</v>
      </c>
      <c r="BD22" s="875">
        <v>3</v>
      </c>
      <c r="BE22" s="875"/>
      <c r="BF22" s="875"/>
      <c r="BG22" s="875" t="s">
        <v>937</v>
      </c>
      <c r="BH22" s="875">
        <v>6</v>
      </c>
      <c r="BI22" s="875"/>
      <c r="BJ22" s="875"/>
      <c r="BK22" s="875"/>
      <c r="BL22" s="875"/>
      <c r="BM22" s="875"/>
      <c r="BN22" s="875"/>
      <c r="BO22" s="875"/>
      <c r="BP22" s="875"/>
    </row>
    <row r="23" spans="1:68" x14ac:dyDescent="0.4">
      <c r="A23" s="872">
        <v>36</v>
      </c>
      <c r="B23" s="870">
        <v>0</v>
      </c>
      <c r="C23" s="870"/>
      <c r="D23" s="60" t="s">
        <v>547</v>
      </c>
      <c r="E23" s="870">
        <v>2</v>
      </c>
      <c r="F23" s="870"/>
      <c r="G23" s="60" t="s">
        <v>78</v>
      </c>
      <c r="H23" s="870">
        <v>3</v>
      </c>
      <c r="I23" s="870"/>
      <c r="J23" s="60" t="s">
        <v>256</v>
      </c>
      <c r="K23" s="870">
        <v>0</v>
      </c>
      <c r="L23" s="870"/>
      <c r="M23" s="60" t="s">
        <v>22</v>
      </c>
      <c r="N23" s="870">
        <v>2</v>
      </c>
      <c r="O23" s="870"/>
      <c r="P23" s="870"/>
      <c r="Q23" s="60" t="s">
        <v>470</v>
      </c>
      <c r="R23" s="870">
        <v>1</v>
      </c>
      <c r="S23" s="870"/>
      <c r="T23" s="870">
        <v>1</v>
      </c>
      <c r="U23" s="870">
        <v>3</v>
      </c>
      <c r="V23" s="870"/>
      <c r="W23" s="870">
        <v>1</v>
      </c>
      <c r="X23" s="870">
        <v>1</v>
      </c>
      <c r="Y23" s="870"/>
      <c r="BA23" s="876">
        <v>36</v>
      </c>
      <c r="BB23" s="875">
        <v>0</v>
      </c>
      <c r="BC23" s="875" t="s">
        <v>940</v>
      </c>
      <c r="BD23" s="875">
        <v>4</v>
      </c>
      <c r="BE23" s="875"/>
      <c r="BF23" s="875"/>
      <c r="BG23" s="875" t="s">
        <v>936</v>
      </c>
      <c r="BH23" s="875">
        <v>7</v>
      </c>
      <c r="BI23" s="875"/>
      <c r="BJ23" s="875"/>
      <c r="BK23" s="875"/>
      <c r="BL23" s="875"/>
      <c r="BM23" s="875"/>
      <c r="BN23" s="875"/>
      <c r="BO23" s="875"/>
      <c r="BP23" s="875"/>
    </row>
    <row r="24" spans="1:68" x14ac:dyDescent="0.4">
      <c r="A24" s="872">
        <v>42</v>
      </c>
      <c r="B24" s="870">
        <v>1</v>
      </c>
      <c r="C24" s="870"/>
      <c r="D24" s="60" t="s">
        <v>548</v>
      </c>
      <c r="E24" s="870">
        <v>2</v>
      </c>
      <c r="F24" s="870"/>
      <c r="G24" s="60" t="s">
        <v>74</v>
      </c>
      <c r="H24" s="870">
        <v>3</v>
      </c>
      <c r="I24" s="870"/>
      <c r="J24" s="60" t="s">
        <v>258</v>
      </c>
      <c r="K24" s="870">
        <v>0</v>
      </c>
      <c r="L24" s="870"/>
      <c r="M24" s="60" t="s">
        <v>94</v>
      </c>
      <c r="N24" s="870">
        <v>2</v>
      </c>
      <c r="O24" s="870"/>
      <c r="P24" s="870"/>
      <c r="Q24" s="60" t="s">
        <v>469</v>
      </c>
      <c r="R24" s="870">
        <v>1</v>
      </c>
      <c r="S24" s="870"/>
      <c r="T24" s="870">
        <v>2</v>
      </c>
      <c r="U24" s="870">
        <v>3</v>
      </c>
      <c r="V24" s="870"/>
      <c r="W24" s="870">
        <v>2</v>
      </c>
      <c r="X24" s="870">
        <v>1</v>
      </c>
      <c r="Y24" s="870"/>
      <c r="BA24" s="876">
        <v>42</v>
      </c>
      <c r="BB24" s="875">
        <v>1</v>
      </c>
      <c r="BC24" s="875" t="s">
        <v>939</v>
      </c>
      <c r="BD24" s="875">
        <v>5</v>
      </c>
      <c r="BE24" s="875"/>
      <c r="BF24" s="875"/>
      <c r="BG24" s="875"/>
      <c r="BH24" s="875"/>
      <c r="BI24" s="875"/>
      <c r="BJ24" s="875"/>
      <c r="BK24" s="875"/>
      <c r="BL24" s="875"/>
      <c r="BM24" s="875"/>
      <c r="BN24" s="875"/>
      <c r="BO24" s="875"/>
      <c r="BP24" s="875"/>
    </row>
    <row r="25" spans="1:68" x14ac:dyDescent="0.4">
      <c r="A25" s="872">
        <v>34</v>
      </c>
      <c r="B25" s="870">
        <v>2</v>
      </c>
      <c r="C25" s="870"/>
      <c r="D25" s="60" t="s">
        <v>165</v>
      </c>
      <c r="E25" s="870">
        <v>1</v>
      </c>
      <c r="F25" s="870"/>
      <c r="G25" s="60" t="s">
        <v>80</v>
      </c>
      <c r="H25" s="870">
        <v>3</v>
      </c>
      <c r="I25" s="870"/>
      <c r="J25" s="60" t="s">
        <v>260</v>
      </c>
      <c r="K25" s="870">
        <v>0</v>
      </c>
      <c r="L25" s="870"/>
      <c r="M25" s="60" t="s">
        <v>96</v>
      </c>
      <c r="N25" s="870">
        <v>2</v>
      </c>
      <c r="O25" s="870"/>
      <c r="P25" s="870"/>
      <c r="Q25" s="60" t="s">
        <v>350</v>
      </c>
      <c r="R25" s="870">
        <v>3</v>
      </c>
      <c r="S25" s="870"/>
      <c r="T25" s="870">
        <v>3</v>
      </c>
      <c r="U25" s="870">
        <v>3</v>
      </c>
      <c r="V25" s="870"/>
      <c r="W25" s="870">
        <v>3</v>
      </c>
      <c r="X25" s="870">
        <v>1</v>
      </c>
      <c r="Y25" s="870"/>
      <c r="BA25" s="876">
        <v>34</v>
      </c>
      <c r="BB25" s="875">
        <v>2</v>
      </c>
      <c r="BC25" s="875" t="s">
        <v>946</v>
      </c>
      <c r="BD25" s="875">
        <v>6</v>
      </c>
      <c r="BE25" s="875"/>
      <c r="BF25" s="875"/>
      <c r="BG25" s="875"/>
      <c r="BH25" s="875"/>
      <c r="BI25" s="875"/>
      <c r="BJ25" s="875"/>
      <c r="BK25" s="875"/>
      <c r="BL25" s="875"/>
      <c r="BM25" s="875"/>
      <c r="BN25" s="875"/>
      <c r="BO25" s="875"/>
      <c r="BP25" s="875"/>
    </row>
    <row r="26" spans="1:68" x14ac:dyDescent="0.4">
      <c r="A26" s="872">
        <v>35</v>
      </c>
      <c r="B26" s="870">
        <v>2</v>
      </c>
      <c r="C26" s="870"/>
      <c r="D26" s="60" t="s">
        <v>167</v>
      </c>
      <c r="E26" s="870">
        <v>1</v>
      </c>
      <c r="F26" s="870"/>
      <c r="G26" s="60" t="s">
        <v>679</v>
      </c>
      <c r="H26" s="870">
        <v>6</v>
      </c>
      <c r="I26" s="870"/>
      <c r="J26" s="60" t="s">
        <v>262</v>
      </c>
      <c r="K26" s="870">
        <v>0</v>
      </c>
      <c r="L26" s="870"/>
      <c r="M26" s="60" t="s">
        <v>98</v>
      </c>
      <c r="N26" s="870">
        <v>2</v>
      </c>
      <c r="O26" s="870"/>
      <c r="P26" s="870"/>
      <c r="Q26" s="60" t="s">
        <v>352</v>
      </c>
      <c r="R26" s="870">
        <v>2</v>
      </c>
      <c r="S26" s="870"/>
      <c r="T26" s="870">
        <v>4</v>
      </c>
      <c r="U26" s="870">
        <v>3</v>
      </c>
      <c r="V26" s="870"/>
      <c r="W26" s="870">
        <v>4</v>
      </c>
      <c r="X26" s="870">
        <v>1</v>
      </c>
      <c r="Y26" s="870"/>
      <c r="BA26" s="876">
        <v>35</v>
      </c>
      <c r="BB26" s="875">
        <v>2</v>
      </c>
      <c r="BC26" s="875"/>
      <c r="BD26" s="875" t="s">
        <v>1196</v>
      </c>
      <c r="BE26" s="875"/>
      <c r="BF26" s="875"/>
      <c r="BG26" s="875"/>
      <c r="BH26" s="875"/>
      <c r="BI26" s="875"/>
      <c r="BJ26" s="875"/>
      <c r="BK26" s="875"/>
      <c r="BL26" s="875"/>
      <c r="BM26" s="875"/>
      <c r="BN26" s="875"/>
      <c r="BO26" s="875"/>
      <c r="BP26" s="875"/>
    </row>
    <row r="27" spans="1:68" x14ac:dyDescent="0.4">
      <c r="A27" s="872">
        <v>37</v>
      </c>
      <c r="B27" s="870">
        <v>2</v>
      </c>
      <c r="C27" s="870"/>
      <c r="D27" s="60" t="s">
        <v>169</v>
      </c>
      <c r="E27" s="870">
        <v>1</v>
      </c>
      <c r="F27" s="870"/>
      <c r="G27" s="60" t="s">
        <v>681</v>
      </c>
      <c r="H27" s="870">
        <v>6</v>
      </c>
      <c r="I27" s="870"/>
      <c r="J27" s="60" t="s">
        <v>389</v>
      </c>
      <c r="K27" s="870">
        <v>0</v>
      </c>
      <c r="L27" s="870"/>
      <c r="M27" s="60" t="s">
        <v>24</v>
      </c>
      <c r="N27" s="870">
        <v>0</v>
      </c>
      <c r="O27" s="870"/>
      <c r="P27" s="870"/>
      <c r="Q27" s="60" t="s">
        <v>471</v>
      </c>
      <c r="R27" s="870">
        <v>1</v>
      </c>
      <c r="S27" s="870"/>
      <c r="T27" s="870">
        <v>5</v>
      </c>
      <c r="U27" s="870">
        <v>2</v>
      </c>
      <c r="V27" s="870"/>
      <c r="W27" s="870">
        <v>5</v>
      </c>
      <c r="X27" s="870">
        <v>2</v>
      </c>
      <c r="Y27" s="870"/>
      <c r="BA27" s="876">
        <v>37</v>
      </c>
      <c r="BB27" s="875">
        <v>2</v>
      </c>
      <c r="BC27" s="875"/>
      <c r="BD27" s="875"/>
      <c r="BE27" s="875"/>
      <c r="BF27" s="875"/>
      <c r="BG27" s="875"/>
      <c r="BH27" s="875"/>
      <c r="BI27" s="875"/>
      <c r="BJ27" s="875"/>
      <c r="BK27" s="875"/>
      <c r="BL27" s="875"/>
      <c r="BM27" s="875"/>
      <c r="BN27" s="875"/>
      <c r="BO27" s="875"/>
      <c r="BP27" s="875"/>
    </row>
    <row r="28" spans="1:68" x14ac:dyDescent="0.4">
      <c r="A28" s="872">
        <v>38</v>
      </c>
      <c r="B28" s="870">
        <v>2</v>
      </c>
      <c r="C28" s="870"/>
      <c r="D28" s="60" t="s">
        <v>379</v>
      </c>
      <c r="E28" s="870">
        <v>1</v>
      </c>
      <c r="F28" s="870"/>
      <c r="G28" s="60" t="s">
        <v>126</v>
      </c>
      <c r="H28" s="870">
        <v>10</v>
      </c>
      <c r="I28" s="870"/>
      <c r="J28" s="60" t="s">
        <v>264</v>
      </c>
      <c r="K28" s="870">
        <v>1</v>
      </c>
      <c r="L28" s="870"/>
      <c r="M28" s="60" t="s">
        <v>100</v>
      </c>
      <c r="N28" s="870">
        <v>0</v>
      </c>
      <c r="O28" s="870"/>
      <c r="P28" s="870"/>
      <c r="Q28" s="60" t="s">
        <v>474</v>
      </c>
      <c r="R28" s="870">
        <v>1</v>
      </c>
      <c r="S28" s="870"/>
      <c r="T28" s="870">
        <v>6</v>
      </c>
      <c r="U28" s="870">
        <v>2</v>
      </c>
      <c r="V28" s="870"/>
      <c r="W28" s="870">
        <v>6</v>
      </c>
      <c r="X28" s="870">
        <v>2</v>
      </c>
      <c r="Y28" s="870"/>
      <c r="BA28" s="876">
        <v>38</v>
      </c>
      <c r="BB28" s="875">
        <v>2</v>
      </c>
      <c r="BC28" s="875"/>
      <c r="BD28" s="875"/>
      <c r="BE28" s="875"/>
      <c r="BF28" s="875"/>
      <c r="BG28" s="875"/>
      <c r="BH28" s="875"/>
      <c r="BI28" s="875"/>
      <c r="BJ28" s="875"/>
      <c r="BK28" s="875"/>
      <c r="BL28" s="875"/>
      <c r="BM28" s="875"/>
      <c r="BN28" s="875"/>
      <c r="BO28" s="875"/>
      <c r="BP28" s="875"/>
    </row>
    <row r="29" spans="1:68" x14ac:dyDescent="0.4">
      <c r="A29" s="60" t="s">
        <v>946</v>
      </c>
      <c r="B29" s="870">
        <v>3</v>
      </c>
      <c r="C29" s="870"/>
      <c r="D29" s="60" t="s">
        <v>171</v>
      </c>
      <c r="E29" s="870">
        <v>1</v>
      </c>
      <c r="F29" s="870"/>
      <c r="G29" s="60" t="s">
        <v>128</v>
      </c>
      <c r="H29" s="870">
        <v>10</v>
      </c>
      <c r="I29" s="870"/>
      <c r="J29" s="60" t="s">
        <v>266</v>
      </c>
      <c r="K29" s="870">
        <v>1</v>
      </c>
      <c r="L29" s="870"/>
      <c r="M29" s="60" t="s">
        <v>102</v>
      </c>
      <c r="N29" s="870">
        <v>0</v>
      </c>
      <c r="O29" s="870"/>
      <c r="P29" s="870"/>
      <c r="Q29" s="60" t="s">
        <v>663</v>
      </c>
      <c r="R29" s="870">
        <v>3</v>
      </c>
      <c r="S29" s="870"/>
      <c r="T29" s="870">
        <v>7</v>
      </c>
      <c r="U29" s="870"/>
      <c r="V29" s="870"/>
      <c r="W29" s="870">
        <v>7</v>
      </c>
      <c r="X29" s="870"/>
      <c r="Y29" s="870"/>
      <c r="BA29" s="874" t="s">
        <v>946</v>
      </c>
      <c r="BB29" s="875">
        <v>3</v>
      </c>
      <c r="BC29" s="875"/>
      <c r="BD29" s="875"/>
      <c r="BE29" s="875"/>
      <c r="BF29" s="875"/>
      <c r="BG29" s="875"/>
      <c r="BH29" s="875"/>
      <c r="BI29" s="875"/>
      <c r="BJ29" s="875"/>
      <c r="BK29" s="875"/>
      <c r="BL29" s="875"/>
      <c r="BM29" s="875"/>
      <c r="BN29" s="875"/>
      <c r="BO29" s="875"/>
      <c r="BP29" s="875"/>
    </row>
    <row r="30" spans="1:68" x14ac:dyDescent="0.4">
      <c r="A30" s="60"/>
      <c r="B30" s="870"/>
      <c r="C30" s="870"/>
      <c r="D30" s="60" t="s">
        <v>381</v>
      </c>
      <c r="E30" s="870">
        <v>1</v>
      </c>
      <c r="F30" s="870"/>
      <c r="G30" s="60" t="s">
        <v>130</v>
      </c>
      <c r="H30" s="870">
        <v>10</v>
      </c>
      <c r="I30" s="870"/>
      <c r="J30" s="60" t="s">
        <v>268</v>
      </c>
      <c r="K30" s="870">
        <v>1</v>
      </c>
      <c r="L30" s="870"/>
      <c r="M30" s="60" t="s">
        <v>104</v>
      </c>
      <c r="N30" s="870">
        <v>0</v>
      </c>
      <c r="O30" s="870"/>
      <c r="P30" s="870"/>
      <c r="Q30" s="60" t="s">
        <v>665</v>
      </c>
      <c r="R30" s="870">
        <v>1</v>
      </c>
      <c r="S30" s="870"/>
      <c r="T30" s="870">
        <v>8</v>
      </c>
      <c r="U30" s="870"/>
      <c r="V30" s="870"/>
      <c r="W30" s="870">
        <v>8</v>
      </c>
      <c r="X30" s="870">
        <v>3</v>
      </c>
      <c r="Y30" s="870"/>
    </row>
    <row r="31" spans="1:68" x14ac:dyDescent="0.4">
      <c r="A31" s="60"/>
      <c r="B31" s="870"/>
      <c r="C31" s="870"/>
      <c r="D31" s="60" t="s">
        <v>507</v>
      </c>
      <c r="E31" s="870">
        <v>1</v>
      </c>
      <c r="F31" s="870"/>
      <c r="G31" s="60" t="s">
        <v>132</v>
      </c>
      <c r="H31" s="870">
        <v>10</v>
      </c>
      <c r="I31" s="870"/>
      <c r="J31" s="60" t="s">
        <v>270</v>
      </c>
      <c r="K31" s="870">
        <v>1</v>
      </c>
      <c r="L31" s="870"/>
      <c r="M31" s="60" t="s">
        <v>653</v>
      </c>
      <c r="N31" s="870">
        <v>3</v>
      </c>
      <c r="O31" s="870"/>
      <c r="P31" s="870"/>
      <c r="Q31" s="60" t="s">
        <v>667</v>
      </c>
      <c r="R31" s="870">
        <v>2</v>
      </c>
      <c r="S31" s="870"/>
      <c r="T31" s="870">
        <v>9</v>
      </c>
      <c r="U31" s="870"/>
      <c r="V31" s="870"/>
      <c r="W31" s="870">
        <v>9</v>
      </c>
      <c r="X31" s="870">
        <v>3</v>
      </c>
      <c r="Y31" s="870"/>
    </row>
    <row r="32" spans="1:68" x14ac:dyDescent="0.4">
      <c r="A32" s="60"/>
      <c r="B32" s="870"/>
      <c r="C32" s="870"/>
      <c r="D32" s="60" t="s">
        <v>383</v>
      </c>
      <c r="E32" s="870">
        <v>1</v>
      </c>
      <c r="F32" s="870"/>
      <c r="G32" s="60" t="s">
        <v>20</v>
      </c>
      <c r="H32" s="870">
        <v>10</v>
      </c>
      <c r="I32" s="870"/>
      <c r="J32" s="60" t="s">
        <v>272</v>
      </c>
      <c r="K32" s="870">
        <v>2</v>
      </c>
      <c r="L32" s="870"/>
      <c r="M32" s="60" t="s">
        <v>654</v>
      </c>
      <c r="N32" s="870">
        <v>3</v>
      </c>
      <c r="O32" s="870"/>
      <c r="P32" s="870"/>
      <c r="Q32" s="60" t="s">
        <v>669</v>
      </c>
      <c r="R32" s="870">
        <v>4</v>
      </c>
      <c r="S32" s="870"/>
      <c r="T32" s="870">
        <v>10</v>
      </c>
      <c r="U32" s="870">
        <v>6</v>
      </c>
      <c r="V32" s="870"/>
      <c r="W32" s="870">
        <v>10</v>
      </c>
      <c r="X32" s="870">
        <v>4</v>
      </c>
      <c r="Y32" s="870"/>
    </row>
    <row r="33" spans="1:25" x14ac:dyDescent="0.4">
      <c r="A33" s="60"/>
      <c r="B33" s="870"/>
      <c r="C33" s="870"/>
      <c r="D33" s="60" t="s">
        <v>394</v>
      </c>
      <c r="E33" s="870">
        <v>1</v>
      </c>
      <c r="F33" s="870"/>
      <c r="G33" s="60" t="s">
        <v>293</v>
      </c>
      <c r="H33" s="870">
        <v>0</v>
      </c>
      <c r="I33" s="870"/>
      <c r="J33" s="60" t="s">
        <v>274</v>
      </c>
      <c r="K33" s="870">
        <v>2</v>
      </c>
      <c r="L33" s="870"/>
      <c r="M33" s="60" t="s">
        <v>655</v>
      </c>
      <c r="N33" s="870">
        <v>3</v>
      </c>
      <c r="O33" s="870"/>
      <c r="P33" s="870"/>
      <c r="Q33" s="60" t="s">
        <v>695</v>
      </c>
      <c r="R33" s="870"/>
      <c r="S33" s="870"/>
      <c r="T33" s="870" t="s">
        <v>1196</v>
      </c>
      <c r="U33" s="870" t="s">
        <v>1196</v>
      </c>
      <c r="V33" s="870"/>
      <c r="W33" s="870" t="s">
        <v>1196</v>
      </c>
      <c r="X33" s="870" t="s">
        <v>1196</v>
      </c>
      <c r="Y33" s="870"/>
    </row>
    <row r="34" spans="1:25" x14ac:dyDescent="0.4">
      <c r="A34" s="60"/>
      <c r="B34" s="870"/>
      <c r="C34" s="870"/>
      <c r="D34" s="60" t="s">
        <v>396</v>
      </c>
      <c r="E34" s="870">
        <v>1</v>
      </c>
      <c r="F34" s="870"/>
      <c r="G34" s="60" t="s">
        <v>295</v>
      </c>
      <c r="H34" s="870">
        <v>0</v>
      </c>
      <c r="I34" s="870"/>
      <c r="J34" s="60" t="s">
        <v>276</v>
      </c>
      <c r="K34" s="870">
        <v>2</v>
      </c>
      <c r="L34" s="870"/>
      <c r="M34" s="60" t="s">
        <v>656</v>
      </c>
      <c r="N34" s="870">
        <v>3</v>
      </c>
      <c r="O34" s="870"/>
      <c r="P34" s="870"/>
      <c r="Q34" s="60" t="s">
        <v>514</v>
      </c>
      <c r="R34" s="870">
        <v>0</v>
      </c>
      <c r="S34" s="870"/>
      <c r="T34" s="870"/>
      <c r="U34" s="870"/>
      <c r="V34" s="870"/>
      <c r="W34" s="870"/>
      <c r="X34" s="870"/>
      <c r="Y34" s="870"/>
    </row>
    <row r="35" spans="1:25" x14ac:dyDescent="0.4">
      <c r="A35" s="60"/>
      <c r="B35" s="870"/>
      <c r="C35" s="870"/>
      <c r="D35" s="60" t="s">
        <v>398</v>
      </c>
      <c r="E35" s="870">
        <v>1</v>
      </c>
      <c r="F35" s="870"/>
      <c r="G35" s="60" t="s">
        <v>297</v>
      </c>
      <c r="H35" s="870">
        <v>0</v>
      </c>
      <c r="I35" s="870"/>
      <c r="J35" s="60" t="s">
        <v>278</v>
      </c>
      <c r="K35" s="870">
        <v>2</v>
      </c>
      <c r="L35" s="870"/>
      <c r="M35" s="60" t="s">
        <v>372</v>
      </c>
      <c r="N35" s="870" t="s">
        <v>1196</v>
      </c>
      <c r="O35" s="870"/>
      <c r="P35" s="870"/>
      <c r="Q35" s="60" t="s">
        <v>515</v>
      </c>
      <c r="R35" s="870">
        <v>0</v>
      </c>
      <c r="S35" s="870"/>
      <c r="T35" s="870"/>
      <c r="U35" s="870"/>
      <c r="V35" s="870"/>
      <c r="W35" s="870"/>
      <c r="X35" s="870"/>
      <c r="Y35" s="870"/>
    </row>
    <row r="36" spans="1:25" x14ac:dyDescent="0.4">
      <c r="A36" s="60"/>
      <c r="B36" s="870"/>
      <c r="C36" s="870"/>
      <c r="D36" s="60" t="s">
        <v>400</v>
      </c>
      <c r="E36" s="870">
        <v>1</v>
      </c>
      <c r="F36" s="870"/>
      <c r="G36" s="60" t="s">
        <v>299</v>
      </c>
      <c r="H36" s="870">
        <v>0</v>
      </c>
      <c r="I36" s="870"/>
      <c r="J36" s="60" t="s">
        <v>862</v>
      </c>
      <c r="K36" s="870">
        <v>3</v>
      </c>
      <c r="L36" s="870"/>
      <c r="M36" s="870"/>
      <c r="N36" s="870"/>
      <c r="O36" s="870"/>
      <c r="P36" s="870"/>
      <c r="Q36" s="60" t="s">
        <v>516</v>
      </c>
      <c r="R36" s="870">
        <v>0</v>
      </c>
      <c r="S36" s="870"/>
      <c r="T36" s="870"/>
      <c r="U36" s="870"/>
      <c r="V36" s="870"/>
      <c r="W36" s="870"/>
      <c r="X36" s="870"/>
      <c r="Y36" s="870"/>
    </row>
    <row r="37" spans="1:25" x14ac:dyDescent="0.4">
      <c r="A37" s="60"/>
      <c r="B37" s="870"/>
      <c r="C37" s="870"/>
      <c r="D37" s="60" t="s">
        <v>402</v>
      </c>
      <c r="E37" s="870">
        <v>1</v>
      </c>
      <c r="F37" s="870"/>
      <c r="G37" s="60" t="s">
        <v>301</v>
      </c>
      <c r="H37" s="870">
        <v>0</v>
      </c>
      <c r="I37" s="870"/>
      <c r="J37" s="60" t="s">
        <v>863</v>
      </c>
      <c r="K37" s="870"/>
      <c r="L37" s="870"/>
      <c r="M37" s="870"/>
      <c r="N37" s="870"/>
      <c r="O37" s="870"/>
      <c r="P37" s="870"/>
      <c r="Q37" s="60" t="s">
        <v>517</v>
      </c>
      <c r="R37" s="870">
        <v>0</v>
      </c>
      <c r="S37" s="870"/>
      <c r="T37" s="870"/>
      <c r="U37" s="870"/>
      <c r="V37" s="870"/>
      <c r="W37" s="870"/>
      <c r="X37" s="870"/>
      <c r="Y37" s="870"/>
    </row>
    <row r="38" spans="1:25" x14ac:dyDescent="0.4">
      <c r="A38" s="60"/>
      <c r="B38" s="870"/>
      <c r="C38" s="870"/>
      <c r="D38" s="60" t="s">
        <v>404</v>
      </c>
      <c r="E38" s="870">
        <v>1</v>
      </c>
      <c r="F38" s="870"/>
      <c r="G38" s="60" t="s">
        <v>303</v>
      </c>
      <c r="H38" s="870">
        <v>0</v>
      </c>
      <c r="I38" s="870"/>
      <c r="J38" s="870"/>
      <c r="K38" s="870"/>
      <c r="L38" s="870"/>
      <c r="M38" s="870"/>
      <c r="N38" s="870"/>
      <c r="O38" s="870"/>
      <c r="P38" s="870"/>
      <c r="Q38" s="60" t="s">
        <v>522</v>
      </c>
      <c r="R38" s="870">
        <v>0</v>
      </c>
      <c r="S38" s="870"/>
      <c r="T38" s="870"/>
      <c r="U38" s="870"/>
      <c r="V38" s="870"/>
      <c r="W38" s="870"/>
      <c r="X38" s="870"/>
      <c r="Y38" s="870"/>
    </row>
    <row r="39" spans="1:25" x14ac:dyDescent="0.4">
      <c r="A39" s="60"/>
      <c r="B39" s="870"/>
      <c r="C39" s="870"/>
      <c r="D39" s="60" t="s">
        <v>406</v>
      </c>
      <c r="E39" s="870">
        <v>1</v>
      </c>
      <c r="F39" s="870"/>
      <c r="G39" s="60" t="s">
        <v>305</v>
      </c>
      <c r="H39" s="870">
        <v>0</v>
      </c>
      <c r="I39" s="870"/>
      <c r="J39" s="870"/>
      <c r="K39" s="870"/>
      <c r="L39" s="870"/>
      <c r="M39" s="870"/>
      <c r="N39" s="870"/>
      <c r="O39" s="870"/>
      <c r="P39" s="870"/>
      <c r="Q39" s="60" t="s">
        <v>523</v>
      </c>
      <c r="R39" s="870">
        <v>0</v>
      </c>
      <c r="S39" s="870"/>
      <c r="T39" s="870"/>
      <c r="U39" s="870"/>
      <c r="V39" s="870"/>
      <c r="W39" s="870"/>
      <c r="X39" s="870"/>
      <c r="Y39" s="870"/>
    </row>
    <row r="40" spans="1:25" x14ac:dyDescent="0.4">
      <c r="A40" s="60"/>
      <c r="B40" s="870"/>
      <c r="C40" s="870"/>
      <c r="D40" s="60" t="s">
        <v>408</v>
      </c>
      <c r="E40" s="870">
        <v>1</v>
      </c>
      <c r="F40" s="870"/>
      <c r="G40" s="60" t="s">
        <v>307</v>
      </c>
      <c r="H40" s="870">
        <v>0</v>
      </c>
      <c r="I40" s="870"/>
      <c r="J40" s="870"/>
      <c r="K40" s="870"/>
      <c r="L40" s="870"/>
      <c r="M40" s="870"/>
      <c r="N40" s="870"/>
      <c r="O40" s="870"/>
      <c r="P40" s="870"/>
      <c r="Q40" s="60" t="s">
        <v>524</v>
      </c>
      <c r="R40" s="870">
        <v>0</v>
      </c>
      <c r="S40" s="870"/>
      <c r="T40" s="870"/>
      <c r="U40" s="870"/>
      <c r="V40" s="870"/>
      <c r="W40" s="870"/>
      <c r="X40" s="870"/>
      <c r="Y40" s="870"/>
    </row>
    <row r="41" spans="1:25" x14ac:dyDescent="0.4">
      <c r="A41" s="60"/>
      <c r="B41" s="870"/>
      <c r="C41" s="870"/>
      <c r="D41" s="60" t="s">
        <v>551</v>
      </c>
      <c r="E41" s="870">
        <v>1</v>
      </c>
      <c r="F41" s="870"/>
      <c r="G41" s="60" t="s">
        <v>309</v>
      </c>
      <c r="H41" s="870">
        <v>0</v>
      </c>
      <c r="I41" s="870"/>
      <c r="J41" s="870"/>
      <c r="K41" s="870"/>
      <c r="L41" s="870"/>
      <c r="M41" s="870"/>
      <c r="N41" s="870"/>
      <c r="O41" s="870"/>
      <c r="P41" s="870"/>
      <c r="Q41" s="60" t="s">
        <v>525</v>
      </c>
      <c r="R41" s="870">
        <v>0</v>
      </c>
      <c r="S41" s="870"/>
      <c r="T41" s="870"/>
      <c r="U41" s="870"/>
      <c r="V41" s="870"/>
      <c r="W41" s="870"/>
      <c r="X41" s="870"/>
      <c r="Y41" s="870"/>
    </row>
    <row r="42" spans="1:25" x14ac:dyDescent="0.4">
      <c r="A42" s="60"/>
      <c r="B42" s="870"/>
      <c r="C42" s="870"/>
      <c r="D42" s="60" t="s">
        <v>552</v>
      </c>
      <c r="E42" s="870">
        <v>1</v>
      </c>
      <c r="F42" s="870"/>
      <c r="G42" s="60" t="s">
        <v>311</v>
      </c>
      <c r="H42" s="870">
        <v>0</v>
      </c>
      <c r="I42" s="870"/>
      <c r="J42" s="870"/>
      <c r="K42" s="870"/>
      <c r="L42" s="870"/>
      <c r="M42" s="870"/>
      <c r="N42" s="870"/>
      <c r="O42" s="870"/>
      <c r="P42" s="870"/>
      <c r="Q42" s="60" t="s">
        <v>209</v>
      </c>
      <c r="R42" s="870">
        <v>5</v>
      </c>
      <c r="S42" s="870"/>
      <c r="T42" s="870"/>
      <c r="U42" s="870"/>
      <c r="V42" s="870"/>
      <c r="W42" s="870"/>
      <c r="X42" s="870"/>
      <c r="Y42" s="870"/>
    </row>
    <row r="43" spans="1:25" x14ac:dyDescent="0.4">
      <c r="A43" s="60"/>
      <c r="B43" s="870"/>
      <c r="C43" s="870"/>
      <c r="D43" s="60" t="s">
        <v>553</v>
      </c>
      <c r="E43" s="870">
        <v>1</v>
      </c>
      <c r="F43" s="870"/>
      <c r="G43" s="60" t="s">
        <v>313</v>
      </c>
      <c r="H43" s="870">
        <v>0</v>
      </c>
      <c r="I43" s="870"/>
      <c r="J43" s="870"/>
      <c r="K43" s="870"/>
      <c r="L43" s="870"/>
      <c r="M43" s="870"/>
      <c r="N43" s="870"/>
      <c r="O43" s="870"/>
      <c r="P43" s="870"/>
      <c r="Q43" s="60" t="s">
        <v>211</v>
      </c>
      <c r="R43" s="870"/>
      <c r="S43" s="870"/>
      <c r="T43" s="870"/>
      <c r="U43" s="870"/>
      <c r="V43" s="870"/>
      <c r="W43" s="870"/>
      <c r="X43" s="870"/>
      <c r="Y43" s="870"/>
    </row>
    <row r="44" spans="1:25" x14ac:dyDescent="0.4">
      <c r="A44" s="60"/>
      <c r="B44" s="870"/>
      <c r="C44" s="870"/>
      <c r="D44" s="60" t="s">
        <v>554</v>
      </c>
      <c r="E44" s="870">
        <v>1</v>
      </c>
      <c r="F44" s="870"/>
      <c r="G44" s="60" t="s">
        <v>315</v>
      </c>
      <c r="H44" s="870">
        <v>0</v>
      </c>
      <c r="I44" s="870"/>
      <c r="J44" s="870"/>
      <c r="K44" s="870"/>
      <c r="L44" s="870"/>
      <c r="M44" s="870"/>
      <c r="N44" s="870"/>
      <c r="O44" s="870"/>
      <c r="P44" s="870"/>
      <c r="Q44" s="60" t="s">
        <v>213</v>
      </c>
      <c r="R44" s="870">
        <v>6</v>
      </c>
      <c r="S44" s="870"/>
      <c r="T44" s="870"/>
      <c r="U44" s="870"/>
      <c r="V44" s="870"/>
      <c r="W44" s="870"/>
      <c r="X44" s="870"/>
      <c r="Y44" s="870"/>
    </row>
    <row r="45" spans="1:25" x14ac:dyDescent="0.4">
      <c r="A45" s="60"/>
      <c r="B45" s="870"/>
      <c r="C45" s="870"/>
      <c r="D45" s="60" t="s">
        <v>555</v>
      </c>
      <c r="E45" s="870">
        <v>1</v>
      </c>
      <c r="F45" s="870"/>
      <c r="G45" s="60" t="s">
        <v>243</v>
      </c>
      <c r="H45" s="870">
        <v>10</v>
      </c>
      <c r="I45" s="870"/>
      <c r="J45" s="870"/>
      <c r="K45" s="870"/>
      <c r="L45" s="870"/>
      <c r="M45" s="870"/>
      <c r="N45" s="870"/>
      <c r="O45" s="870"/>
      <c r="P45" s="870"/>
      <c r="Q45" s="60" t="s">
        <v>372</v>
      </c>
      <c r="R45" s="870">
        <v>7</v>
      </c>
      <c r="S45" s="870"/>
      <c r="T45" s="870"/>
      <c r="U45" s="870"/>
      <c r="V45" s="870"/>
      <c r="W45" s="870"/>
      <c r="X45" s="870"/>
      <c r="Y45" s="870"/>
    </row>
    <row r="46" spans="1:25" x14ac:dyDescent="0.4">
      <c r="A46" s="60"/>
      <c r="B46" s="870"/>
      <c r="C46" s="870"/>
      <c r="D46" s="60" t="s">
        <v>556</v>
      </c>
      <c r="E46" s="870">
        <v>1</v>
      </c>
      <c r="F46" s="870"/>
      <c r="G46" s="60" t="s">
        <v>683</v>
      </c>
      <c r="H46" s="870">
        <v>10</v>
      </c>
      <c r="I46" s="870"/>
      <c r="J46" s="870"/>
      <c r="K46" s="870"/>
      <c r="L46" s="870"/>
      <c r="M46" s="870"/>
      <c r="N46" s="870"/>
      <c r="O46" s="870"/>
      <c r="P46" s="870"/>
      <c r="Q46" s="870" t="s">
        <v>472</v>
      </c>
      <c r="R46" s="870" t="s">
        <v>1196</v>
      </c>
      <c r="S46" s="870"/>
      <c r="T46" s="870"/>
      <c r="U46" s="870"/>
      <c r="V46" s="870"/>
      <c r="W46" s="870"/>
      <c r="X46" s="870"/>
      <c r="Y46" s="870"/>
    </row>
    <row r="47" spans="1:25" x14ac:dyDescent="0.4">
      <c r="A47" s="60"/>
      <c r="B47" s="870"/>
      <c r="C47" s="870"/>
      <c r="D47" s="60" t="s">
        <v>557</v>
      </c>
      <c r="E47" s="870">
        <v>1</v>
      </c>
      <c r="F47" s="870"/>
      <c r="G47" s="60" t="s">
        <v>442</v>
      </c>
      <c r="H47" s="870">
        <v>10</v>
      </c>
      <c r="I47" s="870"/>
      <c r="J47" s="870"/>
      <c r="K47" s="870"/>
      <c r="L47" s="870"/>
      <c r="M47" s="870"/>
      <c r="N47" s="870"/>
      <c r="O47" s="870"/>
      <c r="P47" s="870"/>
      <c r="Q47" s="870" t="s">
        <v>356</v>
      </c>
      <c r="R47" s="870" t="s">
        <v>1196</v>
      </c>
      <c r="S47" s="870"/>
      <c r="T47" s="870"/>
      <c r="U47" s="870"/>
      <c r="V47" s="870"/>
      <c r="W47" s="870"/>
      <c r="X47" s="870"/>
      <c r="Y47" s="870"/>
    </row>
    <row r="48" spans="1:25" x14ac:dyDescent="0.4">
      <c r="A48" s="60"/>
      <c r="B48" s="870"/>
      <c r="C48" s="870"/>
      <c r="D48" s="60" t="s">
        <v>558</v>
      </c>
      <c r="E48" s="870">
        <v>1</v>
      </c>
      <c r="F48" s="870"/>
      <c r="G48" s="60" t="s">
        <v>811</v>
      </c>
      <c r="H48" s="870">
        <v>10</v>
      </c>
      <c r="I48" s="870"/>
      <c r="J48" s="870"/>
      <c r="K48" s="870"/>
      <c r="L48" s="870"/>
      <c r="M48" s="870"/>
      <c r="N48" s="870"/>
      <c r="O48" s="870"/>
      <c r="P48" s="870"/>
      <c r="Q48" s="870" t="s">
        <v>358</v>
      </c>
      <c r="R48" s="870" t="s">
        <v>1196</v>
      </c>
      <c r="S48" s="870"/>
      <c r="T48" s="870"/>
      <c r="U48" s="870"/>
      <c r="V48" s="870"/>
      <c r="W48" s="870"/>
      <c r="X48" s="870"/>
      <c r="Y48" s="870"/>
    </row>
    <row r="49" spans="1:25" x14ac:dyDescent="0.4">
      <c r="A49" s="60"/>
      <c r="B49" s="870"/>
      <c r="C49" s="870"/>
      <c r="D49" s="60" t="s">
        <v>559</v>
      </c>
      <c r="E49" s="870">
        <v>1</v>
      </c>
      <c r="F49" s="870"/>
      <c r="G49" s="60" t="s">
        <v>418</v>
      </c>
      <c r="H49" s="870" t="s">
        <v>1196</v>
      </c>
      <c r="I49" s="870"/>
      <c r="J49" s="870"/>
      <c r="K49" s="870"/>
      <c r="L49" s="870"/>
      <c r="M49" s="870"/>
      <c r="N49" s="870"/>
      <c r="O49" s="870"/>
      <c r="P49" s="870"/>
      <c r="Q49" s="870" t="s">
        <v>473</v>
      </c>
      <c r="R49" s="870" t="s">
        <v>1196</v>
      </c>
      <c r="S49" s="870"/>
      <c r="T49" s="870"/>
      <c r="U49" s="870"/>
      <c r="V49" s="870"/>
      <c r="W49" s="870"/>
      <c r="X49" s="870"/>
      <c r="Y49" s="870"/>
    </row>
    <row r="50" spans="1:25" x14ac:dyDescent="0.4">
      <c r="A50" s="60"/>
      <c r="B50" s="870"/>
      <c r="C50" s="870"/>
      <c r="D50" s="60" t="s">
        <v>560</v>
      </c>
      <c r="E50" s="870">
        <v>1</v>
      </c>
      <c r="F50" s="870"/>
      <c r="G50" s="870"/>
      <c r="H50" s="870"/>
      <c r="I50" s="870"/>
      <c r="J50" s="870"/>
      <c r="K50" s="870"/>
      <c r="L50" s="870"/>
      <c r="M50" s="870"/>
      <c r="N50" s="870"/>
      <c r="O50" s="870"/>
      <c r="P50" s="870"/>
      <c r="Q50" s="870" t="s">
        <v>671</v>
      </c>
      <c r="R50" s="870" t="s">
        <v>1196</v>
      </c>
      <c r="S50" s="870"/>
      <c r="T50" s="870"/>
      <c r="U50" s="870"/>
      <c r="V50" s="870"/>
      <c r="W50" s="870"/>
      <c r="X50" s="870"/>
      <c r="Y50" s="870"/>
    </row>
    <row r="51" spans="1:25" x14ac:dyDescent="0.4">
      <c r="A51" s="60"/>
      <c r="B51" s="870"/>
      <c r="C51" s="870"/>
      <c r="D51" s="60" t="s">
        <v>561</v>
      </c>
      <c r="E51" s="870">
        <v>1</v>
      </c>
      <c r="F51" s="870"/>
      <c r="G51" s="870"/>
      <c r="H51" s="870"/>
      <c r="I51" s="870"/>
      <c r="J51" s="870"/>
      <c r="K51" s="870"/>
      <c r="L51" s="870"/>
      <c r="M51" s="870"/>
      <c r="N51" s="870"/>
      <c r="O51" s="870"/>
      <c r="P51" s="870"/>
      <c r="Q51" s="870" t="s">
        <v>673</v>
      </c>
      <c r="R51" s="870" t="s">
        <v>1196</v>
      </c>
      <c r="S51" s="870"/>
      <c r="T51" s="870"/>
      <c r="U51" s="870"/>
      <c r="V51" s="870"/>
      <c r="W51" s="870"/>
      <c r="X51" s="870"/>
      <c r="Y51" s="870"/>
    </row>
    <row r="52" spans="1:25" x14ac:dyDescent="0.4">
      <c r="A52" s="60"/>
      <c r="B52" s="870"/>
      <c r="C52" s="870"/>
      <c r="D52" s="60" t="s">
        <v>562</v>
      </c>
      <c r="E52" s="870">
        <v>1</v>
      </c>
      <c r="F52" s="870"/>
      <c r="G52" s="870"/>
      <c r="H52" s="870"/>
      <c r="I52" s="870"/>
      <c r="J52" s="870"/>
      <c r="K52" s="870"/>
      <c r="L52" s="870"/>
      <c r="M52" s="870"/>
      <c r="N52" s="870"/>
      <c r="O52" s="870"/>
      <c r="P52" s="870"/>
      <c r="Q52" s="870" t="s">
        <v>675</v>
      </c>
      <c r="R52" s="870" t="s">
        <v>1196</v>
      </c>
      <c r="S52" s="870"/>
      <c r="T52" s="870"/>
      <c r="U52" s="870"/>
      <c r="V52" s="870"/>
      <c r="W52" s="870"/>
      <c r="X52" s="870"/>
      <c r="Y52" s="870"/>
    </row>
    <row r="53" spans="1:25" x14ac:dyDescent="0.4">
      <c r="A53" s="60"/>
      <c r="B53" s="870"/>
      <c r="C53" s="870"/>
      <c r="D53" s="60" t="s">
        <v>563</v>
      </c>
      <c r="E53" s="870">
        <v>1</v>
      </c>
      <c r="F53" s="870"/>
      <c r="G53" s="870"/>
      <c r="H53" s="870"/>
      <c r="I53" s="870"/>
      <c r="J53" s="870"/>
      <c r="K53" s="870"/>
      <c r="L53" s="870"/>
      <c r="M53" s="870"/>
      <c r="N53" s="870"/>
      <c r="O53" s="870"/>
      <c r="P53" s="870"/>
      <c r="Q53" s="870" t="s">
        <v>677</v>
      </c>
      <c r="R53" s="870" t="s">
        <v>1196</v>
      </c>
      <c r="S53" s="870"/>
      <c r="T53" s="870"/>
      <c r="U53" s="870"/>
      <c r="V53" s="870"/>
      <c r="W53" s="870"/>
      <c r="X53" s="870"/>
      <c r="Y53" s="870"/>
    </row>
    <row r="54" spans="1:25" x14ac:dyDescent="0.4">
      <c r="A54" s="60"/>
      <c r="B54" s="870"/>
      <c r="C54" s="870"/>
      <c r="D54" s="60" t="s">
        <v>564</v>
      </c>
      <c r="E54" s="870">
        <v>1</v>
      </c>
      <c r="F54" s="870"/>
      <c r="G54" s="870"/>
      <c r="H54" s="870"/>
      <c r="I54" s="870"/>
      <c r="J54" s="870"/>
      <c r="K54" s="870"/>
      <c r="L54" s="870"/>
      <c r="M54" s="870"/>
      <c r="N54" s="870"/>
      <c r="O54" s="870"/>
      <c r="P54" s="870"/>
      <c r="Q54" s="870" t="s">
        <v>697</v>
      </c>
      <c r="R54" s="870" t="s">
        <v>1196</v>
      </c>
      <c r="S54" s="870"/>
      <c r="T54" s="870"/>
      <c r="U54" s="870"/>
      <c r="V54" s="870"/>
      <c r="W54" s="870"/>
      <c r="X54" s="870"/>
      <c r="Y54" s="870"/>
    </row>
    <row r="55" spans="1:25" x14ac:dyDescent="0.4">
      <c r="A55" s="60"/>
      <c r="B55" s="870"/>
      <c r="C55" s="870"/>
      <c r="D55" s="60" t="s">
        <v>565</v>
      </c>
      <c r="E55" s="870">
        <v>1</v>
      </c>
      <c r="F55" s="870"/>
      <c r="G55" s="870"/>
      <c r="H55" s="870"/>
      <c r="I55" s="870"/>
      <c r="J55" s="870"/>
      <c r="K55" s="870"/>
      <c r="L55" s="870"/>
      <c r="M55" s="870"/>
      <c r="N55" s="870"/>
      <c r="O55" s="870"/>
      <c r="P55" s="870"/>
      <c r="Q55" s="870"/>
      <c r="R55" s="870"/>
      <c r="S55" s="870"/>
      <c r="T55" s="870"/>
      <c r="U55" s="870"/>
      <c r="V55" s="870"/>
      <c r="W55" s="870"/>
      <c r="X55" s="870"/>
      <c r="Y55" s="870"/>
    </row>
    <row r="56" spans="1:25" x14ac:dyDescent="0.4">
      <c r="A56" s="60"/>
      <c r="B56" s="870"/>
      <c r="C56" s="870"/>
      <c r="D56" s="60" t="s">
        <v>566</v>
      </c>
      <c r="E56" s="870">
        <v>1</v>
      </c>
      <c r="F56" s="870"/>
      <c r="G56" s="870"/>
      <c r="H56" s="870"/>
      <c r="I56" s="870"/>
      <c r="J56" s="870"/>
      <c r="K56" s="870"/>
      <c r="L56" s="870"/>
      <c r="M56" s="870"/>
      <c r="N56" s="870"/>
      <c r="O56" s="870"/>
      <c r="P56" s="870"/>
      <c r="Q56" s="870"/>
      <c r="R56" s="870"/>
      <c r="S56" s="870"/>
      <c r="T56" s="870"/>
      <c r="U56" s="870"/>
      <c r="V56" s="870"/>
      <c r="W56" s="870"/>
      <c r="X56" s="870"/>
      <c r="Y56" s="870"/>
    </row>
    <row r="57" spans="1:25" x14ac:dyDescent="0.4">
      <c r="A57" s="60"/>
      <c r="B57" s="870"/>
      <c r="C57" s="870"/>
      <c r="D57" s="60" t="s">
        <v>567</v>
      </c>
      <c r="E57" s="870">
        <v>1</v>
      </c>
      <c r="F57" s="870"/>
      <c r="G57" s="870"/>
      <c r="H57" s="870"/>
      <c r="I57" s="870"/>
      <c r="J57" s="870"/>
      <c r="K57" s="870"/>
      <c r="L57" s="870"/>
      <c r="M57" s="870"/>
      <c r="N57" s="870"/>
      <c r="O57" s="870"/>
      <c r="P57" s="870"/>
      <c r="Q57" s="870"/>
      <c r="R57" s="870"/>
      <c r="S57" s="870"/>
      <c r="T57" s="870"/>
      <c r="U57" s="870"/>
      <c r="V57" s="870"/>
      <c r="W57" s="870"/>
      <c r="X57" s="870"/>
      <c r="Y57" s="870"/>
    </row>
    <row r="58" spans="1:25" x14ac:dyDescent="0.4">
      <c r="A58" s="60"/>
      <c r="B58" s="870"/>
      <c r="C58" s="870"/>
      <c r="D58" s="60" t="s">
        <v>568</v>
      </c>
      <c r="E58" s="870">
        <v>1</v>
      </c>
      <c r="F58" s="870"/>
      <c r="G58" s="870"/>
      <c r="H58" s="870"/>
      <c r="I58" s="870"/>
      <c r="J58" s="870"/>
      <c r="K58" s="870"/>
      <c r="L58" s="870"/>
      <c r="M58" s="870"/>
      <c r="N58" s="870"/>
      <c r="O58" s="870"/>
      <c r="P58" s="870"/>
      <c r="Q58" s="870"/>
      <c r="R58" s="870"/>
      <c r="S58" s="870"/>
      <c r="T58" s="870"/>
      <c r="U58" s="870"/>
      <c r="V58" s="870"/>
      <c r="W58" s="870"/>
      <c r="X58" s="870"/>
      <c r="Y58" s="870"/>
    </row>
    <row r="59" spans="1:25" x14ac:dyDescent="0.4">
      <c r="A59" s="60"/>
      <c r="B59" s="870"/>
      <c r="C59" s="870"/>
      <c r="D59" s="60" t="s">
        <v>569</v>
      </c>
      <c r="E59" s="870">
        <v>1</v>
      </c>
      <c r="F59" s="870"/>
      <c r="G59" s="870"/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</row>
    <row r="60" spans="1:25" x14ac:dyDescent="0.4">
      <c r="A60" s="60"/>
      <c r="B60" s="870"/>
      <c r="C60" s="870"/>
      <c r="D60" s="60" t="s">
        <v>570</v>
      </c>
      <c r="E60" s="870">
        <v>1</v>
      </c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</row>
    <row r="61" spans="1:25" x14ac:dyDescent="0.4">
      <c r="A61" s="60"/>
      <c r="B61" s="870"/>
      <c r="C61" s="870"/>
      <c r="D61" s="60" t="s">
        <v>571</v>
      </c>
      <c r="E61" s="870">
        <v>1</v>
      </c>
      <c r="F61" s="870"/>
      <c r="G61" s="870"/>
      <c r="H61" s="870"/>
      <c r="I61" s="870"/>
      <c r="J61" s="870"/>
      <c r="K61" s="870"/>
      <c r="L61" s="870"/>
      <c r="M61" s="870"/>
      <c r="N61" s="870"/>
      <c r="O61" s="870"/>
      <c r="P61" s="870"/>
      <c r="Q61" s="870"/>
      <c r="R61" s="870"/>
      <c r="S61" s="870"/>
      <c r="T61" s="870"/>
      <c r="U61" s="870"/>
      <c r="V61" s="870"/>
      <c r="W61" s="870"/>
      <c r="X61" s="870"/>
      <c r="Y61" s="870"/>
    </row>
    <row r="62" spans="1:25" x14ac:dyDescent="0.4">
      <c r="A62" s="60"/>
      <c r="B62" s="870"/>
      <c r="C62" s="870"/>
      <c r="D62" s="60" t="s">
        <v>572</v>
      </c>
      <c r="E62" s="870">
        <v>1</v>
      </c>
      <c r="F62" s="870"/>
      <c r="G62" s="870"/>
      <c r="H62" s="870"/>
      <c r="I62" s="870"/>
      <c r="J62" s="870"/>
      <c r="K62" s="870"/>
      <c r="L62" s="870"/>
      <c r="M62" s="870"/>
      <c r="N62" s="870"/>
      <c r="O62" s="870"/>
      <c r="P62" s="870"/>
      <c r="Q62" s="870"/>
      <c r="R62" s="870"/>
      <c r="S62" s="870"/>
      <c r="T62" s="870"/>
      <c r="U62" s="870"/>
      <c r="V62" s="870"/>
      <c r="W62" s="870"/>
      <c r="X62" s="870"/>
      <c r="Y62" s="870"/>
    </row>
    <row r="63" spans="1:25" x14ac:dyDescent="0.4">
      <c r="A63" s="60"/>
      <c r="B63" s="870"/>
      <c r="C63" s="870"/>
      <c r="D63" s="60" t="s">
        <v>573</v>
      </c>
      <c r="E63" s="870">
        <v>1</v>
      </c>
      <c r="F63" s="870"/>
      <c r="G63" s="870"/>
      <c r="H63" s="870"/>
      <c r="I63" s="870"/>
      <c r="J63" s="870"/>
      <c r="K63" s="870"/>
      <c r="L63" s="870"/>
      <c r="M63" s="870"/>
      <c r="N63" s="870"/>
      <c r="O63" s="870"/>
      <c r="P63" s="870"/>
      <c r="Q63" s="870"/>
      <c r="R63" s="870"/>
      <c r="S63" s="870"/>
      <c r="T63" s="870"/>
      <c r="U63" s="870"/>
      <c r="V63" s="870"/>
      <c r="W63" s="870"/>
      <c r="X63" s="870"/>
      <c r="Y63" s="870"/>
    </row>
    <row r="64" spans="1:25" x14ac:dyDescent="0.4">
      <c r="A64" s="60"/>
      <c r="B64" s="870"/>
      <c r="C64" s="870"/>
      <c r="D64" s="60" t="s">
        <v>574</v>
      </c>
      <c r="E64" s="870">
        <v>1</v>
      </c>
      <c r="F64" s="870"/>
      <c r="G64" s="870"/>
      <c r="H64" s="870"/>
      <c r="I64" s="870"/>
      <c r="J64" s="870"/>
      <c r="K64" s="870"/>
      <c r="L64" s="870"/>
      <c r="M64" s="870"/>
      <c r="N64" s="870"/>
      <c r="O64" s="870"/>
      <c r="P64" s="870"/>
      <c r="Q64" s="870"/>
      <c r="R64" s="870"/>
      <c r="S64" s="870"/>
      <c r="T64" s="870"/>
      <c r="U64" s="870"/>
      <c r="V64" s="870"/>
      <c r="W64" s="870"/>
      <c r="X64" s="870"/>
      <c r="Y64" s="870"/>
    </row>
    <row r="65" spans="1:25" x14ac:dyDescent="0.4">
      <c r="A65" s="60"/>
      <c r="B65" s="870"/>
      <c r="C65" s="870"/>
      <c r="D65" s="60" t="s">
        <v>575</v>
      </c>
      <c r="E65" s="870">
        <v>1</v>
      </c>
      <c r="F65" s="870"/>
      <c r="G65" s="870"/>
      <c r="H65" s="870"/>
      <c r="I65" s="870"/>
      <c r="J65" s="870"/>
      <c r="K65" s="870"/>
      <c r="L65" s="870"/>
      <c r="M65" s="870"/>
      <c r="N65" s="870"/>
      <c r="O65" s="870"/>
      <c r="P65" s="870"/>
      <c r="Q65" s="870"/>
      <c r="R65" s="870"/>
      <c r="S65" s="870"/>
      <c r="T65" s="870"/>
      <c r="U65" s="870"/>
      <c r="V65" s="870"/>
      <c r="W65" s="870"/>
      <c r="X65" s="870"/>
      <c r="Y65" s="870"/>
    </row>
    <row r="66" spans="1:25" x14ac:dyDescent="0.4">
      <c r="A66" s="60"/>
      <c r="B66" s="870"/>
      <c r="C66" s="870"/>
      <c r="D66" s="60" t="s">
        <v>576</v>
      </c>
      <c r="E66" s="870">
        <v>1</v>
      </c>
      <c r="F66" s="870"/>
      <c r="G66" s="870"/>
      <c r="H66" s="870"/>
      <c r="I66" s="870"/>
      <c r="J66" s="870"/>
      <c r="K66" s="870"/>
      <c r="L66" s="870"/>
      <c r="M66" s="870"/>
      <c r="N66" s="870"/>
      <c r="O66" s="870"/>
      <c r="P66" s="870"/>
      <c r="Q66" s="870"/>
      <c r="R66" s="870"/>
      <c r="S66" s="870"/>
      <c r="T66" s="870"/>
      <c r="U66" s="870"/>
      <c r="V66" s="870"/>
      <c r="W66" s="870"/>
      <c r="X66" s="870"/>
      <c r="Y66" s="870"/>
    </row>
    <row r="67" spans="1:25" x14ac:dyDescent="0.4">
      <c r="A67" s="60"/>
      <c r="B67" s="870"/>
      <c r="C67" s="870"/>
      <c r="D67" s="60" t="s">
        <v>577</v>
      </c>
      <c r="E67" s="870">
        <v>1</v>
      </c>
      <c r="F67" s="870"/>
      <c r="G67" s="870"/>
      <c r="H67" s="870"/>
      <c r="I67" s="870"/>
      <c r="J67" s="870"/>
      <c r="K67" s="870"/>
      <c r="L67" s="870"/>
      <c r="M67" s="870"/>
      <c r="N67" s="870"/>
      <c r="O67" s="870"/>
      <c r="P67" s="870"/>
      <c r="Q67" s="870"/>
      <c r="R67" s="870"/>
      <c r="S67" s="870"/>
      <c r="T67" s="870"/>
      <c r="U67" s="870"/>
      <c r="V67" s="870"/>
      <c r="W67" s="870"/>
      <c r="X67" s="870"/>
      <c r="Y67" s="870"/>
    </row>
    <row r="68" spans="1:25" x14ac:dyDescent="0.4">
      <c r="A68" s="60"/>
      <c r="B68" s="870"/>
      <c r="C68" s="870"/>
      <c r="D68" s="60" t="s">
        <v>578</v>
      </c>
      <c r="E68" s="870">
        <v>1</v>
      </c>
      <c r="F68" s="870"/>
      <c r="G68" s="870"/>
      <c r="H68" s="870"/>
      <c r="I68" s="870"/>
      <c r="J68" s="870"/>
      <c r="K68" s="870"/>
      <c r="L68" s="870"/>
      <c r="M68" s="870"/>
      <c r="N68" s="870"/>
      <c r="O68" s="870"/>
      <c r="P68" s="870"/>
      <c r="Q68" s="870"/>
      <c r="R68" s="870"/>
      <c r="S68" s="870"/>
      <c r="T68" s="870"/>
      <c r="U68" s="870"/>
      <c r="V68" s="870"/>
      <c r="W68" s="870"/>
      <c r="X68" s="870"/>
      <c r="Y68" s="870"/>
    </row>
    <row r="69" spans="1:25" x14ac:dyDescent="0.4">
      <c r="A69" s="60"/>
      <c r="B69" s="870"/>
      <c r="C69" s="870"/>
      <c r="D69" s="60" t="s">
        <v>579</v>
      </c>
      <c r="E69" s="870">
        <v>1</v>
      </c>
      <c r="F69" s="870"/>
      <c r="G69" s="870"/>
      <c r="H69" s="870"/>
      <c r="I69" s="870"/>
      <c r="J69" s="870"/>
      <c r="K69" s="870"/>
      <c r="L69" s="870"/>
      <c r="M69" s="870"/>
      <c r="N69" s="870"/>
      <c r="O69" s="870"/>
      <c r="P69" s="870"/>
      <c r="Q69" s="870"/>
      <c r="R69" s="870"/>
      <c r="S69" s="870"/>
      <c r="T69" s="870"/>
      <c r="U69" s="870"/>
      <c r="V69" s="870"/>
      <c r="W69" s="870"/>
      <c r="X69" s="870"/>
      <c r="Y69" s="870"/>
    </row>
    <row r="70" spans="1:25" x14ac:dyDescent="0.4">
      <c r="A70" s="60"/>
      <c r="B70" s="870"/>
      <c r="C70" s="870"/>
      <c r="D70" s="60" t="s">
        <v>580</v>
      </c>
      <c r="E70" s="870">
        <v>1</v>
      </c>
      <c r="F70" s="870"/>
      <c r="G70" s="870"/>
      <c r="H70" s="870"/>
      <c r="I70" s="870"/>
      <c r="J70" s="870"/>
      <c r="K70" s="870"/>
      <c r="L70" s="870"/>
      <c r="M70" s="870"/>
      <c r="N70" s="870"/>
      <c r="O70" s="870"/>
      <c r="P70" s="870"/>
      <c r="Q70" s="870"/>
      <c r="R70" s="870"/>
      <c r="S70" s="870"/>
      <c r="T70" s="870"/>
      <c r="U70" s="870"/>
      <c r="V70" s="870"/>
      <c r="W70" s="870"/>
      <c r="X70" s="870"/>
      <c r="Y70" s="870"/>
    </row>
    <row r="71" spans="1:25" x14ac:dyDescent="0.4">
      <c r="A71" s="60"/>
      <c r="B71" s="870"/>
      <c r="C71" s="870"/>
      <c r="D71" s="60" t="s">
        <v>581</v>
      </c>
      <c r="E71" s="870">
        <v>1</v>
      </c>
      <c r="F71" s="870"/>
      <c r="G71" s="870"/>
      <c r="H71" s="870"/>
      <c r="I71" s="870"/>
      <c r="J71" s="870"/>
      <c r="K71" s="870"/>
      <c r="L71" s="870"/>
      <c r="M71" s="870"/>
      <c r="N71" s="870"/>
      <c r="O71" s="870"/>
      <c r="P71" s="870"/>
      <c r="Q71" s="870"/>
      <c r="R71" s="870"/>
      <c r="S71" s="870"/>
      <c r="T71" s="870"/>
      <c r="U71" s="870"/>
      <c r="V71" s="870"/>
      <c r="W71" s="870"/>
      <c r="X71" s="870"/>
      <c r="Y71" s="870"/>
    </row>
    <row r="72" spans="1:25" x14ac:dyDescent="0.4">
      <c r="A72" s="60"/>
      <c r="B72" s="870"/>
      <c r="C72" s="870"/>
      <c r="D72" s="60" t="s">
        <v>582</v>
      </c>
      <c r="E72" s="870">
        <v>1</v>
      </c>
      <c r="F72" s="870"/>
      <c r="G72" s="870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</row>
    <row r="73" spans="1:25" x14ac:dyDescent="0.4">
      <c r="A73" s="60"/>
      <c r="B73" s="870"/>
      <c r="C73" s="870"/>
      <c r="D73" s="60" t="s">
        <v>583</v>
      </c>
      <c r="E73" s="870">
        <v>1</v>
      </c>
      <c r="F73" s="870"/>
      <c r="G73" s="870"/>
      <c r="H73" s="870"/>
      <c r="I73" s="870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</row>
    <row r="74" spans="1:25" x14ac:dyDescent="0.4">
      <c r="A74" s="60"/>
      <c r="B74" s="870"/>
      <c r="C74" s="870"/>
      <c r="D74" s="60" t="s">
        <v>584</v>
      </c>
      <c r="E74" s="870">
        <v>1</v>
      </c>
      <c r="F74" s="870"/>
      <c r="G74" s="870"/>
      <c r="H74" s="870"/>
      <c r="I74" s="870"/>
      <c r="J74" s="870"/>
      <c r="K74" s="870"/>
      <c r="L74" s="870"/>
      <c r="M74" s="870"/>
      <c r="N74" s="870"/>
      <c r="O74" s="870"/>
      <c r="P74" s="870"/>
      <c r="Q74" s="870"/>
      <c r="R74" s="870"/>
      <c r="S74" s="870"/>
      <c r="T74" s="870"/>
      <c r="U74" s="870"/>
      <c r="V74" s="870"/>
      <c r="W74" s="870"/>
      <c r="X74" s="870"/>
      <c r="Y74" s="870"/>
    </row>
    <row r="75" spans="1:25" x14ac:dyDescent="0.4">
      <c r="A75" s="60"/>
      <c r="B75" s="870"/>
      <c r="C75" s="870"/>
      <c r="D75" s="60" t="s">
        <v>585</v>
      </c>
      <c r="E75" s="870">
        <v>1</v>
      </c>
      <c r="F75" s="870"/>
      <c r="G75" s="870"/>
      <c r="H75" s="870"/>
      <c r="I75" s="870"/>
      <c r="J75" s="870"/>
      <c r="K75" s="870"/>
      <c r="L75" s="870"/>
      <c r="M75" s="870"/>
      <c r="N75" s="870"/>
      <c r="O75" s="870"/>
      <c r="P75" s="870"/>
      <c r="Q75" s="870"/>
      <c r="R75" s="870"/>
      <c r="S75" s="870"/>
      <c r="T75" s="870"/>
      <c r="U75" s="870"/>
      <c r="V75" s="870"/>
      <c r="W75" s="870"/>
      <c r="X75" s="870"/>
      <c r="Y75" s="870"/>
    </row>
    <row r="76" spans="1:25" x14ac:dyDescent="0.4">
      <c r="A76" s="60"/>
      <c r="B76" s="870"/>
      <c r="C76" s="870"/>
      <c r="D76" s="60" t="s">
        <v>586</v>
      </c>
      <c r="E76" s="870">
        <v>1</v>
      </c>
      <c r="F76" s="870"/>
      <c r="G76" s="870"/>
      <c r="H76" s="870"/>
      <c r="I76" s="870"/>
      <c r="J76" s="870"/>
      <c r="K76" s="870"/>
      <c r="L76" s="870"/>
      <c r="M76" s="870"/>
      <c r="N76" s="870"/>
      <c r="O76" s="870"/>
      <c r="P76" s="870"/>
      <c r="Q76" s="870"/>
      <c r="R76" s="870"/>
      <c r="S76" s="870"/>
      <c r="T76" s="870"/>
      <c r="U76" s="870"/>
      <c r="V76" s="870"/>
      <c r="W76" s="870"/>
      <c r="X76" s="870"/>
      <c r="Y76" s="870"/>
    </row>
    <row r="77" spans="1:25" x14ac:dyDescent="0.4">
      <c r="A77" s="60"/>
      <c r="B77" s="870"/>
      <c r="C77" s="870"/>
      <c r="D77" s="60" t="s">
        <v>587</v>
      </c>
      <c r="E77" s="870">
        <v>1</v>
      </c>
      <c r="F77" s="870"/>
      <c r="G77" s="870"/>
      <c r="H77" s="870"/>
      <c r="I77" s="870"/>
      <c r="J77" s="870"/>
      <c r="K77" s="870"/>
      <c r="L77" s="870"/>
      <c r="M77" s="870"/>
      <c r="N77" s="870"/>
      <c r="O77" s="870"/>
      <c r="P77" s="870"/>
      <c r="Q77" s="870"/>
      <c r="R77" s="870"/>
      <c r="S77" s="870"/>
      <c r="T77" s="870"/>
      <c r="U77" s="870"/>
      <c r="V77" s="870"/>
      <c r="W77" s="870"/>
      <c r="X77" s="870"/>
      <c r="Y77" s="870"/>
    </row>
    <row r="78" spans="1:25" x14ac:dyDescent="0.4">
      <c r="A78" s="60"/>
      <c r="B78" s="870"/>
      <c r="C78" s="870"/>
      <c r="D78" s="60" t="s">
        <v>588</v>
      </c>
      <c r="E78" s="870">
        <v>1</v>
      </c>
      <c r="F78" s="870"/>
      <c r="G78" s="870"/>
      <c r="H78" s="870"/>
      <c r="I78" s="870"/>
      <c r="J78" s="870"/>
      <c r="K78" s="870"/>
      <c r="L78" s="870"/>
      <c r="M78" s="870"/>
      <c r="N78" s="870"/>
      <c r="O78" s="870"/>
      <c r="P78" s="870"/>
      <c r="Q78" s="870"/>
      <c r="R78" s="870"/>
      <c r="S78" s="870"/>
      <c r="T78" s="870"/>
      <c r="U78" s="870"/>
      <c r="V78" s="870"/>
      <c r="W78" s="870"/>
      <c r="X78" s="870"/>
      <c r="Y78" s="870"/>
    </row>
    <row r="79" spans="1:25" x14ac:dyDescent="0.4">
      <c r="A79" s="60"/>
      <c r="B79" s="870"/>
      <c r="C79" s="870"/>
      <c r="D79" s="60" t="s">
        <v>589</v>
      </c>
      <c r="E79" s="870">
        <v>1</v>
      </c>
      <c r="F79" s="870"/>
      <c r="G79" s="870"/>
      <c r="H79" s="870"/>
      <c r="I79" s="870"/>
      <c r="J79" s="870"/>
      <c r="K79" s="870"/>
      <c r="L79" s="870"/>
      <c r="M79" s="870"/>
      <c r="N79" s="870"/>
      <c r="O79" s="870"/>
      <c r="P79" s="870"/>
      <c r="Q79" s="870"/>
      <c r="R79" s="870"/>
      <c r="S79" s="870"/>
      <c r="T79" s="870"/>
      <c r="U79" s="870"/>
      <c r="V79" s="870"/>
      <c r="W79" s="870"/>
      <c r="X79" s="870"/>
      <c r="Y79" s="870"/>
    </row>
    <row r="80" spans="1:25" x14ac:dyDescent="0.4">
      <c r="A80" s="60"/>
      <c r="B80" s="870"/>
      <c r="C80" s="870"/>
      <c r="D80" s="60" t="s">
        <v>590</v>
      </c>
      <c r="E80" s="870">
        <v>1</v>
      </c>
      <c r="F80" s="870"/>
      <c r="G80" s="870"/>
      <c r="H80" s="870"/>
      <c r="I80" s="870"/>
      <c r="J80" s="870"/>
      <c r="K80" s="870"/>
      <c r="L80" s="870"/>
      <c r="M80" s="870"/>
      <c r="N80" s="870"/>
      <c r="O80" s="870"/>
      <c r="P80" s="870"/>
      <c r="Q80" s="870"/>
      <c r="R80" s="870"/>
      <c r="S80" s="870"/>
      <c r="T80" s="870"/>
      <c r="U80" s="870"/>
      <c r="V80" s="870"/>
      <c r="W80" s="870"/>
      <c r="X80" s="870"/>
      <c r="Y80" s="870"/>
    </row>
    <row r="81" spans="1:25" x14ac:dyDescent="0.4">
      <c r="A81" s="60"/>
      <c r="B81" s="870"/>
      <c r="C81" s="870"/>
      <c r="D81" s="60" t="s">
        <v>591</v>
      </c>
      <c r="E81" s="870">
        <v>1</v>
      </c>
      <c r="F81" s="870"/>
      <c r="G81" s="870"/>
      <c r="H81" s="870"/>
      <c r="I81" s="870"/>
      <c r="J81" s="870"/>
      <c r="K81" s="870"/>
      <c r="L81" s="870"/>
      <c r="M81" s="870"/>
      <c r="N81" s="870"/>
      <c r="O81" s="870"/>
      <c r="P81" s="870"/>
      <c r="Q81" s="870"/>
      <c r="R81" s="870"/>
      <c r="S81" s="870"/>
      <c r="T81" s="870"/>
      <c r="U81" s="870"/>
      <c r="V81" s="870"/>
      <c r="W81" s="870"/>
      <c r="X81" s="870"/>
      <c r="Y81" s="870"/>
    </row>
    <row r="82" spans="1:25" x14ac:dyDescent="0.4">
      <c r="A82" s="60"/>
      <c r="B82" s="870"/>
      <c r="C82" s="870"/>
      <c r="D82" s="60" t="s">
        <v>592</v>
      </c>
      <c r="E82" s="870">
        <v>1</v>
      </c>
      <c r="F82" s="870"/>
      <c r="G82" s="870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870"/>
      <c r="X82" s="870"/>
      <c r="Y82" s="870"/>
    </row>
    <row r="83" spans="1:25" x14ac:dyDescent="0.4">
      <c r="A83" s="60"/>
      <c r="B83" s="870"/>
      <c r="C83" s="870"/>
      <c r="D83" s="60" t="s">
        <v>593</v>
      </c>
      <c r="E83" s="870">
        <v>1</v>
      </c>
      <c r="F83" s="870"/>
      <c r="G83" s="870"/>
      <c r="H83" s="870"/>
      <c r="I83" s="870"/>
      <c r="J83" s="870"/>
      <c r="K83" s="870"/>
      <c r="L83" s="870"/>
      <c r="M83" s="870"/>
      <c r="N83" s="870"/>
      <c r="O83" s="870"/>
      <c r="P83" s="870"/>
      <c r="Q83" s="870"/>
      <c r="R83" s="870"/>
      <c r="S83" s="870"/>
      <c r="T83" s="870"/>
      <c r="U83" s="870"/>
      <c r="V83" s="870"/>
      <c r="W83" s="870"/>
      <c r="X83" s="870"/>
      <c r="Y83" s="870"/>
    </row>
    <row r="84" spans="1:25" x14ac:dyDescent="0.4">
      <c r="A84" s="60"/>
      <c r="B84" s="870"/>
      <c r="C84" s="870"/>
      <c r="D84" s="60" t="s">
        <v>594</v>
      </c>
      <c r="E84" s="870">
        <v>1</v>
      </c>
      <c r="F84" s="870"/>
      <c r="G84" s="870"/>
      <c r="H84" s="870"/>
      <c r="I84" s="870"/>
      <c r="J84" s="870"/>
      <c r="K84" s="870"/>
      <c r="L84" s="870"/>
      <c r="M84" s="870"/>
      <c r="N84" s="870"/>
      <c r="O84" s="870"/>
      <c r="P84" s="870"/>
      <c r="Q84" s="870"/>
      <c r="R84" s="870"/>
      <c r="S84" s="870"/>
      <c r="T84" s="870"/>
      <c r="U84" s="870"/>
      <c r="V84" s="870"/>
      <c r="W84" s="870"/>
      <c r="X84" s="870"/>
      <c r="Y84" s="870"/>
    </row>
    <row r="85" spans="1:25" x14ac:dyDescent="0.4">
      <c r="A85" s="60"/>
      <c r="B85" s="870"/>
      <c r="C85" s="870"/>
      <c r="D85" s="60" t="s">
        <v>595</v>
      </c>
      <c r="E85" s="870">
        <v>1</v>
      </c>
      <c r="F85" s="870"/>
      <c r="G85" s="870"/>
      <c r="H85" s="870"/>
      <c r="I85" s="870"/>
      <c r="J85" s="870"/>
      <c r="K85" s="870"/>
      <c r="L85" s="870"/>
      <c r="M85" s="870"/>
      <c r="N85" s="870"/>
      <c r="O85" s="870"/>
      <c r="P85" s="870"/>
      <c r="Q85" s="870"/>
      <c r="R85" s="870"/>
      <c r="S85" s="870"/>
      <c r="T85" s="870"/>
      <c r="U85" s="870"/>
      <c r="V85" s="870"/>
      <c r="W85" s="870"/>
      <c r="X85" s="870"/>
      <c r="Y85" s="870"/>
    </row>
    <row r="86" spans="1:25" x14ac:dyDescent="0.4">
      <c r="A86" s="60"/>
      <c r="B86" s="870"/>
      <c r="C86" s="870"/>
      <c r="D86" s="60" t="s">
        <v>596</v>
      </c>
      <c r="E86" s="870">
        <v>1</v>
      </c>
      <c r="F86" s="870"/>
      <c r="G86" s="870"/>
      <c r="H86" s="870"/>
      <c r="I86" s="870"/>
      <c r="J86" s="870"/>
      <c r="K86" s="870"/>
      <c r="L86" s="870"/>
      <c r="M86" s="870"/>
      <c r="N86" s="870"/>
      <c r="O86" s="870"/>
      <c r="P86" s="870"/>
      <c r="Q86" s="870"/>
      <c r="R86" s="870"/>
      <c r="S86" s="870"/>
      <c r="T86" s="870"/>
      <c r="U86" s="870"/>
      <c r="V86" s="870"/>
      <c r="W86" s="870"/>
      <c r="X86" s="870"/>
      <c r="Y86" s="870"/>
    </row>
    <row r="87" spans="1:25" x14ac:dyDescent="0.4">
      <c r="A87" s="60"/>
      <c r="B87" s="870"/>
      <c r="C87" s="870"/>
      <c r="D87" s="60" t="s">
        <v>597</v>
      </c>
      <c r="E87" s="870">
        <v>1</v>
      </c>
      <c r="F87" s="870"/>
      <c r="G87" s="870"/>
      <c r="H87" s="870"/>
      <c r="I87" s="870"/>
      <c r="J87" s="870"/>
      <c r="K87" s="870"/>
      <c r="L87" s="870"/>
      <c r="M87" s="870"/>
      <c r="N87" s="870"/>
      <c r="O87" s="870"/>
      <c r="P87" s="870"/>
      <c r="Q87" s="870"/>
      <c r="R87" s="870"/>
      <c r="S87" s="870"/>
      <c r="T87" s="870"/>
      <c r="U87" s="870"/>
      <c r="V87" s="870"/>
      <c r="W87" s="870"/>
      <c r="X87" s="870"/>
      <c r="Y87" s="870"/>
    </row>
    <row r="88" spans="1:25" x14ac:dyDescent="0.4">
      <c r="A88" s="60"/>
      <c r="B88" s="870"/>
      <c r="C88" s="870"/>
      <c r="D88" s="60" t="s">
        <v>598</v>
      </c>
      <c r="E88" s="870">
        <v>1</v>
      </c>
      <c r="F88" s="870"/>
      <c r="G88" s="870"/>
      <c r="H88" s="870"/>
      <c r="I88" s="870"/>
      <c r="J88" s="870"/>
      <c r="K88" s="870"/>
      <c r="L88" s="870"/>
      <c r="M88" s="870"/>
      <c r="N88" s="870"/>
      <c r="O88" s="870"/>
      <c r="P88" s="870"/>
      <c r="Q88" s="870"/>
      <c r="R88" s="870"/>
      <c r="S88" s="870"/>
      <c r="T88" s="870"/>
      <c r="U88" s="870"/>
      <c r="V88" s="870"/>
      <c r="W88" s="870"/>
      <c r="X88" s="870"/>
      <c r="Y88" s="870"/>
    </row>
    <row r="89" spans="1:25" x14ac:dyDescent="0.4">
      <c r="A89" s="60"/>
      <c r="B89" s="870"/>
      <c r="C89" s="870"/>
      <c r="D89" s="60" t="s">
        <v>599</v>
      </c>
      <c r="E89" s="870">
        <v>1</v>
      </c>
      <c r="F89" s="870"/>
      <c r="G89" s="870"/>
      <c r="H89" s="870"/>
      <c r="I89" s="870"/>
      <c r="J89" s="870"/>
      <c r="K89" s="870"/>
      <c r="L89" s="870"/>
      <c r="M89" s="870"/>
      <c r="N89" s="870"/>
      <c r="O89" s="870"/>
      <c r="P89" s="870"/>
      <c r="Q89" s="870"/>
      <c r="R89" s="870"/>
      <c r="S89" s="870"/>
      <c r="T89" s="870"/>
      <c r="U89" s="870"/>
      <c r="V89" s="870"/>
      <c r="W89" s="870"/>
      <c r="X89" s="870"/>
      <c r="Y89" s="870"/>
    </row>
    <row r="90" spans="1:25" x14ac:dyDescent="0.4">
      <c r="A90" s="60"/>
      <c r="B90" s="870"/>
      <c r="C90" s="870"/>
      <c r="D90" s="60" t="s">
        <v>372</v>
      </c>
      <c r="E90" s="870">
        <v>0</v>
      </c>
      <c r="F90" s="870"/>
      <c r="G90" s="870"/>
      <c r="H90" s="870"/>
      <c r="I90" s="870"/>
      <c r="J90" s="870"/>
      <c r="K90" s="870"/>
      <c r="L90" s="870"/>
      <c r="M90" s="870"/>
      <c r="N90" s="870"/>
      <c r="O90" s="870"/>
      <c r="P90" s="870"/>
      <c r="Q90" s="870"/>
      <c r="R90" s="870"/>
      <c r="S90" s="870"/>
      <c r="T90" s="870"/>
      <c r="U90" s="870"/>
      <c r="V90" s="870"/>
      <c r="W90" s="870"/>
      <c r="X90" s="870"/>
      <c r="Y90" s="870"/>
    </row>
  </sheetData>
  <mergeCells count="21">
    <mergeCell ref="B8:H8"/>
    <mergeCell ref="B9:H9"/>
    <mergeCell ref="B2:H2"/>
    <mergeCell ref="B3:H3"/>
    <mergeCell ref="B4:H4"/>
    <mergeCell ref="B5:H5"/>
    <mergeCell ref="B6:H6"/>
    <mergeCell ref="B7:H7"/>
    <mergeCell ref="M1:U1"/>
    <mergeCell ref="W1:AE1"/>
    <mergeCell ref="AG1:AO1"/>
    <mergeCell ref="AQ1:AY1"/>
    <mergeCell ref="BA1:BI1"/>
    <mergeCell ref="BP7:BV7"/>
    <mergeCell ref="BP8:BV8"/>
    <mergeCell ref="BP9:BV9"/>
    <mergeCell ref="BP2:BV2"/>
    <mergeCell ref="BP3:BV3"/>
    <mergeCell ref="BP4:BV4"/>
    <mergeCell ref="BP5:BV5"/>
    <mergeCell ref="BP6:BV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BR200-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Materials'!Q25</f>
        <v>0</v>
      </c>
      <c r="G5" s="81"/>
      <c r="H5" s="81"/>
      <c r="I5" s="81"/>
      <c r="J5" s="81"/>
      <c r="K5" s="83" t="s">
        <v>533</v>
      </c>
      <c r="L5" s="81"/>
      <c r="M5" s="84">
        <f>'Project Materials'!Q26</f>
        <v>0</v>
      </c>
      <c r="N5" s="81"/>
      <c r="O5" s="81"/>
      <c r="P5" s="81"/>
      <c r="Q5" s="81"/>
      <c r="R5" s="83" t="s">
        <v>533</v>
      </c>
      <c r="S5" s="81"/>
      <c r="T5" s="84">
        <f>'Project Materials'!Q27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78" t="s">
        <v>662</v>
      </c>
      <c r="B15" s="1178"/>
      <c r="C15" s="1178"/>
      <c r="D15" s="1178"/>
      <c r="E15" s="1178"/>
      <c r="F15" s="82" t="e">
        <f>(F13/(C14*$F$3))</f>
        <v>#DIV/0!</v>
      </c>
      <c r="H15" s="1178" t="s">
        <v>662</v>
      </c>
      <c r="I15" s="1178"/>
      <c r="J15" s="1178"/>
      <c r="K15" s="1178"/>
      <c r="L15" s="1178"/>
      <c r="M15" s="82" t="e">
        <f>(M13/(J14*$M$3))</f>
        <v>#REF!</v>
      </c>
      <c r="O15" s="1178" t="s">
        <v>662</v>
      </c>
      <c r="P15" s="1178"/>
      <c r="Q15" s="1178"/>
      <c r="R15" s="1178"/>
      <c r="S15" s="1178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78" t="s">
        <v>662</v>
      </c>
      <c r="B25" s="1178"/>
      <c r="C25" s="1178"/>
      <c r="D25" s="1178"/>
      <c r="E25" s="1178"/>
      <c r="F25" s="82" t="e">
        <f>(F23/(C24*$F$3))</f>
        <v>#DIV/0!</v>
      </c>
      <c r="H25" s="1178" t="s">
        <v>662</v>
      </c>
      <c r="I25" s="1178"/>
      <c r="J25" s="1178"/>
      <c r="K25" s="1178"/>
      <c r="L25" s="1178"/>
      <c r="M25" s="82" t="e">
        <f>(M23/(J24*$M$3))</f>
        <v>#REF!</v>
      </c>
      <c r="O25" s="1179" t="s">
        <v>662</v>
      </c>
      <c r="P25" s="1179"/>
      <c r="Q25" s="1179"/>
      <c r="R25" s="1179"/>
      <c r="S25" s="1179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80" t="s">
        <v>1108</v>
      </c>
      <c r="B74" s="1181"/>
      <c r="C74" s="1181"/>
      <c r="D74" s="1181"/>
      <c r="E74" s="1181"/>
      <c r="F74" s="1181"/>
      <c r="G74" s="1181"/>
      <c r="H74" s="1181"/>
      <c r="I74" s="1182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Auto Write Lookup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2021-04-06T21:22:34Z</dcterms:modified>
</cp:coreProperties>
</file>